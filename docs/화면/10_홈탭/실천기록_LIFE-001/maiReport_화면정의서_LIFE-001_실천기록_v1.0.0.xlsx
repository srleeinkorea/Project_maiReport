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이사라\Documents\Project_maiReport\outputs\mai-report-screen-definition\"/>
    </mc:Choice>
  </mc:AlternateContent>
  <xr:revisionPtr revIDLastSave="0" documentId="8_{1246F953-97FD-418E-95D9-885D7F8E3671}" xr6:coauthVersionLast="47" xr6:coauthVersionMax="47" xr10:uidLastSave="{00000000-0000-0000-0000-000000000000}"/>
  <bookViews>
    <workbookView xWindow="-110" yWindow="-110" windowWidth="38620" windowHeight="21100" xr2:uid="{19D7D497-C69C-4720-9A1A-B778C687DA14}"/>
  </bookViews>
  <sheets>
    <sheet name="문서개요" sheetId="1" r:id="rId1"/>
    <sheet name="화면목록" sheetId="2" r:id="rId2"/>
    <sheet name="화면상세" sheetId="3" r:id="rId3"/>
    <sheet name="업무흐름" sheetId="4" r:id="rId4"/>
    <sheet name="정책_예외" sheetId="5" r:id="rId5"/>
    <sheet name="원본추적" sheetId="6" r:id="rId6"/>
  </sheets>
  <definedNames>
    <definedName name="_xlnm._FilterDatabase" localSheetId="3" hidden="1">업무흐름!$A$4:$H$4</definedName>
    <definedName name="_xlnm._FilterDatabase" localSheetId="4" hidden="1">정책_예외!$A$4:$F$4</definedName>
    <definedName name="_xlnm._FilterDatabase" localSheetId="1" hidden="1">화면목록!$A$4:$K$4</definedName>
    <definedName name="_xlnm._FilterDatabase" localSheetId="2" hidden="1">화면상세!$A$4:$K$4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9" i="1" l="1"/>
  <c r="E8" i="1"/>
  <c r="E7" i="1"/>
  <c r="E6" i="1"/>
  <c r="E5" i="1"/>
</calcChain>
</file>

<file path=xl/sharedStrings.xml><?xml version="1.0" encoding="utf-8"?>
<sst xmlns="http://schemas.openxmlformats.org/spreadsheetml/2006/main" count="782" uniqueCount="480">
  <si>
    <t>maiReport 화면정의서 — LIFE-001 목표 이어가기</t>
  </si>
  <si>
    <t>생활 탭 목표 분석 화면의 개편분입니다. 주간 달성률 블록을 이어가는 일수로 대체하는 범위만 다룹니다.</t>
  </si>
  <si>
    <t>문서 항목</t>
  </si>
  <si>
    <t>내용</t>
  </si>
  <si>
    <t>요약 지표</t>
  </si>
  <si>
    <t>값</t>
  </si>
  <si>
    <t>서비스명</t>
  </si>
  <si>
    <t>maiReport (마이리포트)</t>
  </si>
  <si>
    <t>작성 기준일</t>
  </si>
  <si>
    <t>기준 소스</t>
  </si>
  <si>
    <t>LIFE-001 목표 이어가기 기획서 v2.0 · 상황별 화면 10종 보드</t>
  </si>
  <si>
    <t>대상 채널</t>
  </si>
  <si>
    <t>모바일 웹/앱형 UI · 기준 폭 390px</t>
  </si>
  <si>
    <t>작성 범위</t>
  </si>
  <si>
    <t>생활 › 목표 분석 — 오늘의 목표 · 목표 이어가기</t>
  </si>
  <si>
    <t>문서 상태</t>
  </si>
  <si>
    <t>개편안 To-Be 기준 · 미확정 항목은 정책_예외에 표기</t>
  </si>
  <si>
    <t>화면/상태 수</t>
  </si>
  <si>
    <t>화면 상세 항목 수</t>
  </si>
  <si>
    <t>업무 흐름 단계 수</t>
  </si>
  <si>
    <t>정책/예외 항목 수</t>
  </si>
  <si>
    <t>확정 필요 항목 수</t>
  </si>
  <si>
    <t>블록 구조 및 상태</t>
  </si>
  <si>
    <t>블록</t>
  </si>
  <si>
    <t>오늘의 목표</t>
  </si>
  <si>
    <t>목표 이어가기</t>
  </si>
  <si>
    <t>구성</t>
  </si>
  <si>
    <t>목표 카드 3 (식이·활동·수면)</t>
  </si>
  <si>
    <t>이어가기 타일 3 + 안내 카드 1</t>
  </si>
  <si>
    <t>사용자 동작</t>
  </si>
  <si>
    <t>카드 영역 탭 = 완료 / 다시 탭 = 취소</t>
  </si>
  <si>
    <t>없음 (읽기 전용)</t>
  </si>
  <si>
    <t>상태</t>
  </si>
  <si>
    <t>대기 / 완료 / 목표 없음(비활성)</t>
  </si>
  <si>
    <t>목표 없음 · 시작 전 · 다시 시작 · N일째 · 시작일로부터 · O월O일까지</t>
  </si>
  <si>
    <t>안내 문구</t>
  </si>
  <si>
    <t>해당 없음</t>
  </si>
  <si>
    <t>우선순위 10종 중 1개 · 제목 줄 없음</t>
  </si>
  <si>
    <t>범례</t>
  </si>
  <si>
    <t>확정 = 합의됨</t>
  </si>
  <si>
    <t>확인필요 = 구현 전 정리</t>
  </si>
  <si>
    <t>미정 = 정의 없음</t>
  </si>
  <si>
    <t>신규 = 이번 개편 추가</t>
  </si>
  <si>
    <t>화면 목록</t>
  </si>
  <si>
    <t>화면·블록·상태 단위의 목적, 진입, 조건, 구현 상태를 정의합니다.</t>
  </si>
  <si>
    <t>화면 ID</t>
  </si>
  <si>
    <t>대분류</t>
  </si>
  <si>
    <t>화면명</t>
  </si>
  <si>
    <t>형태</t>
  </si>
  <si>
    <t>진입 경로</t>
  </si>
  <si>
    <t>핵심 목적</t>
  </si>
  <si>
    <t>주요 상태/조건</t>
  </si>
  <si>
    <t>종료/이동</t>
  </si>
  <si>
    <t>DOM ID / 상태</t>
  </si>
  <si>
    <t>구현 상태</t>
  </si>
  <si>
    <t>비고</t>
  </si>
  <si>
    <t>LIFE-001</t>
  </si>
  <si>
    <t>생활</t>
  </si>
  <si>
    <t>목표 분석</t>
  </si>
  <si>
    <t>탭 화면</t>
  </si>
  <si>
    <t>하단탭 생활 → 목표 분석</t>
  </si>
  <si>
    <t>오늘의 목표 실행과 이어가기 확인</t>
  </si>
  <si>
    <t>기준일 기준으로 두 블록을 구성</t>
  </si>
  <si>
    <t>홈 탭 · 다른 분석 탭</t>
  </si>
  <si>
    <t>lifeGoalTab</t>
  </si>
  <si>
    <t>개편 대상</t>
  </si>
  <si>
    <t>기존 주간 목표 달성률 블록 제거</t>
  </si>
  <si>
    <t>LIFE-001-A</t>
  </si>
  <si>
    <t>오늘의 목표 (블록)</t>
  </si>
  <si>
    <t>LIFE-001 진입</t>
  </si>
  <si>
    <t>그날 목표 3개 제시 및 완료 처리</t>
  </si>
  <si>
    <t>카드별 대기 / 완료 / 목표 없음</t>
  </si>
  <si>
    <t>완료 시 그날 문구 잠금</t>
  </si>
  <si>
    <t>goalBlock</t>
  </si>
  <si>
    <t>개편</t>
  </si>
  <si>
    <t>영역 탭 토글 · 완료 버튼 없음 · 쉬기 없음</t>
  </si>
  <si>
    <t>LIFE-001-B</t>
  </si>
  <si>
    <t>목표 이어가기 (블록)</t>
  </si>
  <si>
    <t>카테고리별 연속일수와 안내 노출</t>
  </si>
  <si>
    <t>타일 6상태 × 안내 10종</t>
  </si>
  <si>
    <t>streakBlock</t>
  </si>
  <si>
    <t>신규</t>
  </si>
  <si>
    <t>달성률 블록 대체</t>
  </si>
  <si>
    <t>LIFE-001-S1</t>
  </si>
  <si>
    <t>목표 없음</t>
  </si>
  <si>
    <t>세 카테고리 목표가 모두 미생성</t>
  </si>
  <si>
    <t>목표가 없는 날임을 안내</t>
  </si>
  <si>
    <t>타일 3개 모두 비활성</t>
  </si>
  <si>
    <t>완료 처리 불가</t>
  </si>
  <si>
    <t>-</t>
  </si>
  <si>
    <t>안내 1 · 연속은 끊지 않고 건너뜀</t>
  </si>
  <si>
    <t>LIFE-001-S2</t>
  </si>
  <si>
    <t>첫 기록 전</t>
  </si>
  <si>
    <t>완료 이력 0건</t>
  </si>
  <si>
    <t>시작 안내</t>
  </si>
  <si>
    <t>타일 3개 모두 시작 전</t>
  </si>
  <si>
    <t>완료 시 S9로</t>
  </si>
  <si>
    <t>안내 2</t>
  </si>
  <si>
    <t>LIFE-001-S3</t>
  </si>
  <si>
    <t>오랜만의 방문</t>
  </si>
  <si>
    <t>최근 방문일로부터 7일 이상 경과</t>
  </si>
  <si>
    <t>기록이 남아 있음을 안내</t>
  </si>
  <si>
    <t>타일 3개 모두 다시 시작</t>
  </si>
  <si>
    <t>안내 3 · 마지막 일자 노출 · 방문일 기준</t>
  </si>
  <si>
    <t>LIFE-001-S4</t>
  </si>
  <si>
    <t>마디 도달</t>
  </si>
  <si>
    <t>오늘 완료 상태에서 연속일수가 마디 값과 정확히 일치</t>
  </si>
  <si>
    <t>마디 달성 안내</t>
  </si>
  <si>
    <t>동시 도달은 큰 마디 하나 · 같으면 묶음</t>
  </si>
  <si>
    <t>안내 4 · 마디는 P-L19</t>
  </si>
  <si>
    <t>LIFE-001-S5</t>
  </si>
  <si>
    <t>최장 기록 경신</t>
  </si>
  <si>
    <t>오늘 완료 상태에서 연속일수 &gt; prevBest</t>
  </si>
  <si>
    <t>자기 기록 경신 안내</t>
  </si>
  <si>
    <t>동률 제외 (S9가 대신 노출) · 경신 구간 내내 매일 성립</t>
  </si>
  <si>
    <t>안내 5 · prevBest는 P-L32</t>
  </si>
  <si>
    <t>LIFE-001-S6</t>
  </si>
  <si>
    <t>마디 하루 전</t>
  </si>
  <si>
    <t>오늘 완료 후 다음 마디까지 1일</t>
  </si>
  <si>
    <t>다음 마디 안내</t>
  </si>
  <si>
    <t>안내 6</t>
  </si>
  <si>
    <t>LIFE-001-S7</t>
  </si>
  <si>
    <t>세 카테고리 동률</t>
  </si>
  <si>
    <t>세 연속일수가 같고 1일 이상</t>
  </si>
  <si>
    <t>세 가지 동시 진행 안내</t>
  </si>
  <si>
    <t>안내 배경 중립</t>
  </si>
  <si>
    <t>안내 7</t>
  </si>
  <si>
    <t>LIFE-001-S8</t>
  </si>
  <si>
    <t>두 카테고리 동률</t>
  </si>
  <si>
    <t>최장 연속일수 카테고리가 2개</t>
  </si>
  <si>
    <t>두 가지 병행 안내</t>
  </si>
  <si>
    <t>안내 8</t>
  </si>
  <si>
    <t>LIFE-001-S9</t>
  </si>
  <si>
    <t>가장 긴 기록 하나 (기본)</t>
  </si>
  <si>
    <t>위 조건 미해당</t>
  </si>
  <si>
    <t>가장 오래 이어가는 것 안내</t>
  </si>
  <si>
    <t>안내 배경은 해당 카테고리 색</t>
  </si>
  <si>
    <t>안내 9 · 기본 상태 · 오늘 미완료면 문장 추가</t>
  </si>
  <si>
    <t>LIFE-001-S10</t>
  </si>
  <si>
    <t>현재 연속 없음</t>
  </si>
  <si>
    <t>이력은 있으나 전 카테고리 연속 0</t>
  </si>
  <si>
    <t>다시 시작 안내</t>
  </si>
  <si>
    <t>안내 10 · 마지막 일자 노출</t>
  </si>
  <si>
    <t>LIFE-001-P</t>
  </si>
  <si>
    <t>과거 날짜 모드</t>
  </si>
  <si>
    <t>모드</t>
  </si>
  <si>
    <t>날짜 스트립에서 과거 날짜 선택</t>
  </si>
  <si>
    <t>그날의 기록 확인과 사후 입력</t>
  </si>
  <si>
    <t>S1~S10 판정을 건너뛰고 전용 문장 사용</t>
  </si>
  <si>
    <t>오늘 버튼으로 복귀</t>
  </si>
  <si>
    <t>상황이 아니라 화면 전체의 모드</t>
  </si>
  <si>
    <t>화면 상세 정의</t>
  </si>
  <si>
    <t>UI 요소별 표시 내용, 사용자 동작, 시스템 처리, 노출 조건, 검증·예외를 정의합니다.</t>
  </si>
  <si>
    <t>영역</t>
  </si>
  <si>
    <t>No.</t>
  </si>
  <si>
    <t>UI 요소</t>
  </si>
  <si>
    <t>유형</t>
  </si>
  <si>
    <t>표시 내용</t>
  </si>
  <si>
    <t>시스템 동작/결과</t>
  </si>
  <si>
    <t>노출·활성 조건</t>
  </si>
  <si>
    <t>검증/예외</t>
  </si>
  <si>
    <t>근거</t>
  </si>
  <si>
    <t>공통</t>
  </si>
  <si>
    <t>날짜 스트립</t>
  </si>
  <si>
    <t>네비게이션</t>
  </si>
  <si>
    <t>월~일 7일 · 오늘 강조</t>
  </si>
  <si>
    <t>날짜 탭</t>
  </si>
  <si>
    <t>선택 날짜를 기준일로 설정하고 두 블록 재구성</t>
  </si>
  <si>
    <t>항상</t>
  </si>
  <si>
    <t>미래 날짜는 비활성</t>
  </si>
  <si>
    <t>기획서 07</t>
  </si>
  <si>
    <t>탭 바</t>
  </si>
  <si>
    <t>목표 분석 활성</t>
  </si>
  <si>
    <t>탭 탭</t>
  </si>
  <si>
    <t>해당 분석 화면으로 전환</t>
  </si>
  <si>
    <t>기존 유지</t>
  </si>
  <si>
    <t>블록 제목</t>
  </si>
  <si>
    <t>텍스트</t>
  </si>
  <si>
    <t>기획서 02</t>
  </si>
  <si>
    <t>완료 카운터</t>
  </si>
  <si>
    <t>N/3 완료</t>
  </si>
  <si>
    <t>완료 수 변동 시 갱신</t>
  </si>
  <si>
    <t>목표 없음인 카테고리는 분모에서 제외</t>
  </si>
  <si>
    <t>목표 카드</t>
  </si>
  <si>
    <t>카드 ×3</t>
  </si>
  <si>
    <t>카테고리 · 목표 문구 · 일러스트</t>
  </si>
  <si>
    <t>카드 영역 탭</t>
  </si>
  <si>
    <t>미완료면 완료 저장 · 완료면 취소</t>
  </si>
  <si>
    <t>항상 3개</t>
  </si>
  <si>
    <t>카테고리 순서 고정 (식이·활동·수면)</t>
  </si>
  <si>
    <t>정책 P-L11</t>
  </si>
  <si>
    <t>카테고리 라벨</t>
  </si>
  <si>
    <t>식이 / 활동 / 수면</t>
  </si>
  <si>
    <t>카테고리 색 고정</t>
  </si>
  <si>
    <t>핸드오프</t>
  </si>
  <si>
    <t>목표 문구</t>
  </si>
  <si>
    <t>그날 제시된 목표 (최대 2줄)</t>
  </si>
  <si>
    <t>완료 시 문구 고정</t>
  </si>
  <si>
    <t>완료·잠금 후 개인화 교체 제외</t>
  </si>
  <si>
    <t>정책 P-L07</t>
  </si>
  <si>
    <t>완료 표시</t>
  </si>
  <si>
    <t>상태 표시</t>
  </si>
  <si>
    <t>체크 채움 · 본문 흐림</t>
  </si>
  <si>
    <t>카드 영역 재탭</t>
  </si>
  <si>
    <t>is_done 반전 · 연속일수 재계산 · 안내 재평가</t>
  </si>
  <si>
    <t>목표가 있는 날</t>
  </si>
  <si>
    <t>확인 대화상자 없음 · 연타는 마지막 상태만</t>
  </si>
  <si>
    <t>목표 없음 카드</t>
  </si>
  <si>
    <t>카드</t>
  </si>
  <si>
    <t>비활성 · 문구 없음</t>
  </si>
  <si>
    <t>탭 불가</t>
  </si>
  <si>
    <t>그날 그 카테고리 목표 미생성</t>
  </si>
  <si>
    <t>완료 처리가 되지 않아야 함</t>
  </si>
  <si>
    <t>정책 P-L21</t>
  </si>
  <si>
    <t>이번 주 등 기간 표현을 쓰지 않음</t>
  </si>
  <si>
    <t>기획서 04</t>
  </si>
  <si>
    <t>이어가기 타일</t>
  </si>
  <si>
    <t>타일 ×3</t>
  </si>
  <si>
    <t>카테고리 · 주요 표시 · 보조 문구</t>
  </si>
  <si>
    <t>순서는 오늘의 목표와 동일</t>
  </si>
  <si>
    <t>주요 표시</t>
  </si>
  <si>
    <t>N일째 / 다시 시작 / 시작 전 / 대시</t>
  </si>
  <si>
    <t>연속일수 계산 결과</t>
  </si>
  <si>
    <t>0일째를 표시하지 않음</t>
  </si>
  <si>
    <t>정책 P-L05</t>
  </si>
  <si>
    <t>보조 문구</t>
  </si>
  <si>
    <t>이어가는 중 / 오늘 하면 1일째 / 시작일(O월O일)로부터 / O월O일까지</t>
  </si>
  <si>
    <t>상태에 따라</t>
  </si>
  <si>
    <t>과거 기준일에는 이어가는 중을 쓰지 않음</t>
  </si>
  <si>
    <t>정책 P-L12</t>
  </si>
  <si>
    <t>안내 카드</t>
  </si>
  <si>
    <t>본문 1~2줄 (제목 줄 없음)</t>
  </si>
  <si>
    <t>우선순위 1~10 중 1개 선택</t>
  </si>
  <si>
    <t>항상 1개</t>
  </si>
  <si>
    <t>동시 충족 시 상위 1개만</t>
  </si>
  <si>
    <t>정책 P-L06</t>
  </si>
  <si>
    <t>안내 본문</t>
  </si>
  <si>
    <t>상황별 확정 문장</t>
  </si>
  <si>
    <t>부정형·금지 어휘·반복 권유 금지</t>
  </si>
  <si>
    <t>정책 P-L01, P-L08, P-L22</t>
  </si>
  <si>
    <t>안내 배경색</t>
  </si>
  <si>
    <t>스타일</t>
  </si>
  <si>
    <t>카테고리 색 또는 중립</t>
  </si>
  <si>
    <t>언급 카테고리 수로 결정</t>
  </si>
  <si>
    <t>2개 이상 또는 없음이면 중립</t>
  </si>
  <si>
    <t>기획서 06</t>
  </si>
  <si>
    <t>과거 날짜</t>
  </si>
  <si>
    <t>과거 안내 문구</t>
  </si>
  <si>
    <t>이 날 실천한 일을 지금 남길 수 있어요</t>
  </si>
  <si>
    <t>S1~S10 판정을 건너뜀</t>
  </si>
  <si>
    <t>기준일이 과거</t>
  </si>
  <si>
    <t>미래형 문장 금지</t>
  </si>
  <si>
    <t>정책 P-L23</t>
  </si>
  <si>
    <t>과거 완료 처리</t>
  </si>
  <si>
    <t>오늘과 동일</t>
  </si>
  <si>
    <t>저장 즉시 연속일수·최장 기록·안내 재계산</t>
  </si>
  <si>
    <t>허용 기간 미정</t>
  </si>
  <si>
    <t>정책 P-L24</t>
  </si>
  <si>
    <t>업무 흐름</t>
  </si>
  <si>
    <t>완료 처리, 연속일수 판정, 안내 선택, 날짜 이동의 단계별 처리 규칙입니다.</t>
  </si>
  <si>
    <t>Flow ID</t>
  </si>
  <si>
    <t>흐름명</t>
  </si>
  <si>
    <t>단계</t>
  </si>
  <si>
    <t>사용자/시스템 이벤트</t>
  </si>
  <si>
    <t>처리·판단</t>
  </si>
  <si>
    <t>결과</t>
  </si>
  <si>
    <t>From</t>
  </si>
  <si>
    <t>To</t>
  </si>
  <si>
    <t>F-L1</t>
  </si>
  <si>
    <t>목표 완료 처리</t>
  </si>
  <si>
    <t>미완료 카드 영역 탭</t>
  </si>
  <si>
    <t>해당 날짜·카테고리 is_done=true 저장</t>
  </si>
  <si>
    <t>완료 표시 · 카운터 증가</t>
  </si>
  <si>
    <t>저장 완료</t>
  </si>
  <si>
    <t>목표 문구 잠금</t>
  </si>
  <si>
    <t>그날 개인화 교체 대상에서 제외</t>
  </si>
  <si>
    <t>연속일수 재계산</t>
  </si>
  <si>
    <t>F-L2 수행</t>
  </si>
  <si>
    <t>타일 주요 표시·보조 문구 갱신</t>
  </si>
  <si>
    <t>안내 재평가</t>
  </si>
  <si>
    <t>F-L3 수행</t>
  </si>
  <si>
    <t>안내 카드 교체</t>
  </si>
  <si>
    <t>F-L2</t>
  </si>
  <si>
    <t>연속일수 판정</t>
  </si>
  <si>
    <t>기준일 완료 여부 확인</t>
  </si>
  <si>
    <t>완료면 시작점 = 기준일</t>
  </si>
  <si>
    <t>과거 방향 역산 시작</t>
  </si>
  <si>
    <t>기준일 미완료</t>
  </si>
  <si>
    <t>전날 완료 여부 확인</t>
  </si>
  <si>
    <t>완료면 시작점 = 전날 (오늘은 끊지 않음)</t>
  </si>
  <si>
    <t>둘 다 미완료</t>
  </si>
  <si>
    <t>연속일수 0 · 다시 시작 표시</t>
  </si>
  <si>
    <t>역산 — 완료된 날</t>
  </si>
  <si>
    <t>일수 +1 후 하루 전으로</t>
  </si>
  <si>
    <t>계속 역산</t>
  </si>
  <si>
    <t>역산 — 목표 없음인 날</t>
  </si>
  <si>
    <t>일수를 올리지 않고 건너뜀 (최대 7일 연속)</t>
  </si>
  <si>
    <t>끊지 않고 계속 역산</t>
  </si>
  <si>
    <t>역산 — 미기록인 날</t>
  </si>
  <si>
    <t>연속 종료 · 일수 확정 · 주 경계 무시</t>
  </si>
  <si>
    <t>최장 기록 갱신</t>
  </si>
  <si>
    <t>완료 이력 전체에서 별도 계산</t>
  </si>
  <si>
    <t>연속이 끊겨도 최장 기록 보존</t>
  </si>
  <si>
    <t>F-L3</t>
  </si>
  <si>
    <t>안내 선택</t>
  </si>
  <si>
    <t>기준일 확인</t>
  </si>
  <si>
    <t>과거면 목록을 건너뛰고 전용 문장 사용</t>
  </si>
  <si>
    <t>과거 모드 문장 확정</t>
  </si>
  <si>
    <t>상태 수집</t>
  </si>
  <si>
    <t>목표 유무 · 기록 유무 · 최근 방문일 · 연속일수 · 최장 기록</t>
  </si>
  <si>
    <t>우선순위 1~10 평가</t>
  </si>
  <si>
    <t>우선순위 판정</t>
  </si>
  <si>
    <t>충족하는 것 중 최상위 1개</t>
  </si>
  <si>
    <t>본문 문장 확정</t>
  </si>
  <si>
    <t>배경색 결정</t>
  </si>
  <si>
    <t>언급 카테고리 수 확인</t>
  </si>
  <si>
    <t>1개면 카테고리 색 · 그 외 중립</t>
  </si>
  <si>
    <t>F-L4</t>
  </si>
  <si>
    <t>날짜 이동</t>
  </si>
  <si>
    <t>스트립 날짜 선택</t>
  </si>
  <si>
    <t>선택 날짜를 기준일로 설정</t>
  </si>
  <si>
    <t>오늘의 목표를 그날 기록으로 교체</t>
  </si>
  <si>
    <t>이어가기 재계산</t>
  </si>
  <si>
    <t>그 시점 기준으로 F-L2 수행</t>
  </si>
  <si>
    <t>세 타일 모두 같은 기준 · 보조 문구는 O월O일까지</t>
  </si>
  <si>
    <t>F-L5</t>
  </si>
  <si>
    <t>완료 취소</t>
  </si>
  <si>
    <t>완료 카드 영역 재탭</t>
  </si>
  <si>
    <t>is_done=false 저장 · 문구 잠금 해제</t>
  </si>
  <si>
    <t>완료 표시 해제 · 카운터 감소</t>
  </si>
  <si>
    <t>재계산</t>
  </si>
  <si>
    <t>취소 날짜 기준으로 F-L2 · F-L3 수행</t>
  </si>
  <si>
    <t>연속일수·최장 기록·안내 갱신</t>
  </si>
  <si>
    <t>정책 및 예외</t>
  </si>
  <si>
    <t>집계·표기·문구·데이터 정책과 구현 전 확정이 필요한 항목입니다.</t>
  </si>
  <si>
    <t>정책 ID</t>
  </si>
  <si>
    <t>분류</t>
  </si>
  <si>
    <t>정책명</t>
  </si>
  <si>
    <t>정의/확인 사항</t>
  </si>
  <si>
    <t>관련 화면</t>
  </si>
  <si>
    <t>P-L01</t>
  </si>
  <si>
    <t>문구</t>
  </si>
  <si>
    <t>금지 어휘</t>
  </si>
  <si>
    <t>달성률 · 실천 점수 · 순응도 · 의지력 · 꾸준히 · 완주를 화면 문구에 쓰지 않는다</t>
  </si>
  <si>
    <t>확정</t>
  </si>
  <si>
    <t>P-L02</t>
  </si>
  <si>
    <t>집계</t>
  </si>
  <si>
    <t>주 경계 무시</t>
  </si>
  <si>
    <t>연속일수는 월요일에 리셋하지 않고 7일을 넘으면 일수를 그대로 센다</t>
  </si>
  <si>
    <t>P-L03</t>
  </si>
  <si>
    <t>오늘 유예</t>
  </si>
  <si>
    <t>기준일 미완료·전날 완료면 전날까지의 연속일수를 유지하고 끊김 처리하지 않는다</t>
  </si>
  <si>
    <t>P-L04</t>
  </si>
  <si>
    <t>이력 보존</t>
  </si>
  <si>
    <t>연속이 끊겨도 완료 이력과 최장 기록은 보존한다</t>
  </si>
  <si>
    <t>P-L05</t>
  </si>
  <si>
    <t>표기</t>
  </si>
  <si>
    <t>0일째 금지</t>
  </si>
  <si>
    <t>끊긴 것을 0이나 지난 기록의 길이로 표시하지 않는다. 다시 시작으로 표기한다</t>
  </si>
  <si>
    <t>P-L06</t>
  </si>
  <si>
    <t>우선순위 1개</t>
  </si>
  <si>
    <t>여러 조건이 동시에 충족되면 우선순위에 따라 1개만 노출한다</t>
  </si>
  <si>
    <t>P-L07</t>
  </si>
  <si>
    <t>목표</t>
  </si>
  <si>
    <t>완료 잠금</t>
  </si>
  <si>
    <t>완료 처리한 목표는 그날 문구를 고정하고 개인화 교체 대상에서 제외한다. 취소 시 해제한다</t>
  </si>
  <si>
    <t>P-L08</t>
  </si>
  <si>
    <t>부정형 금지</t>
  </si>
  <si>
    <t>건너뛰지 않았다 같은 부정형을 쓰지 않고 한 일을 그대로 말하거나 앞을 가리킨다</t>
  </si>
  <si>
    <t>P-L09</t>
  </si>
  <si>
    <t>사실 기반</t>
  </si>
  <si>
    <t>건강 효과 주장과 감탄사를 쓰지 않고 기록에서 나오는 사실만 쓴다</t>
  </si>
  <si>
    <t>P-L10</t>
  </si>
  <si>
    <t>자기 비교</t>
  </si>
  <si>
    <t>순위표 · 친구 비교 · 평균 대비를 넣지 않고 자기 기록과만 비교한다</t>
  </si>
  <si>
    <t>P-L11</t>
  </si>
  <si>
    <t>UI</t>
  </si>
  <si>
    <t>영역 탭 토글</t>
  </si>
  <si>
    <t>목표 카드 영역을 누르면 완료, 다시 누르면 취소한다. 별도 버튼과 확인 대화상자를 두지 않는다</t>
  </si>
  <si>
    <t>P-L12</t>
  </si>
  <si>
    <t>시작일 조건</t>
  </si>
  <si>
    <t>시작일 표기 조건을 지난주에서 이번 주 이전으로 넓힌다. 과거 기준일에는 O월O일까지를 쓴다</t>
  </si>
  <si>
    <t>P-L13</t>
  </si>
  <si>
    <t>어휘 통일</t>
  </si>
  <si>
    <t>타일과 안내 모두 N일째로 통일한다. N일 연속을 쓰지 않는다</t>
  </si>
  <si>
    <t>P-L14</t>
  </si>
  <si>
    <t>목표 없음 건너뛰기</t>
  </si>
  <si>
    <t>목표가 생성되지 않은 날은 앱 사정이므로 연속을 끊지 않고 건너뛴다. 미기록은 사용자 사정이므로 끊는다</t>
  </si>
  <si>
    <t>P-L15</t>
  </si>
  <si>
    <t>미기록 해석</t>
  </si>
  <si>
    <t>이 숫자는 실천이 아니라 기록이 이어진 날을 센다. 미기록을 미실천으로 화면에 표시하지 않는다</t>
  </si>
  <si>
    <t>P-L16</t>
  </si>
  <si>
    <t>최장 경신 기준</t>
  </si>
  <si>
    <t>기존 최장을 초과할 때만 경신으로 본다. 동률은 제외하고 기본 안내가 대신 노출된다</t>
  </si>
  <si>
    <t>P-L32</t>
  </si>
  <si>
    <t>최장 기록 비교 대상</t>
  </si>
  <si>
    <t>prevBest는 현재 진행 중인 연속을 제외한 과거 최장이다. 현재 연속을 포함해 계산하면 둘이 항상 같아져 경신이 영원히 성립하지 않는다. 과거 기록이 없으면 0이 아니라 해당 없음으로 두어 1일째에 최장 안내가 나오지 않게 한다</t>
  </si>
  <si>
    <t>P-L17</t>
  </si>
  <si>
    <t>제목 줄 없음</t>
  </si>
  <si>
    <t>안내 카드에 제목 줄을 두지 않는다. 상황 이름은 문서 내부용이며 화면에 노출하지 않는다</t>
  </si>
  <si>
    <t>P-L21</t>
  </si>
  <si>
    <t>목표 없음 비활성</t>
  </si>
  <si>
    <t>목표가 없는 카테고리 카드는 비활성 처리하고 완료 처리가 되지 않아야 한다</t>
  </si>
  <si>
    <t>P-L22</t>
  </si>
  <si>
    <t>반복 권유 금지</t>
  </si>
  <si>
    <t>같은 권유 문장을 여러 상황에 반복하지 않는다</t>
  </si>
  <si>
    <t>P-L23</t>
  </si>
  <si>
    <t>과거 시제</t>
  </si>
  <si>
    <t>기준일이 과거면 내일도 · 오늘 하면 · 오랜만이에요 같은 현재·미래형 문장을 쓰지 않는다</t>
  </si>
  <si>
    <t>P-L18</t>
  </si>
  <si>
    <t>건너뛰기 상한</t>
  </si>
  <si>
    <t>목표 없음을 연속 몇 일까지 건너뛸지. 현재 7일로 두었으며 값 검토가 필요하다</t>
  </si>
  <si>
    <t>확인필요</t>
  </si>
  <si>
    <t>P-L19</t>
  </si>
  <si>
    <t>마디 값</t>
  </si>
  <si>
    <t>7 · 14 · 30 · 50 · 100 · 150 · 200 · 250 · 300 · 365이며 그 뒤로는 365의 배수. 가장 긴 공백은 300에서 365의 65일</t>
  </si>
  <si>
    <t>P-L20</t>
  </si>
  <si>
    <t>목표 없음 원인</t>
  </si>
  <si>
    <t>목표 없음에 가입 전 날짜도 섞인다. 가입 전에 목표가 준비되지 않았다는 문구는 어긋난다</t>
  </si>
  <si>
    <t>P-L24</t>
  </si>
  <si>
    <t>과거 입력 허용 기간</t>
  </si>
  <si>
    <t>어디까지 거슬러 기록할 수 있는지 정해지지 않았다. 최근 7일은 확정 정책이 아니다</t>
  </si>
  <si>
    <t>미정</t>
  </si>
  <si>
    <t>P-L29</t>
  </si>
  <si>
    <t>마디 도달 판정</t>
  </si>
  <si>
    <t>기준일이 오늘이고 오늘 완료 상태이며 현재 연속일수가 마디 값과 정확히 같을 때만 성립한다. 15일째에 14 마디를 다시 띄우지 않는다</t>
  </si>
  <si>
    <t>P-L30</t>
  </si>
  <si>
    <t>마디 동시 도달</t>
  </si>
  <si>
    <t>같은 날 둘 이상이 마디에 닿으면 마디 값이 큰 쪽 하나만 말한다. 값이 같으면 묶어서 말한다. 최장 경신 동시 발생도 같은 규칙</t>
  </si>
  <si>
    <t>P-L31</t>
  </si>
  <si>
    <t>건너뛴 날이 섞인 마디</t>
  </si>
  <si>
    <t>목표 없음으로 건너뛴 날이 포함돼도 마디로 인정한다. 연속일수가 완료 횟수가 아니라 이어온 날을 세기 때문</t>
  </si>
  <si>
    <t>P-L26</t>
  </si>
  <si>
    <t>데이터</t>
  </si>
  <si>
    <t>목표 기록 저장소</t>
  </si>
  <si>
    <t>goal_record (user_id, category, record_date, is_done, done_at, goal_text)가 정의되어 있지 않다</t>
  </si>
  <si>
    <t>P-L27</t>
  </si>
  <si>
    <t>방문 기록</t>
  </si>
  <si>
    <t>goal_visit은 연속 계산에는 불필요하나 오랜만의 방문 판정에 필요하다</t>
  </si>
  <si>
    <t>P-L28</t>
  </si>
  <si>
    <t>계산 공유</t>
  </si>
  <si>
    <t>홈 카드의 N일째 표시는 같은 계산을 공유해야 두 화면 숫자가 어긋나지 않는다</t>
  </si>
  <si>
    <t>원본 추적</t>
  </si>
  <si>
    <t>이 문서의 각 항목이 어느 산출물에서 왔는지 기록합니다.</t>
  </si>
  <si>
    <t>구분</t>
  </si>
  <si>
    <t>산출물</t>
  </si>
  <si>
    <t>버전/일자</t>
  </si>
  <si>
    <t>연결 항목</t>
  </si>
  <si>
    <t>기획</t>
  </si>
  <si>
    <t>LIFE-001 목표 이어가기 기획서</t>
  </si>
  <si>
    <t>v2.0 · 2026-09-11</t>
  </si>
  <si>
    <t>화면목록 · 화면상세 · 업무흐름 전체</t>
  </si>
  <si>
    <t>LIFE-001 기획서 (사용자 작성본)</t>
  </si>
  <si>
    <t>v1.7</t>
  </si>
  <si>
    <t>10종 구조 · 과거 날짜 모드 분리</t>
  </si>
  <si>
    <t>디자인</t>
  </si>
  <si>
    <t>LIFE-001 기획서 보드 (SVG)</t>
  </si>
  <si>
    <t>1960x1700</t>
  </si>
  <si>
    <t>화면상세 UI 요소 · 핸드오프 토큰</t>
  </si>
  <si>
    <t>LIFE-001 상황별 화면 10종 (SVG)</t>
  </si>
  <si>
    <t>1214x1338</t>
  </si>
  <si>
    <t>화면목록 S1~S10 · LIFE-001-P · 안내 문구</t>
  </si>
  <si>
    <t>LIFE-001 실천 기록 단일 화면 (SVG)</t>
  </si>
  <si>
    <t>390x680</t>
  </si>
  <si>
    <t>화면상세 공통·블록 요소</t>
  </si>
  <si>
    <t>기능</t>
  </si>
  <si>
    <t>목표 이어가기 기능정의서</t>
  </si>
  <si>
    <t>v1.1 · 2026-09-11</t>
  </si>
  <si>
    <t>업무흐름 F-L1~F-L5</t>
  </si>
  <si>
    <t>정책</t>
  </si>
  <si>
    <t>목표 기록 잠금 · 생활 데이터 부재 시 표시 정책</t>
  </si>
  <si>
    <t>v0.1 · 2026-09-07</t>
  </si>
  <si>
    <t>P-L07 완료 잠금 · P-L21 비활성</t>
  </si>
  <si>
    <t>지표</t>
  </si>
  <si>
    <t>maiReport 지표 기획서</t>
  </si>
  <si>
    <t>v0.3 · 2026-09-08</t>
  </si>
  <si>
    <t>P-L01 금지 어휘</t>
  </si>
  <si>
    <t>maiReport 데이터 모델</t>
  </si>
  <si>
    <t>v0.1 · 2026-09-01</t>
  </si>
  <si>
    <t>P-L26 저장소 미정의 근거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</si>
</sst>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charset val="129"/>
      <scheme val="minor"/>
    </font>
    <font>
      <sz val="9"/>
      <color theme="1"/>
      <name val="Malgun Gothic"/>
      <family val="3"/>
      <charset val="129"/>
    </font>
    <font>
      <b/>
      <sz val="9"/>
      <color theme="1"/>
      <name val="Malgun Gothic"/>
      <family val="3"/>
      <charset val="129"/>
    </font>
    <font>
      <sz val="8"/>
      <name val="맑은 고딕"/>
      <family val="2"/>
      <charset val="129"/>
      <scheme val="minor"/>
    </font>
    <font>
      <b/>
      <sz val="20"/>
      <color rgb="FFFFFFFF"/>
      <name val="Malgun Gothic"/>
      <family val="3"/>
      <charset val="129"/>
    </font>
    <font>
      <sz val="10"/>
      <color rgb="FF667085"/>
      <name val="Malgun Gothic"/>
      <family val="3"/>
      <charset val="129"/>
    </font>
    <font>
      <b/>
      <sz val="10"/>
      <color rgb="FFFFFFFF"/>
      <name val="Malgun Gothic"/>
      <family val="3"/>
      <charset val="129"/>
    </font>
    <font>
      <b/>
      <sz val="14"/>
      <color rgb="FF2F6BFF"/>
      <name val="Malgun Gothic"/>
      <family val="3"/>
      <charset val="129"/>
    </font>
    <font>
      <b/>
      <sz val="12"/>
      <color rgb="FF2F6BFF"/>
      <name val="Malgun Gothic"/>
      <family val="3"/>
      <charset val="129"/>
    </font>
    <font>
      <sz val="9"/>
      <color rgb="FF667085"/>
      <name val="Malgun Gothic"/>
      <family val="3"/>
      <charset val="129"/>
    </font>
    <font>
      <sz val="9"/>
      <color rgb="FF16233F"/>
      <name val="Malgun Gothic"/>
      <family val="3"/>
      <charset val="129"/>
    </font>
  </fonts>
  <fills count="7">
    <fill>
      <patternFill patternType="none"/>
    </fill>
    <fill>
      <patternFill patternType="gray125"/>
    </fill>
    <fill>
      <patternFill patternType="solid">
        <fgColor rgb="FF16233F"/>
        <bgColor indexed="64"/>
      </patternFill>
    </fill>
    <fill>
      <patternFill patternType="solid">
        <fgColor rgb="FFEFF4FF"/>
        <bgColor indexed="64"/>
      </patternFill>
    </fill>
    <fill>
      <patternFill patternType="solid">
        <fgColor rgb="FF2F6BFF"/>
        <bgColor indexed="64"/>
      </patternFill>
    </fill>
    <fill>
      <patternFill patternType="solid">
        <fgColor rgb="FFF4F6FA"/>
        <bgColor indexed="64"/>
      </patternFill>
    </fill>
    <fill>
      <patternFill patternType="solid">
        <fgColor rgb="FFF8FAFD"/>
        <bgColor indexed="64"/>
      </patternFill>
    </fill>
  </fills>
  <borders count="5">
    <border>
      <left/>
      <right/>
      <top/>
      <bottom/>
      <diagonal/>
    </border>
    <border>
      <left style="thin">
        <color rgb="FF8FB0FF"/>
      </left>
      <right style="thin">
        <color rgb="FF8FB0FF"/>
      </right>
      <top style="thin">
        <color rgb="FF8FB0FF"/>
      </top>
      <bottom/>
      <diagonal/>
    </border>
    <border>
      <left/>
      <right/>
      <top style="thin">
        <color rgb="FF8FB0FF"/>
      </top>
      <bottom/>
      <diagonal/>
    </border>
    <border>
      <left/>
      <right/>
      <top style="thin">
        <color rgb="FFDDE4F0"/>
      </top>
      <bottom style="thin">
        <color rgb="FFDDE4F0"/>
      </bottom>
      <diagonal/>
    </border>
    <border>
      <left/>
      <right/>
      <top style="thin">
        <color rgb="FFDDE4F0"/>
      </top>
      <bottom/>
      <diagonal/>
    </border>
  </borders>
  <cellStyleXfs count="1">
    <xf numFmtId="0" fontId="0" fillId="0" borderId="0">
      <alignment vertical="center"/>
    </xf>
  </cellStyleXfs>
  <cellXfs count="23">
    <xf numFmtId="0" fontId="0" fillId="0" borderId="0" xfId="0">
      <alignment vertical="center"/>
    </xf>
    <xf numFmtId="0" fontId="1" fillId="0" borderId="0" xfId="0" applyFont="1">
      <alignment vertical="center"/>
    </xf>
    <xf numFmtId="0" fontId="4" fillId="2" borderId="0" xfId="0" applyFont="1" applyFill="1" applyAlignment="1">
      <alignment vertical="center"/>
    </xf>
    <xf numFmtId="0" fontId="5" fillId="3" borderId="0" xfId="0" applyFont="1" applyFill="1" applyAlignment="1">
      <alignment horizontal="left" vertical="center" indent="1"/>
    </xf>
    <xf numFmtId="0" fontId="6" fillId="4" borderId="1" xfId="0" applyFont="1" applyFill="1" applyBorder="1" applyAlignment="1">
      <alignment horizontal="center" vertical="center"/>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xf numFmtId="14" fontId="1" fillId="0" borderId="4" xfId="0" applyNumberFormat="1" applyFont="1" applyBorder="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8" fillId="3" borderId="0" xfId="0" applyFont="1" applyFill="1" applyAlignment="1">
      <alignment vertical="center"/>
    </xf>
    <xf numFmtId="0" fontId="2" fillId="5" borderId="0" xfId="0" applyFont="1" applyFill="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9" fillId="0" borderId="0" xfId="0" applyFont="1">
      <alignment vertical="center"/>
    </xf>
    <xf numFmtId="0" fontId="6" fillId="4" borderId="1" xfId="0" applyFont="1" applyFill="1" applyBorder="1" applyAlignment="1">
      <alignment horizontal="center" vertical="center" wrapText="1"/>
    </xf>
    <xf numFmtId="0" fontId="10" fillId="0" borderId="2" xfId="0" applyFont="1" applyBorder="1" applyAlignment="1">
      <alignment vertical="top" wrapText="1"/>
    </xf>
    <xf numFmtId="0" fontId="10" fillId="6" borderId="3" xfId="0" applyFont="1" applyFill="1" applyBorder="1" applyAlignment="1">
      <alignment vertical="top" wrapText="1"/>
    </xf>
    <xf numFmtId="0" fontId="10" fillId="6" borderId="4" xfId="0" applyFont="1" applyFill="1" applyBorder="1" applyAlignment="1">
      <alignment vertical="top" wrapText="1"/>
    </xf>
    <xf numFmtId="0" fontId="10" fillId="0" borderId="3" xfId="0" applyFont="1" applyBorder="1" applyAlignment="1">
      <alignment vertical="top" wrapText="1"/>
    </xf>
    <xf numFmtId="0" fontId="10" fillId="0" borderId="4" xfId="0" applyFont="1" applyBorder="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4C5CA-F61F-435F-A7AA-6196AE5A17DC}">
  <dimension ref="A1:E21"/>
  <sheetViews>
    <sheetView tabSelected="1" workbookViewId="0">
      <selection sqref="A1:E1"/>
    </sheetView>
  </sheetViews>
  <sheetFormatPr defaultRowHeight="14.5"/>
  <cols>
    <col min="1" max="1" width="22.58203125" style="1" customWidth="1"/>
    <col min="2" max="2" width="52.58203125" style="1" customWidth="1"/>
    <col min="3" max="3" width="26.58203125" style="1" customWidth="1"/>
    <col min="4" max="4" width="22.58203125" style="1" customWidth="1"/>
    <col min="5" max="5" width="16.58203125" style="1" customWidth="1"/>
    <col min="6" max="16384" width="8.6640625" style="1"/>
  </cols>
  <sheetData>
    <row r="1" spans="1:5" ht="34" customHeight="1">
      <c r="A1" s="2" t="s">
        <v>0</v>
      </c>
      <c r="B1" s="2"/>
      <c r="C1" s="2"/>
      <c r="D1" s="2"/>
      <c r="E1" s="2"/>
    </row>
    <row r="2" spans="1:5" ht="24" customHeight="1">
      <c r="A2" s="3" t="s">
        <v>1</v>
      </c>
      <c r="B2" s="3"/>
      <c r="C2" s="3"/>
      <c r="D2" s="3"/>
      <c r="E2" s="3"/>
    </row>
    <row r="4" spans="1:5" ht="16">
      <c r="A4" s="4" t="s">
        <v>2</v>
      </c>
      <c r="B4" s="4" t="s">
        <v>3</v>
      </c>
      <c r="D4" s="4" t="s">
        <v>4</v>
      </c>
      <c r="E4" s="4" t="s">
        <v>5</v>
      </c>
    </row>
    <row r="5" spans="1:5" ht="21">
      <c r="A5" s="5" t="s">
        <v>6</v>
      </c>
      <c r="B5" s="5" t="s">
        <v>7</v>
      </c>
      <c r="D5" s="5" t="s">
        <v>17</v>
      </c>
      <c r="E5" s="9">
        <f>COUNTA(화면목록!$A$5:$A$100)</f>
        <v>14</v>
      </c>
    </row>
    <row r="6" spans="1:5" ht="21">
      <c r="A6" s="7" t="s">
        <v>8</v>
      </c>
      <c r="B6" s="8">
        <v>46276</v>
      </c>
      <c r="D6" s="7" t="s">
        <v>18</v>
      </c>
      <c r="E6" s="11">
        <f>COUNTA(화면상세!$A$5:$A$200)</f>
        <v>18</v>
      </c>
    </row>
    <row r="7" spans="1:5" ht="21">
      <c r="A7" s="7" t="s">
        <v>9</v>
      </c>
      <c r="B7" s="7" t="s">
        <v>10</v>
      </c>
      <c r="D7" s="7" t="s">
        <v>19</v>
      </c>
      <c r="E7" s="11">
        <f>COUNTA(업무흐름!$A$5:$A$100)</f>
        <v>19</v>
      </c>
    </row>
    <row r="8" spans="1:5" ht="21">
      <c r="A8" s="7" t="s">
        <v>11</v>
      </c>
      <c r="B8" s="7" t="s">
        <v>12</v>
      </c>
      <c r="D8" s="7" t="s">
        <v>20</v>
      </c>
      <c r="E8" s="11">
        <f>COUNTA(정책_예외!$A$5:$A$100)</f>
        <v>31</v>
      </c>
    </row>
    <row r="9" spans="1:5" ht="21">
      <c r="A9" s="7" t="s">
        <v>13</v>
      </c>
      <c r="B9" s="7" t="s">
        <v>14</v>
      </c>
      <c r="D9" s="6" t="s">
        <v>21</v>
      </c>
      <c r="E9" s="10">
        <f>COUNTIF(정책_예외!$E$5:$E$100,"확인필요")</f>
        <v>2</v>
      </c>
    </row>
    <row r="10" spans="1:5">
      <c r="A10" s="6" t="s">
        <v>15</v>
      </c>
      <c r="B10" s="6" t="s">
        <v>16</v>
      </c>
    </row>
    <row r="13" spans="1:5" ht="24" customHeight="1">
      <c r="A13" s="12" t="s">
        <v>22</v>
      </c>
      <c r="B13" s="12"/>
      <c r="C13" s="12"/>
      <c r="D13" s="12"/>
      <c r="E13" s="12"/>
    </row>
    <row r="15" spans="1:5" ht="29">
      <c r="A15" s="13" t="s">
        <v>23</v>
      </c>
      <c r="B15" s="13" t="s">
        <v>24</v>
      </c>
      <c r="C15" s="13" t="s">
        <v>25</v>
      </c>
      <c r="D15" s="13"/>
      <c r="E15" s="13"/>
    </row>
    <row r="16" spans="1:5" ht="43.5">
      <c r="A16" s="15" t="s">
        <v>26</v>
      </c>
      <c r="B16" s="15" t="s">
        <v>27</v>
      </c>
      <c r="C16" s="15" t="s">
        <v>28</v>
      </c>
      <c r="D16" s="15"/>
      <c r="E16" s="15"/>
    </row>
    <row r="17" spans="1:5" ht="58">
      <c r="A17" s="15" t="s">
        <v>29</v>
      </c>
      <c r="B17" s="15" t="s">
        <v>30</v>
      </c>
      <c r="C17" s="15" t="s">
        <v>31</v>
      </c>
      <c r="D17" s="15"/>
      <c r="E17" s="15"/>
    </row>
    <row r="18" spans="1:5" ht="101.5">
      <c r="A18" s="15" t="s">
        <v>32</v>
      </c>
      <c r="B18" s="15" t="s">
        <v>33</v>
      </c>
      <c r="C18" s="15" t="s">
        <v>34</v>
      </c>
      <c r="D18" s="15"/>
      <c r="E18" s="15"/>
    </row>
    <row r="19" spans="1:5" ht="58">
      <c r="A19" s="14" t="s">
        <v>35</v>
      </c>
      <c r="B19" s="14" t="s">
        <v>36</v>
      </c>
      <c r="C19" s="14" t="s">
        <v>37</v>
      </c>
      <c r="D19" s="14"/>
      <c r="E19" s="14"/>
    </row>
    <row r="21" spans="1:5">
      <c r="A21" s="16" t="s">
        <v>38</v>
      </c>
      <c r="B21" s="16" t="s">
        <v>39</v>
      </c>
      <c r="C21" s="16" t="s">
        <v>40</v>
      </c>
      <c r="D21" s="16" t="s">
        <v>41</v>
      </c>
      <c r="E21" s="16" t="s">
        <v>42</v>
      </c>
    </row>
  </sheetData>
  <mergeCells count="3">
    <mergeCell ref="A1:E1"/>
    <mergeCell ref="A2:E2"/>
    <mergeCell ref="A13:E13"/>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0FAE1-1EB0-4280-8CF3-579D0EDA081F}">
  <dimension ref="A1:K18"/>
  <sheetViews>
    <sheetView workbookViewId="0">
      <pane ySplit="4" topLeftCell="A5" activePane="bottomLeft" state="frozen"/>
      <selection pane="bottomLeft" activeCell="A5" sqref="A5"/>
    </sheetView>
  </sheetViews>
  <sheetFormatPr defaultRowHeight="14.5"/>
  <cols>
    <col min="1" max="1" width="14.58203125" style="1" customWidth="1"/>
    <col min="2" max="2" width="8.58203125" style="1" customWidth="1"/>
    <col min="3" max="3" width="22.58203125" style="1" customWidth="1"/>
    <col min="4" max="4" width="10.58203125" style="1" customWidth="1"/>
    <col min="5" max="6" width="26.58203125" style="1" customWidth="1"/>
    <col min="7" max="7" width="32.58203125" style="1" customWidth="1"/>
    <col min="8" max="8" width="20.58203125" style="1" customWidth="1"/>
    <col min="9" max="10" width="12.58203125" style="1" customWidth="1"/>
    <col min="11" max="11" width="32.58203125" style="1" customWidth="1"/>
    <col min="12" max="16384" width="8.6640625" style="1"/>
  </cols>
  <sheetData>
    <row r="1" spans="1:11" ht="34" customHeight="1">
      <c r="A1" s="2" t="s">
        <v>43</v>
      </c>
      <c r="B1" s="2"/>
      <c r="C1" s="2"/>
      <c r="D1" s="2"/>
      <c r="E1" s="2"/>
      <c r="F1" s="2"/>
      <c r="G1" s="2"/>
      <c r="H1" s="2"/>
      <c r="I1" s="2"/>
      <c r="J1" s="2"/>
      <c r="K1" s="2"/>
    </row>
    <row r="2" spans="1:11" ht="24" customHeight="1">
      <c r="A2" s="3" t="s">
        <v>44</v>
      </c>
      <c r="B2" s="3"/>
      <c r="C2" s="3"/>
      <c r="D2" s="3"/>
      <c r="E2" s="3"/>
      <c r="F2" s="3"/>
      <c r="G2" s="3"/>
      <c r="H2" s="3"/>
      <c r="I2" s="3"/>
      <c r="J2" s="3"/>
      <c r="K2" s="3"/>
    </row>
    <row r="4" spans="1:11" ht="30" customHeight="1">
      <c r="A4" s="17" t="s">
        <v>45</v>
      </c>
      <c r="B4" s="17" t="s">
        <v>46</v>
      </c>
      <c r="C4" s="17" t="s">
        <v>47</v>
      </c>
      <c r="D4" s="17" t="s">
        <v>48</v>
      </c>
      <c r="E4" s="17" t="s">
        <v>49</v>
      </c>
      <c r="F4" s="17" t="s">
        <v>50</v>
      </c>
      <c r="G4" s="17" t="s">
        <v>51</v>
      </c>
      <c r="H4" s="17" t="s">
        <v>52</v>
      </c>
      <c r="I4" s="17" t="s">
        <v>53</v>
      </c>
      <c r="J4" s="17" t="s">
        <v>54</v>
      </c>
      <c r="K4" s="17" t="s">
        <v>55</v>
      </c>
    </row>
    <row r="5" spans="1:11" ht="43.5">
      <c r="A5" s="18" t="s">
        <v>56</v>
      </c>
      <c r="B5" s="18" t="s">
        <v>57</v>
      </c>
      <c r="C5" s="18" t="s">
        <v>58</v>
      </c>
      <c r="D5" s="18" t="s">
        <v>59</v>
      </c>
      <c r="E5" s="18" t="s">
        <v>60</v>
      </c>
      <c r="F5" s="18" t="s">
        <v>61</v>
      </c>
      <c r="G5" s="18" t="s">
        <v>62</v>
      </c>
      <c r="H5" s="18" t="s">
        <v>63</v>
      </c>
      <c r="I5" s="18" t="s">
        <v>64</v>
      </c>
      <c r="J5" s="18" t="s">
        <v>65</v>
      </c>
      <c r="K5" s="18" t="s">
        <v>66</v>
      </c>
    </row>
    <row r="6" spans="1:11" ht="58">
      <c r="A6" s="20" t="s">
        <v>67</v>
      </c>
      <c r="B6" s="20" t="s">
        <v>57</v>
      </c>
      <c r="C6" s="20" t="s">
        <v>68</v>
      </c>
      <c r="D6" s="20" t="s">
        <v>23</v>
      </c>
      <c r="E6" s="20" t="s">
        <v>69</v>
      </c>
      <c r="F6" s="20" t="s">
        <v>70</v>
      </c>
      <c r="G6" s="20" t="s">
        <v>71</v>
      </c>
      <c r="H6" s="20" t="s">
        <v>72</v>
      </c>
      <c r="I6" s="20" t="s">
        <v>73</v>
      </c>
      <c r="J6" s="20" t="s">
        <v>74</v>
      </c>
      <c r="K6" s="20" t="s">
        <v>75</v>
      </c>
    </row>
    <row r="7" spans="1:11" ht="43.5">
      <c r="A7" s="22" t="s">
        <v>76</v>
      </c>
      <c r="B7" s="22" t="s">
        <v>57</v>
      </c>
      <c r="C7" s="22" t="s">
        <v>77</v>
      </c>
      <c r="D7" s="22" t="s">
        <v>23</v>
      </c>
      <c r="E7" s="22" t="s">
        <v>69</v>
      </c>
      <c r="F7" s="22" t="s">
        <v>78</v>
      </c>
      <c r="G7" s="22" t="s">
        <v>79</v>
      </c>
      <c r="H7" s="22" t="s">
        <v>31</v>
      </c>
      <c r="I7" s="22" t="s">
        <v>80</v>
      </c>
      <c r="J7" s="22" t="s">
        <v>81</v>
      </c>
      <c r="K7" s="22" t="s">
        <v>82</v>
      </c>
    </row>
    <row r="8" spans="1:11" ht="43.5">
      <c r="A8" s="20" t="s">
        <v>83</v>
      </c>
      <c r="B8" s="20" t="s">
        <v>57</v>
      </c>
      <c r="C8" s="20" t="s">
        <v>84</v>
      </c>
      <c r="D8" s="20" t="s">
        <v>32</v>
      </c>
      <c r="E8" s="20" t="s">
        <v>85</v>
      </c>
      <c r="F8" s="20" t="s">
        <v>86</v>
      </c>
      <c r="G8" s="20" t="s">
        <v>87</v>
      </c>
      <c r="H8" s="20" t="s">
        <v>88</v>
      </c>
      <c r="I8" s="20" t="s">
        <v>89</v>
      </c>
      <c r="J8" s="20" t="s">
        <v>81</v>
      </c>
      <c r="K8" s="20" t="s">
        <v>90</v>
      </c>
    </row>
    <row r="9" spans="1:11" ht="29">
      <c r="A9" s="22" t="s">
        <v>91</v>
      </c>
      <c r="B9" s="22" t="s">
        <v>57</v>
      </c>
      <c r="C9" s="22" t="s">
        <v>92</v>
      </c>
      <c r="D9" s="22" t="s">
        <v>32</v>
      </c>
      <c r="E9" s="22" t="s">
        <v>93</v>
      </c>
      <c r="F9" s="22" t="s">
        <v>94</v>
      </c>
      <c r="G9" s="22" t="s">
        <v>95</v>
      </c>
      <c r="H9" s="22" t="s">
        <v>96</v>
      </c>
      <c r="I9" s="22" t="s">
        <v>89</v>
      </c>
      <c r="J9" s="22" t="s">
        <v>81</v>
      </c>
      <c r="K9" s="22" t="s">
        <v>97</v>
      </c>
    </row>
    <row r="10" spans="1:11" ht="58">
      <c r="A10" s="20" t="s">
        <v>98</v>
      </c>
      <c r="B10" s="20" t="s">
        <v>57</v>
      </c>
      <c r="C10" s="20" t="s">
        <v>99</v>
      </c>
      <c r="D10" s="20" t="s">
        <v>32</v>
      </c>
      <c r="E10" s="20" t="s">
        <v>100</v>
      </c>
      <c r="F10" s="20" t="s">
        <v>101</v>
      </c>
      <c r="G10" s="20" t="s">
        <v>102</v>
      </c>
      <c r="H10" s="20" t="s">
        <v>96</v>
      </c>
      <c r="I10" s="20" t="s">
        <v>89</v>
      </c>
      <c r="J10" s="20" t="s">
        <v>81</v>
      </c>
      <c r="K10" s="20" t="s">
        <v>103</v>
      </c>
    </row>
    <row r="11" spans="1:11" ht="72.5">
      <c r="A11" s="22" t="s">
        <v>104</v>
      </c>
      <c r="B11" s="22" t="s">
        <v>57</v>
      </c>
      <c r="C11" s="22" t="s">
        <v>105</v>
      </c>
      <c r="D11" s="22" t="s">
        <v>32</v>
      </c>
      <c r="E11" s="22" t="s">
        <v>106</v>
      </c>
      <c r="F11" s="22" t="s">
        <v>107</v>
      </c>
      <c r="G11" s="22" t="s">
        <v>108</v>
      </c>
      <c r="H11" s="22" t="s">
        <v>89</v>
      </c>
      <c r="I11" s="22" t="s">
        <v>89</v>
      </c>
      <c r="J11" s="22" t="s">
        <v>81</v>
      </c>
      <c r="K11" s="22" t="s">
        <v>109</v>
      </c>
    </row>
    <row r="12" spans="1:11" ht="72.5">
      <c r="A12" s="20" t="s">
        <v>110</v>
      </c>
      <c r="B12" s="20" t="s">
        <v>57</v>
      </c>
      <c r="C12" s="20" t="s">
        <v>111</v>
      </c>
      <c r="D12" s="20" t="s">
        <v>32</v>
      </c>
      <c r="E12" s="20" t="s">
        <v>112</v>
      </c>
      <c r="F12" s="20" t="s">
        <v>113</v>
      </c>
      <c r="G12" s="20" t="s">
        <v>114</v>
      </c>
      <c r="H12" s="20" t="s">
        <v>89</v>
      </c>
      <c r="I12" s="20" t="s">
        <v>89</v>
      </c>
      <c r="J12" s="20" t="s">
        <v>81</v>
      </c>
      <c r="K12" s="20" t="s">
        <v>115</v>
      </c>
    </row>
    <row r="13" spans="1:11" ht="43.5">
      <c r="A13" s="22" t="s">
        <v>116</v>
      </c>
      <c r="B13" s="22" t="s">
        <v>57</v>
      </c>
      <c r="C13" s="22" t="s">
        <v>117</v>
      </c>
      <c r="D13" s="22" t="s">
        <v>32</v>
      </c>
      <c r="E13" s="22" t="s">
        <v>118</v>
      </c>
      <c r="F13" s="22" t="s">
        <v>119</v>
      </c>
      <c r="G13" s="22" t="s">
        <v>89</v>
      </c>
      <c r="H13" s="22" t="s">
        <v>89</v>
      </c>
      <c r="I13" s="22" t="s">
        <v>89</v>
      </c>
      <c r="J13" s="22" t="s">
        <v>81</v>
      </c>
      <c r="K13" s="22" t="s">
        <v>120</v>
      </c>
    </row>
    <row r="14" spans="1:11" ht="43.5">
      <c r="A14" s="20" t="s">
        <v>121</v>
      </c>
      <c r="B14" s="20" t="s">
        <v>57</v>
      </c>
      <c r="C14" s="20" t="s">
        <v>122</v>
      </c>
      <c r="D14" s="20" t="s">
        <v>32</v>
      </c>
      <c r="E14" s="20" t="s">
        <v>123</v>
      </c>
      <c r="F14" s="20" t="s">
        <v>124</v>
      </c>
      <c r="G14" s="20" t="s">
        <v>125</v>
      </c>
      <c r="H14" s="20" t="s">
        <v>89</v>
      </c>
      <c r="I14" s="20" t="s">
        <v>89</v>
      </c>
      <c r="J14" s="20" t="s">
        <v>81</v>
      </c>
      <c r="K14" s="20" t="s">
        <v>126</v>
      </c>
    </row>
    <row r="15" spans="1:11" ht="43.5">
      <c r="A15" s="22" t="s">
        <v>127</v>
      </c>
      <c r="B15" s="22" t="s">
        <v>57</v>
      </c>
      <c r="C15" s="22" t="s">
        <v>128</v>
      </c>
      <c r="D15" s="22" t="s">
        <v>32</v>
      </c>
      <c r="E15" s="22" t="s">
        <v>129</v>
      </c>
      <c r="F15" s="22" t="s">
        <v>130</v>
      </c>
      <c r="G15" s="22" t="s">
        <v>125</v>
      </c>
      <c r="H15" s="22" t="s">
        <v>89</v>
      </c>
      <c r="I15" s="22" t="s">
        <v>89</v>
      </c>
      <c r="J15" s="22" t="s">
        <v>81</v>
      </c>
      <c r="K15" s="22" t="s">
        <v>131</v>
      </c>
    </row>
    <row r="16" spans="1:11" ht="58">
      <c r="A16" s="20" t="s">
        <v>132</v>
      </c>
      <c r="B16" s="20" t="s">
        <v>57</v>
      </c>
      <c r="C16" s="20" t="s">
        <v>133</v>
      </c>
      <c r="D16" s="20" t="s">
        <v>32</v>
      </c>
      <c r="E16" s="20" t="s">
        <v>134</v>
      </c>
      <c r="F16" s="20" t="s">
        <v>135</v>
      </c>
      <c r="G16" s="20" t="s">
        <v>136</v>
      </c>
      <c r="H16" s="20" t="s">
        <v>89</v>
      </c>
      <c r="I16" s="20" t="s">
        <v>89</v>
      </c>
      <c r="J16" s="20" t="s">
        <v>81</v>
      </c>
      <c r="K16" s="20" t="s">
        <v>137</v>
      </c>
    </row>
    <row r="17" spans="1:11" ht="43.5">
      <c r="A17" s="22" t="s">
        <v>138</v>
      </c>
      <c r="B17" s="22" t="s">
        <v>57</v>
      </c>
      <c r="C17" s="22" t="s">
        <v>139</v>
      </c>
      <c r="D17" s="22" t="s">
        <v>32</v>
      </c>
      <c r="E17" s="22" t="s">
        <v>140</v>
      </c>
      <c r="F17" s="22" t="s">
        <v>141</v>
      </c>
      <c r="G17" s="22" t="s">
        <v>102</v>
      </c>
      <c r="H17" s="22" t="s">
        <v>96</v>
      </c>
      <c r="I17" s="22" t="s">
        <v>89</v>
      </c>
      <c r="J17" s="22" t="s">
        <v>81</v>
      </c>
      <c r="K17" s="22" t="s">
        <v>142</v>
      </c>
    </row>
    <row r="18" spans="1:11" ht="58">
      <c r="A18" s="19" t="s">
        <v>143</v>
      </c>
      <c r="B18" s="19" t="s">
        <v>57</v>
      </c>
      <c r="C18" s="19" t="s">
        <v>144</v>
      </c>
      <c r="D18" s="19" t="s">
        <v>145</v>
      </c>
      <c r="E18" s="19" t="s">
        <v>146</v>
      </c>
      <c r="F18" s="19" t="s">
        <v>147</v>
      </c>
      <c r="G18" s="19" t="s">
        <v>148</v>
      </c>
      <c r="H18" s="19" t="s">
        <v>149</v>
      </c>
      <c r="I18" s="19" t="s">
        <v>89</v>
      </c>
      <c r="J18" s="19" t="s">
        <v>81</v>
      </c>
      <c r="K18" s="19" t="s">
        <v>150</v>
      </c>
    </row>
  </sheetData>
  <autoFilter ref="A4:K4" xr:uid="{8E30FAE1-1EB0-4280-8CF3-579D0EDA081F}"/>
  <mergeCells count="2">
    <mergeCell ref="A1:K1"/>
    <mergeCell ref="A2:K2"/>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F5F1E-88E5-40F2-9461-B818ECBFA9C6}">
  <dimension ref="A1:K22"/>
  <sheetViews>
    <sheetView workbookViewId="0">
      <pane ySplit="4" topLeftCell="A5" activePane="bottomLeft" state="frozen"/>
      <selection pane="bottomLeft" activeCell="A5" sqref="A5"/>
    </sheetView>
  </sheetViews>
  <sheetFormatPr defaultRowHeight="14.5"/>
  <cols>
    <col min="1" max="1" width="13.58203125" style="1" customWidth="1"/>
    <col min="2" max="2" width="14.58203125" style="1" customWidth="1"/>
    <col min="3" max="3" width="5.58203125" style="1" customWidth="1"/>
    <col min="4" max="4" width="16.58203125" style="1" customWidth="1"/>
    <col min="5" max="5" width="12.58203125" style="1" customWidth="1"/>
    <col min="6" max="6" width="34.58203125" style="1" customWidth="1"/>
    <col min="7" max="7" width="12.58203125" style="1" customWidth="1"/>
    <col min="8" max="8" width="34.58203125" style="1" customWidth="1"/>
    <col min="9" max="9" width="18.58203125" style="1" customWidth="1"/>
    <col min="10" max="10" width="32.58203125" style="1" customWidth="1"/>
    <col min="11" max="11" width="14.58203125" style="1" customWidth="1"/>
    <col min="12" max="16384" width="8.6640625" style="1"/>
  </cols>
  <sheetData>
    <row r="1" spans="1:11" ht="34" customHeight="1">
      <c r="A1" s="2" t="s">
        <v>151</v>
      </c>
      <c r="B1" s="2"/>
      <c r="C1" s="2"/>
      <c r="D1" s="2"/>
      <c r="E1" s="2"/>
      <c r="F1" s="2"/>
      <c r="G1" s="2"/>
      <c r="H1" s="2"/>
      <c r="I1" s="2"/>
      <c r="J1" s="2"/>
      <c r="K1" s="2"/>
    </row>
    <row r="2" spans="1:11" ht="24" customHeight="1">
      <c r="A2" s="3" t="s">
        <v>152</v>
      </c>
      <c r="B2" s="3"/>
      <c r="C2" s="3"/>
      <c r="D2" s="3"/>
      <c r="E2" s="3"/>
      <c r="F2" s="3"/>
      <c r="G2" s="3"/>
      <c r="H2" s="3"/>
      <c r="I2" s="3"/>
      <c r="J2" s="3"/>
      <c r="K2" s="3"/>
    </row>
    <row r="4" spans="1:11" ht="30" customHeight="1">
      <c r="A4" s="17" t="s">
        <v>45</v>
      </c>
      <c r="B4" s="17" t="s">
        <v>153</v>
      </c>
      <c r="C4" s="17" t="s">
        <v>154</v>
      </c>
      <c r="D4" s="17" t="s">
        <v>155</v>
      </c>
      <c r="E4" s="17" t="s">
        <v>156</v>
      </c>
      <c r="F4" s="17" t="s">
        <v>157</v>
      </c>
      <c r="G4" s="17" t="s">
        <v>29</v>
      </c>
      <c r="H4" s="17" t="s">
        <v>158</v>
      </c>
      <c r="I4" s="17" t="s">
        <v>159</v>
      </c>
      <c r="J4" s="17" t="s">
        <v>160</v>
      </c>
      <c r="K4" s="17" t="s">
        <v>161</v>
      </c>
    </row>
    <row r="5" spans="1:11" ht="58">
      <c r="A5" s="18" t="s">
        <v>56</v>
      </c>
      <c r="B5" s="18" t="s">
        <v>162</v>
      </c>
      <c r="C5" s="18">
        <v>1</v>
      </c>
      <c r="D5" s="18" t="s">
        <v>163</v>
      </c>
      <c r="E5" s="18" t="s">
        <v>164</v>
      </c>
      <c r="F5" s="18" t="s">
        <v>165</v>
      </c>
      <c r="G5" s="18" t="s">
        <v>166</v>
      </c>
      <c r="H5" s="18" t="s">
        <v>167</v>
      </c>
      <c r="I5" s="18" t="s">
        <v>168</v>
      </c>
      <c r="J5" s="18" t="s">
        <v>169</v>
      </c>
      <c r="K5" s="18" t="s">
        <v>170</v>
      </c>
    </row>
    <row r="6" spans="1:11" ht="43.5">
      <c r="A6" s="20" t="s">
        <v>56</v>
      </c>
      <c r="B6" s="20" t="s">
        <v>162</v>
      </c>
      <c r="C6" s="20">
        <v>2</v>
      </c>
      <c r="D6" s="20" t="s">
        <v>171</v>
      </c>
      <c r="E6" s="20" t="s">
        <v>164</v>
      </c>
      <c r="F6" s="20" t="s">
        <v>172</v>
      </c>
      <c r="G6" s="20" t="s">
        <v>173</v>
      </c>
      <c r="H6" s="20" t="s">
        <v>174</v>
      </c>
      <c r="I6" s="20" t="s">
        <v>168</v>
      </c>
      <c r="J6" s="20" t="s">
        <v>89</v>
      </c>
      <c r="K6" s="20" t="s">
        <v>175</v>
      </c>
    </row>
    <row r="7" spans="1:11">
      <c r="A7" s="22" t="s">
        <v>67</v>
      </c>
      <c r="B7" s="22" t="s">
        <v>24</v>
      </c>
      <c r="C7" s="22">
        <v>3</v>
      </c>
      <c r="D7" s="22" t="s">
        <v>176</v>
      </c>
      <c r="E7" s="22" t="s">
        <v>177</v>
      </c>
      <c r="F7" s="22" t="s">
        <v>24</v>
      </c>
      <c r="G7" s="22" t="s">
        <v>89</v>
      </c>
      <c r="H7" s="22" t="s">
        <v>89</v>
      </c>
      <c r="I7" s="22" t="s">
        <v>168</v>
      </c>
      <c r="J7" s="22" t="s">
        <v>89</v>
      </c>
      <c r="K7" s="22" t="s">
        <v>178</v>
      </c>
    </row>
    <row r="8" spans="1:11" ht="58">
      <c r="A8" s="20" t="s">
        <v>67</v>
      </c>
      <c r="B8" s="20" t="s">
        <v>24</v>
      </c>
      <c r="C8" s="20">
        <v>4</v>
      </c>
      <c r="D8" s="20" t="s">
        <v>179</v>
      </c>
      <c r="E8" s="20" t="s">
        <v>177</v>
      </c>
      <c r="F8" s="20" t="s">
        <v>180</v>
      </c>
      <c r="G8" s="20" t="s">
        <v>89</v>
      </c>
      <c r="H8" s="20" t="s">
        <v>181</v>
      </c>
      <c r="I8" s="20" t="s">
        <v>168</v>
      </c>
      <c r="J8" s="20" t="s">
        <v>182</v>
      </c>
      <c r="K8" s="20" t="s">
        <v>178</v>
      </c>
    </row>
    <row r="9" spans="1:11" ht="58">
      <c r="A9" s="22" t="s">
        <v>67</v>
      </c>
      <c r="B9" s="22" t="s">
        <v>24</v>
      </c>
      <c r="C9" s="22">
        <v>5</v>
      </c>
      <c r="D9" s="22" t="s">
        <v>183</v>
      </c>
      <c r="E9" s="22" t="s">
        <v>184</v>
      </c>
      <c r="F9" s="22" t="s">
        <v>185</v>
      </c>
      <c r="G9" s="22" t="s">
        <v>186</v>
      </c>
      <c r="H9" s="22" t="s">
        <v>187</v>
      </c>
      <c r="I9" s="22" t="s">
        <v>188</v>
      </c>
      <c r="J9" s="22" t="s">
        <v>189</v>
      </c>
      <c r="K9" s="22" t="s">
        <v>190</v>
      </c>
    </row>
    <row r="10" spans="1:11" ht="29">
      <c r="A10" s="20" t="s">
        <v>67</v>
      </c>
      <c r="B10" s="20" t="s">
        <v>24</v>
      </c>
      <c r="C10" s="20">
        <v>6</v>
      </c>
      <c r="D10" s="20" t="s">
        <v>191</v>
      </c>
      <c r="E10" s="20" t="s">
        <v>177</v>
      </c>
      <c r="F10" s="20" t="s">
        <v>192</v>
      </c>
      <c r="G10" s="20" t="s">
        <v>89</v>
      </c>
      <c r="H10" s="20" t="s">
        <v>89</v>
      </c>
      <c r="I10" s="20" t="s">
        <v>168</v>
      </c>
      <c r="J10" s="20" t="s">
        <v>193</v>
      </c>
      <c r="K10" s="20" t="s">
        <v>194</v>
      </c>
    </row>
    <row r="11" spans="1:11" ht="43.5">
      <c r="A11" s="22" t="s">
        <v>67</v>
      </c>
      <c r="B11" s="22" t="s">
        <v>24</v>
      </c>
      <c r="C11" s="22">
        <v>7</v>
      </c>
      <c r="D11" s="22" t="s">
        <v>195</v>
      </c>
      <c r="E11" s="22" t="s">
        <v>177</v>
      </c>
      <c r="F11" s="22" t="s">
        <v>196</v>
      </c>
      <c r="G11" s="22" t="s">
        <v>89</v>
      </c>
      <c r="H11" s="22" t="s">
        <v>197</v>
      </c>
      <c r="I11" s="22" t="s">
        <v>168</v>
      </c>
      <c r="J11" s="22" t="s">
        <v>198</v>
      </c>
      <c r="K11" s="22" t="s">
        <v>199</v>
      </c>
    </row>
    <row r="12" spans="1:11" ht="58">
      <c r="A12" s="20" t="s">
        <v>67</v>
      </c>
      <c r="B12" s="20" t="s">
        <v>24</v>
      </c>
      <c r="C12" s="20">
        <v>8</v>
      </c>
      <c r="D12" s="20" t="s">
        <v>200</v>
      </c>
      <c r="E12" s="20" t="s">
        <v>201</v>
      </c>
      <c r="F12" s="20" t="s">
        <v>202</v>
      </c>
      <c r="G12" s="20" t="s">
        <v>203</v>
      </c>
      <c r="H12" s="20" t="s">
        <v>204</v>
      </c>
      <c r="I12" s="20" t="s">
        <v>205</v>
      </c>
      <c r="J12" s="20" t="s">
        <v>206</v>
      </c>
      <c r="K12" s="20" t="s">
        <v>190</v>
      </c>
    </row>
    <row r="13" spans="1:11" ht="43.5">
      <c r="A13" s="22" t="s">
        <v>67</v>
      </c>
      <c r="B13" s="22" t="s">
        <v>24</v>
      </c>
      <c r="C13" s="22">
        <v>9</v>
      </c>
      <c r="D13" s="22" t="s">
        <v>207</v>
      </c>
      <c r="E13" s="22" t="s">
        <v>208</v>
      </c>
      <c r="F13" s="22" t="s">
        <v>209</v>
      </c>
      <c r="G13" s="22" t="s">
        <v>210</v>
      </c>
      <c r="H13" s="22" t="s">
        <v>89</v>
      </c>
      <c r="I13" s="22" t="s">
        <v>211</v>
      </c>
      <c r="J13" s="22" t="s">
        <v>212</v>
      </c>
      <c r="K13" s="22" t="s">
        <v>213</v>
      </c>
    </row>
    <row r="14" spans="1:11" ht="43.5">
      <c r="A14" s="20" t="s">
        <v>76</v>
      </c>
      <c r="B14" s="20" t="s">
        <v>25</v>
      </c>
      <c r="C14" s="20">
        <v>10</v>
      </c>
      <c r="D14" s="20" t="s">
        <v>176</v>
      </c>
      <c r="E14" s="20" t="s">
        <v>177</v>
      </c>
      <c r="F14" s="20" t="s">
        <v>25</v>
      </c>
      <c r="G14" s="20" t="s">
        <v>89</v>
      </c>
      <c r="H14" s="20" t="s">
        <v>89</v>
      </c>
      <c r="I14" s="20" t="s">
        <v>168</v>
      </c>
      <c r="J14" s="20" t="s">
        <v>214</v>
      </c>
      <c r="K14" s="20" t="s">
        <v>215</v>
      </c>
    </row>
    <row r="15" spans="1:11" ht="43.5">
      <c r="A15" s="22" t="s">
        <v>76</v>
      </c>
      <c r="B15" s="22" t="s">
        <v>25</v>
      </c>
      <c r="C15" s="22">
        <v>11</v>
      </c>
      <c r="D15" s="22" t="s">
        <v>216</v>
      </c>
      <c r="E15" s="22" t="s">
        <v>217</v>
      </c>
      <c r="F15" s="22" t="s">
        <v>218</v>
      </c>
      <c r="G15" s="22" t="s">
        <v>89</v>
      </c>
      <c r="H15" s="22" t="s">
        <v>89</v>
      </c>
      <c r="I15" s="22" t="s">
        <v>188</v>
      </c>
      <c r="J15" s="22" t="s">
        <v>219</v>
      </c>
      <c r="K15" s="22" t="s">
        <v>215</v>
      </c>
    </row>
    <row r="16" spans="1:11" ht="43.5">
      <c r="A16" s="20" t="s">
        <v>76</v>
      </c>
      <c r="B16" s="20" t="s">
        <v>25</v>
      </c>
      <c r="C16" s="20">
        <v>12</v>
      </c>
      <c r="D16" s="20" t="s">
        <v>220</v>
      </c>
      <c r="E16" s="20" t="s">
        <v>177</v>
      </c>
      <c r="F16" s="20" t="s">
        <v>221</v>
      </c>
      <c r="G16" s="20" t="s">
        <v>89</v>
      </c>
      <c r="H16" s="20" t="s">
        <v>222</v>
      </c>
      <c r="I16" s="20" t="s">
        <v>168</v>
      </c>
      <c r="J16" s="20" t="s">
        <v>223</v>
      </c>
      <c r="K16" s="20" t="s">
        <v>224</v>
      </c>
    </row>
    <row r="17" spans="1:11" ht="101.5">
      <c r="A17" s="22" t="s">
        <v>76</v>
      </c>
      <c r="B17" s="22" t="s">
        <v>25</v>
      </c>
      <c r="C17" s="22">
        <v>13</v>
      </c>
      <c r="D17" s="22" t="s">
        <v>225</v>
      </c>
      <c r="E17" s="22" t="s">
        <v>177</v>
      </c>
      <c r="F17" s="22" t="s">
        <v>226</v>
      </c>
      <c r="G17" s="22" t="s">
        <v>89</v>
      </c>
      <c r="H17" s="22" t="s">
        <v>89</v>
      </c>
      <c r="I17" s="22" t="s">
        <v>227</v>
      </c>
      <c r="J17" s="22" t="s">
        <v>228</v>
      </c>
      <c r="K17" s="22" t="s">
        <v>229</v>
      </c>
    </row>
    <row r="18" spans="1:11" ht="43.5">
      <c r="A18" s="20" t="s">
        <v>76</v>
      </c>
      <c r="B18" s="20" t="s">
        <v>25</v>
      </c>
      <c r="C18" s="20">
        <v>14</v>
      </c>
      <c r="D18" s="20" t="s">
        <v>230</v>
      </c>
      <c r="E18" s="20" t="s">
        <v>208</v>
      </c>
      <c r="F18" s="20" t="s">
        <v>231</v>
      </c>
      <c r="G18" s="20" t="s">
        <v>89</v>
      </c>
      <c r="H18" s="20" t="s">
        <v>232</v>
      </c>
      <c r="I18" s="20" t="s">
        <v>233</v>
      </c>
      <c r="J18" s="20" t="s">
        <v>234</v>
      </c>
      <c r="K18" s="20" t="s">
        <v>235</v>
      </c>
    </row>
    <row r="19" spans="1:11" ht="43.5">
      <c r="A19" s="22" t="s">
        <v>76</v>
      </c>
      <c r="B19" s="22" t="s">
        <v>25</v>
      </c>
      <c r="C19" s="22">
        <v>15</v>
      </c>
      <c r="D19" s="22" t="s">
        <v>236</v>
      </c>
      <c r="E19" s="22" t="s">
        <v>177</v>
      </c>
      <c r="F19" s="22" t="s">
        <v>237</v>
      </c>
      <c r="G19" s="22" t="s">
        <v>89</v>
      </c>
      <c r="H19" s="22" t="s">
        <v>89</v>
      </c>
      <c r="I19" s="22" t="s">
        <v>168</v>
      </c>
      <c r="J19" s="22" t="s">
        <v>238</v>
      </c>
      <c r="K19" s="22" t="s">
        <v>239</v>
      </c>
    </row>
    <row r="20" spans="1:11" ht="43.5">
      <c r="A20" s="20" t="s">
        <v>76</v>
      </c>
      <c r="B20" s="20" t="s">
        <v>25</v>
      </c>
      <c r="C20" s="20">
        <v>16</v>
      </c>
      <c r="D20" s="20" t="s">
        <v>240</v>
      </c>
      <c r="E20" s="20" t="s">
        <v>241</v>
      </c>
      <c r="F20" s="20" t="s">
        <v>242</v>
      </c>
      <c r="G20" s="20" t="s">
        <v>89</v>
      </c>
      <c r="H20" s="20" t="s">
        <v>243</v>
      </c>
      <c r="I20" s="20" t="s">
        <v>168</v>
      </c>
      <c r="J20" s="20" t="s">
        <v>244</v>
      </c>
      <c r="K20" s="20" t="s">
        <v>245</v>
      </c>
    </row>
    <row r="21" spans="1:11" ht="58">
      <c r="A21" s="22" t="s">
        <v>143</v>
      </c>
      <c r="B21" s="22" t="s">
        <v>246</v>
      </c>
      <c r="C21" s="22">
        <v>17</v>
      </c>
      <c r="D21" s="22" t="s">
        <v>247</v>
      </c>
      <c r="E21" s="22" t="s">
        <v>177</v>
      </c>
      <c r="F21" s="22" t="s">
        <v>248</v>
      </c>
      <c r="G21" s="22" t="s">
        <v>89</v>
      </c>
      <c r="H21" s="22" t="s">
        <v>249</v>
      </c>
      <c r="I21" s="22" t="s">
        <v>250</v>
      </c>
      <c r="J21" s="22" t="s">
        <v>251</v>
      </c>
      <c r="K21" s="22" t="s">
        <v>252</v>
      </c>
    </row>
    <row r="22" spans="1:11" ht="58">
      <c r="A22" s="19" t="s">
        <v>143</v>
      </c>
      <c r="B22" s="19" t="s">
        <v>246</v>
      </c>
      <c r="C22" s="19">
        <v>18</v>
      </c>
      <c r="D22" s="19" t="s">
        <v>253</v>
      </c>
      <c r="E22" s="19" t="s">
        <v>201</v>
      </c>
      <c r="F22" s="19" t="s">
        <v>254</v>
      </c>
      <c r="G22" s="19" t="s">
        <v>186</v>
      </c>
      <c r="H22" s="19" t="s">
        <v>255</v>
      </c>
      <c r="I22" s="19" t="s">
        <v>250</v>
      </c>
      <c r="J22" s="19" t="s">
        <v>256</v>
      </c>
      <c r="K22" s="19" t="s">
        <v>257</v>
      </c>
    </row>
  </sheetData>
  <autoFilter ref="A4:K4" xr:uid="{079F5F1E-88E5-40F2-9461-B818ECBFA9C6}"/>
  <mergeCells count="2">
    <mergeCell ref="A1:K1"/>
    <mergeCell ref="A2:K2"/>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061E5-79D9-4A53-A065-0B21E34F5D1F}">
  <dimension ref="A1:H23"/>
  <sheetViews>
    <sheetView workbookViewId="0">
      <pane ySplit="4" topLeftCell="A5" activePane="bottomLeft" state="frozen"/>
      <selection pane="bottomLeft" activeCell="A5" sqref="A5"/>
    </sheetView>
  </sheetViews>
  <sheetFormatPr defaultRowHeight="14.5"/>
  <cols>
    <col min="1" max="1" width="9.58203125" style="1" customWidth="1"/>
    <col min="2" max="2" width="16.58203125" style="1" customWidth="1"/>
    <col min="3" max="3" width="6.58203125" style="1" customWidth="1"/>
    <col min="4" max="4" width="28.58203125" style="1" customWidth="1"/>
    <col min="5" max="5" width="40.58203125" style="1" customWidth="1"/>
    <col min="6" max="6" width="38.58203125" style="1" customWidth="1"/>
    <col min="7" max="8" width="14.58203125" style="1" customWidth="1"/>
    <col min="9" max="16384" width="8.6640625" style="1"/>
  </cols>
  <sheetData>
    <row r="1" spans="1:8" ht="34" customHeight="1">
      <c r="A1" s="2" t="s">
        <v>258</v>
      </c>
      <c r="B1" s="2"/>
      <c r="C1" s="2"/>
      <c r="D1" s="2"/>
      <c r="E1" s="2"/>
      <c r="F1" s="2"/>
      <c r="G1" s="2"/>
      <c r="H1" s="2"/>
    </row>
    <row r="2" spans="1:8" ht="24" customHeight="1">
      <c r="A2" s="3" t="s">
        <v>259</v>
      </c>
      <c r="B2" s="3"/>
      <c r="C2" s="3"/>
      <c r="D2" s="3"/>
      <c r="E2" s="3"/>
      <c r="F2" s="3"/>
      <c r="G2" s="3"/>
      <c r="H2" s="3"/>
    </row>
    <row r="4" spans="1:8" ht="30" customHeight="1">
      <c r="A4" s="17" t="s">
        <v>260</v>
      </c>
      <c r="B4" s="17" t="s">
        <v>261</v>
      </c>
      <c r="C4" s="17" t="s">
        <v>262</v>
      </c>
      <c r="D4" s="17" t="s">
        <v>263</v>
      </c>
      <c r="E4" s="17" t="s">
        <v>264</v>
      </c>
      <c r="F4" s="17" t="s">
        <v>265</v>
      </c>
      <c r="G4" s="17" t="s">
        <v>266</v>
      </c>
      <c r="H4" s="17" t="s">
        <v>267</v>
      </c>
    </row>
    <row r="5" spans="1:8" ht="58">
      <c r="A5" s="18" t="s">
        <v>268</v>
      </c>
      <c r="B5" s="18" t="s">
        <v>269</v>
      </c>
      <c r="C5" s="18">
        <v>1</v>
      </c>
      <c r="D5" s="18" t="s">
        <v>270</v>
      </c>
      <c r="E5" s="18" t="s">
        <v>271</v>
      </c>
      <c r="F5" s="18" t="s">
        <v>272</v>
      </c>
      <c r="G5" s="18" t="s">
        <v>67</v>
      </c>
      <c r="H5" s="18" t="s">
        <v>67</v>
      </c>
    </row>
    <row r="6" spans="1:8" ht="43.5">
      <c r="A6" s="20" t="s">
        <v>268</v>
      </c>
      <c r="B6" s="20" t="s">
        <v>269</v>
      </c>
      <c r="C6" s="20">
        <v>2</v>
      </c>
      <c r="D6" s="20" t="s">
        <v>273</v>
      </c>
      <c r="E6" s="20" t="s">
        <v>274</v>
      </c>
      <c r="F6" s="20" t="s">
        <v>275</v>
      </c>
      <c r="G6" s="20" t="s">
        <v>67</v>
      </c>
      <c r="H6" s="20" t="s">
        <v>67</v>
      </c>
    </row>
    <row r="7" spans="1:8" ht="43.5">
      <c r="A7" s="22" t="s">
        <v>268</v>
      </c>
      <c r="B7" s="22" t="s">
        <v>269</v>
      </c>
      <c r="C7" s="22">
        <v>3</v>
      </c>
      <c r="D7" s="22" t="s">
        <v>276</v>
      </c>
      <c r="E7" s="22" t="s">
        <v>277</v>
      </c>
      <c r="F7" s="22" t="s">
        <v>278</v>
      </c>
      <c r="G7" s="22" t="s">
        <v>67</v>
      </c>
      <c r="H7" s="22" t="s">
        <v>76</v>
      </c>
    </row>
    <row r="8" spans="1:8" ht="29">
      <c r="A8" s="20" t="s">
        <v>268</v>
      </c>
      <c r="B8" s="20" t="s">
        <v>269</v>
      </c>
      <c r="C8" s="20">
        <v>4</v>
      </c>
      <c r="D8" s="20" t="s">
        <v>279</v>
      </c>
      <c r="E8" s="20" t="s">
        <v>280</v>
      </c>
      <c r="F8" s="20" t="s">
        <v>281</v>
      </c>
      <c r="G8" s="20" t="s">
        <v>76</v>
      </c>
      <c r="H8" s="20" t="s">
        <v>76</v>
      </c>
    </row>
    <row r="9" spans="1:8" ht="29">
      <c r="A9" s="22" t="s">
        <v>282</v>
      </c>
      <c r="B9" s="22" t="s">
        <v>283</v>
      </c>
      <c r="C9" s="22">
        <v>1</v>
      </c>
      <c r="D9" s="22" t="s">
        <v>284</v>
      </c>
      <c r="E9" s="22" t="s">
        <v>285</v>
      </c>
      <c r="F9" s="22" t="s">
        <v>286</v>
      </c>
      <c r="G9" s="22" t="s">
        <v>89</v>
      </c>
      <c r="H9" s="22" t="s">
        <v>89</v>
      </c>
    </row>
    <row r="10" spans="1:8" ht="58">
      <c r="A10" s="20" t="s">
        <v>282</v>
      </c>
      <c r="B10" s="20" t="s">
        <v>283</v>
      </c>
      <c r="C10" s="20">
        <v>2</v>
      </c>
      <c r="D10" s="20" t="s">
        <v>287</v>
      </c>
      <c r="E10" s="20" t="s">
        <v>288</v>
      </c>
      <c r="F10" s="20" t="s">
        <v>289</v>
      </c>
      <c r="G10" s="20" t="s">
        <v>89</v>
      </c>
      <c r="H10" s="20" t="s">
        <v>89</v>
      </c>
    </row>
    <row r="11" spans="1:8" ht="43.5">
      <c r="A11" s="22" t="s">
        <v>282</v>
      </c>
      <c r="B11" s="22" t="s">
        <v>283</v>
      </c>
      <c r="C11" s="22">
        <v>3</v>
      </c>
      <c r="D11" s="22" t="s">
        <v>290</v>
      </c>
      <c r="E11" s="22" t="s">
        <v>89</v>
      </c>
      <c r="F11" s="22" t="s">
        <v>291</v>
      </c>
      <c r="G11" s="22" t="s">
        <v>89</v>
      </c>
      <c r="H11" s="22" t="s">
        <v>89</v>
      </c>
    </row>
    <row r="12" spans="1:8" ht="29">
      <c r="A12" s="20" t="s">
        <v>282</v>
      </c>
      <c r="B12" s="20" t="s">
        <v>283</v>
      </c>
      <c r="C12" s="20">
        <v>4</v>
      </c>
      <c r="D12" s="20" t="s">
        <v>292</v>
      </c>
      <c r="E12" s="20" t="s">
        <v>293</v>
      </c>
      <c r="F12" s="20" t="s">
        <v>294</v>
      </c>
      <c r="G12" s="20" t="s">
        <v>89</v>
      </c>
      <c r="H12" s="20" t="s">
        <v>89</v>
      </c>
    </row>
    <row r="13" spans="1:8" ht="58">
      <c r="A13" s="22" t="s">
        <v>282</v>
      </c>
      <c r="B13" s="22" t="s">
        <v>283</v>
      </c>
      <c r="C13" s="22">
        <v>5</v>
      </c>
      <c r="D13" s="22" t="s">
        <v>295</v>
      </c>
      <c r="E13" s="22" t="s">
        <v>296</v>
      </c>
      <c r="F13" s="22" t="s">
        <v>297</v>
      </c>
      <c r="G13" s="22" t="s">
        <v>89</v>
      </c>
      <c r="H13" s="22" t="s">
        <v>89</v>
      </c>
    </row>
    <row r="14" spans="1:8" ht="58">
      <c r="A14" s="20" t="s">
        <v>282</v>
      </c>
      <c r="B14" s="20" t="s">
        <v>283</v>
      </c>
      <c r="C14" s="20">
        <v>6</v>
      </c>
      <c r="D14" s="20" t="s">
        <v>298</v>
      </c>
      <c r="E14" s="20" t="s">
        <v>89</v>
      </c>
      <c r="F14" s="20" t="s">
        <v>299</v>
      </c>
      <c r="G14" s="20" t="s">
        <v>89</v>
      </c>
      <c r="H14" s="20" t="s">
        <v>89</v>
      </c>
    </row>
    <row r="15" spans="1:8" ht="43.5">
      <c r="A15" s="22" t="s">
        <v>282</v>
      </c>
      <c r="B15" s="22" t="s">
        <v>283</v>
      </c>
      <c r="C15" s="22">
        <v>7</v>
      </c>
      <c r="D15" s="22" t="s">
        <v>300</v>
      </c>
      <c r="E15" s="22" t="s">
        <v>301</v>
      </c>
      <c r="F15" s="22" t="s">
        <v>302</v>
      </c>
      <c r="G15" s="22" t="s">
        <v>89</v>
      </c>
      <c r="H15" s="22" t="s">
        <v>89</v>
      </c>
    </row>
    <row r="16" spans="1:8" ht="58">
      <c r="A16" s="20" t="s">
        <v>303</v>
      </c>
      <c r="B16" s="20" t="s">
        <v>304</v>
      </c>
      <c r="C16" s="20">
        <v>1</v>
      </c>
      <c r="D16" s="20" t="s">
        <v>305</v>
      </c>
      <c r="E16" s="20" t="s">
        <v>306</v>
      </c>
      <c r="F16" s="20" t="s">
        <v>307</v>
      </c>
      <c r="G16" s="20" t="s">
        <v>89</v>
      </c>
      <c r="H16" s="20" t="s">
        <v>89</v>
      </c>
    </row>
    <row r="17" spans="1:8" ht="72.5">
      <c r="A17" s="22" t="s">
        <v>303</v>
      </c>
      <c r="B17" s="22" t="s">
        <v>304</v>
      </c>
      <c r="C17" s="22">
        <v>2</v>
      </c>
      <c r="D17" s="22" t="s">
        <v>308</v>
      </c>
      <c r="E17" s="22" t="s">
        <v>309</v>
      </c>
      <c r="F17" s="22" t="s">
        <v>310</v>
      </c>
      <c r="G17" s="22" t="s">
        <v>89</v>
      </c>
      <c r="H17" s="22" t="s">
        <v>89</v>
      </c>
    </row>
    <row r="18" spans="1:8" ht="43.5">
      <c r="A18" s="20" t="s">
        <v>303</v>
      </c>
      <c r="B18" s="20" t="s">
        <v>304</v>
      </c>
      <c r="C18" s="20">
        <v>3</v>
      </c>
      <c r="D18" s="20" t="s">
        <v>311</v>
      </c>
      <c r="E18" s="20" t="s">
        <v>312</v>
      </c>
      <c r="F18" s="20" t="s">
        <v>313</v>
      </c>
      <c r="G18" s="20" t="s">
        <v>89</v>
      </c>
      <c r="H18" s="20" t="s">
        <v>89</v>
      </c>
    </row>
    <row r="19" spans="1:8" ht="43.5">
      <c r="A19" s="22" t="s">
        <v>303</v>
      </c>
      <c r="B19" s="22" t="s">
        <v>304</v>
      </c>
      <c r="C19" s="22">
        <v>4</v>
      </c>
      <c r="D19" s="22" t="s">
        <v>314</v>
      </c>
      <c r="E19" s="22" t="s">
        <v>315</v>
      </c>
      <c r="F19" s="22" t="s">
        <v>316</v>
      </c>
      <c r="G19" s="22" t="s">
        <v>89</v>
      </c>
      <c r="H19" s="22" t="s">
        <v>89</v>
      </c>
    </row>
    <row r="20" spans="1:8" ht="43.5">
      <c r="A20" s="20" t="s">
        <v>317</v>
      </c>
      <c r="B20" s="20" t="s">
        <v>318</v>
      </c>
      <c r="C20" s="20">
        <v>1</v>
      </c>
      <c r="D20" s="20" t="s">
        <v>319</v>
      </c>
      <c r="E20" s="20" t="s">
        <v>320</v>
      </c>
      <c r="F20" s="20" t="s">
        <v>321</v>
      </c>
      <c r="G20" s="20" t="s">
        <v>56</v>
      </c>
      <c r="H20" s="20" t="s">
        <v>56</v>
      </c>
    </row>
    <row r="21" spans="1:8" ht="72.5">
      <c r="A21" s="22" t="s">
        <v>317</v>
      </c>
      <c r="B21" s="22" t="s">
        <v>318</v>
      </c>
      <c r="C21" s="22">
        <v>2</v>
      </c>
      <c r="D21" s="22" t="s">
        <v>322</v>
      </c>
      <c r="E21" s="22" t="s">
        <v>323</v>
      </c>
      <c r="F21" s="22" t="s">
        <v>324</v>
      </c>
      <c r="G21" s="22" t="s">
        <v>76</v>
      </c>
      <c r="H21" s="22" t="s">
        <v>76</v>
      </c>
    </row>
    <row r="22" spans="1:8" ht="58">
      <c r="A22" s="20" t="s">
        <v>325</v>
      </c>
      <c r="B22" s="20" t="s">
        <v>326</v>
      </c>
      <c r="C22" s="20">
        <v>1</v>
      </c>
      <c r="D22" s="20" t="s">
        <v>327</v>
      </c>
      <c r="E22" s="20" t="s">
        <v>328</v>
      </c>
      <c r="F22" s="20" t="s">
        <v>329</v>
      </c>
      <c r="G22" s="20" t="s">
        <v>67</v>
      </c>
      <c r="H22" s="20" t="s">
        <v>67</v>
      </c>
    </row>
    <row r="23" spans="1:8" ht="58">
      <c r="A23" s="21" t="s">
        <v>325</v>
      </c>
      <c r="B23" s="21" t="s">
        <v>326</v>
      </c>
      <c r="C23" s="21">
        <v>2</v>
      </c>
      <c r="D23" s="21" t="s">
        <v>330</v>
      </c>
      <c r="E23" s="21" t="s">
        <v>331</v>
      </c>
      <c r="F23" s="21" t="s">
        <v>332</v>
      </c>
      <c r="G23" s="21" t="s">
        <v>67</v>
      </c>
      <c r="H23" s="21" t="s">
        <v>76</v>
      </c>
    </row>
  </sheetData>
  <autoFilter ref="A4:H4" xr:uid="{E01061E5-79D9-4A53-A065-0B21E34F5D1F}"/>
  <mergeCells count="2">
    <mergeCell ref="A1:H1"/>
    <mergeCell ref="A2:H2"/>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FD9F-6FFA-40AA-A60B-920BF9458E73}">
  <dimension ref="A1:F35"/>
  <sheetViews>
    <sheetView workbookViewId="0">
      <pane ySplit="4" topLeftCell="A5" activePane="bottomLeft" state="frozen"/>
      <selection pane="bottomLeft" activeCell="A5" sqref="A5"/>
    </sheetView>
  </sheetViews>
  <sheetFormatPr defaultRowHeight="14.5"/>
  <cols>
    <col min="1" max="2" width="10.58203125" style="1" customWidth="1"/>
    <col min="3" max="3" width="20.58203125" style="1" customWidth="1"/>
    <col min="4" max="4" width="76.58203125" style="1" customWidth="1"/>
    <col min="5" max="5" width="12.58203125" style="1" customWidth="1"/>
    <col min="6" max="6" width="18.58203125" style="1" customWidth="1"/>
    <col min="7" max="16384" width="8.6640625" style="1"/>
  </cols>
  <sheetData>
    <row r="1" spans="1:6" ht="34" customHeight="1">
      <c r="A1" s="2" t="s">
        <v>333</v>
      </c>
      <c r="B1" s="2"/>
      <c r="C1" s="2"/>
      <c r="D1" s="2"/>
      <c r="E1" s="2"/>
      <c r="F1" s="2"/>
    </row>
    <row r="2" spans="1:6" ht="24" customHeight="1">
      <c r="A2" s="3" t="s">
        <v>334</v>
      </c>
      <c r="B2" s="3"/>
      <c r="C2" s="3"/>
      <c r="D2" s="3"/>
      <c r="E2" s="3"/>
      <c r="F2" s="3"/>
    </row>
    <row r="4" spans="1:6" ht="30" customHeight="1">
      <c r="A4" s="17" t="s">
        <v>335</v>
      </c>
      <c r="B4" s="17" t="s">
        <v>336</v>
      </c>
      <c r="C4" s="17" t="s">
        <v>337</v>
      </c>
      <c r="D4" s="17" t="s">
        <v>338</v>
      </c>
      <c r="E4" s="17" t="s">
        <v>32</v>
      </c>
      <c r="F4" s="17" t="s">
        <v>339</v>
      </c>
    </row>
    <row r="5" spans="1:6" ht="101.5">
      <c r="A5" s="18" t="s">
        <v>340</v>
      </c>
      <c r="B5" s="18" t="s">
        <v>341</v>
      </c>
      <c r="C5" s="18" t="s">
        <v>342</v>
      </c>
      <c r="D5" s="18" t="s">
        <v>343</v>
      </c>
      <c r="E5" s="18" t="s">
        <v>344</v>
      </c>
      <c r="F5" s="18" t="s">
        <v>56</v>
      </c>
    </row>
    <row r="6" spans="1:6" ht="87">
      <c r="A6" s="20" t="s">
        <v>345</v>
      </c>
      <c r="B6" s="20" t="s">
        <v>346</v>
      </c>
      <c r="C6" s="20" t="s">
        <v>347</v>
      </c>
      <c r="D6" s="20" t="s">
        <v>348</v>
      </c>
      <c r="E6" s="20" t="s">
        <v>344</v>
      </c>
      <c r="F6" s="20" t="s">
        <v>76</v>
      </c>
    </row>
    <row r="7" spans="1:6" ht="116">
      <c r="A7" s="22" t="s">
        <v>349</v>
      </c>
      <c r="B7" s="22" t="s">
        <v>346</v>
      </c>
      <c r="C7" s="22" t="s">
        <v>350</v>
      </c>
      <c r="D7" s="22" t="s">
        <v>351</v>
      </c>
      <c r="E7" s="22" t="s">
        <v>344</v>
      </c>
      <c r="F7" s="22" t="s">
        <v>76</v>
      </c>
    </row>
    <row r="8" spans="1:6" ht="72.5">
      <c r="A8" s="20" t="s">
        <v>352</v>
      </c>
      <c r="B8" s="20" t="s">
        <v>346</v>
      </c>
      <c r="C8" s="20" t="s">
        <v>353</v>
      </c>
      <c r="D8" s="20" t="s">
        <v>354</v>
      </c>
      <c r="E8" s="20" t="s">
        <v>344</v>
      </c>
      <c r="F8" s="20" t="s">
        <v>76</v>
      </c>
    </row>
    <row r="9" spans="1:6" ht="101.5">
      <c r="A9" s="22" t="s">
        <v>355</v>
      </c>
      <c r="B9" s="22" t="s">
        <v>356</v>
      </c>
      <c r="C9" s="22" t="s">
        <v>357</v>
      </c>
      <c r="D9" s="22" t="s">
        <v>358</v>
      </c>
      <c r="E9" s="22" t="s">
        <v>344</v>
      </c>
      <c r="F9" s="22" t="s">
        <v>76</v>
      </c>
    </row>
    <row r="10" spans="1:6" ht="87">
      <c r="A10" s="20" t="s">
        <v>359</v>
      </c>
      <c r="B10" s="20" t="s">
        <v>341</v>
      </c>
      <c r="C10" s="20" t="s">
        <v>360</v>
      </c>
      <c r="D10" s="20" t="s">
        <v>361</v>
      </c>
      <c r="E10" s="20" t="s">
        <v>344</v>
      </c>
      <c r="F10" s="20" t="s">
        <v>76</v>
      </c>
    </row>
    <row r="11" spans="1:6" ht="116">
      <c r="A11" s="22" t="s">
        <v>362</v>
      </c>
      <c r="B11" s="22" t="s">
        <v>363</v>
      </c>
      <c r="C11" s="22" t="s">
        <v>364</v>
      </c>
      <c r="D11" s="22" t="s">
        <v>365</v>
      </c>
      <c r="E11" s="22" t="s">
        <v>344</v>
      </c>
      <c r="F11" s="22" t="s">
        <v>67</v>
      </c>
    </row>
    <row r="12" spans="1:6" ht="101.5">
      <c r="A12" s="20" t="s">
        <v>366</v>
      </c>
      <c r="B12" s="20" t="s">
        <v>341</v>
      </c>
      <c r="C12" s="20" t="s">
        <v>367</v>
      </c>
      <c r="D12" s="20" t="s">
        <v>368</v>
      </c>
      <c r="E12" s="20" t="s">
        <v>344</v>
      </c>
      <c r="F12" s="20" t="s">
        <v>76</v>
      </c>
    </row>
    <row r="13" spans="1:6" ht="87">
      <c r="A13" s="22" t="s">
        <v>369</v>
      </c>
      <c r="B13" s="22" t="s">
        <v>341</v>
      </c>
      <c r="C13" s="22" t="s">
        <v>370</v>
      </c>
      <c r="D13" s="22" t="s">
        <v>371</v>
      </c>
      <c r="E13" s="22" t="s">
        <v>344</v>
      </c>
      <c r="F13" s="22" t="s">
        <v>76</v>
      </c>
    </row>
    <row r="14" spans="1:6" ht="87">
      <c r="A14" s="20" t="s">
        <v>372</v>
      </c>
      <c r="B14" s="20" t="s">
        <v>341</v>
      </c>
      <c r="C14" s="20" t="s">
        <v>373</v>
      </c>
      <c r="D14" s="20" t="s">
        <v>374</v>
      </c>
      <c r="E14" s="20" t="s">
        <v>344</v>
      </c>
      <c r="F14" s="20" t="s">
        <v>76</v>
      </c>
    </row>
    <row r="15" spans="1:6" ht="130.5">
      <c r="A15" s="22" t="s">
        <v>375</v>
      </c>
      <c r="B15" s="22" t="s">
        <v>376</v>
      </c>
      <c r="C15" s="22" t="s">
        <v>377</v>
      </c>
      <c r="D15" s="22" t="s">
        <v>378</v>
      </c>
      <c r="E15" s="22" t="s">
        <v>344</v>
      </c>
      <c r="F15" s="22" t="s">
        <v>67</v>
      </c>
    </row>
    <row r="16" spans="1:6" ht="116">
      <c r="A16" s="20" t="s">
        <v>379</v>
      </c>
      <c r="B16" s="20" t="s">
        <v>356</v>
      </c>
      <c r="C16" s="20" t="s">
        <v>380</v>
      </c>
      <c r="D16" s="20" t="s">
        <v>381</v>
      </c>
      <c r="E16" s="20" t="s">
        <v>344</v>
      </c>
      <c r="F16" s="20" t="s">
        <v>76</v>
      </c>
    </row>
    <row r="17" spans="1:6" ht="87">
      <c r="A17" s="22" t="s">
        <v>382</v>
      </c>
      <c r="B17" s="22" t="s">
        <v>341</v>
      </c>
      <c r="C17" s="22" t="s">
        <v>383</v>
      </c>
      <c r="D17" s="22" t="s">
        <v>384</v>
      </c>
      <c r="E17" s="22" t="s">
        <v>344</v>
      </c>
      <c r="F17" s="22" t="s">
        <v>76</v>
      </c>
    </row>
    <row r="18" spans="1:6" ht="145">
      <c r="A18" s="20" t="s">
        <v>385</v>
      </c>
      <c r="B18" s="20" t="s">
        <v>346</v>
      </c>
      <c r="C18" s="20" t="s">
        <v>386</v>
      </c>
      <c r="D18" s="20" t="s">
        <v>387</v>
      </c>
      <c r="E18" s="20" t="s">
        <v>344</v>
      </c>
      <c r="F18" s="20" t="s">
        <v>76</v>
      </c>
    </row>
    <row r="19" spans="1:6" ht="130.5">
      <c r="A19" s="22" t="s">
        <v>388</v>
      </c>
      <c r="B19" s="22" t="s">
        <v>346</v>
      </c>
      <c r="C19" s="22" t="s">
        <v>389</v>
      </c>
      <c r="D19" s="22" t="s">
        <v>390</v>
      </c>
      <c r="E19" s="22" t="s">
        <v>344</v>
      </c>
      <c r="F19" s="22" t="s">
        <v>76</v>
      </c>
    </row>
    <row r="20" spans="1:6" ht="116">
      <c r="A20" s="20" t="s">
        <v>391</v>
      </c>
      <c r="B20" s="20" t="s">
        <v>341</v>
      </c>
      <c r="C20" s="20" t="s">
        <v>392</v>
      </c>
      <c r="D20" s="20" t="s">
        <v>393</v>
      </c>
      <c r="E20" s="20" t="s">
        <v>344</v>
      </c>
      <c r="F20" s="20" t="s">
        <v>110</v>
      </c>
    </row>
    <row r="21" spans="1:6" ht="290">
      <c r="A21" s="22" t="s">
        <v>394</v>
      </c>
      <c r="B21" s="22" t="s">
        <v>346</v>
      </c>
      <c r="C21" s="22" t="s">
        <v>395</v>
      </c>
      <c r="D21" s="22" t="s">
        <v>396</v>
      </c>
      <c r="E21" s="22" t="s">
        <v>344</v>
      </c>
      <c r="F21" s="22" t="s">
        <v>110</v>
      </c>
    </row>
    <row r="22" spans="1:6" ht="116">
      <c r="A22" s="20" t="s">
        <v>397</v>
      </c>
      <c r="B22" s="20" t="s">
        <v>341</v>
      </c>
      <c r="C22" s="20" t="s">
        <v>398</v>
      </c>
      <c r="D22" s="20" t="s">
        <v>399</v>
      </c>
      <c r="E22" s="20" t="s">
        <v>344</v>
      </c>
      <c r="F22" s="20" t="s">
        <v>76</v>
      </c>
    </row>
    <row r="23" spans="1:6" ht="101.5">
      <c r="A23" s="22" t="s">
        <v>400</v>
      </c>
      <c r="B23" s="22" t="s">
        <v>376</v>
      </c>
      <c r="C23" s="22" t="s">
        <v>401</v>
      </c>
      <c r="D23" s="22" t="s">
        <v>402</v>
      </c>
      <c r="E23" s="22" t="s">
        <v>344</v>
      </c>
      <c r="F23" s="22" t="s">
        <v>83</v>
      </c>
    </row>
    <row r="24" spans="1:6" ht="58">
      <c r="A24" s="20" t="s">
        <v>403</v>
      </c>
      <c r="B24" s="20" t="s">
        <v>341</v>
      </c>
      <c r="C24" s="20" t="s">
        <v>404</v>
      </c>
      <c r="D24" s="20" t="s">
        <v>405</v>
      </c>
      <c r="E24" s="20" t="s">
        <v>344</v>
      </c>
      <c r="F24" s="20" t="s">
        <v>76</v>
      </c>
    </row>
    <row r="25" spans="1:6" ht="116">
      <c r="A25" s="22" t="s">
        <v>406</v>
      </c>
      <c r="B25" s="22" t="s">
        <v>341</v>
      </c>
      <c r="C25" s="22" t="s">
        <v>407</v>
      </c>
      <c r="D25" s="22" t="s">
        <v>408</v>
      </c>
      <c r="E25" s="22" t="s">
        <v>344</v>
      </c>
      <c r="F25" s="22" t="s">
        <v>143</v>
      </c>
    </row>
    <row r="26" spans="1:6" ht="101.5">
      <c r="A26" s="20" t="s">
        <v>409</v>
      </c>
      <c r="B26" s="20" t="s">
        <v>346</v>
      </c>
      <c r="C26" s="20" t="s">
        <v>410</v>
      </c>
      <c r="D26" s="20" t="s">
        <v>411</v>
      </c>
      <c r="E26" s="20" t="s">
        <v>412</v>
      </c>
      <c r="F26" s="20" t="s">
        <v>76</v>
      </c>
    </row>
    <row r="27" spans="1:6" ht="145">
      <c r="A27" s="22" t="s">
        <v>413</v>
      </c>
      <c r="B27" s="22" t="s">
        <v>341</v>
      </c>
      <c r="C27" s="22" t="s">
        <v>414</v>
      </c>
      <c r="D27" s="22" t="s">
        <v>415</v>
      </c>
      <c r="E27" s="22" t="s">
        <v>344</v>
      </c>
      <c r="F27" s="22" t="s">
        <v>104</v>
      </c>
    </row>
    <row r="28" spans="1:6" ht="116">
      <c r="A28" s="20" t="s">
        <v>416</v>
      </c>
      <c r="B28" s="20" t="s">
        <v>341</v>
      </c>
      <c r="C28" s="20" t="s">
        <v>417</v>
      </c>
      <c r="D28" s="20" t="s">
        <v>418</v>
      </c>
      <c r="E28" s="20" t="s">
        <v>412</v>
      </c>
      <c r="F28" s="20" t="s">
        <v>83</v>
      </c>
    </row>
    <row r="29" spans="1:6" ht="116">
      <c r="A29" s="22" t="s">
        <v>419</v>
      </c>
      <c r="B29" s="22" t="s">
        <v>376</v>
      </c>
      <c r="C29" s="22" t="s">
        <v>420</v>
      </c>
      <c r="D29" s="22" t="s">
        <v>421</v>
      </c>
      <c r="E29" s="22" t="s">
        <v>422</v>
      </c>
      <c r="F29" s="22" t="s">
        <v>143</v>
      </c>
    </row>
    <row r="30" spans="1:6" ht="174">
      <c r="A30" s="20" t="s">
        <v>423</v>
      </c>
      <c r="B30" s="20" t="s">
        <v>341</v>
      </c>
      <c r="C30" s="20" t="s">
        <v>424</v>
      </c>
      <c r="D30" s="20" t="s">
        <v>425</v>
      </c>
      <c r="E30" s="20" t="s">
        <v>344</v>
      </c>
      <c r="F30" s="20" t="s">
        <v>104</v>
      </c>
    </row>
    <row r="31" spans="1:6" ht="174">
      <c r="A31" s="22" t="s">
        <v>426</v>
      </c>
      <c r="B31" s="22" t="s">
        <v>341</v>
      </c>
      <c r="C31" s="22" t="s">
        <v>427</v>
      </c>
      <c r="D31" s="22" t="s">
        <v>428</v>
      </c>
      <c r="E31" s="22" t="s">
        <v>344</v>
      </c>
      <c r="F31" s="22" t="s">
        <v>104</v>
      </c>
    </row>
    <row r="32" spans="1:6" ht="145">
      <c r="A32" s="20" t="s">
        <v>429</v>
      </c>
      <c r="B32" s="20" t="s">
        <v>346</v>
      </c>
      <c r="C32" s="20" t="s">
        <v>430</v>
      </c>
      <c r="D32" s="20" t="s">
        <v>431</v>
      </c>
      <c r="E32" s="20" t="s">
        <v>344</v>
      </c>
      <c r="F32" s="20" t="s">
        <v>104</v>
      </c>
    </row>
    <row r="33" spans="1:6" ht="130.5">
      <c r="A33" s="22" t="s">
        <v>432</v>
      </c>
      <c r="B33" s="22" t="s">
        <v>433</v>
      </c>
      <c r="C33" s="22" t="s">
        <v>434</v>
      </c>
      <c r="D33" s="22" t="s">
        <v>435</v>
      </c>
      <c r="E33" s="22" t="s">
        <v>422</v>
      </c>
      <c r="F33" s="22" t="s">
        <v>56</v>
      </c>
    </row>
    <row r="34" spans="1:6" ht="87">
      <c r="A34" s="20" t="s">
        <v>436</v>
      </c>
      <c r="B34" s="20" t="s">
        <v>433</v>
      </c>
      <c r="C34" s="20" t="s">
        <v>437</v>
      </c>
      <c r="D34" s="20" t="s">
        <v>438</v>
      </c>
      <c r="E34" s="20" t="s">
        <v>422</v>
      </c>
      <c r="F34" s="20" t="s">
        <v>98</v>
      </c>
    </row>
    <row r="35" spans="1:6" ht="101.5">
      <c r="A35" s="21" t="s">
        <v>439</v>
      </c>
      <c r="B35" s="21" t="s">
        <v>433</v>
      </c>
      <c r="C35" s="21" t="s">
        <v>440</v>
      </c>
      <c r="D35" s="21" t="s">
        <v>441</v>
      </c>
      <c r="E35" s="21" t="s">
        <v>422</v>
      </c>
      <c r="F35" s="21" t="s">
        <v>76</v>
      </c>
    </row>
  </sheetData>
  <autoFilter ref="A4:F4" xr:uid="{15A5FD9F-6FFA-40AA-A60B-920BF9458E73}"/>
  <mergeCells count="2">
    <mergeCell ref="A1:F1"/>
    <mergeCell ref="A2:F2"/>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8CE26-1671-486D-A07A-6AD7792A5031}">
  <dimension ref="A1:D13"/>
  <sheetViews>
    <sheetView workbookViewId="0"/>
  </sheetViews>
  <sheetFormatPr defaultRowHeight="14.5"/>
  <cols>
    <col min="1" max="1" width="10.58203125" style="1" customWidth="1"/>
    <col min="2" max="2" width="44.58203125" style="1" customWidth="1"/>
    <col min="3" max="3" width="22.58203125" style="1" customWidth="1"/>
    <col min="4" max="4" width="46.58203125" style="1" customWidth="1"/>
    <col min="5" max="16384" width="8.6640625" style="1"/>
  </cols>
  <sheetData>
    <row r="1" spans="1:4" ht="34" customHeight="1">
      <c r="A1" s="2" t="s">
        <v>442</v>
      </c>
      <c r="B1" s="2"/>
      <c r="C1" s="2"/>
      <c r="D1" s="2"/>
    </row>
    <row r="2" spans="1:4" ht="24" customHeight="1">
      <c r="A2" s="3" t="s">
        <v>443</v>
      </c>
      <c r="B2" s="3"/>
      <c r="C2" s="3"/>
      <c r="D2" s="3"/>
    </row>
    <row r="4" spans="1:4" ht="30" customHeight="1">
      <c r="A4" s="17" t="s">
        <v>444</v>
      </c>
      <c r="B4" s="17" t="s">
        <v>445</v>
      </c>
      <c r="C4" s="17" t="s">
        <v>446</v>
      </c>
      <c r="D4" s="17" t="s">
        <v>447</v>
      </c>
    </row>
    <row r="5" spans="1:4" ht="58">
      <c r="A5" s="18" t="s">
        <v>448</v>
      </c>
      <c r="B5" s="18" t="s">
        <v>449</v>
      </c>
      <c r="C5" s="18" t="s">
        <v>450</v>
      </c>
      <c r="D5" s="18" t="s">
        <v>451</v>
      </c>
    </row>
    <row r="6" spans="1:4" ht="43.5">
      <c r="A6" s="20" t="s">
        <v>448</v>
      </c>
      <c r="B6" s="20" t="s">
        <v>452</v>
      </c>
      <c r="C6" s="20" t="s">
        <v>453</v>
      </c>
      <c r="D6" s="20" t="s">
        <v>454</v>
      </c>
    </row>
    <row r="7" spans="1:4" ht="43.5">
      <c r="A7" s="22" t="s">
        <v>455</v>
      </c>
      <c r="B7" s="22" t="s">
        <v>456</v>
      </c>
      <c r="C7" s="22" t="s">
        <v>457</v>
      </c>
      <c r="D7" s="22" t="s">
        <v>458</v>
      </c>
    </row>
    <row r="8" spans="1:4" ht="58">
      <c r="A8" s="20" t="s">
        <v>455</v>
      </c>
      <c r="B8" s="20" t="s">
        <v>459</v>
      </c>
      <c r="C8" s="20" t="s">
        <v>460</v>
      </c>
      <c r="D8" s="20" t="s">
        <v>461</v>
      </c>
    </row>
    <row r="9" spans="1:4" ht="58">
      <c r="A9" s="22" t="s">
        <v>455</v>
      </c>
      <c r="B9" s="22" t="s">
        <v>462</v>
      </c>
      <c r="C9" s="22" t="s">
        <v>463</v>
      </c>
      <c r="D9" s="22" t="s">
        <v>464</v>
      </c>
    </row>
    <row r="10" spans="1:4" ht="43.5">
      <c r="A10" s="20" t="s">
        <v>465</v>
      </c>
      <c r="B10" s="20" t="s">
        <v>466</v>
      </c>
      <c r="C10" s="20" t="s">
        <v>467</v>
      </c>
      <c r="D10" s="20" t="s">
        <v>468</v>
      </c>
    </row>
    <row r="11" spans="1:4" ht="72.5">
      <c r="A11" s="22" t="s">
        <v>469</v>
      </c>
      <c r="B11" s="22" t="s">
        <v>470</v>
      </c>
      <c r="C11" s="22" t="s">
        <v>471</v>
      </c>
      <c r="D11" s="22" t="s">
        <v>472</v>
      </c>
    </row>
    <row r="12" spans="1:4" ht="29">
      <c r="A12" s="20" t="s">
        <v>473</v>
      </c>
      <c r="B12" s="20" t="s">
        <v>474</v>
      </c>
      <c r="C12" s="20" t="s">
        <v>475</v>
      </c>
      <c r="D12" s="20" t="s">
        <v>476</v>
      </c>
    </row>
    <row r="13" spans="1:4" ht="43.5">
      <c r="A13" s="21" t="s">
        <v>433</v>
      </c>
      <c r="B13" s="21" t="s">
        <v>477</v>
      </c>
      <c r="C13" s="21" t="s">
        <v>478</v>
      </c>
      <c r="D13" s="21" t="s">
        <v>479</v>
      </c>
    </row>
  </sheetData>
  <mergeCells count="2">
    <mergeCell ref="A1:D1"/>
    <mergeCell ref="A2:D2"/>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문서개요</vt:lpstr>
      <vt:lpstr>화면목록</vt:lpstr>
      <vt:lpstr>화면상세</vt:lpstr>
      <vt:lpstr>업무흐름</vt:lpstr>
      <vt:lpstr>정책_예외</vt:lpstr>
      <vt:lpstr>원본추적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이사라</dc:creator>
  <cp:lastModifiedBy>이사라</cp:lastModifiedBy>
  <dcterms:created xsi:type="dcterms:W3CDTF">2026-09-14T03:47:47Z</dcterms:created>
  <dcterms:modified xsi:type="dcterms:W3CDTF">2026-09-14T03:47:54Z</dcterms:modified>
</cp:coreProperties>
</file>
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0" yWindow="1520" windowWidth="28800" windowHeight="15360" tabRatio="600" firstSheet="0" activeTab="0" autoFilterDateGrouping="1"/>
  </bookViews>
  <sheets>
    <sheet name="안내" sheetId="1" state="visible" r:id="rId1"/>
    <sheet name="테이블정의" sheetId="2" state="visible" r:id="rId2"/>
    <sheet name="필드정의" sheetId="3" state="visible" r:id="rId3"/>
    <sheet name="구현기준" sheetId="4" state="visible" r:id="rId4"/>
    <sheet name="질문" sheetId="5" state="visible" r:id="rId5"/>
    <sheet name="선택지" sheetId="6" state="visible" r:id="rId6"/>
    <sheet name="질환규칙" sheetId="7" state="visible" r:id="rId7"/>
    <sheet name="질환연결축" sheetId="8" state="visible" r:id="rId8"/>
    <sheet name="질환금지성격" sheetId="9" state="visible" r:id="rId9"/>
    <sheet name="상병코드조건" sheetId="10" state="visible" r:id="rId10"/>
    <sheet name="설정" sheetId="11" state="visible" r:id="rId11"/>
    <sheet name="설정파라미터" sheetId="12" state="visible" r:id="rId12"/>
    <sheet name="검진출처" sheetId="13" state="visible" r:id="rId13"/>
    <sheet name="검진항목" sheetId="14" state="visible" r:id="rId14"/>
    <sheet name="검진성분규격" sheetId="15" state="visible" r:id="rId15"/>
    <sheet name="검진판정그룹" sheetId="16" state="visible" r:id="rId16"/>
    <sheet name="검진판정조건" sheetId="17" state="visible" r:id="rId17"/>
    <sheet name="검진범주코드" sheetId="18" state="visible" r:id="rId18"/>
    <sheet name="검진적용정책" sheetId="19" state="visible" r:id="rId19"/>
    <sheet name="검진보조기준" sheetId="20" state="visible" r:id="rId20"/>
    <sheet name="검진식이연결" sheetId="21" state="visible" r:id="rId21"/>
    <sheet name="또래등수정책" sheetId="22" state="visible" r:id="rId22"/>
    <sheet name="검증규칙" sheetId="23" state="visible" r:id="rId23"/>
    <sheet name="내정보질환매핑" sheetId="24" state="visible" r:id="rId24"/>
    <sheet name="달력일자" sheetId="25" state="visible" r:id="rId25"/>
    <sheet name="목표문구" sheetId="26" state="visible" r:id="rId26"/>
    <sheet name="노출조건" sheetId="27" state="visible" r:id="rId27"/>
    <sheet name="번역_en" sheetId="28" state="visible" r:id="rId28"/>
  </sheets>
  <definedNames>
    <definedName name="_xlnm._FilterDatabase" localSheetId="27" hidden="1">'번역_en'!$A$1:$L$221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5">
    <font>
      <name val="Carlito"/>
      <sz val="11"/>
    </font>
    <font>
      <name val="Arial"/>
      <family val="2"/>
      <color rgb="FF17212F"/>
      <sz val="10"/>
    </font>
    <font>
      <name val="Arial"/>
      <family val="2"/>
      <b val="1"/>
      <color rgb="FFFFFFFF"/>
      <sz val="10"/>
    </font>
    <font>
      <name val="Carlito"/>
      <sz val="11"/>
    </font>
    <font>
      <name val="Arial"/>
      <family val="2"/>
      <color rgb="FF1D2B3A"/>
      <sz val="10"/>
    </font>
    <font>
      <name val="Arial"/>
      <family val="2"/>
      <b val="1"/>
      <color rgb="FF1D2B3A"/>
      <sz val="10"/>
    </font>
    <font>
      <name val="돋움"/>
      <charset val="129"/>
      <family val="3"/>
      <sz val="8"/>
    </font>
    <font>
      <name val="Arial"/>
      <family val="2"/>
      <sz val="10"/>
    </font>
    <font>
      <name val="Carlito"/>
      <sz val="10"/>
    </font>
    <font>
      <name val="Carlito"/>
      <b val="1"/>
      <color rgb="FFFFFFFF"/>
      <sz val="10"/>
    </font>
    <font>
      <name val="Arial"/>
      <family val="2"/>
      <b val="1"/>
      <color rgb="FF000000"/>
      <sz val="10"/>
    </font>
    <font>
      <name val="Carlito"/>
      <b val="1"/>
      <color rgb="FF000000"/>
      <sz val="10"/>
    </font>
    <font>
      <name val="Arial"/>
      <family val="2"/>
      <color rgb="FF000000"/>
      <sz val="10"/>
    </font>
    <font>
      <name val="Carlito"/>
      <color rgb="FF000000"/>
      <sz val="11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FFF4E5"/>
      </patternFill>
    </fill>
    <fill>
      <patternFill patternType="solid">
        <fgColor rgb="FF245A7A"/>
      </patternFill>
    </fill>
    <fill>
      <patternFill patternType="solid">
        <fgColor rgb="FF17324D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3" fillId="0" borderId="0"/>
    <xf numFmtId="0" fontId="3" fillId="0" borderId="0"/>
  </cellStyleXfs>
  <cellXfs count="34">
    <xf numFmtId="0" fontId="0" fillId="0" borderId="0" pivotButton="0" quotePrefix="0" xfId="0"/>
    <xf numFmtId="0" fontId="2" fillId="2" borderId="0" applyAlignment="1" pivotButton="0" quotePrefix="0" xfId="1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1">
      <alignment vertical="top"/>
    </xf>
    <xf numFmtId="0" fontId="7" fillId="0" borderId="0" applyAlignment="1" pivotButton="0" quotePrefix="0" xfId="1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2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top"/>
    </xf>
    <xf numFmtId="0" fontId="1" fillId="0" borderId="0" applyAlignment="1" pivotButton="0" quotePrefix="0" xfId="1">
      <alignment vertical="top" wrapText="1"/>
    </xf>
    <xf numFmtId="0" fontId="7" fillId="3" borderId="0" applyAlignment="1" pivotButton="0" quotePrefix="0" xfId="1">
      <alignment vertical="top"/>
    </xf>
    <xf numFmtId="0" fontId="1" fillId="3" borderId="0" applyAlignment="1" pivotButton="0" quotePrefix="0" xfId="1">
      <alignment vertical="top"/>
    </xf>
    <xf numFmtId="164" fontId="1" fillId="0" borderId="0" applyAlignment="1" pivotButton="0" quotePrefix="0" xfId="1">
      <alignment vertical="top"/>
    </xf>
    <xf numFmtId="0" fontId="2" fillId="4" borderId="0" pivotButton="0" quotePrefix="0" xfId="0"/>
    <xf numFmtId="0" fontId="4" fillId="0" borderId="0" applyAlignment="1" pivotButton="0" quotePrefix="0" xfId="0">
      <alignment vertical="top"/>
    </xf>
    <xf numFmtId="0" fontId="5" fillId="4" borderId="0" pivotButton="0" quotePrefix="0" xfId="0"/>
    <xf numFmtId="0" fontId="4" fillId="0" borderId="0" applyAlignment="1" pivotButton="0" quotePrefix="0" xfId="0">
      <alignment vertical="top" wrapText="1"/>
    </xf>
    <xf numFmtId="0" fontId="10" fillId="0" borderId="0" applyAlignment="1" pivotButton="0" quotePrefix="0" xfId="1">
      <alignment vertical="top" wrapText="1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 wrapText="1"/>
    </xf>
    <xf numFmtId="0" fontId="10" fillId="0" borderId="0" applyAlignment="1" pivotButton="0" quotePrefix="0" xfId="1">
      <alignment vertical="top"/>
    </xf>
    <xf numFmtId="0" fontId="10" fillId="3" borderId="0" applyAlignment="1" pivotButton="0" quotePrefix="0" xfId="1">
      <alignment vertical="top"/>
    </xf>
    <xf numFmtId="0" fontId="2" fillId="5" borderId="1" pivotButton="0" quotePrefix="0" xfId="0"/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12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49" fontId="12" fillId="0" borderId="0" applyAlignment="1" pivotButton="0" quotePrefix="0" xfId="0">
      <alignment vertical="top"/>
    </xf>
    <xf numFmtId="49" fontId="13" fillId="0" borderId="0" pivotButton="0" quotePrefix="0" xfId="0"/>
    <xf numFmtId="0" fontId="13" fillId="0" borderId="0" pivotButton="0" quotePrefix="0" xfId="0"/>
    <xf numFmtId="0" fontId="12" fillId="0" borderId="1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164" fontId="1" fillId="0" borderId="0" applyAlignment="1" pivotButton="0" quotePrefix="0" xfId="1">
      <alignment vertical="top"/>
    </xf>
  </cellXfs>
  <cellStyles count="2">
    <cellStyle name="표준" xfId="0" builtinId="0"/>
    <cellStyle name="Normal" xfId="1"/>
  </cellStyles>
  <dxfs count="248"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b val="1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b val="1"/>
        <strike val="0"/>
        <outline val="0"/>
        <shadow val="0"/>
        <condense val="0"/>
        <color rgb="FFFF0000"/>
        <extend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b val="1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b val="1"/>
        <strike val="0"/>
        <outline val="0"/>
        <shadow val="0"/>
        <color rgb="FFFFFFFF"/>
        <sz val="10"/>
        <vertAlign val="baseline"/>
      </font>
      <fill>
        <patternFill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b val="1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/>
    </dxf>
    <dxf>
      <font>
        <name val="Arial"/>
        <family val="2"/>
        <b val="1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color auto="1"/>
        <sz val="10"/>
        <vertAlign val="baseline"/>
      </font>
      <alignment horizontal="general" vertical="top"/>
    </dxf>
    <dxf>
      <font>
        <name val="Arial"/>
        <family val="2"/>
        <b val="1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rgb="FF17324D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 wrapText="1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  <alignment horizontal="general" vertical="top"/>
    </dxf>
    <dxf>
      <font>
        <name val="Arial"/>
        <family val="2"/>
        <strike val="0"/>
        <outline val="0"/>
        <shadow val="0"/>
        <sz val="10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ables/table1.xml><?xml version="1.0" encoding="utf-8"?>
<table xmlns="http://schemas.openxmlformats.org/spreadsheetml/2006/main" id="1" name="DietGuide" displayName="DietGuide" ref="A1:D14" headerRowCount="1" totalsRowShown="0" headerRowDxfId="247" dataDxfId="246">
  <tableColumns count="4">
    <tableColumn id="1" name="항목" dataDxfId="245"/>
    <tableColumn id="2" name="내용" dataDxfId="244"/>
    <tableColumn id="3" name="열1" dataDxfId="243"/>
    <tableColumn id="4" name="열2" dataDxfId="2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etTableDef" displayName="DietTableDef" ref="A1:G39" headerRowCount="1" totalsRowShown="0" headerRowDxfId="241" dataDxfId="240">
  <tableColumns count="7">
    <tableColumn id="1" name="테이블명" dataDxfId="239"/>
    <tableColumn id="2" name="데이터 시트" dataDxfId="238"/>
    <tableColumn id="3" name="계층" dataDxfId="237"/>
    <tableColumn id="4" name="저장 단위" dataDxfId="236"/>
    <tableColumn id="5" name="기본키" dataDxfId="235"/>
    <tableColumn id="6" name="용도" dataDxfId="234"/>
    <tableColumn id="7" name="상태" dataDxfId="2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etFieldDef" displayName="DietFieldDef" ref="A1:I305" headerRowCount="1" totalsRowShown="0" headerRowDxfId="232" dataDxfId="231">
  <tableColumns count="9">
    <tableColumn id="1" name="테이블명" dataDxfId="230"/>
    <tableColumn id="2" name="순서" dataDxfId="229"/>
    <tableColumn id="3" name="필드명" dataDxfId="228"/>
    <tableColumn id="4" name="한글명" dataDxfId="227"/>
    <tableColumn id="5" name="타입" dataDxfId="226"/>
    <tableColumn id="6" name="필수" dataDxfId="225"/>
    <tableColumn id="7" name="키" dataDxfId="224"/>
    <tableColumn id="8" name="허용값" dataDxfId="223"/>
    <tableColumn id="9" name="설명" dataDxfId="2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etImplementationRules" displayName="DietImplementationRules" ref="A1:G11" headerRowCount="1" totalsRowShown="0" headerRowDxfId="221" dataDxfId="220">
  <tableColumns count="7">
    <tableColumn id="1" name="기준 ID" dataDxfId="219"/>
    <tableColumn id="2" name="구분" dataDxfId="218"/>
    <tableColumn id="3" name="영향 테이블" dataDxfId="217"/>
    <tableColumn id="4" name="출처" dataDxfId="216"/>
    <tableColumn id="5" name="확정 규칙" dataDxfId="215"/>
    <tableColumn id="6" name="구현 메모" dataDxfId="214"/>
    <tableColumn id="7" name="상태" dataDxfId="2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etQuestions" displayName="DietQuestions" ref="A1:I10" headerRowCount="1" totalsRowShown="0" headerRowDxfId="212" dataDxfId="211">
  <tableColumns count="9">
    <tableColumn id="1" name="question_id" dataDxfId="210"/>
    <tableColumn id="2" name="question_version" dataDxfId="209"/>
    <tableColumn id="3" name="axis_name" dataDxfId="208"/>
    <tableColumn id="4" name="question_role" dataDxfId="207"/>
    <tableColumn id="5" name="question_template" dataDxfId="206"/>
    <tableColumn id="6" name="meal_scope_raw" dataDxfId="205"/>
    <tableColumn id="7" name="observation_scope" dataDxfId="204"/>
    <tableColumn id="8" name="interpretation_limit" dataDxfId="203"/>
    <tableColumn id="9" name="source_row" dataDxfId="20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ietOptions" displayName="DietOptions" ref="A1:G28" headerRowCount="1" totalsRowShown="0" headerRowDxfId="201" dataDxfId="200">
  <tableColumns count="7">
    <tableColumn id="1" name="question_id" dataDxfId="199"/>
    <tableColumn id="2" name="question_version" dataDxfId="198"/>
    <tableColumn id="3" name="option_order" dataDxfId="197"/>
    <tableColumn id="4" name="option_code" dataDxfId="196"/>
    <tableColumn id="5" name="option_label" dataDxfId="195"/>
    <tableColumn id="6" name="score_value" dataDxfId="194"/>
    <tableColumn id="7" name="source_row" dataDxfId="19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ietDiseaseRules" displayName="DietDiseaseRules" ref="A1:K15" headerRowCount="1" totalsRowShown="0" headerRowDxfId="192" dataDxfId="191">
  <tableColumns count="11">
    <tableColumn id="1" name="rule_id" dataDxfId="190"/>
    <tableColumn id="2" name="disease_name" dataDxfId="189"/>
    <tableColumn id="3" name="release_phase" dataDxfId="188"/>
    <tableColumn id="4" name="link_enabled" dataDxfId="187"/>
    <tableColumn id="5" name="ban_enabled" dataDxfId="186"/>
    <tableColumn id="6" name="confirmation_enabled" dataDxfId="185"/>
    <tableColumn id="7" name="confirmation_label" dataDxfId="184"/>
    <tableColumn id="8" name="ban_reason" dataDxfId="183"/>
    <tableColumn id="9" name="recommendation_action" dataDxfId="182"/>
    <tableColumn id="10" name="action_basis" dataDxfId="181"/>
    <tableColumn id="11" name="source_row" dataDxfId="18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ietDiseaseAxes" displayName="DietDiseaseAxes" ref="A1:C16" headerRowCount="1" totalsRowShown="0" headerRowDxfId="179" dataDxfId="178">
  <tableColumns count="3">
    <tableColumn id="1" name="rule_id" dataDxfId="177"/>
    <tableColumn id="2" name="question_id" dataDxfId="176"/>
    <tableColumn id="3" name="source_row" dataDxfId="17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ietBannedNature" displayName="DietBannedNature" ref="A1:C29" headerRowCount="1" totalsRowShown="0" headerRowDxfId="174" dataDxfId="173">
  <tableColumns count="3">
    <tableColumn id="1" name="rule_id" dataDxfId="172"/>
    <tableColumn id="2" name="nature_code" dataDxfId="171"/>
    <tableColumn id="3" name="source_row" dataDxfId="17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ietCodeConditions" displayName="DietCodeConditions" ref="A1:L62" headerRowCount="1" totalsRowShown="0" headerRowDxfId="169" dataDxfId="168">
  <tableColumns count="12">
    <tableColumn id="1" name="condition_id" dataDxfId="167"/>
    <tableColumn id="2" name="rule_id" dataDxfId="166"/>
    <tableColumn id="3" name="diagnosis_code" dataDxfId="165"/>
    <tableColumn id="4" name="code_label" dataDxfId="164"/>
    <tableColumn id="5" name="match_type" dataDxfId="163"/>
    <tableColumn id="6" name="range_end" dataDxfId="162"/>
    <tableColumn id="7" name="window_months" dataDxfId="161"/>
    <tableColumn id="8" name="min_occurrences" dataDxfId="160"/>
    <tableColumn id="9" name="primary_only" dataDxfId="159"/>
    <tableColumn id="10" name="companion_codes_raw" dataDxfId="158"/>
    <tableColumn id="11" name="condition_note" dataDxfId="157"/>
    <tableColumn id="12" name="source_row" dataDxfId="1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ietSettings" displayName="DietSettings" ref="A1:K69" headerRowCount="1" totalsRowShown="0" headerRowDxfId="155" dataDxfId="154">
  <tableColumns count="11">
    <tableColumn id="1" name="setting_id" dataDxfId="153"/>
    <tableColumn id="2" name="setting_group" dataDxfId="152"/>
    <tableColumn id="3" name="setting_name" dataDxfId="151"/>
    <tableColumn id="4" name="value_raw" dataDxfId="150"/>
    <tableColumn id="5" name="value_type" dataDxfId="149"/>
    <tableColumn id="6" name="number_value" dataDxfId="148"/>
    <tableColumn id="7" name="time_value" dataDxfId="147"/>
    <tableColumn id="8" name="boolean_value" dataDxfId="146"/>
    <tableColumn id="9" name="execution_status" dataDxfId="145"/>
    <tableColumn id="10" name="use_case" dataDxfId="144"/>
    <tableColumn id="11" name="source_row" dataDxfId="14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ietSettingParameters" displayName="DietSettingParameters" ref="A1:H39" headerRowCount="1" totalsRowShown="0" headerRowDxfId="142" dataDxfId="141">
  <tableColumns count="8">
    <tableColumn id="1" name="setting_id" dataDxfId="140"/>
    <tableColumn id="2" name="parameter_key" dataDxfId="139"/>
    <tableColumn id="3" name="operator_code" dataDxfId="138"/>
    <tableColumn id="4" name="number_value" dataDxfId="137"/>
    <tableColumn id="5" name="text_value" dataDxfId="136"/>
    <tableColumn id="6" name="unit_code" dataDxfId="135"/>
    <tableColumn id="7" name="parse_scope" dataDxfId="134"/>
    <tableColumn id="8" name="note" dataDxfId="13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ScreenSources" displayName="ScreenSources" ref="A1:F9" headerRowCount="1" totalsRowShown="0" headerRowDxfId="132" dataDxfId="131">
  <tableColumns count="6">
    <tableColumn id="1" name="source_id" dataDxfId="130"/>
    <tableColumn id="2" name="source_name" dataDxfId="129"/>
    <tableColumn id="3" name="source_kind" dataDxfId="128"/>
    <tableColumn id="4" name="source_version" dataDxfId="127"/>
    <tableColumn id="5" name="source_uri" dataDxfId="126"/>
    <tableColumn id="6" name="usage_scope" dataDxfId="12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ScreenMetrics" displayName="ScreenMetrics" ref="A1:H16" headerRowCount="1" totalsRowShown="0" headerRowDxfId="124" dataDxfId="123">
  <tableColumns count="8">
    <tableColumn id="1" name="metric_id" dataDxfId="122"/>
    <tableColumn id="2" name="metric_name" dataDxfId="121"/>
    <tableColumn id="3" name="unit_code" dataDxfId="120"/>
    <tableColumn id="4" name="value_kind" dataDxfId="119"/>
    <tableColumn id="5" name="sex_required" dataDxfId="118"/>
    <tableColumn id="6" name="diet_signal" dataDxfId="117"/>
    <tableColumn id="7" name="screening_source_id" dataDxfId="116"/>
    <tableColumn id="8" name="note" dataDxfId="11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ScreenComponentSpec" displayName="ScreenComponentSpec" ref="A1:F17" headerRowCount="1" totalsRowShown="0" headerRowDxfId="114" dataDxfId="113">
  <tableColumns count="6">
    <tableColumn id="1" name="metric_id" dataDxfId="112"/>
    <tableColumn id="2" name="component_key" dataDxfId="111"/>
    <tableColumn id="3" name="value_kind" dataDxfId="110"/>
    <tableColumn id="4" name="required" dataDxfId="109"/>
    <tableColumn id="5" name="expected_unit" dataDxfId="108"/>
    <tableColumn id="6" name="normalization_note" dataDxfId="10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ScreenBandGroups" displayName="ScreenBandGroups" ref="A1:I54" headerRowCount="1" totalsRowShown="0" headerRowDxfId="106" dataDxfId="105">
  <tableColumns count="9">
    <tableColumn id="1" name="rule_group_id" dataDxfId="104"/>
    <tableColumn id="2" name="metric_id" dataDxfId="103"/>
    <tableColumn id="3" name="sex_code" dataDxfId="102"/>
    <tableColumn id="4" name="band_code" dataDxfId="101"/>
    <tableColumn id="5" name="precedence" dataDxfId="100"/>
    <tableColumn id="6" name="group_logic" dataDxfId="99"/>
    <tableColumn id="7" name="source_id" dataDxfId="98"/>
    <tableColumn id="8" name="rule_version" dataDxfId="97"/>
    <tableColumn id="9" name="effective_from" dataDxfId="9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ScreenBandPredicates" displayName="ScreenBandPredicates" ref="A1:G74" headerRowCount="1" totalsRowShown="0" headerRowDxfId="95" dataDxfId="94">
  <tableColumns count="7">
    <tableColumn id="1" name="rule_group_id" dataDxfId="93"/>
    <tableColumn id="2" name="condition_order" dataDxfId="92"/>
    <tableColumn id="3" name="metric_id" dataDxfId="91"/>
    <tableColumn id="4" name="component_key" dataDxfId="90"/>
    <tableColumn id="5" name="operator_code" dataDxfId="89"/>
    <tableColumn id="6" name="threshold_number" dataDxfId="88"/>
    <tableColumn id="7" name="note" dataDxfId="87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ScreenCategoryCodes" displayName="ScreenCategoryCodes" ref="A1:E4" headerRowCount="1" totalsRowShown="0" headerRowDxfId="86" dataDxfId="85">
  <tableColumns count="5">
    <tableColumn id="1" name="metric_id" dataDxfId="84"/>
    <tableColumn id="2" name="raw_code" dataDxfId="83"/>
    <tableColumn id="3" name="normalized_code" dataDxfId="82"/>
    <tableColumn id="4" name="ordinal_value" dataDxfId="81"/>
    <tableColumn id="5" name="note" dataDxfId="8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ScreenPolicies" displayName="ScreenPolicies" ref="A1:F10" headerRowCount="1" totalsRowShown="0" headerRowDxfId="79" dataDxfId="78">
  <tableColumns count="6">
    <tableColumn id="1" name="policy_id" dataDxfId="77"/>
    <tableColumn id="2" name="scope_code" dataDxfId="76"/>
    <tableColumn id="3" name="priority" dataDxfId="75"/>
    <tableColumn id="4" name="policy_text" dataDxfId="74"/>
    <tableColumn id="5" name="execution_status" dataDxfId="73"/>
    <tableColumn id="6" name="source_id" dataDxfId="72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creenSupplemental" displayName="ScreenSupplemental" ref="A1:H34" headerRowCount="1" totalsRowShown="0" headerRowDxfId="71" dataDxfId="70">
  <tableColumns count="8">
    <tableColumn id="1" name="supplemental_id" dataDxfId="69"/>
    <tableColumn id="2" name="metric_id" dataDxfId="68"/>
    <tableColumn id="3" name="sex_code" dataDxfId="67"/>
    <tableColumn id="4" name="label" dataDxfId="66"/>
    <tableColumn id="5" name="range_text" dataDxfId="65"/>
    <tableColumn id="6" name="use_scope" dataDxfId="64"/>
    <tableColumn id="7" name="source_id" dataDxfId="63"/>
    <tableColumn id="8" name="note" dataDxfId="6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ScreenDietSignals" displayName="ScreenDietSignals" ref="A1:I5" headerRowCount="1" totalsRowShown="0" headerRowDxfId="61" dataDxfId="60">
  <tableColumns count="9">
    <tableColumn id="1" name="metric_id" dataDxfId="59"/>
    <tableColumn id="2" name="priority_group" dataDxfId="58"/>
    <tableColumn id="3" name="eligible_band" dataDxfId="57"/>
    <tableColumn id="4" name="goal_axis_status" dataDxfId="56"/>
    <tableColumn id="5" name="phrase_status" dataDxfId="55"/>
    <tableColumn id="6" name="axis_question_id" dataDxfId="54"/>
    <tableColumn id="7" name="selection_policy" dataDxfId="53"/>
    <tableColumn id="8" name="source_note" dataDxfId="52"/>
    <tableColumn id="9" name="minimum_value_inclusive" dataDxfId="5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ScreenPeerPolicy" displayName="ScreenPeerPolicy" ref="A1:F9" headerRowCount="1" totalsRowShown="0" headerRowDxfId="50" dataDxfId="49">
  <tableColumns count="6">
    <tableColumn id="1" name="policy_id" dataDxfId="48"/>
    <tableColumn id="2" name="policy_name" dataDxfId="47"/>
    <tableColumn id="3" name="value_text" dataDxfId="46"/>
    <tableColumn id="4" name="number_value" dataDxfId="45"/>
    <tableColumn id="5" name="source_id" dataDxfId="44"/>
    <tableColumn id="6" name="data_status" dataDxfId="43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ietValidationRules" displayName="DietValidationRules" ref="A1:D54" headerRowCount="1" totalsRowShown="0" headerRowDxfId="42" dataDxfId="41">
  <tableColumns count="4">
    <tableColumn id="1" name="규칙 ID" dataDxfId="40"/>
    <tableColumn id="2" name="대상" dataDxfId="39"/>
    <tableColumn id="3" name="검사" dataDxfId="38"/>
    <tableColumn id="4" name="실패 시 처리" dataDxfId="37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DietProfileConditionMap" displayName="DietProfileConditionMap" ref="A1:F5" headerRowCount="1" totalsRowShown="0" headerRowDxfId="36" dataDxfId="35">
  <tableColumns count="6">
    <tableColumn id="1" name="condition_code" dataDxfId="34"/>
    <tableColumn id="2" name="display_name" dataDxfId="33"/>
    <tableColumn id="3" name="diet_status" dataDxfId="32"/>
    <tableColumn id="4" name="rule_id" dataDxfId="31"/>
    <tableColumn id="5" name="mapping_note" dataDxfId="30"/>
    <tableColumn id="6" name="source_ui" dataDxfId="29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DietGoalPhrasesClean" displayName="DietGoalPhrasesClean" ref="A1:N404" headerRowCount="1" totalsRowShown="0" headerRowDxfId="28" dataDxfId="27">
  <tableColumns count="14">
    <tableColumn id="1" name="phrase_id" dataDxfId="26"/>
    <tableColumn id="2" name="phrase_version" dataDxfId="25"/>
    <tableColumn id="3" name="source_status" dataDxfId="24"/>
    <tableColumn id="4" name="pool_type" dataDxfId="23"/>
    <tableColumn id="5" name="axis_question_id" dataDxfId="22"/>
    <tableColumn id="6" name="stage_code" dataDxfId="21"/>
    <tableColumn id="7" name="tile_text" dataDxfId="20"/>
    <tableColumn id="14" name="full_text" dataDxfId="19"/>
    <tableColumn id="8" name="reason_text" dataDxfId="18"/>
    <tableColumn id="9" name="nature_code" dataDxfId="17"/>
    <tableColumn id="10" name="screening_only" dataDxfId="16"/>
    <tableColumn id="11" name="evidence_raw" dataDxfId="15"/>
    <tableColumn id="12" name="source_note_raw" dataDxfId="14"/>
    <tableColumn id="13" name="source_row" dataDxfId="1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DietPhraseApplicabilityClean" displayName="DietPhraseApplicabilityClean" ref="A1:K404" headerRowCount="1" totalsRowShown="0" headerRowDxfId="12" dataDxfId="11">
  <autoFilter ref="A1:K404">
    <filterColumn colId="6" hiddenButton="0" showButton="1">
      <filters>
        <filter val="TRUE"/>
      </filters>
    </filterColumn>
  </autoFilter>
  <tableColumns count="11">
    <tableColumn id="1" name="phrase_id" dataDxfId="10"/>
    <tableColumn id="2" name="phrase_version" dataDxfId="9"/>
    <tableColumn id="3" name="raw_tag" dataDxfId="8"/>
    <tableColumn id="4" name="time_code" dataDxfId="7"/>
    <tableColumn id="5" name="calendar_code" dataDxfId="6"/>
    <tableColumn id="6" name="context_code" dataDxfId="5"/>
    <tableColumn id="7" name="after_dinner_eligible" dataDxfId="4"/>
    <tableColumn id="8" name="parse_status" dataDxfId="3"/>
    <tableColumn id="9" name="context_match_mode" dataDxfId="2"/>
    <tableColumn id="10" name="context_codes" dataDxfId="1"/>
    <tableColumn id="11" name="source_ro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sheet1.xml><?xml version="1.0" encoding="utf-8"?>
<worksheet xmlns="http://schemas.openxmlformats.org/spreadsheetml/2006/main">
  <sheetPr>
    <tabColor rgb="FF315A7D"/>
    <outlinePr summaryBelow="1" summaryRight="1"/>
    <pageSetUpPr/>
  </sheetPr>
  <dimension ref="A1:D28"/>
  <sheetViews>
    <sheetView showGridLines="0" tabSelected="1" workbookViewId="0">
      <pane ySplit="1" topLeftCell="A2" activePane="bottomLeft" state="frozen"/>
      <selection pane="bottomLeft" activeCell="A23" sqref="A23:XFD23"/>
    </sheetView>
  </sheetViews>
  <sheetFormatPr baseColWidth="8" defaultRowHeight="14"/>
  <cols>
    <col width="43.58203125" customWidth="1" min="1" max="1"/>
    <col width="60.58203125" customWidth="1" min="2" max="4"/>
    <col width="10.58203125" customWidth="1" min="5" max="5"/>
  </cols>
  <sheetData>
    <row r="1">
      <c r="A1" s="1" t="inlineStr">
        <is>
          <t>항목</t>
        </is>
      </c>
      <c r="B1" s="1" t="inlineStr">
        <is>
          <t>내용</t>
        </is>
      </c>
      <c r="C1" s="2" t="inlineStr">
        <is>
          <t>열1</t>
        </is>
      </c>
      <c r="D1" s="2" t="inlineStr">
        <is>
          <t>열2</t>
        </is>
      </c>
    </row>
    <row r="2">
      <c r="A2" s="3" t="inlineStr">
        <is>
          <t>발행 상태</t>
        </is>
      </c>
      <c r="B2" s="4" t="inlineStr">
        <is>
          <t>식이 개발 전달 데이터 계약 · v1.3.0 · 2026-10-14 (최초 발행 2026-09-23)</t>
        </is>
      </c>
      <c r="C2" s="5" t="n"/>
      <c r="D2" s="5" t="n"/>
    </row>
    <row r="3">
      <c r="A3" s="3" t="inlineStr">
        <is>
          <t>범위</t>
        </is>
      </c>
      <c r="B3" s="4" t="inlineStr">
        <is>
          <t>참조 데이터 정규화와 런타임 테이블 정의. 환자 데이터는 포함하지 않음</t>
        </is>
      </c>
      <c r="C3" s="5" t="n"/>
      <c r="D3" s="5" t="n"/>
    </row>
    <row r="4">
      <c r="A4" s="3" t="inlineStr">
        <is>
          <t>참조 데이터</t>
        </is>
      </c>
      <c r="B4" s="4" t="inlineStr">
        <is>
          <t>maiReport_식이_참조설정데이터_v1.0.0.xlsx (2026-10-13)</t>
        </is>
      </c>
      <c r="C4" s="5" t="n"/>
      <c r="D4" s="5" t="n"/>
    </row>
    <row r="5">
      <c r="A5" s="3" t="inlineStr">
        <is>
          <t>규칙 기준</t>
        </is>
      </c>
      <c r="B5" s="4" t="inlineStr">
        <is>
          <t>mai-report-식이_질문목표_상세기획_v1.0.0.html (2026-10-13)</t>
        </is>
      </c>
      <c r="C5" s="5" t="n"/>
      <c r="D5" s="5" t="n"/>
    </row>
    <row r="6" ht="25" customHeight="1">
      <c r="A6" s="3" t="inlineStr">
        <is>
          <t>검진 기준</t>
        </is>
      </c>
      <c r="B6" s="4" t="inlineStr">
        <is>
          <t>maiReport_AI검진요약_기준범위_레퍼런스.html (2026-09-14). 공단 2026-01-07 별첨과 주요 1차 구간 대조</t>
        </is>
      </c>
      <c r="C6" s="5" t="n"/>
      <c r="D6" s="5" t="n"/>
    </row>
    <row r="7">
      <c r="A7" s="3" t="inlineStr">
        <is>
          <t>읽는 순서</t>
        </is>
      </c>
      <c r="B7" s="4" t="inlineStr">
        <is>
          <t>테이블정의 → 필드정의 → 구현기준 → 실제 데이터 시트 → 검증규칙</t>
        </is>
      </c>
      <c r="C7" s="5" t="n"/>
      <c r="D7" s="5" t="n"/>
    </row>
    <row r="8" ht="25" customHeight="1">
      <c r="A8" s="3" t="inlineStr">
        <is>
          <t>NULL 처리</t>
        </is>
      </c>
      <c r="B8" s="4" t="inlineStr">
        <is>
          <t>NULL은 거짓·0·임의 기본값으로 치환하지 않는다. 필수 입력이 없으면 해당 분기를 적용하지 않고 다음 우선순위로 이동한다.</t>
        </is>
      </c>
      <c r="C8" s="5" t="n"/>
      <c r="D8" s="5" t="n"/>
    </row>
    <row r="9">
      <c r="A9" s="3" t="inlineStr">
        <is>
          <t>데이터 계층</t>
        </is>
      </c>
      <c r="B9" s="4" t="inlineStr">
        <is>
          <t>참조 시트는 개발용 정규화 데이터. 런타임 테이블은 테이블·필드 정의만 제공</t>
        </is>
      </c>
      <c r="C9" s="5" t="n"/>
      <c r="D9" s="5" t="n"/>
    </row>
    <row r="10" ht="26" customHeight="1">
      <c r="A10" s="3" t="inlineStr">
        <is>
          <t>데이터 건수</t>
        </is>
      </c>
      <c r="B10" s="18">
        <f>"질문 "&amp;COUNTA(질문!A2:A100)&amp;", 선택지 "&amp;COUNTA(선택지!A2:A200)&amp;", 목표문구 "&amp;COUNTA(목표문구!A2:A999)&amp;", 노출조건 "&amp;COUNTA(노출조건!A2:A999)&amp;", 질환규칙 "&amp;COUNTA(질환규칙!A2:A100)&amp;", 상병코드조건 "&amp;COUNTA(상병코드조건!A2:A1000)&amp;", 설정 "&amp;COUNTA(설정!A2:A1000)&amp;" · 식후 가능 문구 "&amp;COUNTIF(노출조건!G2:G999,TRUE)&amp;" · 보류 문구 "&amp;COUNTIF(목표문구!C2:C999,"보류")</f>
        <v/>
      </c>
      <c r="C10" s="5" t="n"/>
      <c r="D10" s="5" t="n"/>
    </row>
    <row r="11" ht="25" customHeight="1">
      <c r="A11" s="3" t="inlineStr">
        <is>
          <t>데이터 원칙</t>
        </is>
      </c>
      <c r="B11" s="4" t="inlineStr">
        <is>
          <t>문구·이유·코드·원본 메모를 보존한다. 명확한 단일 태그만 구조화하고 복합 조건은 원본 메모와 노출조건을 함께 읽는다.</t>
        </is>
      </c>
      <c r="C11" s="5" t="n"/>
      <c r="D11" s="5" t="n"/>
    </row>
    <row r="12">
      <c r="A12" s="3" t="inlineStr">
        <is>
          <t>임시 식별자</t>
        </is>
      </c>
      <c r="B12" s="4" t="inlineStr">
        <is>
          <t>COND-nnn과 CFG-nnn은 원본 행 기반. 운영 DB 적재 전에 영속 ID 확정 필요</t>
        </is>
      </c>
      <c r="C12" s="5" t="n"/>
      <c r="D12" s="5" t="n"/>
    </row>
    <row r="13" ht="25" customHeight="1">
      <c r="A13" s="3" t="inlineStr">
        <is>
          <t>검진 자료 경계</t>
        </is>
      </c>
      <c r="B13" s="4" t="inlineStr">
        <is>
          <t>공단 3구간은 검진 배지용. 식이 목표는 검진 신호가 기존 축 문구 풀을 우선 선정. 또래 분포표는 별도 확정 필요</t>
        </is>
      </c>
      <c r="C13" s="5" t="n"/>
      <c r="D13" s="5" t="n"/>
    </row>
    <row r="14" ht="37.5" customHeight="1">
      <c r="A14" s="3" t="inlineStr">
        <is>
          <t>실행 경계</t>
        </is>
      </c>
      <c r="B14" s="4" t="inlineStr">
        <is>
          <t>검진일로부터 3개월 이내 결과만 식이 목표에 반영. 목표 축은 그날 회전 질문으로 고른 축과 같다. 그 축에 통과 문구가 없을 때만 직접 선택 → 진료정보 확인 → 검진 신호 → 일반 순서로 다음 축을 찾는다. 안전 제외는 출처와 무관하게 합산</t>
        </is>
      </c>
      <c r="C14" s="5" t="n"/>
      <c r="D14" s="5" t="n"/>
    </row>
    <row r="15">
      <c r="A15" s="6" t="n"/>
      <c r="B15" s="5" t="n"/>
      <c r="C15" s="5" t="n"/>
      <c r="D15" s="5" t="n"/>
    </row>
    <row r="16">
      <c r="A16" s="6" t="inlineStr">
        <is>
          <t>바뀐 내용 · 2026-10-14</t>
        </is>
      </c>
      <c r="B16" s="5" t="n"/>
      <c r="C16" s="5" t="n"/>
      <c r="D16" s="5" t="n"/>
    </row>
    <row r="17">
      <c r="A17" s="6" t="inlineStr">
        <is>
          <t>v1.1.0 · v1.2.0 · v1.3.0에서 바꾼 것. 파일 이름은 v1.0.0 그대로 둔다.</t>
        </is>
      </c>
      <c r="B17" s="5" t="n"/>
      <c r="C17" s="5" t="n"/>
      <c r="D17" s="5" t="n"/>
    </row>
    <row r="18">
      <c r="A18" s="6" t="n"/>
      <c r="B18" s="5" t="n"/>
      <c r="C18" s="5" t="n"/>
      <c r="D18" s="5" t="n"/>
    </row>
    <row r="19">
      <c r="A19" s="6" t="inlineStr">
        <is>
          <t>항목</t>
        </is>
      </c>
      <c r="B19" s="5" t="inlineStr">
        <is>
          <t>전</t>
        </is>
      </c>
      <c r="C19" s="5" t="inlineStr">
        <is>
          <t>후</t>
        </is>
      </c>
      <c r="D19" s="5" t="inlineStr">
        <is>
          <t>바뀐 자리</t>
        </is>
      </c>
    </row>
    <row r="20" ht="52" customHeight="1">
      <c r="A20" s="32" t="inlineStr">
        <is>
          <t>목표 문구 227개 추가</t>
        </is>
      </c>
      <c r="B20" s="32" t="inlineStr">
        <is>
          <t>저녁·새벽에 쓸 수 있는 식후 문구가 15개뿐이라 입문 사용자 한 명이 60일 동안 저녁 9개, 새벽 7개 문구만 반복해서 봄(시뮬레이터)
입문 문구가 축마다 5~9개라 단계가 오르지 않는 사용자가 같은 문구를 자주 봄</t>
        </is>
      </c>
      <c r="C20" s="32" t="inlineStr">
        <is>
          <t>DIET-P-0274~0500 227개 추가: 저녁·새벽 문구 · 입문 보강 · 새 표현 · 끼니 추천(아침추천 · 저녁추천, 샐러드는 「○○샐러드+1/2소스」) · 회복 · 부담 줄이기
모두 12자 이내 · 성격 확정 · 근거 출처 ID 기재 · 영문은 외주 번역 예정
시뮬레이터 기준 저녁 60일 9개 → 33개, 같은 문구 다시 보기까지 6일 → 32일</t>
        </is>
      </c>
      <c r="D20" s="32" t="inlineStr">
        <is>
          <t>목표문구 · 노출조건 시트 DIET-P-0274~0500 · 번역_en 추가 행 · 검증규칙 V-05 · V-53 · V-54</t>
        </is>
      </c>
    </row>
    <row r="21" ht="52" customHeight="1">
      <c r="A21" s="32" t="inlineStr">
        <is>
          <t>풀어 쓴 문구 추가 (v1.2.0)</t>
        </is>
      </c>
      <c r="B21" s="32" t="inlineStr">
        <is>
          <t>목표 문구는 12자 타일 문구와 이유 한 줄뿐이라, 「세 끼 어제처럼 먹기」「아침추천: 시금치/오이」처럼 짧아서 무엇을 하라는 건지 알기 어려운 문구가 있음</t>
        </is>
      </c>
      <c r="C21" s="32" t="inlineStr">
        <is>
          <t>문구 403개 모두에 full_text(풀어 쓴 문구) 한 문장 추가 · 40자 이내 · 무엇을 어떻게 하면 되는지 바로 알 수 있게 씀 · 타일 문구·이유 한 줄·문구 버전은 그대로 / 예: 「세 끼 어제처럼 먹기」 → 「오늘도 어제와 비슷한 시간에 아침·점심·저녁 세 끼를 드세요.」 / 영문은 다음 차례</t>
        </is>
      </c>
      <c r="D21" s="32" t="inlineStr">
        <is>
          <t>목표문구 full_text 열 · 필드정의 diet_goal_phrase.full_text · diet_goal.full_text_snapshot · 검증규칙 V-05</t>
        </is>
      </c>
    </row>
    <row r="22" ht="39" customHeight="1">
      <c r="A22" s="32" t="inlineStr">
        <is>
          <t>세 번째 선택지 문구 바꿈</t>
        </is>
      </c>
      <c r="B22" s="32" t="inlineStr">
        <is>
          <t>고정 질문(DIET-Q-00) 세 번째 선택지가 「거의 못 먹음」. 코드(very_little_or_skipped)에는 걸렀다는 뜻도 담았지만 글자에는 드러나지 않아, 거른 사람과 조금 먹은 사람이 같은 답을 고르는지 알기 어려움</t>
        </is>
      </c>
      <c r="C22" s="32" t="inlineStr">
        <is>
          <t>「거의 못 먹거나 거름」으로 바꿈. 코드 · 점수(-1) · 순서는 그대로라 저장된 답과 집계는 바뀌지 않음. 11자라 선택지 5~7자 규칙의 예외. 영어는 「Barely ate or skipped」</t>
        </is>
      </c>
      <c r="D22" s="32" t="inlineStr">
        <is>
          <t>선택지 DIET-Q-00 3번 option_label · 번역_en OPTION very_little_or_skipped · 구현기준 R-10 · 검증규칙 V-52</t>
        </is>
      </c>
    </row>
    <row r="23" ht="65" customHeight="1">
      <c r="A23" s="32" t="inlineStr">
        <is>
          <t>고정 질문 선택지 문구 바꿈 (10-14)</t>
        </is>
      </c>
      <c r="B23" s="32" t="inlineStr">
        <is>
          <t>고정 질문(DIET-Q-00) 선택지가 「평소대로 · 조금 적게 · 거의 못 먹거나 거름」이라 많이 먹은 날과 몇 입만 먹은 날을 어디에 눌러야 할지 글자로 드러나지 않았음</t>
        </is>
      </c>
      <c r="C23" s="32" t="inlineStr">
        <is>
          <t>「충분히 먹음 · 적게 · 몇 입만 · 못 먹거나 거름」으로 바꿈. 코드 · 점수 · 순서는 그대로. 몇 입만 먹은 끼니도 소식으로 보고 「적게 · 몇 입만」(less, 0점)에 넣으며 점수를 깎지 않음. 회복 목표는 이 답에서도 그대로 나감. 3번 코드 very_little_or_skipped는 이름과 달리 「못 먹거나 거름」, 곧 걸렀거나 먹지 못한 끼니만 뜻함</t>
        </is>
      </c>
      <c r="D23" s="32" t="inlineStr">
        <is>
          <t>선택지 DIET-Q-00 1~3번 option_label · 번역_en 11~13행</t>
        </is>
      </c>
    </row>
    <row r="24" ht="65" customHeight="1">
      <c r="A24" s="32" t="inlineStr">
        <is>
          <t>끼니별 식사 시각 단계 추가 (v1.3.0 · 10-14)</t>
        </is>
      </c>
      <c r="B24" s="32" t="inlineStr">
        <is>
          <t>식사 시각을 받는 질문이 없어 자기돌봄 · 일상안정의 「식후 행동」 칸이 늘 비어 있었다. 고정 질문(DIET-Q-00)은 양만 묻는다</t>
        </is>
      </c>
      <c r="C24" s="32" t="inlineStr">
        <is>
          <t>고정 질문에 「충분히 먹음 · 적게 · 몇 입만」으로 답하면 같은 자리에서 「{끼니}은 언제쯤 드셨어요?」(점심·저녁 DIET-Q-08, 아침은 「아침은 몇 시쯤 드셨어요?」 DIET-Q-09)를 이어서 묻는다. 질문 1개로 세어 식이 최대 3문항 · 전체 최대 5문항. 버튼 3개(1시간 간격 · 10분 내림 · 끼니별 선택지 상한 시각) · 건너뛰기 없음 · 점수 없음. 어제 저녁 · 「못 먹거나 거름」 · 건강 앱 식사 기록이 있으면 묻지 않는다. 받은 답으로 식사 시각을 추정해 diet_meal_time에 저장한다</t>
        </is>
      </c>
      <c r="D24" s="32" t="inlineStr">
        <is>
          <t>질문 DIET-Q-08 · 09 · 선택지 6행 · 테이블정의 diet_meal_time · 필드정의(diet_question.question_role FOLLOW_UP, diet_question_state.slot_code MEAL_TIME, diet_answer.option_window_start/end, diet_meal_time 13열) · 구현기준 R-11 · 설정 CFG-072~085 · 설정파라미터 · 검증규칙 V-53 · V-55~V-58 · 번역_en 11행</t>
        </is>
      </c>
    </row>
    <row r="25">
      <c r="A25" s="32" t="inlineStr">
        <is>
          <t>식후 행동 판정 기준 추가 (10-14)</t>
        </is>
      </c>
      <c r="B25" s="32" t="inlineStr">
        <is>
          <t>식사 시각은 받지만 식후에 걸었는지를 어떻게 판정하는지가 계약에 없었음</t>
        </is>
      </c>
      <c r="C25" s="32" t="inlineStr">
        <is>
          <t>걸음 기록으로 판정한다: 식후 관찰 시간 안 5분 초과 이어 걷기(분당 20보) · 합계 300보 · 운동 기록 시작 중 하나면 완료, 아니면 미완료, 걸음 기록이 없거나 식사 시각이 모름이면 모름. 계산식 전달 문서 v7.0이 판정을 서비스 몫으로 두므로 이 계약에서 정한다</t>
        </is>
      </c>
      <c r="D25" s="32" t="inlineStr">
        <is>
          <t>구현기준 R-12 · 설정 CFG-086~088 · 설정파라미터 · 검증규칙 V-59 · 필드정의 diet_meal_time.post_meal_action / post_meal_action_basis</t>
        </is>
      </c>
    </row>
    <row r="26">
      <c r="A26" s="32" t="inlineStr">
        <is>
          <t>시각 단계 선택지 글자 · 어제 저녁 질문 (10-14)</t>
        </is>
      </c>
      <c r="B26" s="32" t="inlineStr">
        <is>
          <t>점심 · 저녁 선택지 큰 글자가 「오후 12:20 이후」처럼 시각이라 길고(5~7자 규칙 예외), 어제 저녁에는 시각을 묻지 않았음</t>
        </is>
      </c>
      <c r="C26" s="32" t="inlineStr">
        <is>
          <t>선택지 글자는 「1시간 이내 / 1~2시간 전 / 그보다 전」(5~7자 안), 작은 글씨 없음. 상한 · 하한에 걸린 동안은 시각 글자. 어제 저녁도 묻는다(DIET-Q-10 「어제 저녁은 몇 시쯤 드셨어요?」, 저녁 7시 · 8시 고정, CFG-089) — 일상안정이 최근 7일 식후 행동을 합산하므로 어제 값도 쓰임</t>
        </is>
      </c>
      <c r="D26" s="32" t="inlineStr">
        <is>
          <t>질문 DIET-Q-10 · 선택지 DIET-Q-08 label 3행 · DIET-Q-10 3행 · 설정 CFG-089 · 구현기준 R-11 · 검증규칙 V-53 · V-55 · V-56 · 필드정의 skip_reason · 번역_en</t>
        </is>
      </c>
    </row>
    <row r="27">
      <c r="A27" s="32" t="inlineStr">
        <is>
          <t>저녁 선택지 (10-14)</t>
        </is>
      </c>
      <c r="B27" s="32" t="inlineStr">
        <is>
          <t>저녁을 오후 9시 뒤에 답하면 선택지가 9시에서 멈춰 10시에 먹은 사람은 고를 칸이 없고, 5시 하한 때문에 4시 반에 먹은 사람도 못 골랐음</t>
        </is>
      </c>
      <c r="C27" s="32" t="inlineStr">
        <is>
          <t>오후 9시까지는 「1시간 이내 / 1~2시간 전 / 그보다 전」(하한 4시로 내림, CFG-090), 9시가 지나서 답하면 「7시 이전 / 7시~9시 / 9시 이후」 고정(DIET-Q-11, CFG-089). 어제 저녁(DIET-Q-10)도 같은 고정 선택지로 통일. 모의 정확도는 1시간 칸만 쓸 때와 같고(30분 이내 77%), 5시 · 10시 식사가 모두 들어감</t>
        </is>
      </c>
      <c r="D27" s="32" t="inlineStr">
        <is>
          <t>질문 DIET-Q-11 · 선택지 DIET-Q-10 relabel · DIET-Q-11 3행 · 설정 CFG-076 · 077 · 089 · 090 · 구현기준 R-11 · 검증규칙 V-53 · V-55 · V-56 · 번역_en</t>
        </is>
      </c>
    </row>
    <row r="28">
      <c r="A28" s="32" t="inlineStr">
        <is>
          <t>식사 시각 추정 단순화 (10-14)</t>
        </is>
      </c>
      <c r="B28" s="32" t="inlineStr">
        <is>
          <t>추정 순서에 걸음 멈춤 단서(CFG-079)와 지난 2주 평소 시각(CFG-080)이 있었음</t>
        </is>
      </c>
      <c r="C28" s="32" t="inlineStr">
        <is>
          <t>둘 다 1차에서 뺌. 추정은 건강 앱 식사 기록 → 선택지 범위의 가운데 두 단계. 건강 앱 기록은 끼니 구분이 없고 선택지 추정값은 가운데값이라 평소 시각이 믿을 만하지 않음. 식후 걸음 판정 결과(모의 87~89%)는 그대로</t>
        </is>
      </c>
      <c r="D28" s="32" t="inlineStr">
        <is>
          <t>구현기준 R-11 ⑤ · 검증규칙 V-57 · 설정 CFG-079 · 080 사용 안 함 · 필드정의 diet_meal_time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315A7D"/>
    <outlinePr summaryBelow="1" summaryRight="1"/>
    <pageSetUpPr/>
  </sheetPr>
  <dimension ref="A1:G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26.58203125" customWidth="1" min="1" max="1"/>
    <col width="14.58203125" customWidth="1" min="2" max="2"/>
    <col width="10.58203125" customWidth="1" min="3" max="3"/>
    <col width="39.58203125" customWidth="1" min="4" max="4"/>
    <col width="48.58203125" customWidth="1" min="5" max="6"/>
    <col width="60.58203125" customWidth="1" min="7" max="7"/>
  </cols>
  <sheetData>
    <row r="1" ht="28" customHeight="1">
      <c r="A1" s="7" t="inlineStr">
        <is>
          <t>테이블명</t>
        </is>
      </c>
      <c r="B1" s="7" t="inlineStr">
        <is>
          <t>데이터 시트</t>
        </is>
      </c>
      <c r="C1" s="7" t="inlineStr">
        <is>
          <t>계층</t>
        </is>
      </c>
      <c r="D1" s="7" t="inlineStr">
        <is>
          <t>저장 단위</t>
        </is>
      </c>
      <c r="E1" s="7" t="inlineStr">
        <is>
          <t>기본키</t>
        </is>
      </c>
      <c r="F1" s="7" t="inlineStr">
        <is>
          <t>용도</t>
        </is>
      </c>
      <c r="G1" s="7" t="inlineStr">
        <is>
          <t>상태</t>
        </is>
      </c>
    </row>
    <row r="2">
      <c r="A2" s="6" t="inlineStr">
        <is>
          <t>diet_question</t>
        </is>
      </c>
      <c r="B2" s="6" t="inlineStr">
        <is>
          <t>질문</t>
        </is>
      </c>
      <c r="C2" s="6" t="inlineStr">
        <is>
          <t>참조</t>
        </is>
      </c>
      <c r="D2" s="6" t="inlineStr">
        <is>
          <t>질문 ID + 버전</t>
        </is>
      </c>
      <c r="E2" s="6" t="inlineStr">
        <is>
          <t>question_id,question_version</t>
        </is>
      </c>
      <c r="F2" s="6" t="inlineStr">
        <is>
          <t>식이 질문 8종과 노출 역할</t>
        </is>
      </c>
      <c r="G2" s="5" t="inlineStr">
        <is>
          <t>조건부 사용</t>
        </is>
      </c>
    </row>
    <row r="3">
      <c r="A3" s="6" t="inlineStr">
        <is>
          <t>diet_question_option</t>
        </is>
      </c>
      <c r="B3" s="6" t="inlineStr">
        <is>
          <t>선택지</t>
        </is>
      </c>
      <c r="C3" s="6" t="inlineStr">
        <is>
          <t>참조</t>
        </is>
      </c>
      <c r="D3" s="6" t="inlineStr">
        <is>
          <t>질문 ID + 버전 + 선택지 순서</t>
        </is>
      </c>
      <c r="E3" s="6" t="inlineStr">
        <is>
          <t>question_id,question_version,option_order</t>
        </is>
      </c>
      <c r="F3" s="6" t="inlineStr">
        <is>
          <t>선택지 문구·코드·집계값</t>
        </is>
      </c>
      <c r="G3" s="5" t="inlineStr">
        <is>
          <t>조건부 사용</t>
        </is>
      </c>
    </row>
    <row r="4">
      <c r="A4" s="6" t="inlineStr">
        <is>
          <t>diet_goal_phrase</t>
        </is>
      </c>
      <c r="B4" s="6" t="inlineStr">
        <is>
          <t>목표문구</t>
        </is>
      </c>
      <c r="C4" s="6" t="inlineStr">
        <is>
          <t>참조</t>
        </is>
      </c>
      <c r="D4" s="6" t="inlineStr">
        <is>
          <t>문구 ID + 버전</t>
        </is>
      </c>
      <c r="E4" s="6" t="inlineStr">
        <is>
          <t>phrase_id,phrase_version</t>
        </is>
      </c>
      <c r="F4" s="6" t="inlineStr">
        <is>
          <t>목표 행동·이유·축·성격</t>
        </is>
      </c>
      <c r="G4" s="5" t="inlineStr">
        <is>
          <t>일반 문구는 노출 조건에 따라 적용; 검진 전용 연결 보류</t>
        </is>
      </c>
    </row>
    <row r="5" ht="25" customHeight="1">
      <c r="A5" s="6" t="inlineStr">
        <is>
          <t>diet_phrase_applicability</t>
        </is>
      </c>
      <c r="B5" s="6" t="inlineStr">
        <is>
          <t>노출조건</t>
        </is>
      </c>
      <c r="C5" s="6" t="inlineStr">
        <is>
          <t>참조</t>
        </is>
      </c>
      <c r="D5" s="6" t="inlineStr">
        <is>
          <t>문구 ID + 버전</t>
        </is>
      </c>
      <c r="E5" s="6" t="inlineStr">
        <is>
          <t>phrase_id,phrase_version</t>
        </is>
      </c>
      <c r="F5" s="6" t="inlineStr">
        <is>
          <t>문구별 시간대·평일·주말·명절·연휴 노출 조건</t>
        </is>
      </c>
      <c r="G5" s="5" t="inlineStr">
        <is>
          <t>READY만 자동 후보. 시간·평일/주말은 실행 시점에 판정; 상황·명절 조건은 입력 자료가 없어 보류</t>
        </is>
      </c>
    </row>
    <row r="6">
      <c r="A6" s="6" t="inlineStr">
        <is>
          <t>diet_disease_rule</t>
        </is>
      </c>
      <c r="B6" s="6" t="inlineStr">
        <is>
          <t>질환규칙</t>
        </is>
      </c>
      <c r="C6" s="6" t="inlineStr">
        <is>
          <t>참조</t>
        </is>
      </c>
      <c r="D6" s="6" t="inlineStr">
        <is>
          <t>규칙 ID</t>
        </is>
      </c>
      <c r="E6" s="6" t="inlineStr">
        <is>
          <t>rule_id</t>
        </is>
      </c>
      <c r="F6" s="6" t="inlineStr">
        <is>
          <t>원본 연결·금지 플래그와 추천 동작 분리</t>
        </is>
      </c>
      <c r="G6" s="5" t="inlineStr">
        <is>
          <t>규칙별 동작 적용; 진단 후보 조건 별도 검토</t>
        </is>
      </c>
    </row>
    <row r="7">
      <c r="A7" s="6" t="inlineStr">
        <is>
          <t>diet_disease_axis</t>
        </is>
      </c>
      <c r="B7" s="6" t="inlineStr">
        <is>
          <t>질환연결축</t>
        </is>
      </c>
      <c r="C7" s="6" t="inlineStr">
        <is>
          <t>참조</t>
        </is>
      </c>
      <c r="D7" s="6" t="inlineStr">
        <is>
          <t>규칙 ID + 질문 ID</t>
        </is>
      </c>
      <c r="E7" s="6" t="inlineStr">
        <is>
          <t>rule_id,question_id</t>
        </is>
      </c>
      <c r="F7" s="6" t="inlineStr">
        <is>
          <t>질환 확인 후 우선할 질문 축</t>
        </is>
      </c>
      <c r="G7" s="5" t="inlineStr">
        <is>
          <t>사용자 질환 확인 후 규칙별 적용</t>
        </is>
      </c>
    </row>
    <row r="8">
      <c r="A8" s="6" t="inlineStr">
        <is>
          <t>diet_disease_ban_nature</t>
        </is>
      </c>
      <c r="B8" s="6" t="inlineStr">
        <is>
          <t>질환금지성격</t>
        </is>
      </c>
      <c r="C8" s="6" t="inlineStr">
        <is>
          <t>참조</t>
        </is>
      </c>
      <c r="D8" s="6" t="inlineStr">
        <is>
          <t>규칙 ID + 성격</t>
        </is>
      </c>
      <c r="E8" s="6" t="inlineStr">
        <is>
          <t>rule_id,nature_code</t>
        </is>
      </c>
      <c r="F8" s="6" t="inlineStr">
        <is>
          <t>진단 후보부터 제외할 문구 성격</t>
        </is>
      </c>
      <c r="G8" s="5" t="inlineStr">
        <is>
          <t>STOP_ALL 우선; 그 외 성격별 제외</t>
        </is>
      </c>
    </row>
    <row r="9">
      <c r="A9" s="6" t="inlineStr">
        <is>
          <t>diet_disease_code_condition</t>
        </is>
      </c>
      <c r="B9" s="6" t="inlineStr">
        <is>
          <t>상병코드조건</t>
        </is>
      </c>
      <c r="C9" s="6" t="inlineStr">
        <is>
          <t>참조</t>
        </is>
      </c>
      <c r="D9" s="6" t="inlineStr">
        <is>
          <t>원본 조건 행 ID</t>
        </is>
      </c>
      <c r="E9" s="6" t="inlineStr">
        <is>
          <t>condition_id</t>
        </is>
      </c>
      <c r="F9" s="6" t="inlineStr">
        <is>
          <t>진단 후보 생성용 코드·기간·횟수 조건</t>
        </is>
      </c>
      <c r="G9" s="5" t="inlineStr">
        <is>
          <t>동반 코드 논리 등 개별 조건 검토 필요</t>
        </is>
      </c>
    </row>
    <row r="10">
      <c r="A10" s="6" t="inlineStr">
        <is>
          <t>diet_rule_setting</t>
        </is>
      </c>
      <c r="B10" s="6" t="inlineStr">
        <is>
          <t>설정</t>
        </is>
      </c>
      <c r="C10" s="6" t="inlineStr">
        <is>
          <t>참조</t>
        </is>
      </c>
      <c r="D10" s="6" t="inlineStr">
        <is>
          <t>설정 ID</t>
        </is>
      </c>
      <c r="E10" s="6" t="inlineStr">
        <is>
          <t>setting_id</t>
        </is>
      </c>
      <c r="F10" s="6" t="inlineStr">
        <is>
          <t>운영 값과 실행 가능 여부 분리</t>
        </is>
      </c>
      <c r="G10" s="5" t="inlineStr">
        <is>
          <t>문장형 규칙 구조화 필요</t>
        </is>
      </c>
    </row>
    <row r="11">
      <c r="A11" s="6" t="inlineStr">
        <is>
          <t>diet_implementation_rule</t>
        </is>
      </c>
      <c r="B11" s="6" t="inlineStr">
        <is>
          <t>구현기준</t>
        </is>
      </c>
      <c r="C11" s="6" t="inlineStr">
        <is>
          <t>관리</t>
        </is>
      </c>
      <c r="D11" s="6" t="inlineStr">
        <is>
          <t>기준 ID</t>
        </is>
      </c>
      <c r="E11" s="6" t="inlineStr">
        <is>
          <t>rule_id</t>
        </is>
      </c>
      <c r="F11" s="6" t="inlineStr">
        <is>
          <t>확정된 화면·데이터 구현 규칙</t>
        </is>
      </c>
      <c r="G11" s="5" t="inlineStr">
        <is>
          <t>v1.0.0 적용 기준</t>
        </is>
      </c>
    </row>
    <row r="12">
      <c r="A12" s="6" t="inlineStr">
        <is>
          <t>diet_session</t>
        </is>
      </c>
      <c r="B12" s="6" t="inlineStr">
        <is>
          <t>정의만 제공</t>
        </is>
      </c>
      <c r="C12" s="6" t="inlineStr">
        <is>
          <t>런타임</t>
        </is>
      </c>
      <c r="D12" s="6" t="inlineStr">
        <is>
          <t>사용자 + 세션 날짜</t>
        </is>
      </c>
      <c r="E12" s="6" t="inlineStr">
        <is>
          <t>user_id,session_date</t>
        </is>
      </c>
      <c r="F12" s="6" t="inlineStr">
        <is>
          <t>04시 경계의 하루 질문·목표 묶음</t>
        </is>
      </c>
      <c r="G12" s="5" t="inlineStr">
        <is>
          <t>구현 정의</t>
        </is>
      </c>
    </row>
    <row r="13" ht="25" customHeight="1">
      <c r="A13" s="6" t="inlineStr">
        <is>
          <t>diet_question_state</t>
        </is>
      </c>
      <c r="B13" s="6" t="inlineStr">
        <is>
          <t>정의만 제공</t>
        </is>
      </c>
      <c r="C13" s="6" t="inlineStr">
        <is>
          <t>런타임</t>
        </is>
      </c>
      <c r="D13" s="6" t="inlineStr">
        <is>
          <t>사용자 + 세션 + 슬롯</t>
        </is>
      </c>
      <c r="E13" s="6" t="inlineStr">
        <is>
          <t>user_id,session_date,slot_code</t>
        </is>
      </c>
      <c r="F13" s="6" t="inlineStr">
        <is>
          <t>고정·회전 질문의 미응답/답변/조건상 생략</t>
        </is>
      </c>
      <c r="G13" s="5" t="inlineStr">
        <is>
          <t>세션별 문항 상태. ANSWERED는 effective_answer_id로 실제 유효 답을 참조하며, 같은 끼니의 이전 세션 답을 재사용할 수 있다</t>
        </is>
      </c>
    </row>
    <row r="14">
      <c r="A14" s="6" t="inlineStr">
        <is>
          <t>diet_answer</t>
        </is>
      </c>
      <c r="B14" s="6" t="inlineStr">
        <is>
          <t>정의만 제공</t>
        </is>
      </c>
      <c r="C14" s="6" t="inlineStr">
        <is>
          <t>런타임</t>
        </is>
      </c>
      <c r="D14" s="6" t="inlineStr">
        <is>
          <t>응답 ID, 실제 끼니/질문 버전 중 최종 유효 1건</t>
        </is>
      </c>
      <c r="E14" s="6" t="inlineStr">
        <is>
          <t>answer_id</t>
        </is>
      </c>
      <c r="F14" s="6" t="inlineStr">
        <is>
          <t>끼니 단위 선택지 응답과 수정 이력</t>
        </is>
      </c>
      <c r="G14" s="5" t="inlineStr">
        <is>
          <t>구현 정의</t>
        </is>
      </c>
    </row>
    <row r="15">
      <c r="A15" s="6" t="inlineStr">
        <is>
          <t>diet_axis_snapshot</t>
        </is>
      </c>
      <c r="B15" s="6" t="inlineStr">
        <is>
          <t>정의만 제공</t>
        </is>
      </c>
      <c r="C15" s="6" t="inlineStr">
        <is>
          <t>런타임</t>
        </is>
      </c>
      <c r="D15" s="6" t="inlineStr">
        <is>
          <t>사용자 + 축 + 질문버전 + 적용 세션</t>
        </is>
      </c>
      <c r="E15" s="6" t="inlineStr">
        <is>
          <t>user_id,question_id,question_version,applies_session_date</t>
        </is>
      </c>
      <c r="F15" s="6" t="inlineStr">
        <is>
          <t>관찰 상태와 판정에 쓴 응답 범위</t>
        </is>
      </c>
      <c r="G15" s="5" t="inlineStr">
        <is>
          <t>구현 정의</t>
        </is>
      </c>
    </row>
    <row r="16">
      <c r="A16" s="6" t="inlineStr">
        <is>
          <t>diet_axis_stage</t>
        </is>
      </c>
      <c r="B16" s="6" t="inlineStr">
        <is>
          <t>정의만 제공</t>
        </is>
      </c>
      <c r="C16" s="6" t="inlineStr">
        <is>
          <t>런타임</t>
        </is>
      </c>
      <c r="D16" s="6" t="inlineStr">
        <is>
          <t>사용자 + 축</t>
        </is>
      </c>
      <c r="E16" s="6" t="inlineStr">
        <is>
          <t>user_id,question_id</t>
        </is>
      </c>
      <c r="F16" s="6" t="inlineStr">
        <is>
          <t>입문·기본·도전 단계</t>
        </is>
      </c>
      <c r="G16" s="5" t="inlineStr">
        <is>
          <t>구현 정의</t>
        </is>
      </c>
    </row>
    <row r="17">
      <c r="A17" s="6" t="inlineStr">
        <is>
          <t>diet_goal</t>
        </is>
      </c>
      <c r="B17" s="6" t="inlineStr">
        <is>
          <t>정의만 제공</t>
        </is>
      </c>
      <c r="C17" s="6" t="inlineStr">
        <is>
          <t>런타임</t>
        </is>
      </c>
      <c r="D17" s="6" t="inlineStr">
        <is>
          <t>목표 ID + 리비전; 세션당 활성 1건</t>
        </is>
      </c>
      <c r="E17" s="6" t="inlineStr">
        <is>
          <t>goal_id,revision</t>
        </is>
      </c>
      <c r="F17" s="6" t="inlineStr">
        <is>
          <t>선정된 목표의 문구·이유·대상 끼니 스냅샷</t>
        </is>
      </c>
      <c r="G17" s="5" t="inlineStr">
        <is>
          <t>구현 정의</t>
        </is>
      </c>
    </row>
    <row r="18">
      <c r="A18" s="6" t="inlineStr">
        <is>
          <t>diet_goal_completion</t>
        </is>
      </c>
      <c r="B18" s="6" t="inlineStr">
        <is>
          <t>정의만 제공</t>
        </is>
      </c>
      <c r="C18" s="6" t="inlineStr">
        <is>
          <t>런타임</t>
        </is>
      </c>
      <c r="D18" s="6" t="inlineStr">
        <is>
          <t>목표 ID + 리비전</t>
        </is>
      </c>
      <c r="E18" s="6" t="inlineStr">
        <is>
          <t>goal_id,revision</t>
        </is>
      </c>
      <c r="F18" s="6" t="inlineStr">
        <is>
          <t>사용자의 완료 토글 정본</t>
        </is>
      </c>
      <c r="G18" s="5" t="inlineStr">
        <is>
          <t>구현 정의</t>
        </is>
      </c>
    </row>
    <row r="19">
      <c r="A19" s="6" t="inlineStr">
        <is>
          <t>diet_disease_confirmation</t>
        </is>
      </c>
      <c r="B19" s="6" t="inlineStr">
        <is>
          <t>정의만 제공</t>
        </is>
      </c>
      <c r="C19" s="6" t="inlineStr">
        <is>
          <t>런타임</t>
        </is>
      </c>
      <c r="D19" s="6" t="inlineStr">
        <is>
          <t>사용자 + 질환 규칙</t>
        </is>
      </c>
      <c r="E19" s="6" t="inlineStr">
        <is>
          <t>user_id,rule_id</t>
        </is>
      </c>
      <c r="F19" s="6" t="inlineStr">
        <is>
          <t>진단 후보에 대한 사용자 확인 상태</t>
        </is>
      </c>
      <c r="G19" s="5" t="inlineStr">
        <is>
          <t>구현 정의</t>
        </is>
      </c>
    </row>
    <row r="20">
      <c r="A20" s="6" t="inlineStr">
        <is>
          <t>screening_source</t>
        </is>
      </c>
      <c r="B20" s="6" t="inlineStr">
        <is>
          <t>검진출처</t>
        </is>
      </c>
      <c r="C20" s="6" t="inlineStr">
        <is>
          <t>참조</t>
        </is>
      </c>
      <c r="D20" s="6" t="inlineStr">
        <is>
          <t>출처 ID</t>
        </is>
      </c>
      <c r="E20" s="6" t="inlineStr">
        <is>
          <t>source_id</t>
        </is>
      </c>
      <c r="F20" s="6" t="inlineStr">
        <is>
          <t>검진 판정값의 원문·버전 추적</t>
        </is>
      </c>
      <c r="G20" s="5" t="inlineStr">
        <is>
          <t>참조</t>
        </is>
      </c>
    </row>
    <row r="21">
      <c r="A21" s="6" t="inlineStr">
        <is>
          <t>screening_metric</t>
        </is>
      </c>
      <c r="B21" s="6" t="inlineStr">
        <is>
          <t>검진항목</t>
        </is>
      </c>
      <c r="C21" s="6" t="inlineStr">
        <is>
          <t>참조</t>
        </is>
      </c>
      <c r="D21" s="6" t="inlineStr">
        <is>
          <t>검사항목 ID</t>
        </is>
      </c>
      <c r="E21" s="6" t="inlineStr">
        <is>
          <t>metric_id</t>
        </is>
      </c>
      <c r="F21" s="6" t="inlineStr">
        <is>
          <t>검진 항목·단위·결과형 정의</t>
        </is>
      </c>
      <c r="G21" s="5" t="inlineStr">
        <is>
          <t>화면 판정에 사용</t>
        </is>
      </c>
    </row>
    <row r="22">
      <c r="A22" s="6" t="inlineStr">
        <is>
          <t>screening_band_predicate</t>
        </is>
      </c>
      <c r="B22" s="6" t="inlineStr">
        <is>
          <t>검진판정조건</t>
        </is>
      </c>
      <c r="C22" s="6" t="inlineStr">
        <is>
          <t>참조</t>
        </is>
      </c>
      <c r="D22" s="6" t="inlineStr">
        <is>
          <t>판정 그룹 + 조건 순서</t>
        </is>
      </c>
      <c r="E22" s="6" t="inlineStr">
        <is>
          <t>rule_group_id,condition_order</t>
        </is>
      </c>
      <c r="F22" s="6" t="inlineStr">
        <is>
          <t>판정 그룹 안의 개별 비교식</t>
        </is>
      </c>
      <c r="G22" s="5" t="inlineStr">
        <is>
          <t>그룹 참조 후 계산</t>
        </is>
      </c>
    </row>
    <row r="23">
      <c r="A23" s="6" t="inlineStr">
        <is>
          <t>screening_category_value</t>
        </is>
      </c>
      <c r="B23" s="6" t="inlineStr">
        <is>
          <t>검진범주코드</t>
        </is>
      </c>
      <c r="C23" s="6" t="inlineStr">
        <is>
          <t>참조</t>
        </is>
      </c>
      <c r="D23" s="6" t="inlineStr">
        <is>
          <t>항목 ID + 원본 코드</t>
        </is>
      </c>
      <c r="E23" s="6" t="inlineStr">
        <is>
          <t>metric_id,raw_code</t>
        </is>
      </c>
      <c r="F23" s="6" t="inlineStr">
        <is>
          <t>요단백 같은 범주형 결과의 판정용 서열</t>
        </is>
      </c>
      <c r="G23" s="5" t="inlineStr">
        <is>
          <t>원본 코드 매핑 확인 후 사용</t>
        </is>
      </c>
    </row>
    <row r="24">
      <c r="A24" s="6" t="inlineStr">
        <is>
          <t>screening_application_policy</t>
        </is>
      </c>
      <c r="B24" s="6" t="inlineStr">
        <is>
          <t>검진적용정책</t>
        </is>
      </c>
      <c r="C24" s="6" t="inlineStr">
        <is>
          <t>참조</t>
        </is>
      </c>
      <c r="D24" s="6" t="inlineStr">
        <is>
          <t>정책 ID</t>
        </is>
      </c>
      <c r="E24" s="6" t="inlineStr">
        <is>
          <t>policy_id</t>
        </is>
      </c>
      <c r="F24" s="6" t="inlineStr">
        <is>
          <t>검진 결과지와 계산 구간의 우선순위</t>
        </is>
      </c>
      <c r="G24" s="5" t="inlineStr">
        <is>
          <t>화면 구현 규칙</t>
        </is>
      </c>
    </row>
    <row r="25">
      <c r="A25" s="6" t="inlineStr">
        <is>
          <t>screening_supplemental_band</t>
        </is>
      </c>
      <c r="B25" s="6" t="inlineStr">
        <is>
          <t>검진보조기준</t>
        </is>
      </c>
      <c r="C25" s="6" t="inlineStr">
        <is>
          <t>참조</t>
        </is>
      </c>
      <c r="D25" s="6" t="inlineStr">
        <is>
          <t>보조 기준 ID</t>
        </is>
      </c>
      <c r="E25" s="6" t="inlineStr">
        <is>
          <t>supplemental_id</t>
        </is>
      </c>
      <c r="F25" s="6" t="inlineStr">
        <is>
          <t>학회·가이드라인의 세부 구간 보관</t>
        </is>
      </c>
      <c r="G25" s="5" t="inlineStr">
        <is>
          <t>배지·식이 판정에는 자동 사용 금지</t>
        </is>
      </c>
    </row>
    <row r="26">
      <c r="A26" s="6" t="inlineStr">
        <is>
          <t>screening_diet_signal</t>
        </is>
      </c>
      <c r="B26" s="6" t="inlineStr">
        <is>
          <t>검진식이연결</t>
        </is>
      </c>
      <c r="C26" s="6" t="inlineStr">
        <is>
          <t>참조</t>
        </is>
      </c>
      <c r="D26" s="6" t="inlineStr">
        <is>
          <t>검사항목 ID</t>
        </is>
      </c>
      <c r="E26" s="6" t="inlineStr">
        <is>
          <t>metric_id</t>
        </is>
      </c>
      <c r="F26" s="6" t="inlineStr">
        <is>
          <t>검진 경계 신호와 식이 목표 선정 분기를 연결</t>
        </is>
      </c>
      <c r="G26" s="5" t="inlineStr">
        <is>
          <t>기존 축 문구 풀 재사용. 검진 판정 입력·안전 필터 충족 시 적용</t>
        </is>
      </c>
    </row>
    <row r="27">
      <c r="A27" s="6" t="inlineStr">
        <is>
          <t>screening_peer_rank_policy</t>
        </is>
      </c>
      <c r="B27" s="6" t="inlineStr">
        <is>
          <t>또래등수정책</t>
        </is>
      </c>
      <c r="C27" s="6" t="inlineStr">
        <is>
          <t>참조</t>
        </is>
      </c>
      <c r="D27" s="6" t="inlineStr">
        <is>
          <t>정책 ID</t>
        </is>
      </c>
      <c r="E27" s="6" t="inlineStr">
        <is>
          <t>policy_id</t>
        </is>
      </c>
      <c r="F27" s="6" t="inlineStr">
        <is>
          <t>성별·연령대 백분위 방법과 실제 분포표 구분</t>
        </is>
      </c>
      <c r="G27" s="5" t="inlineStr">
        <is>
          <t>분포 경계 데이터 별도 필요</t>
        </is>
      </c>
    </row>
    <row r="28">
      <c r="A28" s="6" t="inlineStr">
        <is>
          <t>screening_result</t>
        </is>
      </c>
      <c r="B28" s="6" t="inlineStr">
        <is>
          <t>정의만 제공</t>
        </is>
      </c>
      <c r="C28" s="6" t="inlineStr">
        <is>
          <t>런타임</t>
        </is>
      </c>
      <c r="D28" s="6" t="inlineStr">
        <is>
          <t>사용자 + 검진 회차 + 항목</t>
        </is>
      </c>
      <c r="E28" s="6" t="inlineStr">
        <is>
          <t>result_id</t>
        </is>
      </c>
      <c r="F28" s="6" t="inlineStr">
        <is>
          <t>검진 결과 단위·검진기관 판정·참고범위</t>
        </is>
      </c>
      <c r="G28" s="5" t="inlineStr">
        <is>
          <t>구현 정의</t>
        </is>
      </c>
    </row>
    <row r="29">
      <c r="A29" s="6" t="inlineStr">
        <is>
          <t>screening_result_component</t>
        </is>
      </c>
      <c r="B29" s="6" t="inlineStr">
        <is>
          <t>정의만 제공</t>
        </is>
      </c>
      <c r="C29" s="6" t="inlineStr">
        <is>
          <t>런타임</t>
        </is>
      </c>
      <c r="D29" s="6" t="inlineStr">
        <is>
          <t>결과 ID + 입력 성분</t>
        </is>
      </c>
      <c r="E29" s="6" t="inlineStr">
        <is>
          <t>result_id,component_key</t>
        </is>
      </c>
      <c r="F29" s="6" t="inlineStr">
        <is>
          <t>단일 값·혈압 두 값·범주형 원본을 같은 계약으로 저장</t>
        </is>
      </c>
      <c r="G29" s="5" t="inlineStr">
        <is>
          <t>구현 정의</t>
        </is>
      </c>
    </row>
    <row r="30">
      <c r="A30" s="6" t="inlineStr">
        <is>
          <t>screening_interpretation</t>
        </is>
      </c>
      <c r="B30" s="6" t="inlineStr">
        <is>
          <t>정의만 제공</t>
        </is>
      </c>
      <c r="C30" s="6" t="inlineStr">
        <is>
          <t>런타임</t>
        </is>
      </c>
      <c r="D30" s="6" t="inlineStr">
        <is>
          <t>결과 ID + 판정 버전</t>
        </is>
      </c>
      <c r="E30" s="6" t="inlineStr">
        <is>
          <t>result_id,rule_version</t>
        </is>
      </c>
      <c r="F30" s="6" t="inlineStr">
        <is>
          <t>최종 배지와 계산 근거·검진기관 우선 여부</t>
        </is>
      </c>
      <c r="G30" s="5" t="inlineStr">
        <is>
          <t>구현 정의</t>
        </is>
      </c>
    </row>
    <row r="31">
      <c r="A31" s="6" t="inlineStr">
        <is>
          <t>screening_band_group</t>
        </is>
      </c>
      <c r="B31" s="6" t="inlineStr">
        <is>
          <t>검진판정그룹</t>
        </is>
      </c>
      <c r="C31" s="6" t="inlineStr">
        <is>
          <t>참조</t>
        </is>
      </c>
      <c r="D31" s="6" t="inlineStr">
        <is>
          <t>판정 그룹 ID</t>
        </is>
      </c>
      <c r="E31" s="6" t="inlineStr">
        <is>
          <t>rule_group_id</t>
        </is>
      </c>
      <c r="F31" s="6" t="inlineStr">
        <is>
          <t>항목·성별·구간·우선순위와 판정 조건 묶음의 유일한 부모</t>
        </is>
      </c>
      <c r="G31" s="5" t="inlineStr">
        <is>
          <t>원본 기준 구조화</t>
        </is>
      </c>
    </row>
    <row r="32">
      <c r="A32" s="6" t="inlineStr">
        <is>
          <t>screening_metric_component</t>
        </is>
      </c>
      <c r="B32" s="6" t="inlineStr">
        <is>
          <t>검진성분규격</t>
        </is>
      </c>
      <c r="C32" s="6" t="inlineStr">
        <is>
          <t>참조</t>
        </is>
      </c>
      <c r="D32" s="6" t="inlineStr">
        <is>
          <t>검사항목 + 성분 키</t>
        </is>
      </c>
      <c r="E32" s="6" t="inlineStr">
        <is>
          <t>metric_id,component_key</t>
        </is>
      </c>
      <c r="F32" s="6" t="inlineStr">
        <is>
          <t>항목별 필수 측정 성분·형태·단위</t>
        </is>
      </c>
      <c r="G32" s="5" t="inlineStr">
        <is>
          <t>검진결과 적재 검증에 사용</t>
        </is>
      </c>
    </row>
    <row r="33">
      <c r="A33" s="6" t="inlineStr">
        <is>
          <t>diet_rule_parameter</t>
        </is>
      </c>
      <c r="B33" s="6" t="inlineStr">
        <is>
          <t>설정파라미터</t>
        </is>
      </c>
      <c r="C33" s="6" t="inlineStr">
        <is>
          <t>참조</t>
        </is>
      </c>
      <c r="D33" s="6" t="inlineStr">
        <is>
          <t>설정 ID + 파라미터 키</t>
        </is>
      </c>
      <c r="E33" s="6" t="inlineStr">
        <is>
          <t>setting_id,parameter_key</t>
        </is>
      </c>
      <c r="F33" s="6" t="inlineStr">
        <is>
          <t>원본 문장형 설정에서 확실한 숫자·시간 조건만 추출</t>
        </is>
      </c>
      <c r="G33" s="5" t="inlineStr">
        <is>
          <t>원본 설정과 함께 읽기</t>
        </is>
      </c>
    </row>
    <row r="34">
      <c r="A34" s="6" t="inlineStr">
        <is>
          <t>diet_screening_phrase_map</t>
        </is>
      </c>
      <c r="B34" s="6" t="inlineStr">
        <is>
          <t>정의만 제공</t>
        </is>
      </c>
      <c r="C34" s="6" t="inlineStr">
        <is>
          <t>참조</t>
        </is>
      </c>
      <c r="D34" s="6" t="inlineStr">
        <is>
          <t>검사항목 + 판정 그룹 + 문구 버전</t>
        </is>
      </c>
      <c r="E34" s="6" t="inlineStr">
        <is>
          <t>metric_id,rule_group_id,phrase_id,phrase_version</t>
        </is>
      </c>
      <c r="F34" s="6" t="inlineStr">
        <is>
          <t>검진 신호에서 사용 가능한 목표 문구의 명시적 연결</t>
        </is>
      </c>
      <c r="G34" s="5" t="inlineStr">
        <is>
          <t>정의만 제공; 검진 문구 확정 전 데이터 없음</t>
        </is>
      </c>
    </row>
    <row r="35" ht="25" customHeight="1">
      <c r="A35" s="6" t="inlineStr">
        <is>
          <t>profile_condition_diet_map</t>
        </is>
      </c>
      <c r="B35" s="6" t="inlineStr">
        <is>
          <t>내정보질환매핑</t>
        </is>
      </c>
      <c r="C35" s="6" t="inlineStr">
        <is>
          <t>참조</t>
        </is>
      </c>
      <c r="D35" s="6" t="inlineStr">
        <is>
          <t>화면 질환 코드</t>
        </is>
      </c>
      <c r="E35" s="6" t="inlineStr">
        <is>
          <t>condition_code</t>
        </is>
      </c>
      <c r="F35" s="6" t="inlineStr">
        <is>
          <t>직접 선택지 4개와 식이 규칙 연결 상태</t>
        </is>
      </c>
      <c r="G35" s="5" t="inlineStr">
        <is>
          <t>MAPPED 3개는 직접 선택 축 1순위와 금지에 적용. SAFETY_ONLY 1개는 금지만 적용</t>
        </is>
      </c>
    </row>
    <row r="36">
      <c r="A36" s="6" t="inlineStr">
        <is>
          <t>user_condition_response</t>
        </is>
      </c>
      <c r="B36" s="6" t="inlineStr">
        <is>
          <t>정의만 제공</t>
        </is>
      </c>
      <c r="C36" s="6" t="inlineStr">
        <is>
          <t>런타임</t>
        </is>
      </c>
      <c r="D36" s="6" t="inlineStr">
        <is>
          <t>사용자 + 응답 리비전</t>
        </is>
      </c>
      <c r="E36" s="6" t="inlineStr">
        <is>
          <t>user_id,revision</t>
        </is>
      </c>
      <c r="F36" s="6" t="inlineStr">
        <is>
          <t>수동 입력의 미응답·해당 없음·선택 상태와 저장 시각</t>
        </is>
      </c>
      <c r="G36" s="5" t="inlineStr">
        <is>
          <t>진료정보 확인 상태와 별도 보관; 최신 리비전만 현재 입력으로 사용</t>
        </is>
      </c>
    </row>
    <row r="37" ht="25" customHeight="1">
      <c r="A37" s="6" t="inlineStr">
        <is>
          <t>user_condition_selection</t>
        </is>
      </c>
      <c r="B37" s="6" t="inlineStr">
        <is>
          <t>정의만 제공</t>
        </is>
      </c>
      <c r="C37" s="6" t="inlineStr">
        <is>
          <t>런타임</t>
        </is>
      </c>
      <c r="D37" s="6" t="inlineStr">
        <is>
          <t>사용자 + 응답 리비전 + 질환 코드</t>
        </is>
      </c>
      <c r="E37" s="6" t="inlineStr">
        <is>
          <t>user_id,revision,condition_code</t>
        </is>
      </c>
      <c r="F37" s="6" t="inlineStr">
        <is>
          <t>해당 리비전에서 사용자가 선택한 질환 코드</t>
        </is>
      </c>
      <c r="G37" s="5" t="inlineStr">
        <is>
          <t>NONE 리비전에는 선택 행 0개. SELECTED는 selection_order를 저장하며, 해제 시 진료정보 행을 수정하지 않음</t>
        </is>
      </c>
    </row>
    <row r="38">
      <c r="A38" s="6" t="inlineStr">
        <is>
          <t>diet_calendar_date</t>
        </is>
      </c>
      <c r="B38" s="6" t="inlineStr">
        <is>
          <t>달력일자</t>
        </is>
      </c>
      <c r="C38" s="6" t="inlineStr">
        <is>
          <t>참조</t>
        </is>
      </c>
      <c r="D38" s="6" t="inlineStr">
        <is>
          <t>국가 + 날짜 + 달력 구분</t>
        </is>
      </c>
      <c r="E38" s="6" t="inlineStr">
        <is>
          <t>country_code,calendar_date,calendar_code</t>
        </is>
      </c>
      <c r="F38" s="6" t="inlineStr">
        <is>
          <t>명절·연휴 문구 판정을 위한 백엔드 날짜 목록</t>
        </is>
      </c>
      <c r="G38" s="5" t="inlineStr">
        <is>
          <t>v1.0.0 적용 기준</t>
        </is>
      </c>
    </row>
    <row r="39">
      <c r="A39" s="26" t="inlineStr">
        <is>
          <t>diet_text_translation</t>
        </is>
      </c>
      <c r="B39" s="26" t="inlineStr">
        <is>
          <t>번역_en</t>
        </is>
      </c>
      <c r="C39" s="26" t="inlineStr">
        <is>
          <t>참조</t>
        </is>
      </c>
      <c r="D39" s="26" t="inlineStr">
        <is>
          <t>언어 + 문구 종류 + 키</t>
        </is>
      </c>
      <c r="E39" s="26" t="inlineStr">
        <is>
          <t>language_code,text_type,key_id,key_code,key_version</t>
        </is>
      </c>
      <c r="F39" s="26" t="inlineStr">
        <is>
          <t>질문·선택지·끼니 이름·질환 이름·목표 문구 한 줄의 영문 화면 문구. 시트 이름이 언어(en)이며 언어를 늘릴 때는 번역_ko처럼 시트를 더한다</t>
        </is>
      </c>
      <c r="G39" s="27" t="inlineStr">
        <is>
          <t>v1.0.0 적용 기준. 이유 문장(reason_text)은 화면에 나가지 않아 번역하지 않는다</t>
        </is>
      </c>
    </row>
    <row r="40">
      <c r="A40" s="26" t="inlineStr">
        <is>
          <t>diet_meal_time</t>
        </is>
      </c>
      <c r="B40" s="26" t="inlineStr">
        <is>
          <t>정의만 제공</t>
        </is>
      </c>
      <c r="C40" s="26" t="inlineStr">
        <is>
          <t>런타임</t>
        </is>
      </c>
      <c r="D40" s="26" t="inlineStr">
        <is>
          <t>사용자 + 실제 끼니 날짜 + 끼니 종류</t>
        </is>
      </c>
      <c r="E40" s="26" t="inlineStr">
        <is>
          <t>user_id,meal_date,meal_type</t>
        </is>
      </c>
      <c r="F40" s="26" t="inlineStr">
        <is>
          <t>시각 단계 답(또는 건강 앱 기록)으로 추정한 끼니별 식사 시각과 식후 행동을 볼 시간 범위</t>
        </is>
      </c>
      <c r="G40" s="27" t="inlineStr">
        <is>
          <t>세션 종속. 어제 저녁 · 거른 끼니는 행을 만들지 않는다. 추정 순서는 구현기준 R-11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315A7D"/>
    <outlinePr summaryBelow="1" summaryRight="1"/>
    <pageSetUpPr/>
  </sheetPr>
  <dimension ref="A1:I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26.58203125" customWidth="1" min="1" max="1"/>
    <col width="10.58203125" customWidth="1" min="2" max="2"/>
    <col width="23.58203125" customWidth="1" min="3" max="3"/>
    <col width="28.58203125" customWidth="1" min="4" max="5"/>
    <col width="10.58203125" customWidth="1" min="6" max="6"/>
    <col width="33.58203125" customWidth="1" min="7" max="7"/>
    <col width="60.58203125" customWidth="1" min="8" max="9"/>
  </cols>
  <sheetData>
    <row r="1">
      <c r="A1" s="7" t="inlineStr">
        <is>
          <t>테이블명</t>
        </is>
      </c>
      <c r="B1" s="7" t="inlineStr">
        <is>
          <t>순서</t>
        </is>
      </c>
      <c r="C1" s="7" t="inlineStr">
        <is>
          <t>필드명</t>
        </is>
      </c>
      <c r="D1" s="7" t="inlineStr">
        <is>
          <t>한글명</t>
        </is>
      </c>
      <c r="E1" s="7" t="inlineStr">
        <is>
          <t>타입</t>
        </is>
      </c>
      <c r="F1" s="7" t="inlineStr">
        <is>
          <t>필수</t>
        </is>
      </c>
      <c r="G1" s="7" t="inlineStr">
        <is>
          <t>키</t>
        </is>
      </c>
      <c r="H1" s="7" t="inlineStr">
        <is>
          <t>허용값</t>
        </is>
      </c>
      <c r="I1" s="7" t="inlineStr">
        <is>
          <t>설명</t>
        </is>
      </c>
    </row>
    <row r="2">
      <c r="A2" s="6" t="inlineStr">
        <is>
          <t>diet_question</t>
        </is>
      </c>
      <c r="B2" s="6" t="n">
        <v>1</v>
      </c>
      <c r="C2" s="6" t="inlineStr">
        <is>
          <t>question_id</t>
        </is>
      </c>
      <c r="D2" s="6" t="inlineStr">
        <is>
          <t>질문 ID</t>
        </is>
      </c>
      <c r="E2" s="6" t="inlineStr">
        <is>
          <t>VARCHAR(20)</t>
        </is>
      </c>
      <c r="F2" s="6" t="inlineStr">
        <is>
          <t>Y</t>
        </is>
      </c>
      <c r="G2" s="6" t="inlineStr">
        <is>
          <t>PK</t>
        </is>
      </c>
      <c r="H2" s="5" t="n"/>
      <c r="I2" s="5" t="n"/>
    </row>
    <row r="3">
      <c r="A3" s="6" t="inlineStr">
        <is>
          <t>diet_question</t>
        </is>
      </c>
      <c r="B3" s="6" t="n">
        <v>2</v>
      </c>
      <c r="C3" s="6" t="inlineStr">
        <is>
          <t>question_version</t>
        </is>
      </c>
      <c r="D3" s="6" t="inlineStr">
        <is>
          <t>질문 버전</t>
        </is>
      </c>
      <c r="E3" s="6" t="inlineStr">
        <is>
          <t>VARCHAR(10)</t>
        </is>
      </c>
      <c r="F3" s="6" t="inlineStr">
        <is>
          <t>Y</t>
        </is>
      </c>
      <c r="G3" s="6" t="inlineStr">
        <is>
          <t>PK</t>
        </is>
      </c>
      <c r="H3" s="5" t="n"/>
      <c r="I3" s="5" t="n"/>
    </row>
    <row r="4">
      <c r="A4" s="6" t="inlineStr">
        <is>
          <t>diet_question</t>
        </is>
      </c>
      <c r="B4" s="6" t="n">
        <v>3</v>
      </c>
      <c r="C4" s="6" t="inlineStr">
        <is>
          <t>axis_name</t>
        </is>
      </c>
      <c r="D4" s="6" t="inlineStr">
        <is>
          <t>행동 축</t>
        </is>
      </c>
      <c r="E4" s="6" t="inlineStr">
        <is>
          <t>VARCHAR(40)</t>
        </is>
      </c>
      <c r="F4" s="6" t="inlineStr">
        <is>
          <t>Y</t>
        </is>
      </c>
      <c r="G4" s="6" t="n"/>
      <c r="H4" s="5" t="n"/>
      <c r="I4" s="5" t="n"/>
    </row>
    <row r="5">
      <c r="A5" s="6" t="inlineStr">
        <is>
          <t>diet_question</t>
        </is>
      </c>
      <c r="B5" s="6" t="n">
        <v>4</v>
      </c>
      <c r="C5" s="6" t="inlineStr">
        <is>
          <t>question_role</t>
        </is>
      </c>
      <c r="D5" s="6" t="inlineStr">
        <is>
          <t>질문 역할</t>
        </is>
      </c>
      <c r="E5" s="6" t="inlineStr">
        <is>
          <t>ENUM</t>
        </is>
      </c>
      <c r="F5" s="6" t="inlineStr">
        <is>
          <t>Y</t>
        </is>
      </c>
      <c r="G5" s="6" t="n"/>
      <c r="H5" s="5" t="inlineStr">
        <is>
          <t>FIXED,ROTATING,CONFIRMATION,FOLLOW_UP</t>
        </is>
      </c>
      <c r="I5" s="5" t="inlineStr">
        <is>
          <t>FOLLOW_UP은 앞 질문의 답에 따라 같은 자리에서 이어 묻는 질문(식사 시각 단계). 질문 수에 1개로 센다</t>
        </is>
      </c>
    </row>
    <row r="6">
      <c r="A6" s="6" t="inlineStr">
        <is>
          <t>diet_question</t>
        </is>
      </c>
      <c r="B6" s="6" t="n">
        <v>5</v>
      </c>
      <c r="C6" s="6" t="inlineStr">
        <is>
          <t>question_template</t>
        </is>
      </c>
      <c r="D6" s="6" t="inlineStr">
        <is>
          <t>질문 문장</t>
        </is>
      </c>
      <c r="E6" s="6" t="inlineStr">
        <is>
          <t>VARCHAR(120)</t>
        </is>
      </c>
      <c r="F6" s="6" t="inlineStr">
        <is>
          <t>Y</t>
        </is>
      </c>
      <c r="G6" s="6" t="n"/>
      <c r="H6" s="5" t="n"/>
      <c r="I6" s="5" t="n"/>
    </row>
    <row r="7">
      <c r="A7" s="6" t="inlineStr">
        <is>
          <t>diet_question</t>
        </is>
      </c>
      <c r="B7" s="6" t="n">
        <v>6</v>
      </c>
      <c r="C7" s="6" t="inlineStr">
        <is>
          <t>meal_scope_raw</t>
        </is>
      </c>
      <c r="D7" s="6" t="inlineStr">
        <is>
          <t>물을 수 있는 끼니 원문</t>
        </is>
      </c>
      <c r="E7" s="6" t="inlineStr">
        <is>
          <t>VARCHAR(40)</t>
        </is>
      </c>
      <c r="F7" s="6" t="inlineStr">
        <is>
          <t>Y</t>
        </is>
      </c>
      <c r="G7" s="6" t="n"/>
      <c r="H7" s="5" t="n"/>
      <c r="I7" s="5" t="n"/>
    </row>
    <row r="8">
      <c r="A8" s="6" t="inlineStr">
        <is>
          <t>diet_question</t>
        </is>
      </c>
      <c r="B8" s="6" t="n">
        <v>7</v>
      </c>
      <c r="C8" s="6" t="inlineStr">
        <is>
          <t>observation_scope</t>
        </is>
      </c>
      <c r="D8" s="6" t="inlineStr">
        <is>
          <t>관찰 범위</t>
        </is>
      </c>
      <c r="E8" s="6" t="inlineStr">
        <is>
          <t>TEXT</t>
        </is>
      </c>
      <c r="F8" s="6" t="inlineStr">
        <is>
          <t>Y</t>
        </is>
      </c>
      <c r="G8" s="6" t="n"/>
      <c r="H8" s="5" t="n"/>
      <c r="I8" s="5" t="n"/>
    </row>
    <row r="9">
      <c r="A9" s="6" t="inlineStr">
        <is>
          <t>diet_question</t>
        </is>
      </c>
      <c r="B9" s="6" t="n">
        <v>8</v>
      </c>
      <c r="C9" s="6" t="inlineStr">
        <is>
          <t>interpretation_limit</t>
        </is>
      </c>
      <c r="D9" s="6" t="inlineStr">
        <is>
          <t>해석 한계</t>
        </is>
      </c>
      <c r="E9" s="6" t="inlineStr">
        <is>
          <t>TEXT</t>
        </is>
      </c>
      <c r="F9" s="6" t="inlineStr">
        <is>
          <t>Y</t>
        </is>
      </c>
      <c r="G9" s="6" t="n"/>
      <c r="H9" s="5" t="n"/>
      <c r="I9" s="5" t="n"/>
    </row>
    <row r="10">
      <c r="A10" s="6" t="inlineStr">
        <is>
          <t>diet_question</t>
        </is>
      </c>
      <c r="B10" s="6" t="n">
        <v>9</v>
      </c>
      <c r="C10" s="6" t="inlineStr">
        <is>
          <t>source_row</t>
        </is>
      </c>
      <c r="D10" s="6" t="inlineStr">
        <is>
          <t>원본 행</t>
        </is>
      </c>
      <c r="E10" s="6" t="inlineStr">
        <is>
          <t>INTEGER</t>
        </is>
      </c>
      <c r="F10" s="6" t="inlineStr">
        <is>
          <t>Y</t>
        </is>
      </c>
      <c r="G10" s="6" t="n"/>
      <c r="H10" s="5" t="n"/>
      <c r="I10" s="5" t="n"/>
    </row>
    <row r="11">
      <c r="A11" s="6" t="inlineStr">
        <is>
          <t>diet_question_option</t>
        </is>
      </c>
      <c r="B11" s="6" t="n">
        <v>1</v>
      </c>
      <c r="C11" s="6" t="inlineStr">
        <is>
          <t>question_id</t>
        </is>
      </c>
      <c r="D11" s="6" t="inlineStr">
        <is>
          <t>질문 ID</t>
        </is>
      </c>
      <c r="E11" s="6" t="inlineStr">
        <is>
          <t>VARCHAR(20)</t>
        </is>
      </c>
      <c r="F11" s="6" t="inlineStr">
        <is>
          <t>Y</t>
        </is>
      </c>
      <c r="G11" s="6" t="inlineStr">
        <is>
          <t>FK→diet_question</t>
        </is>
      </c>
      <c r="H11" s="5" t="n"/>
      <c r="I11" s="5" t="n"/>
    </row>
    <row r="12">
      <c r="A12" s="6" t="inlineStr">
        <is>
          <t>diet_question_option</t>
        </is>
      </c>
      <c r="B12" s="6" t="n">
        <v>2</v>
      </c>
      <c r="C12" s="6" t="inlineStr">
        <is>
          <t>question_version</t>
        </is>
      </c>
      <c r="D12" s="6" t="inlineStr">
        <is>
          <t>질문 버전</t>
        </is>
      </c>
      <c r="E12" s="6" t="inlineStr">
        <is>
          <t>VARCHAR(10)</t>
        </is>
      </c>
      <c r="F12" s="6" t="inlineStr">
        <is>
          <t>Y</t>
        </is>
      </c>
      <c r="G12" s="6" t="inlineStr">
        <is>
          <t>FK→diet_question</t>
        </is>
      </c>
      <c r="H12" s="5" t="n"/>
      <c r="I12" s="5" t="n"/>
    </row>
    <row r="13">
      <c r="A13" s="6" t="inlineStr">
        <is>
          <t>diet_question_option</t>
        </is>
      </c>
      <c r="B13" s="6" t="n">
        <v>3</v>
      </c>
      <c r="C13" s="6" t="inlineStr">
        <is>
          <t>option_order</t>
        </is>
      </c>
      <c r="D13" s="6" t="inlineStr">
        <is>
          <t>선택지 순서</t>
        </is>
      </c>
      <c r="E13" s="6" t="inlineStr">
        <is>
          <t>SMALLINT</t>
        </is>
      </c>
      <c r="F13" s="6" t="inlineStr">
        <is>
          <t>Y</t>
        </is>
      </c>
      <c r="G13" s="6" t="inlineStr">
        <is>
          <t>PK</t>
        </is>
      </c>
      <c r="H13" s="5" t="inlineStr">
        <is>
          <t>1,2,3</t>
        </is>
      </c>
      <c r="I13" s="5" t="inlineStr">
        <is>
          <t>질문별 정확히 1, 2, 3. 세 선택지 모두 표시</t>
        </is>
      </c>
    </row>
    <row r="14">
      <c r="A14" s="6" t="inlineStr">
        <is>
          <t>diet_question_option</t>
        </is>
      </c>
      <c r="B14" s="6" t="n">
        <v>4</v>
      </c>
      <c r="C14" s="6" t="inlineStr">
        <is>
          <t>option_code</t>
        </is>
      </c>
      <c r="D14" s="6" t="inlineStr">
        <is>
          <t>선택지 코드</t>
        </is>
      </c>
      <c r="E14" s="6" t="inlineStr">
        <is>
          <t>VARCHAR(50)</t>
        </is>
      </c>
      <c r="F14" s="6" t="inlineStr">
        <is>
          <t>Y</t>
        </is>
      </c>
      <c r="G14" s="6" t="n"/>
      <c r="H14" s="5" t="n"/>
      <c r="I14" s="5" t="n"/>
    </row>
    <row r="15">
      <c r="A15" s="6" t="inlineStr">
        <is>
          <t>diet_question_option</t>
        </is>
      </c>
      <c r="B15" s="6" t="n">
        <v>5</v>
      </c>
      <c r="C15" s="6" t="inlineStr">
        <is>
          <t>option_label</t>
        </is>
      </c>
      <c r="D15" s="6" t="inlineStr">
        <is>
          <t>화면 문구</t>
        </is>
      </c>
      <c r="E15" s="6" t="inlineStr">
        <is>
          <t>VARCHAR(40)</t>
        </is>
      </c>
      <c r="F15" s="6" t="inlineStr">
        <is>
          <t>Y</t>
        </is>
      </c>
      <c r="G15" s="6" t="n"/>
      <c r="H15" s="5" t="n"/>
      <c r="I15" s="5" t="n"/>
    </row>
    <row r="16" ht="25" customHeight="1">
      <c r="A16" s="6" t="inlineStr">
        <is>
          <t>diet_question_option</t>
        </is>
      </c>
      <c r="B16" s="6" t="n">
        <v>6</v>
      </c>
      <c r="C16" s="6" t="inlineStr">
        <is>
          <t>score_value</t>
        </is>
      </c>
      <c r="D16" s="6" t="inlineStr">
        <is>
          <t>집계값</t>
        </is>
      </c>
      <c r="E16" s="6" t="inlineStr">
        <is>
          <t>SMALLINT</t>
        </is>
      </c>
      <c r="F16" s="6" t="inlineStr">
        <is>
          <t>N</t>
        </is>
      </c>
      <c r="G16" s="6" t="n"/>
      <c r="H16" s="5" t="inlineStr">
        <is>
          <t>-1,0,1,NULL</t>
        </is>
      </c>
      <c r="I16" s="5" t="inlineStr">
        <is>
          <t>NULL은 식사 시각처럼 상태 점수를 산출하지 않는 사실 응답에만 사용. 미응답은 선택지 아님</t>
        </is>
      </c>
    </row>
    <row r="17">
      <c r="A17" s="6" t="inlineStr">
        <is>
          <t>diet_question_option</t>
        </is>
      </c>
      <c r="B17" s="6" t="n">
        <v>7</v>
      </c>
      <c r="C17" s="6" t="inlineStr">
        <is>
          <t>source_row</t>
        </is>
      </c>
      <c r="D17" s="6" t="inlineStr">
        <is>
          <t>원본 행</t>
        </is>
      </c>
      <c r="E17" s="6" t="inlineStr">
        <is>
          <t>INTEGER</t>
        </is>
      </c>
      <c r="F17" s="6" t="inlineStr">
        <is>
          <t>Y</t>
        </is>
      </c>
      <c r="G17" s="6" t="n"/>
      <c r="H17" s="5" t="n"/>
      <c r="I17" s="5" t="n"/>
    </row>
    <row r="18">
      <c r="A18" s="6" t="inlineStr">
        <is>
          <t>diet_goal_phrase</t>
        </is>
      </c>
      <c r="B18" s="6" t="n">
        <v>1</v>
      </c>
      <c r="C18" s="6" t="inlineStr">
        <is>
          <t>phrase_id</t>
        </is>
      </c>
      <c r="D18" s="6" t="inlineStr">
        <is>
          <t>문구 ID</t>
        </is>
      </c>
      <c r="E18" s="6" t="inlineStr">
        <is>
          <t>VARCHAR(20)</t>
        </is>
      </c>
      <c r="F18" s="6" t="inlineStr">
        <is>
          <t>Y</t>
        </is>
      </c>
      <c r="G18" s="6" t="inlineStr">
        <is>
          <t>PK</t>
        </is>
      </c>
      <c r="H18" s="5" t="n"/>
      <c r="I18" s="5" t="n"/>
    </row>
    <row r="19">
      <c r="A19" s="6" t="inlineStr">
        <is>
          <t>diet_goal_phrase</t>
        </is>
      </c>
      <c r="B19" s="6" t="n">
        <v>2</v>
      </c>
      <c r="C19" s="6" t="inlineStr">
        <is>
          <t>phrase_version</t>
        </is>
      </c>
      <c r="D19" s="6" t="inlineStr">
        <is>
          <t>문구 버전</t>
        </is>
      </c>
      <c r="E19" s="6" t="inlineStr">
        <is>
          <t>VARCHAR(10)</t>
        </is>
      </c>
      <c r="F19" s="6" t="inlineStr">
        <is>
          <t>Y</t>
        </is>
      </c>
      <c r="G19" s="6" t="inlineStr">
        <is>
          <t>PK</t>
        </is>
      </c>
      <c r="H19" s="5" t="n"/>
      <c r="I19" s="5" t="n"/>
    </row>
    <row r="20">
      <c r="A20" s="6" t="inlineStr">
        <is>
          <t>diet_goal_phrase</t>
        </is>
      </c>
      <c r="B20" s="6" t="n">
        <v>3</v>
      </c>
      <c r="C20" s="6" t="inlineStr">
        <is>
          <t>source_status</t>
        </is>
      </c>
      <c r="D20" s="6" t="inlineStr">
        <is>
          <t>원본 상태</t>
        </is>
      </c>
      <c r="E20" s="6" t="inlineStr">
        <is>
          <t>ENUM</t>
        </is>
      </c>
      <c r="F20" s="6" t="inlineStr">
        <is>
          <t>Y</t>
        </is>
      </c>
      <c r="G20" s="6" t="n"/>
      <c r="H20" s="5" t="inlineStr">
        <is>
          <t>사용,보류</t>
        </is>
      </c>
      <c r="I20" s="5" t="n"/>
    </row>
    <row r="21">
      <c r="A21" s="6" t="inlineStr">
        <is>
          <t>diet_goal_phrase</t>
        </is>
      </c>
      <c r="B21" s="6" t="n">
        <v>4</v>
      </c>
      <c r="C21" s="6" t="inlineStr">
        <is>
          <t>pool_type</t>
        </is>
      </c>
      <c r="D21" s="6" t="inlineStr">
        <is>
          <t>문구 풀</t>
        </is>
      </c>
      <c r="E21" s="6" t="inlineStr">
        <is>
          <t>ENUM</t>
        </is>
      </c>
      <c r="F21" s="6" t="inlineStr">
        <is>
          <t>Y</t>
        </is>
      </c>
      <c r="G21" s="6" t="n"/>
      <c r="H21" s="5" t="inlineStr">
        <is>
          <t>AXIS_STAGE,RECOVERY,LOW_BURDEN</t>
        </is>
      </c>
      <c r="I21" s="5" t="n"/>
    </row>
    <row r="22">
      <c r="A22" s="6" t="inlineStr">
        <is>
          <t>diet_goal_phrase</t>
        </is>
      </c>
      <c r="B22" s="6" t="n">
        <v>5</v>
      </c>
      <c r="C22" s="6" t="inlineStr">
        <is>
          <t>axis_question_id</t>
        </is>
      </c>
      <c r="D22" s="6" t="inlineStr">
        <is>
          <t>축 질문 ID</t>
        </is>
      </c>
      <c r="E22" s="6" t="inlineStr">
        <is>
          <t>VARCHAR(20)</t>
        </is>
      </c>
      <c r="F22" s="6" t="inlineStr">
        <is>
          <t>N</t>
        </is>
      </c>
      <c r="G22" s="6" t="inlineStr">
        <is>
          <t>FK→diet_question</t>
        </is>
      </c>
      <c r="H22" s="5" t="n"/>
      <c r="I22" s="5" t="n"/>
    </row>
    <row r="23" ht="25" customHeight="1">
      <c r="A23" s="6" t="inlineStr">
        <is>
          <t>diet_goal_phrase</t>
        </is>
      </c>
      <c r="B23" s="6" t="n">
        <v>6</v>
      </c>
      <c r="C23" s="6" t="inlineStr">
        <is>
          <t>stage_code</t>
        </is>
      </c>
      <c r="D23" s="6" t="inlineStr">
        <is>
          <t>실천 단계</t>
        </is>
      </c>
      <c r="E23" s="6" t="inlineStr">
        <is>
          <t>ENUM</t>
        </is>
      </c>
      <c r="F23" s="6" t="inlineStr">
        <is>
          <t>N</t>
        </is>
      </c>
      <c r="G23" s="6" t="n"/>
      <c r="H23" s="5" t="inlineStr">
        <is>
          <t>INTRO,BASE,CHALLENGE</t>
        </is>
      </c>
      <c r="I23" s="5" t="inlineStr">
        <is>
          <t>INTRO 입문 · BASE 기본 · CHALLENGE 도전. 상승 조건은 검증규칙 V-42, 설정 CFG-068·CFG-069</t>
        </is>
      </c>
    </row>
    <row r="24">
      <c r="A24" s="6" t="inlineStr">
        <is>
          <t>diet_goal_phrase</t>
        </is>
      </c>
      <c r="B24" s="6" t="n">
        <v>7</v>
      </c>
      <c r="C24" s="6" t="inlineStr">
        <is>
          <t>tile_text</t>
        </is>
      </c>
      <c r="D24" s="6" t="inlineStr">
        <is>
          <t>타일 문구</t>
        </is>
      </c>
      <c r="E24" s="6" t="inlineStr">
        <is>
          <t>VARCHAR(22)</t>
        </is>
      </c>
      <c r="F24" s="6" t="inlineStr">
        <is>
          <t>Y</t>
        </is>
      </c>
      <c r="G24" s="6" t="n"/>
      <c r="H24" s="5" t="n"/>
      <c r="I24" s="5" t="n"/>
    </row>
    <row r="25" ht="50" customHeight="1">
      <c r="A25" s="6" t="inlineStr">
        <is>
          <t>diet_goal_phrase</t>
        </is>
      </c>
      <c r="B25" s="6" t="n">
        <v>8</v>
      </c>
      <c r="C25" s="6" t="inlineStr">
        <is>
          <t>full_text</t>
        </is>
      </c>
      <c r="D25" s="6" t="inlineStr">
        <is>
          <t>풀어 쓴 문구</t>
        </is>
      </c>
      <c r="E25" s="6" t="inlineStr">
        <is>
          <t>VARCHAR(40)</t>
        </is>
      </c>
      <c r="F25" s="6" t="inlineStr">
        <is>
          <t>Y</t>
        </is>
      </c>
      <c r="G25" s="6" t="n"/>
      <c r="H25" s="5" t="n"/>
      <c r="I25" s="5" t="inlineStr">
        <is>
          <t>타일 문구를 풀어 쓴 한 문장. 무엇을 어떻게 하면 되는지 처음 보는 사람도 바로 알 수 있게 쓴다. 띄어쓰기 포함 40자 이내, 마침표로 끝난다. 타일 문구에 없는 새 음식·분량을 덧붙이지 않는다. 화면 위치는 화면 확정 필요. 예: 「세 끼 어제처럼 먹기」 → 「오늘도 어제와 비슷한 시간에 아침·점심·저녁 세 끼를 드세요.」</t>
        </is>
      </c>
    </row>
    <row r="26">
      <c r="A26" s="6" t="inlineStr">
        <is>
          <t>diet_goal_phrase</t>
        </is>
      </c>
      <c r="B26" s="6" t="n">
        <v>9</v>
      </c>
      <c r="C26" s="6" t="inlineStr">
        <is>
          <t>reason_text</t>
        </is>
      </c>
      <c r="D26" s="6" t="inlineStr">
        <is>
          <t>이유 한 줄</t>
        </is>
      </c>
      <c r="E26" s="6" t="inlineStr">
        <is>
          <t>TEXT</t>
        </is>
      </c>
      <c r="F26" s="6" t="inlineStr">
        <is>
          <t>Y</t>
        </is>
      </c>
      <c r="G26" s="6" t="n"/>
      <c r="H26" s="5" t="n"/>
      <c r="I26" s="5" t="n"/>
    </row>
    <row r="27">
      <c r="A27" s="6" t="inlineStr">
        <is>
          <t>diet_goal_phrase</t>
        </is>
      </c>
      <c r="B27" s="6" t="n">
        <v>10</v>
      </c>
      <c r="C27" s="6" t="inlineStr">
        <is>
          <t>nature_code</t>
        </is>
      </c>
      <c r="D27" s="6" t="inlineStr">
        <is>
          <t>문구 성격</t>
        </is>
      </c>
      <c r="E27" s="6" t="inlineStr">
        <is>
          <t>ENUM</t>
        </is>
      </c>
      <c r="F27" s="6" t="inlineStr">
        <is>
          <t>N</t>
        </is>
      </c>
      <c r="G27" s="6" t="n"/>
      <c r="H27" s="5" t="inlineStr">
        <is>
          <t>REDUCE,FAST,INCREASE,FLUID,TEXTURE,NULL</t>
        </is>
      </c>
      <c r="I27" s="5" t="inlineStr">
        <is>
          <t>한 문구에 한 값인 원본 제약 보존</t>
        </is>
      </c>
    </row>
    <row r="28">
      <c r="A28" s="6" t="inlineStr">
        <is>
          <t>diet_goal_phrase</t>
        </is>
      </c>
      <c r="B28" s="6" t="n">
        <v>11</v>
      </c>
      <c r="C28" s="6" t="inlineStr">
        <is>
          <t>screening_only</t>
        </is>
      </c>
      <c r="D28" s="6" t="inlineStr">
        <is>
          <t>검진 경계 전용</t>
        </is>
      </c>
      <c r="E28" s="6" t="inlineStr">
        <is>
          <t>BOOLEAN</t>
        </is>
      </c>
      <c r="F28" s="6" t="inlineStr">
        <is>
          <t>N</t>
        </is>
      </c>
      <c r="G28" s="6" t="n"/>
      <c r="H28" s="5" t="inlineStr">
        <is>
          <t>NULL</t>
        </is>
      </c>
      <c r="I28" s="5" t="inlineStr">
        <is>
          <t>1차는 검진 전용 문구를 사용하지 않고 기존 축 풀을 재사용. 원본 공란 유지</t>
        </is>
      </c>
    </row>
    <row r="29">
      <c r="A29" s="6" t="inlineStr">
        <is>
          <t>diet_goal_phrase</t>
        </is>
      </c>
      <c r="B29" s="6" t="n">
        <v>12</v>
      </c>
      <c r="C29" s="6" t="inlineStr">
        <is>
          <t>evidence_raw</t>
        </is>
      </c>
      <c r="D29" s="6" t="inlineStr">
        <is>
          <t>근거 원문</t>
        </is>
      </c>
      <c r="E29" s="6" t="inlineStr">
        <is>
          <t>TEXT</t>
        </is>
      </c>
      <c r="F29" s="6" t="inlineStr">
        <is>
          <t>Y</t>
        </is>
      </c>
      <c r="G29" s="6" t="n"/>
      <c r="H29" s="5" t="n"/>
      <c r="I29" s="5" t="n"/>
    </row>
    <row r="30">
      <c r="A30" s="6" t="inlineStr">
        <is>
          <t>diet_goal_phrase</t>
        </is>
      </c>
      <c r="B30" s="6" t="n">
        <v>13</v>
      </c>
      <c r="C30" s="6" t="inlineStr">
        <is>
          <t>source_note_raw</t>
        </is>
      </c>
      <c r="D30" s="6" t="inlineStr">
        <is>
          <t>원본 메모</t>
        </is>
      </c>
      <c r="E30" s="6" t="inlineStr">
        <is>
          <t>TEXT</t>
        </is>
      </c>
      <c r="F30" s="6" t="inlineStr">
        <is>
          <t>N</t>
        </is>
      </c>
      <c r="G30" s="6" t="n"/>
      <c r="H30" s="5" t="n"/>
      <c r="I30" s="5" t="inlineStr">
        <is>
          <t>참조설정데이터의 적용 조건·해석 메모</t>
        </is>
      </c>
    </row>
    <row r="31">
      <c r="A31" s="6" t="inlineStr">
        <is>
          <t>diet_goal_phrase</t>
        </is>
      </c>
      <c r="B31" s="6" t="n">
        <v>14</v>
      </c>
      <c r="C31" s="6" t="inlineStr">
        <is>
          <t>source_row</t>
        </is>
      </c>
      <c r="D31" s="6" t="inlineStr">
        <is>
          <t>원본 행</t>
        </is>
      </c>
      <c r="E31" s="6" t="inlineStr">
        <is>
          <t>INTEGER</t>
        </is>
      </c>
      <c r="F31" s="6" t="inlineStr">
        <is>
          <t>Y</t>
        </is>
      </c>
      <c r="G31" s="6" t="n"/>
      <c r="H31" s="5" t="n"/>
      <c r="I31" s="5" t="n"/>
    </row>
    <row r="32">
      <c r="A32" s="6" t="inlineStr">
        <is>
          <t>diet_phrase_applicability</t>
        </is>
      </c>
      <c r="B32" s="6" t="n">
        <v>1</v>
      </c>
      <c r="C32" s="6" t="inlineStr">
        <is>
          <t>phrase_id</t>
        </is>
      </c>
      <c r="D32" s="6" t="inlineStr">
        <is>
          <t>문구 ID</t>
        </is>
      </c>
      <c r="E32" s="6" t="inlineStr">
        <is>
          <t>VARCHAR(20)</t>
        </is>
      </c>
      <c r="F32" s="6" t="inlineStr">
        <is>
          <t>Y</t>
        </is>
      </c>
      <c r="G32" s="6" t="inlineStr">
        <is>
          <t>PK/FK→diet_goal_phrase</t>
        </is>
      </c>
      <c r="H32" s="5" t="n"/>
      <c r="I32" s="5" t="n"/>
    </row>
    <row r="33">
      <c r="A33" s="6" t="inlineStr">
        <is>
          <t>diet_phrase_applicability</t>
        </is>
      </c>
      <c r="B33" s="6" t="n">
        <v>2</v>
      </c>
      <c r="C33" s="6" t="inlineStr">
        <is>
          <t>phrase_version</t>
        </is>
      </c>
      <c r="D33" s="6" t="inlineStr">
        <is>
          <t>문구 버전</t>
        </is>
      </c>
      <c r="E33" s="6" t="inlineStr">
        <is>
          <t>VARCHAR(10)</t>
        </is>
      </c>
      <c r="F33" s="6" t="inlineStr">
        <is>
          <t>Y</t>
        </is>
      </c>
      <c r="G33" s="6" t="inlineStr">
        <is>
          <t>PK/FK→diet_goal_phrase</t>
        </is>
      </c>
      <c r="H33" s="5" t="n"/>
      <c r="I33" s="5" t="n"/>
    </row>
    <row r="34">
      <c r="A34" s="6" t="inlineStr">
        <is>
          <t>diet_phrase_applicability</t>
        </is>
      </c>
      <c r="B34" s="6" t="n">
        <v>3</v>
      </c>
      <c r="C34" s="6" t="inlineStr">
        <is>
          <t>raw_tag</t>
        </is>
      </c>
      <c r="D34" s="6" t="inlineStr">
        <is>
          <t>원본 노출 조건</t>
        </is>
      </c>
      <c r="E34" s="6" t="inlineStr">
        <is>
          <t>VARCHAR(60)</t>
        </is>
      </c>
      <c r="F34" s="6" t="inlineStr">
        <is>
          <t>N</t>
        </is>
      </c>
      <c r="G34" s="6" t="n"/>
      <c r="H34" s="5" t="n"/>
      <c r="I34" s="5" t="inlineStr">
        <is>
          <t>시간대·요일·명절 표시 원문</t>
        </is>
      </c>
    </row>
    <row r="35" ht="25" customHeight="1">
      <c r="A35" s="6" t="inlineStr">
        <is>
          <t>diet_phrase_applicability</t>
        </is>
      </c>
      <c r="B35" s="6" t="n">
        <v>4</v>
      </c>
      <c r="C35" s="6" t="inlineStr">
        <is>
          <t>time_code</t>
        </is>
      </c>
      <c r="D35" s="6" t="inlineStr">
        <is>
          <t>시간 조건</t>
        </is>
      </c>
      <c r="E35" s="6" t="inlineStr">
        <is>
          <t>ENUM</t>
        </is>
      </c>
      <c r="F35" s="6" t="inlineStr">
        <is>
          <t>N</t>
        </is>
      </c>
      <c r="G35" s="6" t="n"/>
      <c r="H35" s="5" t="inlineStr">
        <is>
          <t>ANY,EVENING,PRE_MIDNIGHT,MORNING_ENTRY,AFTERNOON_ENTRY,UNKNOWN</t>
        </is>
      </c>
      <c r="I35" s="5" t="n"/>
    </row>
    <row r="36" ht="37.5" customHeight="1">
      <c r="A36" s="6" t="inlineStr">
        <is>
          <t>diet_phrase_applicability</t>
        </is>
      </c>
      <c r="B36" s="6" t="n">
        <v>5</v>
      </c>
      <c r="C36" s="6" t="inlineStr">
        <is>
          <t>calendar_code</t>
        </is>
      </c>
      <c r="D36" s="6" t="inlineStr">
        <is>
          <t>달력 조건</t>
        </is>
      </c>
      <c r="E36" s="6" t="inlineStr">
        <is>
          <t>ENUM</t>
        </is>
      </c>
      <c r="F36" s="6" t="inlineStr">
        <is>
          <t>N</t>
        </is>
      </c>
      <c r="G36" s="6" t="n"/>
      <c r="H36" s="5" t="inlineStr">
        <is>
          <t>ANY,WEEKDAY,WEEKEND,HOLIDAY,HOLIDAY_OR_EXTENDED</t>
        </is>
      </c>
      <c r="I36" s="5" t="inlineStr">
        <is>
          <t>WEEKDAY·WEEKEND는 목표 행동을 실행할 사용자 현지 달력 날짜로 판정. HOLIDAY·HOLIDAY_OR_EXTENDED는 자료 연결 전 보류; session_date와 혼동하지 않음</t>
        </is>
      </c>
    </row>
    <row r="37">
      <c r="A37" s="6" t="inlineStr">
        <is>
          <t>diet_phrase_applicability</t>
        </is>
      </c>
      <c r="B37" s="6" t="n">
        <v>6</v>
      </c>
      <c r="C37" s="6" t="inlineStr">
        <is>
          <t>context_code</t>
        </is>
      </c>
      <c r="D37" s="6" t="inlineStr">
        <is>
          <t>상황 조건</t>
        </is>
      </c>
      <c r="E37" s="6" t="inlineStr">
        <is>
          <t>VARCHAR(40)</t>
        </is>
      </c>
      <c r="F37" s="6" t="inlineStr">
        <is>
          <t>N</t>
        </is>
      </c>
      <c r="G37" s="6" t="n"/>
      <c r="H37" s="5" t="inlineStr">
        <is>
          <t>ANY</t>
        </is>
      </c>
      <c r="I37" s="5" t="inlineStr">
        <is>
          <t>v1.0.0에서는 상황 조건을 사용하지 않으며 ANY로 고정</t>
        </is>
      </c>
    </row>
    <row r="38">
      <c r="A38" s="6" t="inlineStr">
        <is>
          <t>diet_phrase_applicability</t>
        </is>
      </c>
      <c r="B38" s="6" t="n">
        <v>7</v>
      </c>
      <c r="C38" s="6" t="inlineStr">
        <is>
          <t>after_dinner_eligible</t>
        </is>
      </c>
      <c r="D38" s="6" t="inlineStr">
        <is>
          <t>저녁 식후 후보</t>
        </is>
      </c>
      <c r="E38" s="6" t="inlineStr">
        <is>
          <t>BOOLEAN</t>
        </is>
      </c>
      <c r="F38" s="6" t="inlineStr">
        <is>
          <t>Y</t>
        </is>
      </c>
      <c r="G38" s="6" t="n"/>
      <c r="H38" s="5" t="inlineStr">
        <is>
          <t>TRUE,FALSE</t>
        </is>
      </c>
      <c r="I38" s="5" t="inlineStr">
        <is>
          <t>상세기획에 열거된 10개만 TRUE</t>
        </is>
      </c>
    </row>
    <row r="39">
      <c r="A39" s="6" t="inlineStr">
        <is>
          <t>diet_phrase_applicability</t>
        </is>
      </c>
      <c r="B39" s="6" t="n">
        <v>8</v>
      </c>
      <c r="C39" s="6" t="inlineStr">
        <is>
          <t>parse_status</t>
        </is>
      </c>
      <c r="D39" s="6" t="inlineStr">
        <is>
          <t>조건 변환 상태</t>
        </is>
      </c>
      <c r="E39" s="6" t="inlineStr">
        <is>
          <t>ENUM</t>
        </is>
      </c>
      <c r="F39" s="6" t="inlineStr">
        <is>
          <t>Y</t>
        </is>
      </c>
      <c r="G39" s="6" t="n"/>
      <c r="H39" s="5" t="inlineStr">
        <is>
          <t>READY</t>
        </is>
      </c>
      <c r="I39" s="5" t="inlineStr">
        <is>
          <t>시간·달력 조건이 실행 가능한 자동 후보</t>
        </is>
      </c>
    </row>
    <row r="40">
      <c r="A40" s="6" t="inlineStr">
        <is>
          <t>diet_phrase_applicability</t>
        </is>
      </c>
      <c r="B40" s="6" t="n">
        <v>9</v>
      </c>
      <c r="C40" s="6" t="inlineStr">
        <is>
          <t>context_match_mode</t>
        </is>
      </c>
      <c r="D40" s="6" t="inlineStr">
        <is>
          <t>상황 결합</t>
        </is>
      </c>
      <c r="E40" s="6" t="inlineStr">
        <is>
          <t>ENUM</t>
        </is>
      </c>
      <c r="F40" s="6" t="inlineStr">
        <is>
          <t>N</t>
        </is>
      </c>
      <c r="G40" s="6" t="n"/>
      <c r="H40" s="5" t="n"/>
      <c r="I40" s="5" t="inlineStr">
        <is>
          <t>v1.0.0 미사용</t>
        </is>
      </c>
    </row>
    <row r="41">
      <c r="A41" s="6" t="inlineStr">
        <is>
          <t>diet_phrase_applicability</t>
        </is>
      </c>
      <c r="B41" s="6" t="n">
        <v>10</v>
      </c>
      <c r="C41" s="6" t="inlineStr">
        <is>
          <t>context_codes</t>
        </is>
      </c>
      <c r="D41" s="6" t="inlineStr">
        <is>
          <t>상황 코드 후보</t>
        </is>
      </c>
      <c r="E41" s="6" t="inlineStr">
        <is>
          <t>TEXT</t>
        </is>
      </c>
      <c r="F41" s="6" t="inlineStr">
        <is>
          <t>N</t>
        </is>
      </c>
      <c r="G41" s="6" t="n"/>
      <c r="H41" s="5" t="n"/>
      <c r="I41" s="5" t="inlineStr">
        <is>
          <t>v1.0.0 미사용</t>
        </is>
      </c>
    </row>
    <row r="42">
      <c r="A42" s="6" t="inlineStr">
        <is>
          <t>diet_phrase_applicability</t>
        </is>
      </c>
      <c r="B42" s="6" t="n">
        <v>11</v>
      </c>
      <c r="C42" s="6" t="inlineStr">
        <is>
          <t>source_row</t>
        </is>
      </c>
      <c r="D42" s="6" t="inlineStr">
        <is>
          <t>원본 행</t>
        </is>
      </c>
      <c r="E42" s="6" t="inlineStr">
        <is>
          <t>INTEGER</t>
        </is>
      </c>
      <c r="F42" s="6" t="inlineStr">
        <is>
          <t>Y</t>
        </is>
      </c>
      <c r="G42" s="6" t="n"/>
      <c r="H42" s="5" t="n"/>
      <c r="I42" s="5" t="n"/>
    </row>
    <row r="43">
      <c r="A43" s="6" t="inlineStr">
        <is>
          <t>diet_disease_rule</t>
        </is>
      </c>
      <c r="B43" s="6" t="n">
        <v>1</v>
      </c>
      <c r="C43" s="6" t="inlineStr">
        <is>
          <t>rule_id</t>
        </is>
      </c>
      <c r="D43" s="6" t="inlineStr">
        <is>
          <t>규칙 ID</t>
        </is>
      </c>
      <c r="E43" s="6" t="inlineStr">
        <is>
          <t>VARCHAR(10)</t>
        </is>
      </c>
      <c r="F43" s="6" t="inlineStr">
        <is>
          <t>Y</t>
        </is>
      </c>
      <c r="G43" s="6" t="inlineStr">
        <is>
          <t>PK</t>
        </is>
      </c>
      <c r="H43" s="5" t="n"/>
      <c r="I43" s="5" t="n"/>
    </row>
    <row r="44">
      <c r="A44" s="6" t="inlineStr">
        <is>
          <t>diet_disease_rule</t>
        </is>
      </c>
      <c r="B44" s="6" t="n">
        <v>2</v>
      </c>
      <c r="C44" s="6" t="inlineStr">
        <is>
          <t>disease_name</t>
        </is>
      </c>
      <c r="D44" s="6" t="inlineStr">
        <is>
          <t>질환명</t>
        </is>
      </c>
      <c r="E44" s="6" t="inlineStr">
        <is>
          <t>VARCHAR(100)</t>
        </is>
      </c>
      <c r="F44" s="6" t="inlineStr">
        <is>
          <t>Y</t>
        </is>
      </c>
      <c r="G44" s="6" t="n"/>
      <c r="H44" s="5" t="n"/>
      <c r="I44" s="5" t="n"/>
    </row>
    <row r="45">
      <c r="A45" s="6" t="inlineStr">
        <is>
          <t>diet_disease_rule</t>
        </is>
      </c>
      <c r="B45" s="6" t="n">
        <v>3</v>
      </c>
      <c r="C45" s="6" t="inlineStr">
        <is>
          <t>release_phase</t>
        </is>
      </c>
      <c r="D45" s="6" t="inlineStr">
        <is>
          <t>출시 차수</t>
        </is>
      </c>
      <c r="E45" s="6" t="inlineStr">
        <is>
          <t>VARCHAR(10)</t>
        </is>
      </c>
      <c r="F45" s="6" t="inlineStr">
        <is>
          <t>Y</t>
        </is>
      </c>
      <c r="G45" s="6" t="n"/>
      <c r="H45" s="5" t="n"/>
      <c r="I45" s="5" t="n"/>
    </row>
    <row r="46">
      <c r="A46" s="6" t="inlineStr">
        <is>
          <t>diet_disease_rule</t>
        </is>
      </c>
      <c r="B46" s="6" t="n">
        <v>4</v>
      </c>
      <c r="C46" s="6" t="inlineStr">
        <is>
          <t>link_enabled</t>
        </is>
      </c>
      <c r="D46" s="6" t="inlineStr">
        <is>
          <t>목표 연결</t>
        </is>
      </c>
      <c r="E46" s="6" t="inlineStr">
        <is>
          <t>BOOLEAN</t>
        </is>
      </c>
      <c r="F46" s="6" t="inlineStr">
        <is>
          <t>Y</t>
        </is>
      </c>
      <c r="G46" s="6" t="n"/>
      <c r="H46" s="5" t="n"/>
      <c r="I46" s="5" t="n"/>
    </row>
    <row r="47">
      <c r="A47" s="6" t="inlineStr">
        <is>
          <t>diet_disease_rule</t>
        </is>
      </c>
      <c r="B47" s="6" t="n">
        <v>5</v>
      </c>
      <c r="C47" s="6" t="inlineStr">
        <is>
          <t>ban_enabled</t>
        </is>
      </c>
      <c r="D47" s="6" t="inlineStr">
        <is>
          <t>문구 금지</t>
        </is>
      </c>
      <c r="E47" s="6" t="inlineStr">
        <is>
          <t>BOOLEAN</t>
        </is>
      </c>
      <c r="F47" s="6" t="inlineStr">
        <is>
          <t>Y</t>
        </is>
      </c>
      <c r="G47" s="6" t="n"/>
      <c r="H47" s="5" t="n"/>
      <c r="I47" s="5" t="n"/>
    </row>
    <row r="48">
      <c r="A48" s="6" t="inlineStr">
        <is>
          <t>diet_disease_rule</t>
        </is>
      </c>
      <c r="B48" s="6" t="n">
        <v>6</v>
      </c>
      <c r="C48" s="6" t="inlineStr">
        <is>
          <t>confirmation_enabled</t>
        </is>
      </c>
      <c r="D48" s="6" t="inlineStr">
        <is>
          <t>확인 질문</t>
        </is>
      </c>
      <c r="E48" s="6" t="inlineStr">
        <is>
          <t>BOOLEAN</t>
        </is>
      </c>
      <c r="F48" s="6" t="inlineStr">
        <is>
          <t>Y</t>
        </is>
      </c>
      <c r="G48" s="6" t="n"/>
      <c r="H48" s="5" t="n"/>
      <c r="I48" s="5" t="n"/>
    </row>
    <row r="49">
      <c r="A49" s="6" t="inlineStr">
        <is>
          <t>diet_disease_rule</t>
        </is>
      </c>
      <c r="B49" s="6" t="n">
        <v>7</v>
      </c>
      <c r="C49" s="6" t="inlineStr">
        <is>
          <t>confirmation_label</t>
        </is>
      </c>
      <c r="D49" s="6" t="inlineStr">
        <is>
          <t>확인 질문 표시</t>
        </is>
      </c>
      <c r="E49" s="6" t="inlineStr">
        <is>
          <t>VARCHAR(100)</t>
        </is>
      </c>
      <c r="F49" s="6" t="inlineStr">
        <is>
          <t>N</t>
        </is>
      </c>
      <c r="G49" s="6" t="n"/>
      <c r="H49" s="5" t="n"/>
      <c r="I49" s="5" t="n"/>
    </row>
    <row r="50">
      <c r="A50" s="6" t="inlineStr">
        <is>
          <t>diet_disease_rule</t>
        </is>
      </c>
      <c r="B50" s="6" t="n">
        <v>8</v>
      </c>
      <c r="C50" s="6" t="inlineStr">
        <is>
          <t>ban_reason</t>
        </is>
      </c>
      <c r="D50" s="6" t="inlineStr">
        <is>
          <t>금지 사유</t>
        </is>
      </c>
      <c r="E50" s="6" t="inlineStr">
        <is>
          <t>TEXT</t>
        </is>
      </c>
      <c r="F50" s="6" t="inlineStr">
        <is>
          <t>N</t>
        </is>
      </c>
      <c r="G50" s="6" t="n"/>
      <c r="H50" s="5" t="n"/>
      <c r="I50" s="5" t="n"/>
    </row>
    <row r="51">
      <c r="A51" s="6" t="inlineStr">
        <is>
          <t>diet_disease_rule</t>
        </is>
      </c>
      <c r="B51" s="6" t="n">
        <v>9</v>
      </c>
      <c r="C51" s="6" t="inlineStr">
        <is>
          <t>recommendation_action</t>
        </is>
      </c>
      <c r="D51" s="6" t="inlineStr">
        <is>
          <t>추천 동작</t>
        </is>
      </c>
      <c r="E51" s="6" t="inlineStr">
        <is>
          <t>ENUM</t>
        </is>
      </c>
      <c r="F51" s="6" t="inlineStr">
        <is>
          <t>Y</t>
        </is>
      </c>
      <c r="G51" s="6" t="n"/>
      <c r="H51" s="5" t="inlineStr">
        <is>
          <t>STOP_ALL,EXCLUDE_PHRASE,LINK_ONLY,HOLD</t>
        </is>
      </c>
      <c r="I51" s="5" t="inlineStr">
        <is>
          <t>STOP_ALL은 다른 풀·대체 단계 탐색 전에 적용</t>
        </is>
      </c>
    </row>
    <row r="52">
      <c r="A52" s="6" t="inlineStr">
        <is>
          <t>diet_disease_rule</t>
        </is>
      </c>
      <c r="B52" s="6" t="n">
        <v>10</v>
      </c>
      <c r="C52" s="6" t="inlineStr">
        <is>
          <t>action_basis</t>
        </is>
      </c>
      <c r="D52" s="6" t="inlineStr">
        <is>
          <t>동작 파생 근거</t>
        </is>
      </c>
      <c r="E52" s="6" t="inlineStr">
        <is>
          <t>TEXT</t>
        </is>
      </c>
      <c r="F52" s="6" t="inlineStr">
        <is>
          <t>Y</t>
        </is>
      </c>
      <c r="G52" s="6" t="n"/>
      <c r="H52" s="5" t="n"/>
      <c r="I52" s="5" t="n"/>
    </row>
    <row r="53">
      <c r="A53" s="6" t="inlineStr">
        <is>
          <t>diet_disease_rule</t>
        </is>
      </c>
      <c r="B53" s="6" t="n">
        <v>11</v>
      </c>
      <c r="C53" s="6" t="inlineStr">
        <is>
          <t>source_row</t>
        </is>
      </c>
      <c r="D53" s="6" t="inlineStr">
        <is>
          <t>원본 행</t>
        </is>
      </c>
      <c r="E53" s="6" t="inlineStr">
        <is>
          <t>INTEGER</t>
        </is>
      </c>
      <c r="F53" s="6" t="inlineStr">
        <is>
          <t>Y</t>
        </is>
      </c>
      <c r="G53" s="6" t="n"/>
      <c r="H53" s="5" t="n"/>
      <c r="I53" s="5" t="n"/>
    </row>
    <row r="54">
      <c r="A54" s="6" t="inlineStr">
        <is>
          <t>diet_disease_axis</t>
        </is>
      </c>
      <c r="B54" s="6" t="n">
        <v>1</v>
      </c>
      <c r="C54" s="6" t="inlineStr">
        <is>
          <t>rule_id</t>
        </is>
      </c>
      <c r="D54" s="6" t="inlineStr">
        <is>
          <t>규칙 ID</t>
        </is>
      </c>
      <c r="E54" s="6" t="inlineStr">
        <is>
          <t>VARCHAR(10)</t>
        </is>
      </c>
      <c r="F54" s="6" t="inlineStr">
        <is>
          <t>Y</t>
        </is>
      </c>
      <c r="G54" s="6" t="inlineStr">
        <is>
          <t>PK/FK→diet_disease_rule</t>
        </is>
      </c>
      <c r="H54" s="5" t="n"/>
      <c r="I54" s="5" t="n"/>
    </row>
    <row r="55">
      <c r="A55" s="6" t="inlineStr">
        <is>
          <t>diet_disease_axis</t>
        </is>
      </c>
      <c r="B55" s="6" t="n">
        <v>2</v>
      </c>
      <c r="C55" s="6" t="inlineStr">
        <is>
          <t>question_id</t>
        </is>
      </c>
      <c r="D55" s="6" t="inlineStr">
        <is>
          <t>질문 ID</t>
        </is>
      </c>
      <c r="E55" s="6" t="inlineStr">
        <is>
          <t>VARCHAR(20)</t>
        </is>
      </c>
      <c r="F55" s="6" t="inlineStr">
        <is>
          <t>Y</t>
        </is>
      </c>
      <c r="G55" s="6" t="inlineStr">
        <is>
          <t>PK/FK→diet_question</t>
        </is>
      </c>
      <c r="H55" s="5" t="n"/>
      <c r="I55" s="5" t="n"/>
    </row>
    <row r="56">
      <c r="A56" s="6" t="inlineStr">
        <is>
          <t>diet_disease_axis</t>
        </is>
      </c>
      <c r="B56" s="6" t="n">
        <v>3</v>
      </c>
      <c r="C56" s="6" t="inlineStr">
        <is>
          <t>source_row</t>
        </is>
      </c>
      <c r="D56" s="6" t="inlineStr">
        <is>
          <t>원본 행</t>
        </is>
      </c>
      <c r="E56" s="6" t="inlineStr">
        <is>
          <t>INTEGER</t>
        </is>
      </c>
      <c r="F56" s="6" t="inlineStr">
        <is>
          <t>Y</t>
        </is>
      </c>
      <c r="G56" s="6" t="n"/>
      <c r="H56" s="5" t="n"/>
      <c r="I56" s="5" t="n"/>
    </row>
    <row r="57">
      <c r="A57" s="6" t="inlineStr">
        <is>
          <t>diet_disease_ban_nature</t>
        </is>
      </c>
      <c r="B57" s="6" t="n">
        <v>1</v>
      </c>
      <c r="C57" s="6" t="inlineStr">
        <is>
          <t>rule_id</t>
        </is>
      </c>
      <c r="D57" s="6" t="inlineStr">
        <is>
          <t>규칙 ID</t>
        </is>
      </c>
      <c r="E57" s="6" t="inlineStr">
        <is>
          <t>VARCHAR(10)</t>
        </is>
      </c>
      <c r="F57" s="6" t="inlineStr">
        <is>
          <t>Y</t>
        </is>
      </c>
      <c r="G57" s="6" t="inlineStr">
        <is>
          <t>PK/FK→diet_disease_rule</t>
        </is>
      </c>
      <c r="H57" s="5" t="n"/>
      <c r="I57" s="5" t="n"/>
    </row>
    <row r="58">
      <c r="A58" s="6" t="inlineStr">
        <is>
          <t>diet_disease_ban_nature</t>
        </is>
      </c>
      <c r="B58" s="6" t="n">
        <v>2</v>
      </c>
      <c r="C58" s="6" t="inlineStr">
        <is>
          <t>nature_code</t>
        </is>
      </c>
      <c r="D58" s="6" t="inlineStr">
        <is>
          <t>금지 성격</t>
        </is>
      </c>
      <c r="E58" s="6" t="inlineStr">
        <is>
          <t>ENUM</t>
        </is>
      </c>
      <c r="F58" s="6" t="inlineStr">
        <is>
          <t>Y</t>
        </is>
      </c>
      <c r="G58" s="6" t="inlineStr">
        <is>
          <t>PK</t>
        </is>
      </c>
      <c r="H58" s="5" t="inlineStr">
        <is>
          <t>REDUCE,FAST,INCREASE,FLUID,TEXTURE</t>
        </is>
      </c>
      <c r="I58" s="5" t="n"/>
    </row>
    <row r="59">
      <c r="A59" s="6" t="inlineStr">
        <is>
          <t>diet_disease_ban_nature</t>
        </is>
      </c>
      <c r="B59" s="6" t="n">
        <v>3</v>
      </c>
      <c r="C59" s="6" t="inlineStr">
        <is>
          <t>source_row</t>
        </is>
      </c>
      <c r="D59" s="6" t="inlineStr">
        <is>
          <t>원본 행</t>
        </is>
      </c>
      <c r="E59" s="6" t="inlineStr">
        <is>
          <t>INTEGER</t>
        </is>
      </c>
      <c r="F59" s="6" t="inlineStr">
        <is>
          <t>Y</t>
        </is>
      </c>
      <c r="G59" s="6" t="n"/>
      <c r="H59" s="5" t="n"/>
      <c r="I59" s="5" t="n"/>
    </row>
    <row r="60">
      <c r="A60" s="6" t="inlineStr">
        <is>
          <t>diet_disease_code_condition</t>
        </is>
      </c>
      <c r="B60" s="6" t="n">
        <v>1</v>
      </c>
      <c r="C60" s="6" t="inlineStr">
        <is>
          <t>condition_id</t>
        </is>
      </c>
      <c r="D60" s="6" t="inlineStr">
        <is>
          <t>조건 ID</t>
        </is>
      </c>
      <c r="E60" s="6" t="inlineStr">
        <is>
          <t>VARCHAR(12)</t>
        </is>
      </c>
      <c r="F60" s="6" t="inlineStr">
        <is>
          <t>Y</t>
        </is>
      </c>
      <c r="G60" s="6" t="inlineStr">
        <is>
          <t>PK</t>
        </is>
      </c>
      <c r="H60" s="5" t="inlineStr">
        <is>
          <t>DERIVED</t>
        </is>
      </c>
      <c r="I60" s="5" t="inlineStr">
        <is>
          <t>원본 행 기준 임시 ID. 적재 시 고정 키 승인 필요</t>
        </is>
      </c>
    </row>
    <row r="61">
      <c r="A61" s="6" t="inlineStr">
        <is>
          <t>diet_disease_code_condition</t>
        </is>
      </c>
      <c r="B61" s="6" t="n">
        <v>2</v>
      </c>
      <c r="C61" s="6" t="inlineStr">
        <is>
          <t>rule_id</t>
        </is>
      </c>
      <c r="D61" s="6" t="inlineStr">
        <is>
          <t>규칙 ID</t>
        </is>
      </c>
      <c r="E61" s="6" t="inlineStr">
        <is>
          <t>VARCHAR(10)</t>
        </is>
      </c>
      <c r="F61" s="6" t="inlineStr">
        <is>
          <t>Y</t>
        </is>
      </c>
      <c r="G61" s="6" t="inlineStr">
        <is>
          <t>FK→diet_disease_rule</t>
        </is>
      </c>
      <c r="H61" s="5" t="n"/>
      <c r="I61" s="5" t="n"/>
    </row>
    <row r="62">
      <c r="A62" s="6" t="inlineStr">
        <is>
          <t>diet_disease_code_condition</t>
        </is>
      </c>
      <c r="B62" s="6" t="n">
        <v>3</v>
      </c>
      <c r="C62" s="6" t="inlineStr">
        <is>
          <t>diagnosis_code</t>
        </is>
      </c>
      <c r="D62" s="6" t="inlineStr">
        <is>
          <t>상병코드</t>
        </is>
      </c>
      <c r="E62" s="6" t="inlineStr">
        <is>
          <t>VARCHAR(20)</t>
        </is>
      </c>
      <c r="F62" s="6" t="inlineStr">
        <is>
          <t>Y</t>
        </is>
      </c>
      <c r="G62" s="6" t="n"/>
      <c r="H62" s="5" t="n"/>
      <c r="I62" s="5" t="n"/>
    </row>
    <row r="63">
      <c r="A63" s="6" t="inlineStr">
        <is>
          <t>diet_disease_code_condition</t>
        </is>
      </c>
      <c r="B63" s="6" t="n">
        <v>4</v>
      </c>
      <c r="C63" s="6" t="inlineStr">
        <is>
          <t>code_label</t>
        </is>
      </c>
      <c r="D63" s="6" t="inlineStr">
        <is>
          <t>코드 이름</t>
        </is>
      </c>
      <c r="E63" s="6" t="inlineStr">
        <is>
          <t>VARCHAR(150)</t>
        </is>
      </c>
      <c r="F63" s="6" t="inlineStr">
        <is>
          <t>Y</t>
        </is>
      </c>
      <c r="G63" s="6" t="n"/>
      <c r="H63" s="5" t="n"/>
      <c r="I63" s="5" t="n"/>
    </row>
    <row r="64">
      <c r="A64" s="6" t="inlineStr">
        <is>
          <t>diet_disease_code_condition</t>
        </is>
      </c>
      <c r="B64" s="6" t="n">
        <v>5</v>
      </c>
      <c r="C64" s="6" t="inlineStr">
        <is>
          <t>match_type</t>
        </is>
      </c>
      <c r="D64" s="6" t="inlineStr">
        <is>
          <t>매칭 방식</t>
        </is>
      </c>
      <c r="E64" s="6" t="inlineStr">
        <is>
          <t>ENUM</t>
        </is>
      </c>
      <c r="F64" s="6" t="inlineStr">
        <is>
          <t>Y</t>
        </is>
      </c>
      <c r="G64" s="6" t="n"/>
      <c r="H64" s="5" t="inlineStr">
        <is>
          <t>PREFIX,EXACT,RANGE</t>
        </is>
      </c>
      <c r="I64" s="5" t="n"/>
    </row>
    <row r="65">
      <c r="A65" s="6" t="inlineStr">
        <is>
          <t>diet_disease_code_condition</t>
        </is>
      </c>
      <c r="B65" s="6" t="n">
        <v>6</v>
      </c>
      <c r="C65" s="6" t="inlineStr">
        <is>
          <t>range_end</t>
        </is>
      </c>
      <c r="D65" s="6" t="inlineStr">
        <is>
          <t>범위 끝</t>
        </is>
      </c>
      <c r="E65" s="6" t="inlineStr">
        <is>
          <t>VARCHAR(20)</t>
        </is>
      </c>
      <c r="F65" s="6" t="inlineStr">
        <is>
          <t>N</t>
        </is>
      </c>
      <c r="G65" s="6" t="n"/>
      <c r="H65" s="5" t="n"/>
      <c r="I65" s="5" t="n"/>
    </row>
    <row r="66">
      <c r="A66" s="6" t="inlineStr">
        <is>
          <t>diet_disease_code_condition</t>
        </is>
      </c>
      <c r="B66" s="6" t="n">
        <v>7</v>
      </c>
      <c r="C66" s="6" t="inlineStr">
        <is>
          <t>window_months</t>
        </is>
      </c>
      <c r="D66" s="6" t="inlineStr">
        <is>
          <t>조회 기간 개월</t>
        </is>
      </c>
      <c r="E66" s="6" t="inlineStr">
        <is>
          <t>INTEGER</t>
        </is>
      </c>
      <c r="F66" s="6" t="inlineStr">
        <is>
          <t>N</t>
        </is>
      </c>
      <c r="G66" s="6" t="n"/>
      <c r="H66" s="5" t="n"/>
      <c r="I66" s="5" t="n"/>
    </row>
    <row r="67">
      <c r="A67" s="6" t="inlineStr">
        <is>
          <t>diet_disease_code_condition</t>
        </is>
      </c>
      <c r="B67" s="6" t="n">
        <v>8</v>
      </c>
      <c r="C67" s="6" t="inlineStr">
        <is>
          <t>min_occurrences</t>
        </is>
      </c>
      <c r="D67" s="6" t="inlineStr">
        <is>
          <t>최소 횟수</t>
        </is>
      </c>
      <c r="E67" s="6" t="inlineStr">
        <is>
          <t>INTEGER</t>
        </is>
      </c>
      <c r="F67" s="6" t="inlineStr">
        <is>
          <t>N</t>
        </is>
      </c>
      <c r="G67" s="6" t="n"/>
      <c r="H67" s="5" t="n"/>
      <c r="I67" s="5" t="n"/>
    </row>
    <row r="68">
      <c r="A68" s="6" t="inlineStr">
        <is>
          <t>diet_disease_code_condition</t>
        </is>
      </c>
      <c r="B68" s="6" t="n">
        <v>9</v>
      </c>
      <c r="C68" s="6" t="inlineStr">
        <is>
          <t>primary_only</t>
        </is>
      </c>
      <c r="D68" s="6" t="inlineStr">
        <is>
          <t>주상병만</t>
        </is>
      </c>
      <c r="E68" s="6" t="inlineStr">
        <is>
          <t>BOOLEAN</t>
        </is>
      </c>
      <c r="F68" s="6" t="inlineStr">
        <is>
          <t>N</t>
        </is>
      </c>
      <c r="G68" s="6" t="n"/>
      <c r="H68" s="5" t="n"/>
      <c r="I68" s="5" t="n"/>
    </row>
    <row r="69">
      <c r="A69" s="6" t="inlineStr">
        <is>
          <t>diet_disease_code_condition</t>
        </is>
      </c>
      <c r="B69" s="6" t="n">
        <v>10</v>
      </c>
      <c r="C69" s="6" t="inlineStr">
        <is>
          <t>companion_codes_raw</t>
        </is>
      </c>
      <c r="D69" s="6" t="inlineStr">
        <is>
          <t>동반 필요 코드</t>
        </is>
      </c>
      <c r="E69" s="6" t="inlineStr">
        <is>
          <t>TEXT</t>
        </is>
      </c>
      <c r="F69" s="6" t="inlineStr">
        <is>
          <t>N</t>
        </is>
      </c>
      <c r="G69" s="6" t="n"/>
      <c r="H69" s="5" t="inlineStr">
        <is>
          <t>세미콜론 원문. 동시 발생 의미 미정</t>
        </is>
      </c>
      <c r="I69" s="5" t="n"/>
    </row>
    <row r="70">
      <c r="A70" s="6" t="inlineStr">
        <is>
          <t>diet_disease_code_condition</t>
        </is>
      </c>
      <c r="B70" s="6" t="n">
        <v>11</v>
      </c>
      <c r="C70" s="6" t="inlineStr">
        <is>
          <t>condition_note</t>
        </is>
      </c>
      <c r="D70" s="6" t="inlineStr">
        <is>
          <t>원본 비고</t>
        </is>
      </c>
      <c r="E70" s="6" t="inlineStr">
        <is>
          <t>TEXT</t>
        </is>
      </c>
      <c r="F70" s="6" t="inlineStr">
        <is>
          <t>N</t>
        </is>
      </c>
      <c r="G70" s="6" t="n"/>
      <c r="H70" s="5" t="n"/>
      <c r="I70" s="5" t="n"/>
    </row>
    <row r="71">
      <c r="A71" s="6" t="inlineStr">
        <is>
          <t>diet_disease_code_condition</t>
        </is>
      </c>
      <c r="B71" s="6" t="n">
        <v>12</v>
      </c>
      <c r="C71" s="6" t="inlineStr">
        <is>
          <t>source_row</t>
        </is>
      </c>
      <c r="D71" s="6" t="inlineStr">
        <is>
          <t>원본 행</t>
        </is>
      </c>
      <c r="E71" s="6" t="inlineStr">
        <is>
          <t>INTEGER</t>
        </is>
      </c>
      <c r="F71" s="6" t="inlineStr">
        <is>
          <t>Y</t>
        </is>
      </c>
      <c r="G71" s="6" t="n"/>
      <c r="H71" s="5" t="n"/>
      <c r="I71" s="5" t="n"/>
    </row>
    <row r="72">
      <c r="A72" s="6" t="inlineStr">
        <is>
          <t>diet_rule_setting</t>
        </is>
      </c>
      <c r="B72" s="6" t="n">
        <v>1</v>
      </c>
      <c r="C72" s="6" t="inlineStr">
        <is>
          <t>setting_id</t>
        </is>
      </c>
      <c r="D72" s="6" t="inlineStr">
        <is>
          <t>설정 ID</t>
        </is>
      </c>
      <c r="E72" s="6" t="inlineStr">
        <is>
          <t>VARCHAR(10)</t>
        </is>
      </c>
      <c r="F72" s="6" t="inlineStr">
        <is>
          <t>Y</t>
        </is>
      </c>
      <c r="G72" s="6" t="inlineStr">
        <is>
          <t>PK</t>
        </is>
      </c>
      <c r="H72" s="5" t="inlineStr">
        <is>
          <t>DERIVED</t>
        </is>
      </c>
      <c r="I72" s="5" t="inlineStr">
        <is>
          <t>원본 행 기준 임시 ID</t>
        </is>
      </c>
    </row>
    <row r="73">
      <c r="A73" s="6" t="inlineStr">
        <is>
          <t>diet_rule_setting</t>
        </is>
      </c>
      <c r="B73" s="6" t="n">
        <v>2</v>
      </c>
      <c r="C73" s="6" t="inlineStr">
        <is>
          <t>setting_group</t>
        </is>
      </c>
      <c r="D73" s="6" t="inlineStr">
        <is>
          <t>구분</t>
        </is>
      </c>
      <c r="E73" s="6" t="inlineStr">
        <is>
          <t>VARCHAR(40)</t>
        </is>
      </c>
      <c r="F73" s="6" t="inlineStr">
        <is>
          <t>Y</t>
        </is>
      </c>
      <c r="G73" s="6" t="n"/>
      <c r="H73" s="5" t="n"/>
      <c r="I73" s="5" t="n"/>
    </row>
    <row r="74">
      <c r="A74" s="6" t="inlineStr">
        <is>
          <t>diet_rule_setting</t>
        </is>
      </c>
      <c r="B74" s="6" t="n">
        <v>3</v>
      </c>
      <c r="C74" s="6" t="inlineStr">
        <is>
          <t>setting_name</t>
        </is>
      </c>
      <c r="D74" s="6" t="inlineStr">
        <is>
          <t>설정 이름</t>
        </is>
      </c>
      <c r="E74" s="6" t="inlineStr">
        <is>
          <t>VARCHAR(100)</t>
        </is>
      </c>
      <c r="F74" s="6" t="inlineStr">
        <is>
          <t>Y</t>
        </is>
      </c>
      <c r="G74" s="6" t="n"/>
      <c r="H74" s="5" t="n"/>
      <c r="I74" s="5" t="n"/>
    </row>
    <row r="75">
      <c r="A75" s="6" t="inlineStr">
        <is>
          <t>diet_rule_setting</t>
        </is>
      </c>
      <c r="B75" s="6" t="n">
        <v>4</v>
      </c>
      <c r="C75" s="6" t="inlineStr">
        <is>
          <t>value_raw</t>
        </is>
      </c>
      <c r="D75" s="6" t="inlineStr">
        <is>
          <t>원본 값</t>
        </is>
      </c>
      <c r="E75" s="6" t="inlineStr">
        <is>
          <t>TEXT</t>
        </is>
      </c>
      <c r="F75" s="6" t="inlineStr">
        <is>
          <t>Y</t>
        </is>
      </c>
      <c r="G75" s="6" t="n"/>
      <c r="H75" s="5" t="n"/>
      <c r="I75" s="5" t="n"/>
    </row>
    <row r="76">
      <c r="A76" s="6" t="inlineStr">
        <is>
          <t>diet_rule_setting</t>
        </is>
      </c>
      <c r="B76" s="6" t="n">
        <v>5</v>
      </c>
      <c r="C76" s="6" t="inlineStr">
        <is>
          <t>value_type</t>
        </is>
      </c>
      <c r="D76" s="6" t="inlineStr">
        <is>
          <t>값 타입</t>
        </is>
      </c>
      <c r="E76" s="6" t="inlineStr">
        <is>
          <t>ENUM</t>
        </is>
      </c>
      <c r="F76" s="6" t="inlineStr">
        <is>
          <t>Y</t>
        </is>
      </c>
      <c r="G76" s="6" t="n"/>
      <c r="H76" s="5" t="inlineStr">
        <is>
          <t>NUMBER,TIME,BOOLEAN,TEXT_RULE</t>
        </is>
      </c>
      <c r="I76" s="5" t="n"/>
    </row>
    <row r="77">
      <c r="A77" s="6" t="inlineStr">
        <is>
          <t>diet_rule_setting</t>
        </is>
      </c>
      <c r="B77" s="6" t="n">
        <v>6</v>
      </c>
      <c r="C77" s="6" t="inlineStr">
        <is>
          <t>number_value</t>
        </is>
      </c>
      <c r="D77" s="6" t="inlineStr">
        <is>
          <t>숫자 값</t>
        </is>
      </c>
      <c r="E77" s="6" t="inlineStr">
        <is>
          <t>DECIMAL</t>
        </is>
      </c>
      <c r="F77" s="6" t="inlineStr">
        <is>
          <t>N</t>
        </is>
      </c>
      <c r="G77" s="6" t="n"/>
      <c r="H77" s="5" t="n"/>
      <c r="I77" s="5" t="n"/>
    </row>
    <row r="78">
      <c r="A78" s="6" t="inlineStr">
        <is>
          <t>diet_rule_setting</t>
        </is>
      </c>
      <c r="B78" s="6" t="n">
        <v>7</v>
      </c>
      <c r="C78" s="6" t="inlineStr">
        <is>
          <t>time_value</t>
        </is>
      </c>
      <c r="D78" s="6" t="inlineStr">
        <is>
          <t>시각 값</t>
        </is>
      </c>
      <c r="E78" s="6" t="inlineStr">
        <is>
          <t>TIME</t>
        </is>
      </c>
      <c r="F78" s="6" t="inlineStr">
        <is>
          <t>N</t>
        </is>
      </c>
      <c r="G78" s="6" t="n"/>
      <c r="H78" s="5" t="n"/>
      <c r="I78" s="5" t="n"/>
    </row>
    <row r="79">
      <c r="A79" s="6" t="inlineStr">
        <is>
          <t>diet_rule_setting</t>
        </is>
      </c>
      <c r="B79" s="6" t="n">
        <v>8</v>
      </c>
      <c r="C79" s="6" t="inlineStr">
        <is>
          <t>boolean_value</t>
        </is>
      </c>
      <c r="D79" s="6" t="inlineStr">
        <is>
          <t>참거짓 값</t>
        </is>
      </c>
      <c r="E79" s="6" t="inlineStr">
        <is>
          <t>BOOLEAN</t>
        </is>
      </c>
      <c r="F79" s="6" t="inlineStr">
        <is>
          <t>N</t>
        </is>
      </c>
      <c r="G79" s="6" t="n"/>
      <c r="H79" s="5" t="n"/>
      <c r="I79" s="5" t="n"/>
    </row>
    <row r="80">
      <c r="A80" s="6" t="inlineStr">
        <is>
          <t>diet_rule_setting</t>
        </is>
      </c>
      <c r="B80" s="6" t="n">
        <v>9</v>
      </c>
      <c r="C80" s="6" t="inlineStr">
        <is>
          <t>execution_status</t>
        </is>
      </c>
      <c r="D80" s="6" t="inlineStr">
        <is>
          <t>실행 상태</t>
        </is>
      </c>
      <c r="E80" s="6" t="inlineStr">
        <is>
          <t>ENUM</t>
        </is>
      </c>
      <c r="F80" s="6" t="inlineStr">
        <is>
          <t>Y</t>
        </is>
      </c>
      <c r="G80" s="6" t="n"/>
      <c r="H80" s="5" t="inlineStr">
        <is>
          <t>TYPED,NEEDS_STRUCTURING,CONFLICT</t>
        </is>
      </c>
      <c r="I80" s="5" t="n"/>
    </row>
    <row r="81">
      <c r="A81" s="6" t="inlineStr">
        <is>
          <t>diet_rule_setting</t>
        </is>
      </c>
      <c r="B81" s="6" t="n">
        <v>10</v>
      </c>
      <c r="C81" s="6" t="inlineStr">
        <is>
          <t>use_case</t>
        </is>
      </c>
      <c r="D81" s="6" t="inlineStr">
        <is>
          <t>쓰이는 곳</t>
        </is>
      </c>
      <c r="E81" s="6" t="inlineStr">
        <is>
          <t>VARCHAR(100)</t>
        </is>
      </c>
      <c r="F81" s="6" t="inlineStr">
        <is>
          <t>Y</t>
        </is>
      </c>
      <c r="G81" s="6" t="n"/>
      <c r="H81" s="5" t="n"/>
      <c r="I81" s="5" t="n"/>
    </row>
    <row r="82">
      <c r="A82" s="6" t="inlineStr">
        <is>
          <t>diet_rule_setting</t>
        </is>
      </c>
      <c r="B82" s="6" t="n">
        <v>11</v>
      </c>
      <c r="C82" s="6" t="inlineStr">
        <is>
          <t>source_row</t>
        </is>
      </c>
      <c r="D82" s="6" t="inlineStr">
        <is>
          <t>원본 행</t>
        </is>
      </c>
      <c r="E82" s="6" t="inlineStr">
        <is>
          <t>INTEGER</t>
        </is>
      </c>
      <c r="F82" s="6" t="inlineStr">
        <is>
          <t>Y</t>
        </is>
      </c>
      <c r="G82" s="6" t="n"/>
      <c r="H82" s="5" t="n"/>
      <c r="I82" s="5" t="n"/>
    </row>
    <row r="83">
      <c r="A83" s="6" t="inlineStr">
        <is>
          <t>diet_implementation_rule</t>
        </is>
      </c>
      <c r="B83" s="6" t="n">
        <v>1</v>
      </c>
      <c r="C83" s="6" t="inlineStr">
        <is>
          <t>rule_id</t>
        </is>
      </c>
      <c r="D83" s="6" t="inlineStr">
        <is>
          <t>기준 ID</t>
        </is>
      </c>
      <c r="E83" s="6" t="inlineStr">
        <is>
          <t>VARCHAR(10)</t>
        </is>
      </c>
      <c r="F83" s="6" t="inlineStr">
        <is>
          <t>Y</t>
        </is>
      </c>
      <c r="G83" s="6" t="inlineStr">
        <is>
          <t>PK</t>
        </is>
      </c>
      <c r="H83" s="5" t="n"/>
      <c r="I83" s="5" t="n"/>
    </row>
    <row r="84">
      <c r="A84" s="6" t="inlineStr">
        <is>
          <t>diet_implementation_rule</t>
        </is>
      </c>
      <c r="B84" s="6" t="n">
        <v>2</v>
      </c>
      <c r="C84" s="6" t="inlineStr">
        <is>
          <t>category</t>
        </is>
      </c>
      <c r="D84" s="6" t="inlineStr">
        <is>
          <t>구분</t>
        </is>
      </c>
      <c r="E84" s="6" t="inlineStr">
        <is>
          <t>VARCHAR(30)</t>
        </is>
      </c>
      <c r="F84" s="6" t="inlineStr">
        <is>
          <t>Y</t>
        </is>
      </c>
      <c r="G84" s="6" t="n"/>
      <c r="H84" s="5" t="n"/>
      <c r="I84" s="5" t="n"/>
    </row>
    <row r="85">
      <c r="A85" s="6" t="inlineStr">
        <is>
          <t>diet_implementation_rule</t>
        </is>
      </c>
      <c r="B85" s="6" t="n">
        <v>3</v>
      </c>
      <c r="C85" s="6" t="inlineStr">
        <is>
          <t>affected_table</t>
        </is>
      </c>
      <c r="D85" s="6" t="inlineStr">
        <is>
          <t>영향 테이블</t>
        </is>
      </c>
      <c r="E85" s="6" t="inlineStr">
        <is>
          <t>VARCHAR(100)</t>
        </is>
      </c>
      <c r="F85" s="6" t="inlineStr">
        <is>
          <t>Y</t>
        </is>
      </c>
      <c r="G85" s="6" t="n"/>
      <c r="H85" s="5" t="n"/>
      <c r="I85" s="5" t="n"/>
    </row>
    <row r="86">
      <c r="A86" s="6" t="inlineStr">
        <is>
          <t>diet_implementation_rule</t>
        </is>
      </c>
      <c r="B86" s="6" t="n">
        <v>4</v>
      </c>
      <c r="C86" s="6" t="inlineStr">
        <is>
          <t>source_location</t>
        </is>
      </c>
      <c r="D86" s="6" t="inlineStr">
        <is>
          <t>출처</t>
        </is>
      </c>
      <c r="E86" s="6" t="inlineStr">
        <is>
          <t>VARCHAR(200)</t>
        </is>
      </c>
      <c r="F86" s="6" t="inlineStr">
        <is>
          <t>Y</t>
        </is>
      </c>
      <c r="G86" s="6" t="n"/>
      <c r="H86" s="5" t="n"/>
      <c r="I86" s="5" t="n"/>
    </row>
    <row r="87">
      <c r="A87" s="6" t="inlineStr">
        <is>
          <t>diet_implementation_rule</t>
        </is>
      </c>
      <c r="B87" s="6" t="n">
        <v>5</v>
      </c>
      <c r="C87" s="6" t="inlineStr">
        <is>
          <t>rule_text</t>
        </is>
      </c>
      <c r="D87" s="6" t="inlineStr">
        <is>
          <t>확정 규칙</t>
        </is>
      </c>
      <c r="E87" s="6" t="inlineStr">
        <is>
          <t>TEXT</t>
        </is>
      </c>
      <c r="F87" s="6" t="inlineStr">
        <is>
          <t>Y</t>
        </is>
      </c>
      <c r="G87" s="6" t="n"/>
      <c r="H87" s="5" t="n"/>
      <c r="I87" s="5" t="n"/>
    </row>
    <row r="88">
      <c r="A88" s="6" t="inlineStr">
        <is>
          <t>diet_implementation_rule</t>
        </is>
      </c>
      <c r="B88" s="6" t="n">
        <v>6</v>
      </c>
      <c r="C88" s="6" t="inlineStr">
        <is>
          <t>implementation_note</t>
        </is>
      </c>
      <c r="D88" s="6" t="inlineStr">
        <is>
          <t>구현 메모</t>
        </is>
      </c>
      <c r="E88" s="6" t="inlineStr">
        <is>
          <t>TEXT</t>
        </is>
      </c>
      <c r="F88" s="6" t="inlineStr">
        <is>
          <t>N</t>
        </is>
      </c>
      <c r="G88" s="6" t="n"/>
      <c r="H88" s="5" t="n"/>
      <c r="I88" s="5" t="n"/>
    </row>
    <row r="89">
      <c r="A89" s="6" t="inlineStr">
        <is>
          <t>diet_implementation_rule</t>
        </is>
      </c>
      <c r="B89" s="6" t="n">
        <v>7</v>
      </c>
      <c r="C89" s="6" t="inlineStr">
        <is>
          <t>status</t>
        </is>
      </c>
      <c r="D89" s="6" t="inlineStr">
        <is>
          <t>상태</t>
        </is>
      </c>
      <c r="E89" s="6" t="inlineStr">
        <is>
          <t>ENUM</t>
        </is>
      </c>
      <c r="F89" s="6" t="inlineStr">
        <is>
          <t>Y</t>
        </is>
      </c>
      <c r="G89" s="6" t="n"/>
      <c r="H89" s="5" t="inlineStr">
        <is>
          <t>ACTIVE</t>
        </is>
      </c>
      <c r="I89" s="5" t="inlineStr">
        <is>
          <t>v1.0.0은 ACTIVE만 사용</t>
        </is>
      </c>
    </row>
    <row r="90">
      <c r="A90" s="6" t="inlineStr">
        <is>
          <t>diet_session</t>
        </is>
      </c>
      <c r="B90" s="6" t="n">
        <v>1</v>
      </c>
      <c r="C90" s="6" t="inlineStr">
        <is>
          <t>user_id</t>
        </is>
      </c>
      <c r="D90" s="6" t="inlineStr">
        <is>
          <t>사용자 ID</t>
        </is>
      </c>
      <c r="E90" s="6" t="inlineStr">
        <is>
          <t>VARCHAR(64)</t>
        </is>
      </c>
      <c r="F90" s="6" t="inlineStr">
        <is>
          <t>Y</t>
        </is>
      </c>
      <c r="G90" s="6" t="inlineStr">
        <is>
          <t>PK</t>
        </is>
      </c>
      <c r="H90" s="5" t="n"/>
      <c r="I90" s="5" t="n"/>
    </row>
    <row r="91">
      <c r="A91" s="6" t="inlineStr">
        <is>
          <t>diet_session</t>
        </is>
      </c>
      <c r="B91" s="6" t="n">
        <v>2</v>
      </c>
      <c r="C91" s="6" t="inlineStr">
        <is>
          <t>session_date</t>
        </is>
      </c>
      <c r="D91" s="6" t="inlineStr">
        <is>
          <t>세션 날짜</t>
        </is>
      </c>
      <c r="E91" s="6" t="inlineStr">
        <is>
          <t>DATE</t>
        </is>
      </c>
      <c r="F91" s="6" t="inlineStr">
        <is>
          <t>Y</t>
        </is>
      </c>
      <c r="G91" s="6" t="inlineStr">
        <is>
          <t>PK</t>
        </is>
      </c>
      <c r="H91" s="5" t="n"/>
      <c r="I91" s="5" t="n"/>
    </row>
    <row r="92">
      <c r="A92" s="6" t="inlineStr">
        <is>
          <t>diet_session</t>
        </is>
      </c>
      <c r="B92" s="6" t="n">
        <v>3</v>
      </c>
      <c r="C92" s="6" t="inlineStr">
        <is>
          <t>timezone_id</t>
        </is>
      </c>
      <c r="D92" s="6" t="inlineStr">
        <is>
          <t>사용자 시간대</t>
        </is>
      </c>
      <c r="E92" s="6" t="inlineStr">
        <is>
          <t>VARCHAR(64)</t>
        </is>
      </c>
      <c r="F92" s="6" t="inlineStr">
        <is>
          <t>Y</t>
        </is>
      </c>
      <c r="G92" s="6" t="n"/>
      <c r="H92" s="5" t="n"/>
      <c r="I92" s="5" t="n"/>
    </row>
    <row r="93">
      <c r="A93" s="6" t="inlineStr">
        <is>
          <t>diet_session</t>
        </is>
      </c>
      <c r="B93" s="6" t="n">
        <v>4</v>
      </c>
      <c r="C93" s="6" t="inlineStr">
        <is>
          <t>first_entry_at</t>
        </is>
      </c>
      <c r="D93" s="6" t="inlineStr">
        <is>
          <t>첫 진입 시각</t>
        </is>
      </c>
      <c r="E93" s="6" t="inlineStr">
        <is>
          <t>TIMESTAMP WITH TIME ZONE</t>
        </is>
      </c>
      <c r="F93" s="6" t="inlineStr">
        <is>
          <t>Y</t>
        </is>
      </c>
      <c r="G93" s="6" t="n"/>
      <c r="H93" s="5" t="n"/>
      <c r="I93" s="5" t="n"/>
    </row>
    <row r="94">
      <c r="A94" s="6" t="inlineStr">
        <is>
          <t>diet_session</t>
        </is>
      </c>
      <c r="B94" s="6" t="n">
        <v>5</v>
      </c>
      <c r="C94" s="6" t="inlineStr">
        <is>
          <t>questions_completed_at</t>
        </is>
      </c>
      <c r="D94" s="6" t="inlineStr">
        <is>
          <t>질문 완료 시각</t>
        </is>
      </c>
      <c r="E94" s="6" t="inlineStr">
        <is>
          <t>TIMESTAMP WITH TIME ZONE</t>
        </is>
      </c>
      <c r="F94" s="6" t="inlineStr">
        <is>
          <t>N</t>
        </is>
      </c>
      <c r="G94" s="6" t="n"/>
      <c r="H94" s="5" t="n"/>
      <c r="I94" s="5" t="n"/>
    </row>
    <row r="95">
      <c r="A95" s="6" t="inlineStr">
        <is>
          <t>diet_session</t>
        </is>
      </c>
      <c r="B95" s="6" t="n">
        <v>6</v>
      </c>
      <c r="C95" s="6" t="inlineStr">
        <is>
          <t>created_at</t>
        </is>
      </c>
      <c r="D95" s="6" t="inlineStr">
        <is>
          <t>생성 시각</t>
        </is>
      </c>
      <c r="E95" s="6" t="inlineStr">
        <is>
          <t>TIMESTAMP WITH TIME ZONE</t>
        </is>
      </c>
      <c r="F95" s="6" t="inlineStr">
        <is>
          <t>Y</t>
        </is>
      </c>
      <c r="G95" s="6" t="n"/>
      <c r="H95" s="5" t="n"/>
      <c r="I95" s="5" t="n"/>
    </row>
    <row r="96">
      <c r="A96" s="6" t="inlineStr">
        <is>
          <t>diet_question_state</t>
        </is>
      </c>
      <c r="B96" s="6" t="n">
        <v>1</v>
      </c>
      <c r="C96" s="6" t="inlineStr">
        <is>
          <t>user_id</t>
        </is>
      </c>
      <c r="D96" s="6" t="inlineStr">
        <is>
          <t>사용자 ID</t>
        </is>
      </c>
      <c r="E96" s="6" t="inlineStr">
        <is>
          <t>VARCHAR(64)</t>
        </is>
      </c>
      <c r="F96" s="6" t="inlineStr">
        <is>
          <t>Y</t>
        </is>
      </c>
      <c r="G96" s="6" t="inlineStr">
        <is>
          <t>PK/FK→diet_session</t>
        </is>
      </c>
      <c r="H96" s="5" t="n"/>
      <c r="I96" s="5" t="n"/>
    </row>
    <row r="97">
      <c r="A97" s="6" t="inlineStr">
        <is>
          <t>diet_question_state</t>
        </is>
      </c>
      <c r="B97" s="6" t="n">
        <v>2</v>
      </c>
      <c r="C97" s="6" t="inlineStr">
        <is>
          <t>session_date</t>
        </is>
      </c>
      <c r="D97" s="6" t="inlineStr">
        <is>
          <t>세션 날짜</t>
        </is>
      </c>
      <c r="E97" s="6" t="inlineStr">
        <is>
          <t>DATE</t>
        </is>
      </c>
      <c r="F97" s="6" t="inlineStr">
        <is>
          <t>Y</t>
        </is>
      </c>
      <c r="G97" s="6" t="inlineStr">
        <is>
          <t>PK/FK→diet_session</t>
        </is>
      </c>
      <c r="H97" s="5" t="n"/>
      <c r="I97" s="5" t="n"/>
    </row>
    <row r="98">
      <c r="A98" s="6" t="inlineStr">
        <is>
          <t>diet_question_state</t>
        </is>
      </c>
      <c r="B98" s="6" t="n">
        <v>3</v>
      </c>
      <c r="C98" s="6" t="inlineStr">
        <is>
          <t>slot_code</t>
        </is>
      </c>
      <c r="D98" s="6" t="inlineStr">
        <is>
          <t>질문 슬롯</t>
        </is>
      </c>
      <c r="E98" s="6" t="inlineStr">
        <is>
          <t>ENUM</t>
        </is>
      </c>
      <c r="F98" s="6" t="inlineStr">
        <is>
          <t>Y</t>
        </is>
      </c>
      <c r="G98" s="6" t="inlineStr">
        <is>
          <t>PK</t>
        </is>
      </c>
      <c r="H98" s="5" t="inlineStr">
        <is>
          <t>FIXED,ROTATING,CONFIRMATION,MEAL_TIME</t>
        </is>
      </c>
      <c r="I98" s="5" t="inlineStr">
        <is>
          <t>MEAL_TIME은 고정 질문 답이 usual · less일 때만 PENDING으로 만든다(어제 저녁 포함). 그 밖에는 CONDITIONAL_SKIP + skip_reason</t>
        </is>
      </c>
    </row>
    <row r="99">
      <c r="A99" s="6" t="inlineStr">
        <is>
          <t>diet_question_state</t>
        </is>
      </c>
      <c r="B99" s="6" t="n">
        <v>4</v>
      </c>
      <c r="C99" s="6" t="inlineStr">
        <is>
          <t>question_id</t>
        </is>
      </c>
      <c r="D99" s="6" t="inlineStr">
        <is>
          <t>질문 ID</t>
        </is>
      </c>
      <c r="E99" s="6" t="inlineStr">
        <is>
          <t>VARCHAR(20)</t>
        </is>
      </c>
      <c r="F99" s="6" t="inlineStr">
        <is>
          <t>N</t>
        </is>
      </c>
      <c r="G99" s="6" t="inlineStr">
        <is>
          <t>FK→diet_question</t>
        </is>
      </c>
      <c r="H99" s="5" t="n"/>
      <c r="I99" s="5" t="n"/>
    </row>
    <row r="100">
      <c r="A100" s="6" t="inlineStr">
        <is>
          <t>diet_question_state</t>
        </is>
      </c>
      <c r="B100" s="6" t="n">
        <v>5</v>
      </c>
      <c r="C100" s="6" t="inlineStr">
        <is>
          <t>question_version</t>
        </is>
      </c>
      <c r="D100" s="6" t="inlineStr">
        <is>
          <t>질문 버전</t>
        </is>
      </c>
      <c r="E100" s="6" t="inlineStr">
        <is>
          <t>VARCHAR(10)</t>
        </is>
      </c>
      <c r="F100" s="6" t="inlineStr">
        <is>
          <t>N</t>
        </is>
      </c>
      <c r="G100" s="6" t="inlineStr">
        <is>
          <t>FK→diet_question</t>
        </is>
      </c>
      <c r="H100" s="5" t="n"/>
      <c r="I100" s="5" t="n"/>
    </row>
    <row r="101" ht="25" customHeight="1">
      <c r="A101" s="6" t="inlineStr">
        <is>
          <t>diet_question_state</t>
        </is>
      </c>
      <c r="B101" s="6" t="n">
        <v>6</v>
      </c>
      <c r="C101" s="6" t="inlineStr">
        <is>
          <t>state_code</t>
        </is>
      </c>
      <c r="D101" s="6" t="inlineStr">
        <is>
          <t>문항 상태</t>
        </is>
      </c>
      <c r="E101" s="6" t="inlineStr">
        <is>
          <t>ENUM</t>
        </is>
      </c>
      <c r="F101" s="6" t="inlineStr">
        <is>
          <t>Y</t>
        </is>
      </c>
      <c r="G101" s="6" t="n"/>
      <c r="H101" s="5" t="inlineStr">
        <is>
          <t>PENDING,ANSWERED,CONDITIONAL_SKIP</t>
        </is>
      </c>
      <c r="I101" s="5" t="inlineStr">
        <is>
          <t>PENDING 아직 답하지 않음 · ANSWERED 답했음 · CONDITIONAL_SKIP 물을 상황이 아니라 묻지 않음(미이행이 아님). 선택지 응답이 있을 때만 ANSWERED</t>
        </is>
      </c>
    </row>
    <row r="102">
      <c r="A102" s="6" t="inlineStr">
        <is>
          <t>diet_question_state</t>
        </is>
      </c>
      <c r="B102" s="6" t="n">
        <v>7</v>
      </c>
      <c r="C102" s="6" t="inlineStr">
        <is>
          <t>meal_date</t>
        </is>
      </c>
      <c r="D102" s="6" t="inlineStr">
        <is>
          <t>노출 끼니 날짜</t>
        </is>
      </c>
      <c r="E102" s="6" t="inlineStr">
        <is>
          <t>DATE</t>
        </is>
      </c>
      <c r="F102" s="6" t="inlineStr">
        <is>
          <t>N</t>
        </is>
      </c>
      <c r="G102" s="6" t="n"/>
      <c r="H102" s="5" t="n"/>
      <c r="I102" s="5" t="n"/>
    </row>
    <row r="103">
      <c r="A103" s="6" t="inlineStr">
        <is>
          <t>diet_question_state</t>
        </is>
      </c>
      <c r="B103" s="6" t="n">
        <v>8</v>
      </c>
      <c r="C103" s="6" t="inlineStr">
        <is>
          <t>meal_type</t>
        </is>
      </c>
      <c r="D103" s="6" t="inlineStr">
        <is>
          <t>노출 끼니</t>
        </is>
      </c>
      <c r="E103" s="6" t="inlineStr">
        <is>
          <t>ENUM</t>
        </is>
      </c>
      <c r="F103" s="6" t="inlineStr">
        <is>
          <t>N</t>
        </is>
      </c>
      <c r="G103" s="6" t="n"/>
      <c r="H103" s="5" t="inlineStr">
        <is>
          <t>BREAKFAST,LUNCH,DINNER</t>
        </is>
      </c>
      <c r="I103" s="5" t="n"/>
    </row>
    <row r="104">
      <c r="A104" s="6" t="inlineStr">
        <is>
          <t>diet_question_state</t>
        </is>
      </c>
      <c r="B104" s="6" t="n">
        <v>9</v>
      </c>
      <c r="C104" s="6" t="inlineStr">
        <is>
          <t>skip_reason</t>
        </is>
      </c>
      <c r="D104" s="6" t="inlineStr">
        <is>
          <t>생략 사유</t>
        </is>
      </c>
      <c r="E104" s="6" t="inlineStr">
        <is>
          <t>VARCHAR(50)</t>
        </is>
      </c>
      <c r="F104" s="6" t="inlineStr">
        <is>
          <t>N</t>
        </is>
      </c>
      <c r="G104" s="6" t="n"/>
      <c r="H104" s="5" t="n"/>
      <c r="I104" s="5" t="inlineStr">
        <is>
          <t>예: NO_ROTATING_CANDIDATE · MEAL_SKIPPED(고정 답 very_little_or_skipped) · HEALTH_APP_RECORD</t>
        </is>
      </c>
    </row>
    <row r="105">
      <c r="A105" s="6" t="inlineStr">
        <is>
          <t>diet_question_state</t>
        </is>
      </c>
      <c r="B105" s="6" t="n">
        <v>10</v>
      </c>
      <c r="C105" s="6" t="inlineStr">
        <is>
          <t>updated_at</t>
        </is>
      </c>
      <c r="D105" s="6" t="inlineStr">
        <is>
          <t>수정 시각</t>
        </is>
      </c>
      <c r="E105" s="6" t="inlineStr">
        <is>
          <t>TIMESTAMP WITH TIME ZONE</t>
        </is>
      </c>
      <c r="F105" s="6" t="inlineStr">
        <is>
          <t>Y</t>
        </is>
      </c>
      <c r="G105" s="6" t="n"/>
      <c r="H105" s="5" t="n"/>
      <c r="I105" s="5" t="n"/>
    </row>
    <row r="106">
      <c r="A106" s="6" t="inlineStr">
        <is>
          <t>diet_answer</t>
        </is>
      </c>
      <c r="B106" s="6" t="n">
        <v>1</v>
      </c>
      <c r="C106" s="6" t="inlineStr">
        <is>
          <t>answer_id</t>
        </is>
      </c>
      <c r="D106" s="6" t="inlineStr">
        <is>
          <t>응답 ID</t>
        </is>
      </c>
      <c r="E106" s="6" t="inlineStr">
        <is>
          <t>UUID</t>
        </is>
      </c>
      <c r="F106" s="6" t="inlineStr">
        <is>
          <t>Y</t>
        </is>
      </c>
      <c r="G106" s="6" t="inlineStr">
        <is>
          <t>PK</t>
        </is>
      </c>
      <c r="H106" s="5" t="n"/>
      <c r="I106" s="5" t="n"/>
    </row>
    <row r="107">
      <c r="A107" s="6" t="inlineStr">
        <is>
          <t>diet_answer</t>
        </is>
      </c>
      <c r="B107" s="6" t="n">
        <v>2</v>
      </c>
      <c r="C107" s="6" t="inlineStr">
        <is>
          <t>user_id</t>
        </is>
      </c>
      <c r="D107" s="6" t="inlineStr">
        <is>
          <t>사용자 ID</t>
        </is>
      </c>
      <c r="E107" s="6" t="inlineStr">
        <is>
          <t>VARCHAR(64)</t>
        </is>
      </c>
      <c r="F107" s="6" t="inlineStr">
        <is>
          <t>Y</t>
        </is>
      </c>
      <c r="G107" s="6" t="inlineStr">
        <is>
          <t>FK→diet_session</t>
        </is>
      </c>
      <c r="H107" s="5" t="n"/>
      <c r="I107" s="5" t="n"/>
    </row>
    <row r="108">
      <c r="A108" s="6" t="inlineStr">
        <is>
          <t>diet_answer</t>
        </is>
      </c>
      <c r="B108" s="6" t="n">
        <v>3</v>
      </c>
      <c r="C108" s="6" t="inlineStr">
        <is>
          <t>session_date</t>
        </is>
      </c>
      <c r="D108" s="6" t="inlineStr">
        <is>
          <t>세션 날짜</t>
        </is>
      </c>
      <c r="E108" s="6" t="inlineStr">
        <is>
          <t>DATE</t>
        </is>
      </c>
      <c r="F108" s="6" t="inlineStr">
        <is>
          <t>Y</t>
        </is>
      </c>
      <c r="G108" s="6" t="inlineStr">
        <is>
          <t>FK→diet_session</t>
        </is>
      </c>
      <c r="H108" s="5" t="n"/>
      <c r="I108" s="5" t="n"/>
    </row>
    <row r="109">
      <c r="A109" s="6" t="inlineStr">
        <is>
          <t>diet_answer</t>
        </is>
      </c>
      <c r="B109" s="6" t="n">
        <v>4</v>
      </c>
      <c r="C109" s="6" t="inlineStr">
        <is>
          <t>meal_date</t>
        </is>
      </c>
      <c r="D109" s="6" t="inlineStr">
        <is>
          <t>실제 끼니 날짜</t>
        </is>
      </c>
      <c r="E109" s="6" t="inlineStr">
        <is>
          <t>DATE</t>
        </is>
      </c>
      <c r="F109" s="6" t="inlineStr">
        <is>
          <t>Y</t>
        </is>
      </c>
      <c r="G109" s="6" t="n"/>
      <c r="H109" s="5" t="n"/>
      <c r="I109" s="5" t="n"/>
    </row>
    <row r="110">
      <c r="A110" s="6" t="inlineStr">
        <is>
          <t>diet_answer</t>
        </is>
      </c>
      <c r="B110" s="6" t="n">
        <v>5</v>
      </c>
      <c r="C110" s="6" t="inlineStr">
        <is>
          <t>meal_type</t>
        </is>
      </c>
      <c r="D110" s="6" t="inlineStr">
        <is>
          <t>끼니 종류</t>
        </is>
      </c>
      <c r="E110" s="6" t="inlineStr">
        <is>
          <t>ENUM</t>
        </is>
      </c>
      <c r="F110" s="6" t="inlineStr">
        <is>
          <t>Y</t>
        </is>
      </c>
      <c r="G110" s="6" t="n"/>
      <c r="H110" s="5" t="inlineStr">
        <is>
          <t>BREAKFAST,LUNCH,DINNER</t>
        </is>
      </c>
      <c r="I110" s="5" t="n"/>
    </row>
    <row r="111">
      <c r="A111" s="6" t="inlineStr">
        <is>
          <t>diet_answer</t>
        </is>
      </c>
      <c r="B111" s="6" t="n">
        <v>6</v>
      </c>
      <c r="C111" s="6" t="inlineStr">
        <is>
          <t>question_id</t>
        </is>
      </c>
      <c r="D111" s="6" t="inlineStr">
        <is>
          <t>질문 ID</t>
        </is>
      </c>
      <c r="E111" s="6" t="inlineStr">
        <is>
          <t>VARCHAR(20)</t>
        </is>
      </c>
      <c r="F111" s="6" t="inlineStr">
        <is>
          <t>Y</t>
        </is>
      </c>
      <c r="G111" s="6" t="inlineStr">
        <is>
          <t>FK→diet_question</t>
        </is>
      </c>
      <c r="H111" s="5" t="n"/>
      <c r="I111" s="5" t="n"/>
    </row>
    <row r="112">
      <c r="A112" s="6" t="inlineStr">
        <is>
          <t>diet_answer</t>
        </is>
      </c>
      <c r="B112" s="6" t="n">
        <v>7</v>
      </c>
      <c r="C112" s="6" t="inlineStr">
        <is>
          <t>question_version</t>
        </is>
      </c>
      <c r="D112" s="6" t="inlineStr">
        <is>
          <t>질문 버전</t>
        </is>
      </c>
      <c r="E112" s="6" t="inlineStr">
        <is>
          <t>VARCHAR(10)</t>
        </is>
      </c>
      <c r="F112" s="6" t="inlineStr">
        <is>
          <t>Y</t>
        </is>
      </c>
      <c r="G112" s="6" t="inlineStr">
        <is>
          <t>FK→diet_question</t>
        </is>
      </c>
      <c r="H112" s="5" t="n"/>
      <c r="I112" s="5" t="n"/>
    </row>
    <row r="113">
      <c r="A113" s="6" t="inlineStr">
        <is>
          <t>diet_answer</t>
        </is>
      </c>
      <c r="B113" s="6" t="n">
        <v>8</v>
      </c>
      <c r="C113" s="6" t="inlineStr">
        <is>
          <t>option_code</t>
        </is>
      </c>
      <c r="D113" s="6" t="inlineStr">
        <is>
          <t>선택지 코드</t>
        </is>
      </c>
      <c r="E113" s="6" t="inlineStr">
        <is>
          <t>VARCHAR(50)</t>
        </is>
      </c>
      <c r="F113" s="6" t="inlineStr">
        <is>
          <t>Y</t>
        </is>
      </c>
      <c r="G113" s="6" t="inlineStr">
        <is>
          <t>FK→diet_question_option</t>
        </is>
      </c>
      <c r="H113" s="5" t="n"/>
      <c r="I113" s="5" t="inlineStr">
        <is>
          <t>실제 선택한 코드만 저장. unknown·미응답 코드 적재 금지</t>
        </is>
      </c>
    </row>
    <row r="114">
      <c r="A114" s="6" t="inlineStr">
        <is>
          <t>diet_answer</t>
        </is>
      </c>
      <c r="B114" s="6" t="n">
        <v>9</v>
      </c>
      <c r="C114" s="6" t="inlineStr">
        <is>
          <t>answer_revision</t>
        </is>
      </c>
      <c r="D114" s="6" t="inlineStr">
        <is>
          <t>응답 수정 번호</t>
        </is>
      </c>
      <c r="E114" s="6" t="inlineStr">
        <is>
          <t>INTEGER</t>
        </is>
      </c>
      <c r="F114" s="6" t="inlineStr">
        <is>
          <t>Y</t>
        </is>
      </c>
      <c r="G114" s="6" t="n"/>
      <c r="H114" s="5" t="n"/>
      <c r="I114" s="5" t="n"/>
    </row>
    <row r="115">
      <c r="A115" s="6" t="inlineStr">
        <is>
          <t>diet_answer</t>
        </is>
      </c>
      <c r="B115" s="6" t="n">
        <v>10</v>
      </c>
      <c r="C115" s="6" t="inlineStr">
        <is>
          <t>is_current</t>
        </is>
      </c>
      <c r="D115" s="6" t="inlineStr">
        <is>
          <t>최종 유효 여부</t>
        </is>
      </c>
      <c r="E115" s="6" t="inlineStr">
        <is>
          <t>BOOLEAN</t>
        </is>
      </c>
      <c r="F115" s="6" t="inlineStr">
        <is>
          <t>Y</t>
        </is>
      </c>
      <c r="G115" s="6" t="n"/>
      <c r="H115" s="5" t="n"/>
      <c r="I115" s="5" t="n"/>
    </row>
    <row r="116">
      <c r="A116" s="6" t="inlineStr">
        <is>
          <t>diet_answer</t>
        </is>
      </c>
      <c r="B116" s="6" t="n">
        <v>11</v>
      </c>
      <c r="C116" s="6" t="inlineStr">
        <is>
          <t>answered_at</t>
        </is>
      </c>
      <c r="D116" s="6" t="inlineStr">
        <is>
          <t>응답 시각</t>
        </is>
      </c>
      <c r="E116" s="6" t="inlineStr">
        <is>
          <t>TIMESTAMP WITH TIME ZONE</t>
        </is>
      </c>
      <c r="F116" s="6" t="inlineStr">
        <is>
          <t>Y</t>
        </is>
      </c>
      <c r="G116" s="6" t="n"/>
      <c r="H116" s="5" t="n"/>
      <c r="I116" s="5" t="n"/>
    </row>
    <row r="117">
      <c r="A117" s="6" t="inlineStr">
        <is>
          <t>diet_answer</t>
        </is>
      </c>
      <c r="B117" s="6" t="n">
        <v>12</v>
      </c>
      <c r="C117" s="6" t="inlineStr">
        <is>
          <t>option_window_start</t>
        </is>
      </c>
      <c r="D117" s="6" t="inlineStr">
        <is>
          <t>선택지 구간 시작</t>
        </is>
      </c>
      <c r="E117" s="6" t="inlineStr">
        <is>
          <t>TIME</t>
        </is>
      </c>
      <c r="F117" s="6" t="inlineStr">
        <is>
          <t>N</t>
        </is>
      </c>
      <c r="G117" s="6" t="n"/>
      <c r="H117" s="5" t="n"/>
      <c r="I117" s="5" t="inlineStr">
        <is>
          <t>시각 단계(DIET-Q-08 · 09)만. 사용자가 본 버튼의 구간 시작(현지 시각 HH:MM). 「…이전」은 끼니 시작 기본값(CFG-077)</t>
        </is>
      </c>
    </row>
    <row r="118">
      <c r="A118" s="6" t="inlineStr">
        <is>
          <t>diet_answer</t>
        </is>
      </c>
      <c r="B118" s="6" t="n">
        <v>13</v>
      </c>
      <c r="C118" s="6" t="inlineStr">
        <is>
          <t>option_window_end</t>
        </is>
      </c>
      <c r="D118" s="6" t="inlineStr">
        <is>
          <t>선택지 구간 끝</t>
        </is>
      </c>
      <c r="E118" s="6" t="inlineStr">
        <is>
          <t>TIME</t>
        </is>
      </c>
      <c r="F118" s="6" t="inlineStr">
        <is>
          <t>N</t>
        </is>
      </c>
      <c r="G118" s="6" t="n"/>
      <c r="H118" s="5" t="n"/>
      <c r="I118" s="5" t="inlineStr">
        <is>
          <t>시각 단계만. 「…이후」는 답한 시각. 선택지 글자가 날마다 달라 저장해야 뒤에서 같은 범위를 다시 만들 수 있다</t>
        </is>
      </c>
    </row>
    <row r="119">
      <c r="A119" s="6" t="inlineStr">
        <is>
          <t>diet_axis_snapshot</t>
        </is>
      </c>
      <c r="B119" s="6" t="n">
        <v>1</v>
      </c>
      <c r="C119" s="6" t="inlineStr">
        <is>
          <t>user_id</t>
        </is>
      </c>
      <c r="D119" s="6" t="inlineStr">
        <is>
          <t>사용자 ID</t>
        </is>
      </c>
      <c r="E119" s="6" t="inlineStr">
        <is>
          <t>VARCHAR(64)</t>
        </is>
      </c>
      <c r="F119" s="6" t="inlineStr">
        <is>
          <t>Y</t>
        </is>
      </c>
      <c r="G119" s="6" t="inlineStr">
        <is>
          <t>PK</t>
        </is>
      </c>
      <c r="H119" s="5" t="n"/>
      <c r="I119" s="5" t="n"/>
    </row>
    <row r="120">
      <c r="A120" s="6" t="inlineStr">
        <is>
          <t>diet_axis_snapshot</t>
        </is>
      </c>
      <c r="B120" s="6" t="n">
        <v>2</v>
      </c>
      <c r="C120" s="6" t="inlineStr">
        <is>
          <t>question_id</t>
        </is>
      </c>
      <c r="D120" s="6" t="inlineStr">
        <is>
          <t>축 질문 ID</t>
        </is>
      </c>
      <c r="E120" s="6" t="inlineStr">
        <is>
          <t>VARCHAR(20)</t>
        </is>
      </c>
      <c r="F120" s="6" t="inlineStr">
        <is>
          <t>Y</t>
        </is>
      </c>
      <c r="G120" s="6" t="inlineStr">
        <is>
          <t>PK</t>
        </is>
      </c>
      <c r="H120" s="5" t="n"/>
      <c r="I120" s="5" t="n"/>
    </row>
    <row r="121">
      <c r="A121" s="6" t="inlineStr">
        <is>
          <t>diet_axis_snapshot</t>
        </is>
      </c>
      <c r="B121" s="6" t="n">
        <v>3</v>
      </c>
      <c r="C121" s="6" t="inlineStr">
        <is>
          <t>question_version</t>
        </is>
      </c>
      <c r="D121" s="6" t="inlineStr">
        <is>
          <t>질문 버전</t>
        </is>
      </c>
      <c r="E121" s="6" t="inlineStr">
        <is>
          <t>VARCHAR(10)</t>
        </is>
      </c>
      <c r="F121" s="6" t="inlineStr">
        <is>
          <t>Y</t>
        </is>
      </c>
      <c r="G121" s="6" t="inlineStr">
        <is>
          <t>PK</t>
        </is>
      </c>
      <c r="H121" s="5" t="n"/>
      <c r="I121" s="5" t="n"/>
    </row>
    <row r="122">
      <c r="A122" s="6" t="inlineStr">
        <is>
          <t>diet_axis_snapshot</t>
        </is>
      </c>
      <c r="B122" s="6" t="n">
        <v>4</v>
      </c>
      <c r="C122" s="6" t="inlineStr">
        <is>
          <t>applies_session_date</t>
        </is>
      </c>
      <c r="D122" s="6" t="inlineStr">
        <is>
          <t>적용 세션</t>
        </is>
      </c>
      <c r="E122" s="6" t="inlineStr">
        <is>
          <t>DATE</t>
        </is>
      </c>
      <c r="F122" s="6" t="inlineStr">
        <is>
          <t>Y</t>
        </is>
      </c>
      <c r="G122" s="6" t="inlineStr">
        <is>
          <t>PK</t>
        </is>
      </c>
      <c r="H122" s="5" t="n"/>
      <c r="I122" s="5" t="n"/>
    </row>
    <row r="123">
      <c r="A123" s="6" t="inlineStr">
        <is>
          <t>diet_axis_snapshot</t>
        </is>
      </c>
      <c r="B123" s="6" t="n">
        <v>5</v>
      </c>
      <c r="C123" s="6" t="inlineStr">
        <is>
          <t>window_start</t>
        </is>
      </c>
      <c r="D123" s="6" t="inlineStr">
        <is>
          <t>관찰 시작일</t>
        </is>
      </c>
      <c r="E123" s="6" t="inlineStr">
        <is>
          <t>DATE</t>
        </is>
      </c>
      <c r="F123" s="6" t="inlineStr">
        <is>
          <t>Y</t>
        </is>
      </c>
      <c r="G123" s="6" t="n"/>
      <c r="H123" s="5" t="n"/>
      <c r="I123" s="5" t="n"/>
    </row>
    <row r="124" ht="37.5" customHeight="1">
      <c r="A124" s="6" t="inlineStr">
        <is>
          <t>diet_axis_snapshot</t>
        </is>
      </c>
      <c r="B124" s="6" t="n">
        <v>6</v>
      </c>
      <c r="C124" s="6" t="inlineStr">
        <is>
          <t>valid_answer_count</t>
        </is>
      </c>
      <c r="D124" s="6" t="inlineStr">
        <is>
          <t>28일 유효 건수</t>
        </is>
      </c>
      <c r="E124" s="6" t="inlineStr">
        <is>
          <t>INTEGER</t>
        </is>
      </c>
      <c r="F124" s="6" t="inlineStr">
        <is>
          <t>Y</t>
        </is>
      </c>
      <c r="G124" s="6" t="n"/>
      <c r="H124" s="5" t="n"/>
      <c r="I124" s="5" t="n"/>
    </row>
    <row r="125">
      <c r="A125" s="6" t="inlineStr">
        <is>
          <t>diet_axis_snapshot</t>
        </is>
      </c>
      <c r="B125" s="6" t="n">
        <v>7</v>
      </c>
      <c r="C125" s="6" t="inlineStr">
        <is>
          <t>latest7_answer_ids</t>
        </is>
      </c>
      <c r="D125" s="6" t="inlineStr">
        <is>
          <t>최근 7건 ID</t>
        </is>
      </c>
      <c r="E125" s="6" t="inlineStr">
        <is>
          <t>JSON</t>
        </is>
      </c>
      <c r="F125" s="6" t="inlineStr">
        <is>
          <t>N</t>
        </is>
      </c>
      <c r="G125" s="6" t="n"/>
      <c r="H125" s="5" t="n"/>
      <c r="I125" s="5" t="n"/>
    </row>
    <row r="126">
      <c r="A126" s="6" t="inlineStr">
        <is>
          <t>diet_axis_snapshot</t>
        </is>
      </c>
      <c r="B126" s="6" t="n">
        <v>8</v>
      </c>
      <c r="C126" s="6" t="inlineStr">
        <is>
          <t>state_code</t>
        </is>
      </c>
      <c r="D126" s="6" t="inlineStr">
        <is>
          <t>관찰 상태</t>
        </is>
      </c>
      <c r="E126" s="6" t="inlineStr">
        <is>
          <t>ENUM</t>
        </is>
      </c>
      <c r="F126" s="6" t="inlineStr">
        <is>
          <t>N</t>
        </is>
      </c>
      <c r="G126" s="6" t="n"/>
      <c r="H126" s="5" t="inlineStr">
        <is>
          <t>OBSERVING,NEEDS_WORK,AVERAGE,GOOD,NULL</t>
        </is>
      </c>
      <c r="I126" s="5" t="inlineStr">
        <is>
          <t>OBSERVING 관찰 중 · NEEDS_WORK 개선 필요 · AVERAGE 보통 · GOOD 양호 · NULL 값 없음(그 축을 한 번도 묻지 않음). 판정 기준은 설정 CFG-002~CFG-009</t>
        </is>
      </c>
    </row>
    <row r="127">
      <c r="A127" s="6" t="inlineStr">
        <is>
          <t>diet_axis_snapshot</t>
        </is>
      </c>
      <c r="B127" s="6" t="n">
        <v>9</v>
      </c>
      <c r="C127" s="6" t="inlineStr">
        <is>
          <t>calculated_at</t>
        </is>
      </c>
      <c r="D127" s="6" t="inlineStr">
        <is>
          <t>계산 시각</t>
        </is>
      </c>
      <c r="E127" s="6" t="inlineStr">
        <is>
          <t>TIMESTAMP WITH TIME ZONE</t>
        </is>
      </c>
      <c r="F127" s="6" t="inlineStr">
        <is>
          <t>Y</t>
        </is>
      </c>
      <c r="G127" s="6" t="n"/>
      <c r="H127" s="5" t="n"/>
      <c r="I127" s="5" t="n"/>
    </row>
    <row r="128" ht="25" customHeight="1">
      <c r="A128" s="6" t="inlineStr">
        <is>
          <t>diet_axis_stage</t>
        </is>
      </c>
      <c r="B128" s="6" t="n">
        <v>1</v>
      </c>
      <c r="C128" s="6" t="inlineStr">
        <is>
          <t>user_id</t>
        </is>
      </c>
      <c r="D128" s="6" t="inlineStr">
        <is>
          <t>사용자 ID</t>
        </is>
      </c>
      <c r="E128" s="6" t="inlineStr">
        <is>
          <t>VARCHAR(64)</t>
        </is>
      </c>
      <c r="F128" s="6" t="inlineStr">
        <is>
          <t>Y</t>
        </is>
      </c>
      <c r="G128" s="6" t="inlineStr">
        <is>
          <t>PK</t>
        </is>
      </c>
      <c r="H128" s="5" t="n"/>
      <c r="I128" s="5" t="n"/>
    </row>
    <row r="129">
      <c r="A129" s="6" t="inlineStr">
        <is>
          <t>diet_axis_stage</t>
        </is>
      </c>
      <c r="B129" s="6" t="n">
        <v>2</v>
      </c>
      <c r="C129" s="6" t="inlineStr">
        <is>
          <t>question_id</t>
        </is>
      </c>
      <c r="D129" s="6" t="inlineStr">
        <is>
          <t>축 질문 ID</t>
        </is>
      </c>
      <c r="E129" s="6" t="inlineStr">
        <is>
          <t>VARCHAR(20)</t>
        </is>
      </c>
      <c r="F129" s="6" t="inlineStr">
        <is>
          <t>Y</t>
        </is>
      </c>
      <c r="G129" s="6" t="inlineStr">
        <is>
          <t>PK</t>
        </is>
      </c>
      <c r="H129" s="5" t="n"/>
      <c r="I129" s="5" t="n"/>
    </row>
    <row r="130">
      <c r="A130" s="6" t="inlineStr">
        <is>
          <t>diet_axis_stage</t>
        </is>
      </c>
      <c r="B130" s="6" t="n">
        <v>3</v>
      </c>
      <c r="C130" s="6" t="inlineStr">
        <is>
          <t>stage_code</t>
        </is>
      </c>
      <c r="D130" s="6" t="inlineStr">
        <is>
          <t>단계</t>
        </is>
      </c>
      <c r="E130" s="6" t="inlineStr">
        <is>
          <t>ENUM</t>
        </is>
      </c>
      <c r="F130" s="6" t="inlineStr">
        <is>
          <t>Y</t>
        </is>
      </c>
      <c r="G130" s="6" t="n"/>
      <c r="H130" s="5" t="inlineStr">
        <is>
          <t>INTRO,BASE,CHALLENGE</t>
        </is>
      </c>
      <c r="I130" s="5" t="inlineStr">
        <is>
          <t>INTRO 입문 · BASE 기본 · CHALLENGE 도전. 상승 조건은 검증규칙 V-42, 설정 CFG-068·CFG-069</t>
        </is>
      </c>
    </row>
    <row r="131">
      <c r="A131" s="6" t="inlineStr">
        <is>
          <t>diet_axis_stage</t>
        </is>
      </c>
      <c r="B131" s="6" t="n">
        <v>4</v>
      </c>
      <c r="C131" s="6" t="inlineStr">
        <is>
          <t>changed_at</t>
        </is>
      </c>
      <c r="D131" s="6" t="inlineStr">
        <is>
          <t>단계 변경 시각</t>
        </is>
      </c>
      <c r="E131" s="6" t="inlineStr">
        <is>
          <t>TIMESTAMP WITH TIME ZONE</t>
        </is>
      </c>
      <c r="F131" s="6" t="inlineStr">
        <is>
          <t>Y</t>
        </is>
      </c>
      <c r="G131" s="6" t="n"/>
      <c r="H131" s="5" t="n"/>
      <c r="I131" s="5" t="n"/>
    </row>
    <row r="132">
      <c r="A132" s="6" t="inlineStr">
        <is>
          <t>diet_axis_stage</t>
        </is>
      </c>
      <c r="B132" s="6" t="n">
        <v>5</v>
      </c>
      <c r="C132" s="6" t="inlineStr">
        <is>
          <t>last_evaluated_session</t>
        </is>
      </c>
      <c r="D132" s="6" t="inlineStr">
        <is>
          <t>마지막 평가 세션</t>
        </is>
      </c>
      <c r="E132" s="6" t="inlineStr">
        <is>
          <t>DATE</t>
        </is>
      </c>
      <c r="F132" s="6" t="inlineStr">
        <is>
          <t>N</t>
        </is>
      </c>
      <c r="G132" s="6" t="n"/>
      <c r="H132" s="5" t="n"/>
      <c r="I132" s="5" t="n"/>
    </row>
    <row r="133">
      <c r="A133" s="6" t="inlineStr">
        <is>
          <t>diet_axis_stage</t>
        </is>
      </c>
      <c r="B133" s="6" t="n">
        <v>6</v>
      </c>
      <c r="C133" s="6" t="inlineStr">
        <is>
          <t>evidence_goal_ids</t>
        </is>
      </c>
      <c r="D133" s="6" t="inlineStr">
        <is>
          <t>근거 목표 ID</t>
        </is>
      </c>
      <c r="E133" s="6" t="inlineStr">
        <is>
          <t>JSON</t>
        </is>
      </c>
      <c r="F133" s="6" t="inlineStr">
        <is>
          <t>N</t>
        </is>
      </c>
      <c r="G133" s="6" t="n"/>
      <c r="H133" s="5" t="n"/>
      <c r="I133" s="5" t="n"/>
    </row>
    <row r="134">
      <c r="A134" s="6" t="inlineStr">
        <is>
          <t>diet_goal</t>
        </is>
      </c>
      <c r="B134" s="6" t="n">
        <v>1</v>
      </c>
      <c r="C134" s="6" t="inlineStr">
        <is>
          <t>goal_id</t>
        </is>
      </c>
      <c r="D134" s="6" t="inlineStr">
        <is>
          <t>목표 ID</t>
        </is>
      </c>
      <c r="E134" s="6" t="inlineStr">
        <is>
          <t>UUID</t>
        </is>
      </c>
      <c r="F134" s="6" t="inlineStr">
        <is>
          <t>Y</t>
        </is>
      </c>
      <c r="G134" s="6" t="inlineStr">
        <is>
          <t>PK</t>
        </is>
      </c>
      <c r="H134" s="5" t="n"/>
      <c r="I134" s="5" t="n"/>
    </row>
    <row r="135" ht="25" customHeight="1">
      <c r="A135" s="6" t="inlineStr">
        <is>
          <t>diet_goal</t>
        </is>
      </c>
      <c r="B135" s="6" t="n">
        <v>2</v>
      </c>
      <c r="C135" s="6" t="inlineStr">
        <is>
          <t>revision</t>
        </is>
      </c>
      <c r="D135" s="6" t="inlineStr">
        <is>
          <t>리비전</t>
        </is>
      </c>
      <c r="E135" s="6" t="inlineStr">
        <is>
          <t>INTEGER</t>
        </is>
      </c>
      <c r="F135" s="6" t="inlineStr">
        <is>
          <t>Y</t>
        </is>
      </c>
      <c r="G135" s="6" t="inlineStr">
        <is>
          <t>PK</t>
        </is>
      </c>
      <c r="H135" s="5" t="n"/>
      <c r="I135" s="5" t="n"/>
    </row>
    <row r="136">
      <c r="A136" s="6" t="inlineStr">
        <is>
          <t>diet_goal</t>
        </is>
      </c>
      <c r="B136" s="6" t="n">
        <v>3</v>
      </c>
      <c r="C136" s="6" t="inlineStr">
        <is>
          <t>user_id</t>
        </is>
      </c>
      <c r="D136" s="6" t="inlineStr">
        <is>
          <t>사용자 ID</t>
        </is>
      </c>
      <c r="E136" s="6" t="inlineStr">
        <is>
          <t>VARCHAR(64)</t>
        </is>
      </c>
      <c r="F136" s="6" t="inlineStr">
        <is>
          <t>Y</t>
        </is>
      </c>
      <c r="G136" s="6" t="n"/>
      <c r="H136" s="5" t="n"/>
      <c r="I136" s="5" t="n"/>
    </row>
    <row r="137">
      <c r="A137" s="6" t="inlineStr">
        <is>
          <t>diet_goal</t>
        </is>
      </c>
      <c r="B137" s="6" t="n">
        <v>4</v>
      </c>
      <c r="C137" s="6" t="inlineStr">
        <is>
          <t>session_date</t>
        </is>
      </c>
      <c r="D137" s="6" t="inlineStr">
        <is>
          <t>세션 날짜</t>
        </is>
      </c>
      <c r="E137" s="6" t="inlineStr">
        <is>
          <t>DATE</t>
        </is>
      </c>
      <c r="F137" s="6" t="inlineStr">
        <is>
          <t>Y</t>
        </is>
      </c>
      <c r="G137" s="6" t="n"/>
      <c r="H137" s="5" t="n"/>
      <c r="I137" s="5" t="inlineStr">
        <is>
          <t>목표 생성·완료·목표분석 날짜 스트립의 귀속일. 사용자 시간대 04:00 경계; 실제 끼니 날짜와 별도</t>
        </is>
      </c>
    </row>
    <row r="138">
      <c r="A138" s="6" t="inlineStr">
        <is>
          <t>diet_goal</t>
        </is>
      </c>
      <c r="B138" s="6" t="n">
        <v>5</v>
      </c>
      <c r="C138" s="6" t="inlineStr">
        <is>
          <t>phrase_id</t>
        </is>
      </c>
      <c r="D138" s="6" t="inlineStr">
        <is>
          <t>문구 ID</t>
        </is>
      </c>
      <c r="E138" s="6" t="inlineStr">
        <is>
          <t>VARCHAR(20)</t>
        </is>
      </c>
      <c r="F138" s="6" t="inlineStr">
        <is>
          <t>N</t>
        </is>
      </c>
      <c r="G138" s="6" t="inlineStr">
        <is>
          <t>FK→diet_goal_phrase</t>
        </is>
      </c>
      <c r="H138" s="5" t="n"/>
      <c r="I138" s="5" t="n"/>
    </row>
    <row r="139" ht="25" customHeight="1">
      <c r="A139" s="6" t="inlineStr">
        <is>
          <t>diet_goal</t>
        </is>
      </c>
      <c r="B139" s="6" t="n">
        <v>6</v>
      </c>
      <c r="C139" s="6" t="inlineStr">
        <is>
          <t>phrase_version</t>
        </is>
      </c>
      <c r="D139" s="6" t="inlineStr">
        <is>
          <t>문구 버전</t>
        </is>
      </c>
      <c r="E139" s="6" t="inlineStr">
        <is>
          <t>VARCHAR(10)</t>
        </is>
      </c>
      <c r="F139" s="6" t="inlineStr">
        <is>
          <t>N</t>
        </is>
      </c>
      <c r="G139" s="6" t="inlineStr">
        <is>
          <t>FK→diet_goal_phrase</t>
        </is>
      </c>
      <c r="H139" s="5" t="n"/>
      <c r="I139" s="5" t="n"/>
    </row>
    <row r="140">
      <c r="A140" s="6" t="inlineStr">
        <is>
          <t>diet_goal</t>
        </is>
      </c>
      <c r="B140" s="6" t="n">
        <v>7</v>
      </c>
      <c r="C140" s="6" t="inlineStr">
        <is>
          <t>tile_text_snapshot</t>
        </is>
      </c>
      <c r="D140" s="6" t="inlineStr">
        <is>
          <t>행동 문구 스냅샷</t>
        </is>
      </c>
      <c r="E140" s="6" t="inlineStr">
        <is>
          <t>VARCHAR(100)</t>
        </is>
      </c>
      <c r="F140" s="6" t="inlineStr">
        <is>
          <t>N</t>
        </is>
      </c>
      <c r="G140" s="6" t="n"/>
      <c r="H140" s="5" t="n"/>
      <c r="I140" s="5" t="n"/>
    </row>
    <row r="141">
      <c r="A141" s="6" t="inlineStr">
        <is>
          <t>diet_goal</t>
        </is>
      </c>
      <c r="B141" s="6" t="n">
        <v>8</v>
      </c>
      <c r="C141" s="6" t="inlineStr">
        <is>
          <t>full_text_snapshot</t>
        </is>
      </c>
      <c r="D141" s="6" t="inlineStr">
        <is>
          <t>풀어 쓴 문구 스냅샷</t>
        </is>
      </c>
      <c r="E141" s="6" t="inlineStr">
        <is>
          <t>VARCHAR(100)</t>
        </is>
      </c>
      <c r="F141" s="6" t="inlineStr">
        <is>
          <t>N</t>
        </is>
      </c>
      <c r="G141" s="6" t="n"/>
      <c r="H141" s="5" t="n"/>
      <c r="I141" s="5" t="inlineStr">
        <is>
          <t>목표를 고른 시점의 full_text를 그대로 남긴다. 문구가 나중에 바뀌어도 기록은 바뀌지 않는다</t>
        </is>
      </c>
    </row>
    <row r="142">
      <c r="A142" s="6" t="inlineStr">
        <is>
          <t>diet_goal</t>
        </is>
      </c>
      <c r="B142" s="6" t="n">
        <v>9</v>
      </c>
      <c r="C142" s="6" t="inlineStr">
        <is>
          <t>reason_snapshot</t>
        </is>
      </c>
      <c r="D142" s="6" t="inlineStr">
        <is>
          <t>이유 스냅샷</t>
        </is>
      </c>
      <c r="E142" s="6" t="inlineStr">
        <is>
          <t>TEXT</t>
        </is>
      </c>
      <c r="F142" s="6" t="inlineStr">
        <is>
          <t>N</t>
        </is>
      </c>
      <c r="G142" s="6" t="n"/>
      <c r="H142" s="5" t="n"/>
      <c r="I142" s="5" t="n"/>
    </row>
    <row r="143" ht="25" customHeight="1">
      <c r="A143" s="6" t="inlineStr">
        <is>
          <t>diet_goal</t>
        </is>
      </c>
      <c r="B143" s="6" t="n">
        <v>10</v>
      </c>
      <c r="C143" s="6" t="inlineStr">
        <is>
          <t>axis_question_id</t>
        </is>
      </c>
      <c r="D143" s="6" t="inlineStr">
        <is>
          <t>선정 축</t>
        </is>
      </c>
      <c r="E143" s="6" t="inlineStr">
        <is>
          <t>VARCHAR(20)</t>
        </is>
      </c>
      <c r="F143" s="6" t="inlineStr">
        <is>
          <t>N</t>
        </is>
      </c>
      <c r="G143" s="6" t="n"/>
      <c r="H143" s="5" t="n"/>
      <c r="I143" s="5" t="n"/>
    </row>
    <row r="144" ht="25" customHeight="1">
      <c r="A144" s="6" t="inlineStr">
        <is>
          <t>diet_goal</t>
        </is>
      </c>
      <c r="B144" s="6" t="n">
        <v>11</v>
      </c>
      <c r="C144" s="6" t="inlineStr">
        <is>
          <t>pool_type</t>
        </is>
      </c>
      <c r="D144" s="6" t="inlineStr">
        <is>
          <t>선정 풀</t>
        </is>
      </c>
      <c r="E144" s="6" t="inlineStr">
        <is>
          <t>VARCHAR(20)</t>
        </is>
      </c>
      <c r="F144" s="6" t="inlineStr">
        <is>
          <t>N</t>
        </is>
      </c>
      <c r="G144" s="6" t="n"/>
      <c r="H144" s="5" t="n"/>
      <c r="I144" s="5" t="n"/>
    </row>
    <row r="145">
      <c r="A145" s="6" t="inlineStr">
        <is>
          <t>diet_goal</t>
        </is>
      </c>
      <c r="B145" s="6" t="n">
        <v>12</v>
      </c>
      <c r="C145" s="6" t="inlineStr">
        <is>
          <t>stage_code</t>
        </is>
      </c>
      <c r="D145" s="6" t="inlineStr">
        <is>
          <t>선정 단계</t>
        </is>
      </c>
      <c r="E145" s="6" t="inlineStr">
        <is>
          <t>VARCHAR(20)</t>
        </is>
      </c>
      <c r="F145" s="6" t="inlineStr">
        <is>
          <t>N</t>
        </is>
      </c>
      <c r="G145" s="6" t="n"/>
      <c r="H145" s="5" t="inlineStr">
        <is>
          <t>INTRO,BASE,CHALLENGE</t>
        </is>
      </c>
      <c r="I145" s="5" t="inlineStr">
        <is>
          <t>INTRO 입문 · BASE 기본 · CHALLENGE 도전. 상승 조건은 검증규칙 V-42, 설정 CFG-068·CFG-069. 목표를 고른 시점의 단계를 그대로 남긴다</t>
        </is>
      </c>
    </row>
    <row r="146">
      <c r="A146" s="6" t="inlineStr">
        <is>
          <t>diet_goal</t>
        </is>
      </c>
      <c r="B146" s="6" t="n">
        <v>13</v>
      </c>
      <c r="C146" s="6" t="inlineStr">
        <is>
          <t>target_meal_date</t>
        </is>
      </c>
      <c r="D146" s="6" t="inlineStr">
        <is>
          <t>대상 끼니 날짜</t>
        </is>
      </c>
      <c r="E146" s="6" t="inlineStr">
        <is>
          <t>DATE</t>
        </is>
      </c>
      <c r="F146" s="6" t="inlineStr">
        <is>
          <t>N</t>
        </is>
      </c>
      <c r="G146" s="6" t="n"/>
      <c r="H146" s="5" t="n"/>
      <c r="I146" s="5" t="inlineStr">
        <is>
          <t>대상 끼니가 TONIGHT이면 session_date를 저장한다. 00~04시에도 전날 세션의 밤에 귀속하며 실제 달력 날짜와 다를 수 있다</t>
        </is>
      </c>
    </row>
    <row r="147">
      <c r="A147" s="6" t="inlineStr">
        <is>
          <t>diet_goal</t>
        </is>
      </c>
      <c r="B147" s="6" t="n">
        <v>14</v>
      </c>
      <c r="C147" s="6" t="inlineStr">
        <is>
          <t>target_meal_type</t>
        </is>
      </c>
      <c r="D147" s="6" t="inlineStr">
        <is>
          <t>대상 끼니</t>
        </is>
      </c>
      <c r="E147" s="6" t="inlineStr">
        <is>
          <t>ENUM</t>
        </is>
      </c>
      <c r="F147" s="6" t="inlineStr">
        <is>
          <t>N</t>
        </is>
      </c>
      <c r="G147" s="6" t="n"/>
      <c r="H147" s="5" t="inlineStr">
        <is>
          <t>BREAKFAST,LUNCH,DINNER,TONIGHT</t>
        </is>
      </c>
      <c r="I147" s="5" t="n"/>
    </row>
    <row r="148" ht="25" customHeight="1">
      <c r="A148" s="6" t="inlineStr">
        <is>
          <t>diet_goal</t>
        </is>
      </c>
      <c r="B148" s="6" t="n">
        <v>15</v>
      </c>
      <c r="C148" s="6" t="inlineStr">
        <is>
          <t>selection_reason</t>
        </is>
      </c>
      <c r="D148" s="6" t="inlineStr">
        <is>
          <t>선정 사유</t>
        </is>
      </c>
      <c r="E148" s="6" t="inlineStr">
        <is>
          <t>VARCHAR(100)</t>
        </is>
      </c>
      <c r="F148" s="6" t="inlineStr">
        <is>
          <t>N</t>
        </is>
      </c>
      <c r="G148" s="6" t="n"/>
      <c r="H148" s="5" t="n"/>
      <c r="I148" s="5" t="inlineStr">
        <is>
          <t>검진 분기이면 SCREENING 및 사용한 검진 결과 ID를 함께 기록</t>
        </is>
      </c>
    </row>
    <row r="149">
      <c r="A149" s="6" t="inlineStr">
        <is>
          <t>diet_goal</t>
        </is>
      </c>
      <c r="B149" s="6" t="n">
        <v>16</v>
      </c>
      <c r="C149" s="6" t="inlineStr">
        <is>
          <t>rule_version</t>
        </is>
      </c>
      <c r="D149" s="6" t="inlineStr">
        <is>
          <t>규칙 버전</t>
        </is>
      </c>
      <c r="E149" s="6" t="inlineStr">
        <is>
          <t>VARCHAR(10)</t>
        </is>
      </c>
      <c r="F149" s="6" t="inlineStr">
        <is>
          <t>Y</t>
        </is>
      </c>
      <c r="G149" s="6" t="n"/>
      <c r="H149" s="5" t="n"/>
      <c r="I149" s="5" t="n"/>
    </row>
    <row r="150">
      <c r="A150" s="6" t="inlineStr">
        <is>
          <t>diet_goal</t>
        </is>
      </c>
      <c r="B150" s="6" t="n">
        <v>17</v>
      </c>
      <c r="C150" s="6" t="inlineStr">
        <is>
          <t>goal_state</t>
        </is>
      </c>
      <c r="D150" s="6" t="inlineStr">
        <is>
          <t>목표 생성 상태</t>
        </is>
      </c>
      <c r="E150" s="6" t="inlineStr">
        <is>
          <t>ENUM</t>
        </is>
      </c>
      <c r="F150" s="6" t="inlineStr">
        <is>
          <t>Y</t>
        </is>
      </c>
      <c r="G150" s="6" t="n"/>
      <c r="H150" s="5" t="inlineStr">
        <is>
          <t>CREATED,GUIDANCE_ONLY</t>
        </is>
      </c>
      <c r="I150" s="5" t="inlineStr">
        <is>
          <t>CREATED 목표를 만들었음 · GUIDANCE_ONLY 금지를 거친 뒤 남은 문구가 없어 안내만 내보냄</t>
        </is>
      </c>
    </row>
    <row r="151">
      <c r="A151" s="6" t="inlineStr">
        <is>
          <t>diet_goal</t>
        </is>
      </c>
      <c r="B151" s="6" t="n">
        <v>18</v>
      </c>
      <c r="C151" s="6" t="inlineStr">
        <is>
          <t>is_active</t>
        </is>
      </c>
      <c r="D151" s="6" t="inlineStr">
        <is>
          <t>현재 유효 목표</t>
        </is>
      </c>
      <c r="E151" s="6" t="inlineStr">
        <is>
          <t>BOOLEAN</t>
        </is>
      </c>
      <c r="F151" s="6" t="inlineStr">
        <is>
          <t>Y</t>
        </is>
      </c>
      <c r="G151" s="6" t="n"/>
      <c r="H151" s="5" t="n"/>
      <c r="I151" s="5" t="n"/>
    </row>
    <row r="152">
      <c r="A152" s="6" t="inlineStr">
        <is>
          <t>diet_goal</t>
        </is>
      </c>
      <c r="B152" s="6" t="n">
        <v>19</v>
      </c>
      <c r="C152" s="6" t="inlineStr">
        <is>
          <t>created_at</t>
        </is>
      </c>
      <c r="D152" s="6" t="inlineStr">
        <is>
          <t>생성 시각</t>
        </is>
      </c>
      <c r="E152" s="6" t="inlineStr">
        <is>
          <t>TIMESTAMP WITH TIME ZONE</t>
        </is>
      </c>
      <c r="F152" s="6" t="inlineStr">
        <is>
          <t>Y</t>
        </is>
      </c>
      <c r="G152" s="6" t="n"/>
      <c r="H152" s="5" t="n"/>
      <c r="I152" s="5" t="n"/>
    </row>
    <row r="153">
      <c r="A153" s="6" t="inlineStr">
        <is>
          <t>diet_goal</t>
        </is>
      </c>
      <c r="B153" s="6" t="n">
        <v>20</v>
      </c>
      <c r="C153" s="6" t="inlineStr">
        <is>
          <t>source_screening_result_id</t>
        </is>
      </c>
      <c r="D153" s="6" t="inlineStr">
        <is>
          <t>목표 선정에 사용한 검진 결과 ID</t>
        </is>
      </c>
      <c r="E153" s="6" t="inlineStr">
        <is>
          <t>UUID</t>
        </is>
      </c>
      <c r="F153" s="6" t="inlineStr">
        <is>
          <t>N</t>
        </is>
      </c>
      <c r="G153" s="6" t="inlineStr">
        <is>
          <t>FK→screening_result</t>
        </is>
      </c>
      <c r="H153" s="5" t="n"/>
      <c r="I153" s="5" t="inlineStr">
        <is>
          <t>검진 분기로 목표를 고른 경우만 기록. 목표 생성 당시 사용한 결과를 추적</t>
        </is>
      </c>
    </row>
    <row r="154">
      <c r="A154" s="6" t="inlineStr">
        <is>
          <t>diet_goal_completion</t>
        </is>
      </c>
      <c r="B154" s="6" t="n">
        <v>1</v>
      </c>
      <c r="C154" s="6" t="inlineStr">
        <is>
          <t>goal_id</t>
        </is>
      </c>
      <c r="D154" s="6" t="inlineStr">
        <is>
          <t>목표 ID</t>
        </is>
      </c>
      <c r="E154" s="6" t="inlineStr">
        <is>
          <t>UUID</t>
        </is>
      </c>
      <c r="F154" s="6" t="inlineStr">
        <is>
          <t>Y</t>
        </is>
      </c>
      <c r="G154" s="6" t="inlineStr">
        <is>
          <t>PK/FK→diet_goal</t>
        </is>
      </c>
      <c r="H154" s="5" t="n"/>
      <c r="I154" s="5" t="n"/>
    </row>
    <row r="155">
      <c r="A155" s="6" t="inlineStr">
        <is>
          <t>diet_goal_completion</t>
        </is>
      </c>
      <c r="B155" s="6" t="n">
        <v>2</v>
      </c>
      <c r="C155" s="6" t="inlineStr">
        <is>
          <t>revision</t>
        </is>
      </c>
      <c r="D155" s="6" t="inlineStr">
        <is>
          <t>리비전</t>
        </is>
      </c>
      <c r="E155" s="6" t="inlineStr">
        <is>
          <t>INTEGER</t>
        </is>
      </c>
      <c r="F155" s="6" t="inlineStr">
        <is>
          <t>Y</t>
        </is>
      </c>
      <c r="G155" s="6" t="inlineStr">
        <is>
          <t>PK/FK→diet_goal</t>
        </is>
      </c>
      <c r="H155" s="5" t="n"/>
      <c r="I155" s="5" t="n"/>
    </row>
    <row r="156">
      <c r="A156" s="6" t="inlineStr">
        <is>
          <t>diet_goal_completion</t>
        </is>
      </c>
      <c r="B156" s="6" t="n">
        <v>3</v>
      </c>
      <c r="C156" s="6" t="inlineStr">
        <is>
          <t>is_done</t>
        </is>
      </c>
      <c r="D156" s="6" t="inlineStr">
        <is>
          <t>완료 여부</t>
        </is>
      </c>
      <c r="E156" s="6" t="inlineStr">
        <is>
          <t>BOOLEAN</t>
        </is>
      </c>
      <c r="F156" s="6" t="inlineStr">
        <is>
          <t>Y</t>
        </is>
      </c>
      <c r="G156" s="6" t="n"/>
      <c r="H156" s="5" t="n"/>
      <c r="I156" s="5" t="n"/>
    </row>
    <row r="157">
      <c r="A157" s="6" t="inlineStr">
        <is>
          <t>diet_goal_completion</t>
        </is>
      </c>
      <c r="B157" s="6" t="n">
        <v>4</v>
      </c>
      <c r="C157" s="6" t="inlineStr">
        <is>
          <t>changed_at</t>
        </is>
      </c>
      <c r="D157" s="6" t="inlineStr">
        <is>
          <t>마지막 변경 시각</t>
        </is>
      </c>
      <c r="E157" s="6" t="inlineStr">
        <is>
          <t>TIMESTAMP WITH TIME ZONE</t>
        </is>
      </c>
      <c r="F157" s="6" t="inlineStr">
        <is>
          <t>Y</t>
        </is>
      </c>
      <c r="G157" s="6" t="n"/>
      <c r="H157" s="5" t="n"/>
      <c r="I157" s="5" t="n"/>
    </row>
    <row r="158">
      <c r="A158" s="6" t="inlineStr">
        <is>
          <t>diet_goal_completion</t>
        </is>
      </c>
      <c r="B158" s="6" t="n">
        <v>5</v>
      </c>
      <c r="C158" s="6" t="inlineStr">
        <is>
          <t>completed_at</t>
        </is>
      </c>
      <c r="D158" s="6" t="inlineStr">
        <is>
          <t>완료 표시 시각</t>
        </is>
      </c>
      <c r="E158" s="6" t="inlineStr">
        <is>
          <t>TIMESTAMP WITH TIME ZONE</t>
        </is>
      </c>
      <c r="F158" s="6" t="inlineStr">
        <is>
          <t>N</t>
        </is>
      </c>
      <c r="G158" s="6" t="n"/>
      <c r="H158" s="5" t="inlineStr">
        <is>
          <t>과거 날짜 소급 완료를 단계 상승에서 제외할 때 사용</t>
        </is>
      </c>
      <c r="I158" s="5" t="n"/>
    </row>
    <row r="159">
      <c r="A159" s="6" t="inlineStr">
        <is>
          <t>diet_disease_confirmation</t>
        </is>
      </c>
      <c r="B159" s="6" t="n">
        <v>1</v>
      </c>
      <c r="C159" s="6" t="inlineStr">
        <is>
          <t>user_id</t>
        </is>
      </c>
      <c r="D159" s="6" t="inlineStr">
        <is>
          <t>사용자 ID</t>
        </is>
      </c>
      <c r="E159" s="6" t="inlineStr">
        <is>
          <t>VARCHAR(64)</t>
        </is>
      </c>
      <c r="F159" s="6" t="inlineStr">
        <is>
          <t>Y</t>
        </is>
      </c>
      <c r="G159" s="6" t="inlineStr">
        <is>
          <t>PK</t>
        </is>
      </c>
      <c r="H159" s="5" t="n"/>
      <c r="I159" s="5" t="n"/>
    </row>
    <row r="160">
      <c r="A160" s="6" t="inlineStr">
        <is>
          <t>diet_disease_confirmation</t>
        </is>
      </c>
      <c r="B160" s="6" t="n">
        <v>2</v>
      </c>
      <c r="C160" s="6" t="inlineStr">
        <is>
          <t>rule_id</t>
        </is>
      </c>
      <c r="D160" s="6" t="inlineStr">
        <is>
          <t>질환 규칙 ID</t>
        </is>
      </c>
      <c r="E160" s="6" t="inlineStr">
        <is>
          <t>VARCHAR(10)</t>
        </is>
      </c>
      <c r="F160" s="6" t="inlineStr">
        <is>
          <t>Y</t>
        </is>
      </c>
      <c r="G160" s="6" t="inlineStr">
        <is>
          <t>PK/FK→diet_disease_rule</t>
        </is>
      </c>
      <c r="H160" s="5" t="n"/>
      <c r="I160" s="5" t="n"/>
    </row>
    <row r="161">
      <c r="A161" s="6" t="inlineStr">
        <is>
          <t>diet_disease_confirmation</t>
        </is>
      </c>
      <c r="B161" s="6" t="n">
        <v>3</v>
      </c>
      <c r="C161" s="6" t="inlineStr">
        <is>
          <t>confirmation_state</t>
        </is>
      </c>
      <c r="D161" s="6" t="inlineStr">
        <is>
          <t>확인 상태</t>
        </is>
      </c>
      <c r="E161" s="6" t="inlineStr">
        <is>
          <t>ENUM</t>
        </is>
      </c>
      <c r="F161" s="6" t="inlineStr">
        <is>
          <t>Y</t>
        </is>
      </c>
      <c r="G161" s="6" t="n"/>
      <c r="H161" s="5" t="inlineStr">
        <is>
          <t>CANDIDATE,USER_CONFIRMED,DENIED,UNKNOWN</t>
        </is>
      </c>
      <c r="I161" s="5" t="n"/>
    </row>
    <row r="162">
      <c r="A162" s="6" t="inlineStr">
        <is>
          <t>diet_disease_confirmation</t>
        </is>
      </c>
      <c r="B162" s="6" t="n">
        <v>4</v>
      </c>
      <c r="C162" s="6" t="inlineStr">
        <is>
          <t>source_code</t>
        </is>
      </c>
      <c r="D162" s="6" t="inlineStr">
        <is>
          <t>근거 상병코드</t>
        </is>
      </c>
      <c r="E162" s="6" t="inlineStr">
        <is>
          <t>VARCHAR(20)</t>
        </is>
      </c>
      <c r="F162" s="6" t="inlineStr">
        <is>
          <t>N</t>
        </is>
      </c>
      <c r="G162" s="6" t="n"/>
      <c r="H162" s="5" t="n"/>
      <c r="I162" s="5" t="n"/>
    </row>
    <row r="163">
      <c r="A163" s="6" t="inlineStr">
        <is>
          <t>diet_disease_confirmation</t>
        </is>
      </c>
      <c r="B163" s="6" t="n">
        <v>5</v>
      </c>
      <c r="C163" s="6" t="inlineStr">
        <is>
          <t>source_visit_date</t>
        </is>
      </c>
      <c r="D163" s="6" t="inlineStr">
        <is>
          <t>근거 진료일</t>
        </is>
      </c>
      <c r="E163" s="6" t="inlineStr">
        <is>
          <t>DATE</t>
        </is>
      </c>
      <c r="F163" s="6" t="inlineStr">
        <is>
          <t>N</t>
        </is>
      </c>
      <c r="G163" s="6" t="n"/>
      <c r="H163" s="5" t="n"/>
      <c r="I163" s="5" t="n"/>
    </row>
    <row r="164">
      <c r="A164" s="6" t="inlineStr">
        <is>
          <t>diet_disease_confirmation</t>
        </is>
      </c>
      <c r="B164" s="6" t="n">
        <v>6</v>
      </c>
      <c r="C164" s="6" t="inlineStr">
        <is>
          <t>confirmed_at</t>
        </is>
      </c>
      <c r="D164" s="6" t="inlineStr">
        <is>
          <t>사용자 확인 시각</t>
        </is>
      </c>
      <c r="E164" s="6" t="inlineStr">
        <is>
          <t>TIMESTAMP WITH TIME ZONE</t>
        </is>
      </c>
      <c r="F164" s="6" t="inlineStr">
        <is>
          <t>N</t>
        </is>
      </c>
      <c r="G164" s="6" t="n"/>
      <c r="H164" s="5" t="n"/>
      <c r="I164" s="5" t="n"/>
    </row>
    <row r="165">
      <c r="A165" s="6" t="inlineStr">
        <is>
          <t>diet_disease_confirmation</t>
        </is>
      </c>
      <c r="B165" s="6" t="n">
        <v>7</v>
      </c>
      <c r="C165" s="6" t="inlineStr">
        <is>
          <t>valid_until</t>
        </is>
      </c>
      <c r="D165" s="6" t="inlineStr">
        <is>
          <t>유효 기한</t>
        </is>
      </c>
      <c r="E165" s="6" t="inlineStr">
        <is>
          <t>DATE</t>
        </is>
      </c>
      <c r="F165" s="6" t="inlineStr">
        <is>
          <t>N</t>
        </is>
      </c>
      <c r="G165" s="6" t="n"/>
      <c r="H165" s="5" t="n"/>
      <c r="I165" s="5" t="n"/>
    </row>
    <row r="166">
      <c r="A166" s="6" t="inlineStr">
        <is>
          <t>diet_disease_confirmation</t>
        </is>
      </c>
      <c r="B166" s="6" t="n">
        <v>8</v>
      </c>
      <c r="C166" s="6" t="inlineStr">
        <is>
          <t>code_system_version</t>
        </is>
      </c>
      <c r="D166" s="6" t="inlineStr">
        <is>
          <t>코드체계 버전</t>
        </is>
      </c>
      <c r="E166" s="6" t="inlineStr">
        <is>
          <t>VARCHAR(30)</t>
        </is>
      </c>
      <c r="F166" s="6" t="inlineStr">
        <is>
          <t>N</t>
        </is>
      </c>
      <c r="G166" s="6" t="n"/>
      <c r="H166" s="5" t="n"/>
      <c r="I166" s="5" t="n"/>
    </row>
    <row r="167">
      <c r="A167" s="6" t="inlineStr">
        <is>
          <t>screening_source</t>
        </is>
      </c>
      <c r="B167" s="6" t="n">
        <v>1</v>
      </c>
      <c r="C167" s="6" t="inlineStr">
        <is>
          <t>source_id</t>
        </is>
      </c>
      <c r="D167" s="6" t="inlineStr">
        <is>
          <t>출처 ID</t>
        </is>
      </c>
      <c r="E167" s="6" t="inlineStr">
        <is>
          <t>VARCHAR(30)</t>
        </is>
      </c>
      <c r="F167" s="6" t="inlineStr">
        <is>
          <t>Y</t>
        </is>
      </c>
      <c r="G167" s="6" t="inlineStr">
        <is>
          <t>PK</t>
        </is>
      </c>
      <c r="H167" s="5" t="n"/>
      <c r="I167" s="5" t="n"/>
    </row>
    <row r="168">
      <c r="A168" s="6" t="inlineStr">
        <is>
          <t>screening_source</t>
        </is>
      </c>
      <c r="B168" s="6" t="n">
        <v>2</v>
      </c>
      <c r="C168" s="6" t="inlineStr">
        <is>
          <t>source_name</t>
        </is>
      </c>
      <c r="D168" s="6" t="inlineStr">
        <is>
          <t>출처명</t>
        </is>
      </c>
      <c r="E168" s="6" t="inlineStr">
        <is>
          <t>VARCHAR(150)</t>
        </is>
      </c>
      <c r="F168" s="6" t="inlineStr">
        <is>
          <t>Y</t>
        </is>
      </c>
      <c r="G168" s="6" t="n"/>
      <c r="H168" s="5" t="n"/>
      <c r="I168" s="5" t="n"/>
    </row>
    <row r="169">
      <c r="A169" s="6" t="inlineStr">
        <is>
          <t>screening_source</t>
        </is>
      </c>
      <c r="B169" s="6" t="n">
        <v>3</v>
      </c>
      <c r="C169" s="6" t="inlineStr">
        <is>
          <t>source_kind</t>
        </is>
      </c>
      <c r="D169" s="6" t="inlineStr">
        <is>
          <t>출처 구분</t>
        </is>
      </c>
      <c r="E169" s="6" t="inlineStr">
        <is>
          <t>ENUM</t>
        </is>
      </c>
      <c r="F169" s="6" t="inlineStr">
        <is>
          <t>Y</t>
        </is>
      </c>
      <c r="G169" s="6" t="n"/>
      <c r="H169" s="5" t="inlineStr">
        <is>
          <t>PRIMARY,SNAPSHOT,SUPPLEMENT,PRODUCT_POLICY</t>
        </is>
      </c>
      <c r="I169" s="5" t="n"/>
    </row>
    <row r="170">
      <c r="A170" s="6" t="inlineStr">
        <is>
          <t>screening_source</t>
        </is>
      </c>
      <c r="B170" s="6" t="n">
        <v>4</v>
      </c>
      <c r="C170" s="6" t="inlineStr">
        <is>
          <t>source_version</t>
        </is>
      </c>
      <c r="D170" s="6" t="inlineStr">
        <is>
          <t>출처 버전</t>
        </is>
      </c>
      <c r="E170" s="6" t="inlineStr">
        <is>
          <t>VARCHAR(50)</t>
        </is>
      </c>
      <c r="F170" s="6" t="inlineStr">
        <is>
          <t>Y</t>
        </is>
      </c>
      <c r="G170" s="6" t="n"/>
      <c r="H170" s="5" t="n"/>
      <c r="I170" s="5" t="n"/>
    </row>
    <row r="171">
      <c r="A171" s="6" t="inlineStr">
        <is>
          <t>screening_source</t>
        </is>
      </c>
      <c r="B171" s="6" t="n">
        <v>5</v>
      </c>
      <c r="C171" s="6" t="inlineStr">
        <is>
          <t>source_uri</t>
        </is>
      </c>
      <c r="D171" s="6" t="inlineStr">
        <is>
          <t>원문 주소</t>
        </is>
      </c>
      <c r="E171" s="6" t="inlineStr">
        <is>
          <t>TEXT</t>
        </is>
      </c>
      <c r="F171" s="6" t="inlineStr">
        <is>
          <t>N</t>
        </is>
      </c>
      <c r="G171" s="6" t="n"/>
      <c r="H171" s="5" t="n"/>
      <c r="I171" s="5" t="n"/>
    </row>
    <row r="172">
      <c r="A172" s="6" t="inlineStr">
        <is>
          <t>screening_source</t>
        </is>
      </c>
      <c r="B172" s="6" t="n">
        <v>6</v>
      </c>
      <c r="C172" s="6" t="inlineStr">
        <is>
          <t>usage_scope</t>
        </is>
      </c>
      <c r="D172" s="6" t="inlineStr">
        <is>
          <t>사용 범위</t>
        </is>
      </c>
      <c r="E172" s="6" t="inlineStr">
        <is>
          <t>TEXT</t>
        </is>
      </c>
      <c r="F172" s="6" t="inlineStr">
        <is>
          <t>Y</t>
        </is>
      </c>
      <c r="G172" s="6" t="n"/>
      <c r="H172" s="5" t="n"/>
      <c r="I172" s="5" t="n"/>
    </row>
    <row r="173">
      <c r="A173" s="6" t="inlineStr">
        <is>
          <t>screening_metric</t>
        </is>
      </c>
      <c r="B173" s="6" t="n">
        <v>1</v>
      </c>
      <c r="C173" s="6" t="inlineStr">
        <is>
          <t>metric_id</t>
        </is>
      </c>
      <c r="D173" s="6" t="inlineStr">
        <is>
          <t>항목 ID</t>
        </is>
      </c>
      <c r="E173" s="6" t="inlineStr">
        <is>
          <t>VARCHAR(20)</t>
        </is>
      </c>
      <c r="F173" s="6" t="inlineStr">
        <is>
          <t>Y</t>
        </is>
      </c>
      <c r="G173" s="6" t="inlineStr">
        <is>
          <t>PK</t>
        </is>
      </c>
      <c r="H173" s="5" t="n"/>
      <c r="I173" s="5" t="n"/>
    </row>
    <row r="174">
      <c r="A174" s="6" t="inlineStr">
        <is>
          <t>screening_metric</t>
        </is>
      </c>
      <c r="B174" s="6" t="n">
        <v>2</v>
      </c>
      <c r="C174" s="6" t="inlineStr">
        <is>
          <t>metric_name</t>
        </is>
      </c>
      <c r="D174" s="6" t="inlineStr">
        <is>
          <t>검사항목</t>
        </is>
      </c>
      <c r="E174" s="6" t="inlineStr">
        <is>
          <t>VARCHAR(60)</t>
        </is>
      </c>
      <c r="F174" s="6" t="inlineStr">
        <is>
          <t>Y</t>
        </is>
      </c>
      <c r="G174" s="6" t="n"/>
      <c r="H174" s="5" t="n"/>
      <c r="I174" s="5" t="n"/>
    </row>
    <row r="175">
      <c r="A175" s="6" t="inlineStr">
        <is>
          <t>screening_metric</t>
        </is>
      </c>
      <c r="B175" s="6" t="n">
        <v>3</v>
      </c>
      <c r="C175" s="6" t="inlineStr">
        <is>
          <t>unit_code</t>
        </is>
      </c>
      <c r="D175" s="6" t="inlineStr">
        <is>
          <t>단위</t>
        </is>
      </c>
      <c r="E175" s="6" t="inlineStr">
        <is>
          <t>VARCHAR(30)</t>
        </is>
      </c>
      <c r="F175" s="6" t="inlineStr">
        <is>
          <t>N</t>
        </is>
      </c>
      <c r="G175" s="6" t="n"/>
      <c r="H175" s="5" t="n"/>
      <c r="I175" s="5" t="n"/>
    </row>
    <row r="176">
      <c r="A176" s="6" t="inlineStr">
        <is>
          <t>screening_metric</t>
        </is>
      </c>
      <c r="B176" s="6" t="n">
        <v>4</v>
      </c>
      <c r="C176" s="6" t="inlineStr">
        <is>
          <t>value_kind</t>
        </is>
      </c>
      <c r="D176" s="6" t="inlineStr">
        <is>
          <t>값 형태</t>
        </is>
      </c>
      <c r="E176" s="6" t="inlineStr">
        <is>
          <t>ENUM</t>
        </is>
      </c>
      <c r="F176" s="6" t="inlineStr">
        <is>
          <t>Y</t>
        </is>
      </c>
      <c r="G176" s="6" t="n"/>
      <c r="H176" s="5" t="inlineStr">
        <is>
          <t>NUMERIC,PAIR,CATEGORY</t>
        </is>
      </c>
      <c r="I176" s="5" t="n"/>
    </row>
    <row r="177">
      <c r="A177" s="6" t="inlineStr">
        <is>
          <t>screening_metric</t>
        </is>
      </c>
      <c r="B177" s="6" t="n">
        <v>5</v>
      </c>
      <c r="C177" s="6" t="inlineStr">
        <is>
          <t>sex_required</t>
        </is>
      </c>
      <c r="D177" s="6" t="inlineStr">
        <is>
          <t>성별 분기 필요</t>
        </is>
      </c>
      <c r="E177" s="6" t="inlineStr">
        <is>
          <t>BOOLEAN</t>
        </is>
      </c>
      <c r="F177" s="6" t="inlineStr">
        <is>
          <t>Y</t>
        </is>
      </c>
      <c r="G177" s="6" t="n"/>
      <c r="H177" s="5" t="n"/>
      <c r="I177" s="5" t="n"/>
    </row>
    <row r="178">
      <c r="A178" s="6" t="inlineStr">
        <is>
          <t>screening_metric</t>
        </is>
      </c>
      <c r="B178" s="6" t="n">
        <v>6</v>
      </c>
      <c r="C178" s="6" t="inlineStr">
        <is>
          <t>diet_signal</t>
        </is>
      </c>
      <c r="D178" s="6" t="inlineStr">
        <is>
          <t>식이 후보 신호</t>
        </is>
      </c>
      <c r="E178" s="6" t="inlineStr">
        <is>
          <t>BOOLEAN</t>
        </is>
      </c>
      <c r="F178" s="6" t="inlineStr">
        <is>
          <t>Y</t>
        </is>
      </c>
      <c r="G178" s="6" t="n"/>
      <c r="H178" s="5" t="n"/>
      <c r="I178" s="5" t="n"/>
    </row>
    <row r="179">
      <c r="A179" s="6" t="inlineStr">
        <is>
          <t>screening_metric</t>
        </is>
      </c>
      <c r="B179" s="6" t="n">
        <v>7</v>
      </c>
      <c r="C179" s="6" t="inlineStr">
        <is>
          <t>screening_source_id</t>
        </is>
      </c>
      <c r="D179" s="6" t="inlineStr">
        <is>
          <t>판정 출처 ID</t>
        </is>
      </c>
      <c r="E179" s="6" t="inlineStr">
        <is>
          <t>VARCHAR(30)</t>
        </is>
      </c>
      <c r="F179" s="6" t="inlineStr">
        <is>
          <t>Y</t>
        </is>
      </c>
      <c r="G179" s="6" t="inlineStr">
        <is>
          <t>FK→screening_source</t>
        </is>
      </c>
      <c r="H179" s="5" t="n"/>
      <c r="I179" s="5" t="n"/>
    </row>
    <row r="180">
      <c r="A180" s="6" t="inlineStr">
        <is>
          <t>screening_metric</t>
        </is>
      </c>
      <c r="B180" s="6" t="n">
        <v>8</v>
      </c>
      <c r="C180" s="6" t="inlineStr">
        <is>
          <t>note</t>
        </is>
      </c>
      <c r="D180" s="6" t="inlineStr">
        <is>
          <t>해석 조건</t>
        </is>
      </c>
      <c r="E180" s="6" t="inlineStr">
        <is>
          <t>TEXT</t>
        </is>
      </c>
      <c r="F180" s="6" t="inlineStr">
        <is>
          <t>N</t>
        </is>
      </c>
      <c r="G180" s="6" t="n"/>
      <c r="H180" s="5" t="n"/>
      <c r="I180" s="5" t="n"/>
    </row>
    <row r="181">
      <c r="A181" s="6" t="inlineStr">
        <is>
          <t>screening_band_predicate</t>
        </is>
      </c>
      <c r="B181" s="6" t="n">
        <v>1</v>
      </c>
      <c r="C181" s="6" t="inlineStr">
        <is>
          <t>rule_group_id</t>
        </is>
      </c>
      <c r="D181" s="6" t="inlineStr">
        <is>
          <t>판정 그룹 ID</t>
        </is>
      </c>
      <c r="E181" s="6" t="inlineStr">
        <is>
          <t>VARCHAR(40)</t>
        </is>
      </c>
      <c r="F181" s="6" t="inlineStr">
        <is>
          <t>Y</t>
        </is>
      </c>
      <c r="G181" s="6" t="inlineStr">
        <is>
          <t>PK/FK→screening_band_group</t>
        </is>
      </c>
      <c r="H181" s="5" t="n"/>
      <c r="I181" s="5" t="n"/>
    </row>
    <row r="182">
      <c r="A182" s="6" t="inlineStr">
        <is>
          <t>screening_band_predicate</t>
        </is>
      </c>
      <c r="B182" s="6" t="n">
        <v>2</v>
      </c>
      <c r="C182" s="6" t="inlineStr">
        <is>
          <t>condition_order</t>
        </is>
      </c>
      <c r="D182" s="6" t="inlineStr">
        <is>
          <t>그룹 내 순서</t>
        </is>
      </c>
      <c r="E182" s="6" t="inlineStr">
        <is>
          <t>SMALLINT</t>
        </is>
      </c>
      <c r="F182" s="6" t="inlineStr">
        <is>
          <t>Y</t>
        </is>
      </c>
      <c r="G182" s="6" t="inlineStr">
        <is>
          <t>PK</t>
        </is>
      </c>
      <c r="H182" s="5" t="n"/>
      <c r="I182" s="5" t="n"/>
    </row>
    <row r="183">
      <c r="A183" s="6" t="inlineStr">
        <is>
          <t>screening_band_predicate</t>
        </is>
      </c>
      <c r="B183" s="6" t="n">
        <v>3</v>
      </c>
      <c r="C183" s="6" t="inlineStr">
        <is>
          <t>metric_id</t>
        </is>
      </c>
      <c r="D183" s="6" t="inlineStr">
        <is>
          <t>검사항목 ID</t>
        </is>
      </c>
      <c r="E183" s="6" t="inlineStr">
        <is>
          <t>VARCHAR(20)</t>
        </is>
      </c>
      <c r="F183" s="6" t="inlineStr">
        <is>
          <t>Y</t>
        </is>
      </c>
      <c r="G183" s="6" t="inlineStr">
        <is>
          <t>FK(part)→screening_metric_component</t>
        </is>
      </c>
      <c r="H183" s="5" t="n"/>
      <c r="I183" s="5" t="inlineStr">
        <is>
          <t>부모 판정그룹의 metric_id와 일치해야 함</t>
        </is>
      </c>
    </row>
    <row r="184">
      <c r="A184" s="6" t="inlineStr">
        <is>
          <t>screening_band_predicate</t>
        </is>
      </c>
      <c r="B184" s="6" t="n">
        <v>4</v>
      </c>
      <c r="C184" s="6" t="inlineStr">
        <is>
          <t>component_key</t>
        </is>
      </c>
      <c r="D184" s="6" t="inlineStr">
        <is>
          <t>비교 입력</t>
        </is>
      </c>
      <c r="E184" s="6" t="inlineStr">
        <is>
          <t>VARCHAR(30)</t>
        </is>
      </c>
      <c r="F184" s="6" t="inlineStr">
        <is>
          <t>Y</t>
        </is>
      </c>
      <c r="G184" s="6" t="inlineStr">
        <is>
          <t>FK(part)→screening_metric_component</t>
        </is>
      </c>
      <c r="H184" s="5" t="n"/>
      <c r="I184" s="5" t="inlineStr">
        <is>
          <t>metric_id와 함께 성분규격의 복합 키 참조</t>
        </is>
      </c>
    </row>
    <row r="185">
      <c r="A185" s="6" t="inlineStr">
        <is>
          <t>screening_band_predicate</t>
        </is>
      </c>
      <c r="B185" s="6" t="n">
        <v>5</v>
      </c>
      <c r="C185" s="6" t="inlineStr">
        <is>
          <t>operator_code</t>
        </is>
      </c>
      <c r="D185" s="6" t="inlineStr">
        <is>
          <t>비교 연산</t>
        </is>
      </c>
      <c r="E185" s="6" t="inlineStr">
        <is>
          <t>ENUM</t>
        </is>
      </c>
      <c r="F185" s="6" t="inlineStr">
        <is>
          <t>Y</t>
        </is>
      </c>
      <c r="G185" s="6" t="n"/>
      <c r="H185" s="5" t="inlineStr">
        <is>
          <t>LT,LTE,GT,GTE,EQ</t>
        </is>
      </c>
      <c r="I185" s="5" t="n"/>
    </row>
    <row r="186">
      <c r="A186" s="6" t="inlineStr">
        <is>
          <t>screening_band_predicate</t>
        </is>
      </c>
      <c r="B186" s="6" t="n">
        <v>6</v>
      </c>
      <c r="C186" s="6" t="inlineStr">
        <is>
          <t>threshold_number</t>
        </is>
      </c>
      <c r="D186" s="6" t="inlineStr">
        <is>
          <t>비교 숫자</t>
        </is>
      </c>
      <c r="E186" s="6" t="inlineStr">
        <is>
          <t>DECIMAL(12,3)</t>
        </is>
      </c>
      <c r="F186" s="6" t="inlineStr">
        <is>
          <t>Y</t>
        </is>
      </c>
      <c r="G186" s="6" t="n"/>
      <c r="H186" s="5" t="n"/>
      <c r="I186" s="5" t="n"/>
    </row>
    <row r="187">
      <c r="A187" s="6" t="inlineStr">
        <is>
          <t>screening_band_predicate</t>
        </is>
      </c>
      <c r="B187" s="6" t="n">
        <v>7</v>
      </c>
      <c r="C187" s="6" t="inlineStr">
        <is>
          <t>note</t>
        </is>
      </c>
      <c r="D187" s="6" t="inlineStr">
        <is>
          <t>원문·예외</t>
        </is>
      </c>
      <c r="E187" s="6" t="inlineStr">
        <is>
          <t>TEXT</t>
        </is>
      </c>
      <c r="F187" s="6" t="inlineStr">
        <is>
          <t>N</t>
        </is>
      </c>
      <c r="G187" s="6" t="n"/>
      <c r="H187" s="5" t="n"/>
      <c r="I187" s="5" t="n"/>
    </row>
    <row r="188">
      <c r="A188" s="6" t="inlineStr">
        <is>
          <t>screening_category_value</t>
        </is>
      </c>
      <c r="B188" s="6" t="n">
        <v>1</v>
      </c>
      <c r="C188" s="6" t="inlineStr">
        <is>
          <t>metric_id</t>
        </is>
      </c>
      <c r="D188" s="6" t="inlineStr">
        <is>
          <t>항목 ID</t>
        </is>
      </c>
      <c r="E188" s="6" t="inlineStr">
        <is>
          <t>VARCHAR(20)</t>
        </is>
      </c>
      <c r="F188" s="6" t="inlineStr">
        <is>
          <t>Y</t>
        </is>
      </c>
      <c r="G188" s="6" t="inlineStr">
        <is>
          <t>PK/FK→screening_metric</t>
        </is>
      </c>
      <c r="H188" s="5" t="n"/>
      <c r="I188" s="5" t="n"/>
    </row>
    <row r="189">
      <c r="A189" s="6" t="inlineStr">
        <is>
          <t>screening_category_value</t>
        </is>
      </c>
      <c r="B189" s="6" t="n">
        <v>2</v>
      </c>
      <c r="C189" s="6" t="inlineStr">
        <is>
          <t>raw_code</t>
        </is>
      </c>
      <c r="D189" s="6" t="inlineStr">
        <is>
          <t>원본 표기</t>
        </is>
      </c>
      <c r="E189" s="6" t="inlineStr">
        <is>
          <t>VARCHAR(30)</t>
        </is>
      </c>
      <c r="F189" s="6" t="inlineStr">
        <is>
          <t>Y</t>
        </is>
      </c>
      <c r="G189" s="6" t="inlineStr">
        <is>
          <t>PK</t>
        </is>
      </c>
      <c r="H189" s="5" t="n"/>
      <c r="I189" s="5" t="n"/>
    </row>
    <row r="190">
      <c r="A190" s="6" t="inlineStr">
        <is>
          <t>screening_category_value</t>
        </is>
      </c>
      <c r="B190" s="6" t="n">
        <v>3</v>
      </c>
      <c r="C190" s="6" t="inlineStr">
        <is>
          <t>normalized_code</t>
        </is>
      </c>
      <c r="D190" s="6" t="inlineStr">
        <is>
          <t>정규 코드</t>
        </is>
      </c>
      <c r="E190" s="6" t="inlineStr">
        <is>
          <t>VARCHAR(30)</t>
        </is>
      </c>
      <c r="F190" s="6" t="inlineStr">
        <is>
          <t>Y</t>
        </is>
      </c>
      <c r="G190" s="6" t="n"/>
      <c r="H190" s="5" t="n"/>
      <c r="I190" s="5" t="n"/>
    </row>
    <row r="191">
      <c r="A191" s="6" t="inlineStr">
        <is>
          <t>screening_category_value</t>
        </is>
      </c>
      <c r="B191" s="6" t="n">
        <v>4</v>
      </c>
      <c r="C191" s="6" t="inlineStr">
        <is>
          <t>ordinal_value</t>
        </is>
      </c>
      <c r="D191" s="6" t="inlineStr">
        <is>
          <t>판정 서열</t>
        </is>
      </c>
      <c r="E191" s="6" t="inlineStr">
        <is>
          <t>SMALLINT</t>
        </is>
      </c>
      <c r="F191" s="6" t="inlineStr">
        <is>
          <t>Y</t>
        </is>
      </c>
      <c r="G191" s="6" t="n"/>
      <c r="H191" s="5" t="n"/>
      <c r="I191" s="5" t="n"/>
    </row>
    <row r="192">
      <c r="A192" s="6" t="inlineStr">
        <is>
          <t>screening_category_value</t>
        </is>
      </c>
      <c r="B192" s="6" t="n">
        <v>5</v>
      </c>
      <c r="C192" s="6" t="inlineStr">
        <is>
          <t>note</t>
        </is>
      </c>
      <c r="D192" s="6" t="inlineStr">
        <is>
          <t>설명</t>
        </is>
      </c>
      <c r="E192" s="6" t="inlineStr">
        <is>
          <t>TEXT</t>
        </is>
      </c>
      <c r="F192" s="6" t="inlineStr">
        <is>
          <t>N</t>
        </is>
      </c>
      <c r="G192" s="6" t="n"/>
      <c r="H192" s="5" t="n"/>
      <c r="I192" s="5" t="n"/>
    </row>
    <row r="193">
      <c r="A193" s="6" t="inlineStr">
        <is>
          <t>screening_application_policy</t>
        </is>
      </c>
      <c r="B193" s="6" t="n">
        <v>1</v>
      </c>
      <c r="C193" s="6" t="inlineStr">
        <is>
          <t>policy_id</t>
        </is>
      </c>
      <c r="D193" s="6" t="inlineStr">
        <is>
          <t>정책 ID</t>
        </is>
      </c>
      <c r="E193" s="6" t="inlineStr">
        <is>
          <t>VARCHAR(20)</t>
        </is>
      </c>
      <c r="F193" s="6" t="inlineStr">
        <is>
          <t>Y</t>
        </is>
      </c>
      <c r="G193" s="6" t="inlineStr">
        <is>
          <t>PK</t>
        </is>
      </c>
      <c r="H193" s="5" t="n"/>
      <c r="I193" s="5" t="n"/>
    </row>
    <row r="194">
      <c r="A194" s="6" t="inlineStr">
        <is>
          <t>screening_application_policy</t>
        </is>
      </c>
      <c r="B194" s="6" t="n">
        <v>2</v>
      </c>
      <c r="C194" s="6" t="inlineStr">
        <is>
          <t>scope_code</t>
        </is>
      </c>
      <c r="D194" s="6" t="inlineStr">
        <is>
          <t>적용 영역</t>
        </is>
      </c>
      <c r="E194" s="6" t="inlineStr">
        <is>
          <t>ENUM</t>
        </is>
      </c>
      <c r="F194" s="6" t="inlineStr">
        <is>
          <t>Y</t>
        </is>
      </c>
      <c r="G194" s="6" t="n"/>
      <c r="H194" s="5" t="inlineStr">
        <is>
          <t>BADGE,BAR,DIET,PEER</t>
        </is>
      </c>
      <c r="I194" s="5" t="n"/>
    </row>
    <row r="195">
      <c r="A195" s="6" t="inlineStr">
        <is>
          <t>screening_application_policy</t>
        </is>
      </c>
      <c r="B195" s="6" t="n">
        <v>3</v>
      </c>
      <c r="C195" s="6" t="inlineStr">
        <is>
          <t>priority</t>
        </is>
      </c>
      <c r="D195" s="6" t="inlineStr">
        <is>
          <t>우선순위</t>
        </is>
      </c>
      <c r="E195" s="6" t="inlineStr">
        <is>
          <t>SMALLINT</t>
        </is>
      </c>
      <c r="F195" s="6" t="inlineStr">
        <is>
          <t>Y</t>
        </is>
      </c>
      <c r="G195" s="6" t="n"/>
      <c r="H195" s="5" t="n"/>
      <c r="I195" s="5" t="n"/>
    </row>
    <row r="196">
      <c r="A196" s="6" t="inlineStr">
        <is>
          <t>screening_application_policy</t>
        </is>
      </c>
      <c r="B196" s="6" t="n">
        <v>4</v>
      </c>
      <c r="C196" s="6" t="inlineStr">
        <is>
          <t>policy_text</t>
        </is>
      </c>
      <c r="D196" s="6" t="inlineStr">
        <is>
          <t>적용 규칙</t>
        </is>
      </c>
      <c r="E196" s="6" t="inlineStr">
        <is>
          <t>TEXT</t>
        </is>
      </c>
      <c r="F196" s="6" t="inlineStr">
        <is>
          <t>Y</t>
        </is>
      </c>
      <c r="G196" s="6" t="n"/>
      <c r="H196" s="5" t="n"/>
      <c r="I196" s="5" t="n"/>
    </row>
    <row r="197">
      <c r="A197" s="6" t="inlineStr">
        <is>
          <t>screening_application_policy</t>
        </is>
      </c>
      <c r="B197" s="6" t="n">
        <v>5</v>
      </c>
      <c r="C197" s="6" t="inlineStr">
        <is>
          <t>execution_status</t>
        </is>
      </c>
      <c r="D197" s="6" t="inlineStr">
        <is>
          <t>구현 상태</t>
        </is>
      </c>
      <c r="E197" s="6" t="inlineStr">
        <is>
          <t>ENUM</t>
        </is>
      </c>
      <c r="F197" s="6" t="inlineStr">
        <is>
          <t>Y</t>
        </is>
      </c>
      <c r="G197" s="6" t="n"/>
      <c r="H197" s="5" t="inlineStr">
        <is>
          <t>READY,NEEDS_DECISION</t>
        </is>
      </c>
      <c r="I197" s="5" t="n"/>
    </row>
    <row r="198">
      <c r="A198" s="6" t="inlineStr">
        <is>
          <t>screening_application_policy</t>
        </is>
      </c>
      <c r="B198" s="6" t="n">
        <v>6</v>
      </c>
      <c r="C198" s="6" t="inlineStr">
        <is>
          <t>source_id</t>
        </is>
      </c>
      <c r="D198" s="6" t="inlineStr">
        <is>
          <t>근거 출처</t>
        </is>
      </c>
      <c r="E198" s="6" t="inlineStr">
        <is>
          <t>VARCHAR(30)</t>
        </is>
      </c>
      <c r="F198" s="6" t="inlineStr">
        <is>
          <t>Y</t>
        </is>
      </c>
      <c r="G198" s="6" t="inlineStr">
        <is>
          <t>FK→screening_source</t>
        </is>
      </c>
      <c r="H198" s="5" t="n"/>
      <c r="I198" s="5" t="n"/>
    </row>
    <row r="199">
      <c r="A199" s="6" t="inlineStr">
        <is>
          <t>screening_supplemental_band</t>
        </is>
      </c>
      <c r="B199" s="6" t="n">
        <v>1</v>
      </c>
      <c r="C199" s="6" t="inlineStr">
        <is>
          <t>supplemental_id</t>
        </is>
      </c>
      <c r="D199" s="6" t="inlineStr">
        <is>
          <t>보조 기준 ID</t>
        </is>
      </c>
      <c r="E199" s="6" t="inlineStr">
        <is>
          <t>VARCHAR(20)</t>
        </is>
      </c>
      <c r="F199" s="6" t="inlineStr">
        <is>
          <t>Y</t>
        </is>
      </c>
      <c r="G199" s="6" t="inlineStr">
        <is>
          <t>PK</t>
        </is>
      </c>
      <c r="H199" s="5" t="n"/>
      <c r="I199" s="5" t="n"/>
    </row>
    <row r="200">
      <c r="A200" s="6" t="inlineStr">
        <is>
          <t>screening_supplemental_band</t>
        </is>
      </c>
      <c r="B200" s="6" t="n">
        <v>2</v>
      </c>
      <c r="C200" s="6" t="inlineStr">
        <is>
          <t>metric_id</t>
        </is>
      </c>
      <c r="D200" s="6" t="inlineStr">
        <is>
          <t>항목 ID</t>
        </is>
      </c>
      <c r="E200" s="6" t="inlineStr">
        <is>
          <t>VARCHAR(20)</t>
        </is>
      </c>
      <c r="F200" s="6" t="inlineStr">
        <is>
          <t>Y</t>
        </is>
      </c>
      <c r="G200" s="6" t="inlineStr">
        <is>
          <t>FK→screening_metric</t>
        </is>
      </c>
      <c r="H200" s="5" t="n"/>
      <c r="I200" s="5" t="n"/>
    </row>
    <row r="201">
      <c r="A201" s="6" t="inlineStr">
        <is>
          <t>screening_supplemental_band</t>
        </is>
      </c>
      <c r="B201" s="6" t="n">
        <v>3</v>
      </c>
      <c r="C201" s="6" t="inlineStr">
        <is>
          <t>sex_code</t>
        </is>
      </c>
      <c r="D201" s="6" t="inlineStr">
        <is>
          <t>적용 성별</t>
        </is>
      </c>
      <c r="E201" s="6" t="inlineStr">
        <is>
          <t>ENUM</t>
        </is>
      </c>
      <c r="F201" s="6" t="inlineStr">
        <is>
          <t>N</t>
        </is>
      </c>
      <c r="G201" s="6" t="n"/>
      <c r="H201" s="5" t="inlineStr">
        <is>
          <t>ALL,MALE,FEMALE</t>
        </is>
      </c>
      <c r="I201" s="5" t="n"/>
    </row>
    <row r="202">
      <c r="A202" s="6" t="inlineStr">
        <is>
          <t>screening_supplemental_band</t>
        </is>
      </c>
      <c r="B202" s="6" t="n">
        <v>4</v>
      </c>
      <c r="C202" s="6" t="inlineStr">
        <is>
          <t>label</t>
        </is>
      </c>
      <c r="D202" s="6" t="inlineStr">
        <is>
          <t>세부 구간명</t>
        </is>
      </c>
      <c r="E202" s="6" t="inlineStr">
        <is>
          <t>VARCHAR(60)</t>
        </is>
      </c>
      <c r="F202" s="6" t="inlineStr">
        <is>
          <t>Y</t>
        </is>
      </c>
      <c r="G202" s="6" t="n"/>
      <c r="H202" s="5" t="n"/>
      <c r="I202" s="5" t="n"/>
    </row>
    <row r="203">
      <c r="A203" s="6" t="inlineStr">
        <is>
          <t>screening_supplemental_band</t>
        </is>
      </c>
      <c r="B203" s="6" t="n">
        <v>5</v>
      </c>
      <c r="C203" s="6" t="inlineStr">
        <is>
          <t>range_text</t>
        </is>
      </c>
      <c r="D203" s="6" t="inlineStr">
        <is>
          <t>기준 구간 원문</t>
        </is>
      </c>
      <c r="E203" s="6" t="inlineStr">
        <is>
          <t>VARCHAR(150)</t>
        </is>
      </c>
      <c r="F203" s="6" t="inlineStr">
        <is>
          <t>Y</t>
        </is>
      </c>
      <c r="G203" s="6" t="n"/>
      <c r="H203" s="5" t="n"/>
      <c r="I203" s="5" t="n"/>
    </row>
    <row r="204">
      <c r="A204" s="6" t="inlineStr">
        <is>
          <t>screening_supplemental_band</t>
        </is>
      </c>
      <c r="B204" s="6" t="n">
        <v>6</v>
      </c>
      <c r="C204" s="6" t="inlineStr">
        <is>
          <t>use_scope</t>
        </is>
      </c>
      <c r="D204" s="6" t="inlineStr">
        <is>
          <t>사용 범위</t>
        </is>
      </c>
      <c r="E204" s="6" t="inlineStr">
        <is>
          <t>ENUM</t>
        </is>
      </c>
      <c r="F204" s="6" t="inlineStr">
        <is>
          <t>Y</t>
        </is>
      </c>
      <c r="G204" s="6" t="n"/>
      <c r="H204" s="5" t="inlineStr">
        <is>
          <t>REFERENCE_ONLY,BAR_CONTEXT</t>
        </is>
      </c>
      <c r="I204" s="5" t="n"/>
    </row>
    <row r="205">
      <c r="A205" s="6" t="inlineStr">
        <is>
          <t>screening_supplemental_band</t>
        </is>
      </c>
      <c r="B205" s="6" t="n">
        <v>7</v>
      </c>
      <c r="C205" s="6" t="inlineStr">
        <is>
          <t>source_id</t>
        </is>
      </c>
      <c r="D205" s="6" t="inlineStr">
        <is>
          <t>출처 ID</t>
        </is>
      </c>
      <c r="E205" s="6" t="inlineStr">
        <is>
          <t>VARCHAR(30)</t>
        </is>
      </c>
      <c r="F205" s="6" t="inlineStr">
        <is>
          <t>Y</t>
        </is>
      </c>
      <c r="G205" s="6" t="inlineStr">
        <is>
          <t>FK→screening_source</t>
        </is>
      </c>
      <c r="H205" s="5" t="n"/>
      <c r="I205" s="5" t="n"/>
    </row>
    <row r="206">
      <c r="A206" s="6" t="inlineStr">
        <is>
          <t>screening_supplemental_band</t>
        </is>
      </c>
      <c r="B206" s="6" t="n">
        <v>8</v>
      </c>
      <c r="C206" s="6" t="inlineStr">
        <is>
          <t>note</t>
        </is>
      </c>
      <c r="D206" s="6" t="inlineStr">
        <is>
          <t>단서</t>
        </is>
      </c>
      <c r="E206" s="6" t="inlineStr">
        <is>
          <t>TEXT</t>
        </is>
      </c>
      <c r="F206" s="6" t="inlineStr">
        <is>
          <t>N</t>
        </is>
      </c>
      <c r="G206" s="6" t="n"/>
      <c r="H206" s="5" t="n"/>
      <c r="I206" s="5" t="n"/>
    </row>
    <row r="207">
      <c r="A207" s="6" t="inlineStr">
        <is>
          <t>screening_diet_signal</t>
        </is>
      </c>
      <c r="B207" s="6" t="n">
        <v>1</v>
      </c>
      <c r="C207" s="6" t="inlineStr">
        <is>
          <t>metric_id</t>
        </is>
      </c>
      <c r="D207" s="6" t="inlineStr">
        <is>
          <t>항목 ID</t>
        </is>
      </c>
      <c r="E207" s="6" t="inlineStr">
        <is>
          <t>VARCHAR(20)</t>
        </is>
      </c>
      <c r="F207" s="6" t="inlineStr">
        <is>
          <t>Y</t>
        </is>
      </c>
      <c r="G207" s="6" t="inlineStr">
        <is>
          <t>PK/FK→screening_metric</t>
        </is>
      </c>
      <c r="H207" s="5" t="n"/>
      <c r="I207" s="5" t="n"/>
    </row>
    <row r="208">
      <c r="A208" s="6" t="inlineStr">
        <is>
          <t>screening_diet_signal</t>
        </is>
      </c>
      <c r="B208" s="6" t="n">
        <v>2</v>
      </c>
      <c r="C208" s="6" t="inlineStr">
        <is>
          <t>priority_group</t>
        </is>
      </c>
      <c r="D208" s="6" t="inlineStr">
        <is>
          <t>식이 검진 신호 순서</t>
        </is>
      </c>
      <c r="E208" s="6" t="inlineStr">
        <is>
          <t>SMALLINT</t>
        </is>
      </c>
      <c r="F208" s="6" t="inlineStr">
        <is>
          <t>Y</t>
        </is>
      </c>
      <c r="G208" s="6" t="n"/>
      <c r="H208" s="5" t="inlineStr">
        <is>
          <t>1,2,3</t>
        </is>
      </c>
      <c r="I208" s="5" t="n"/>
    </row>
    <row r="209">
      <c r="A209" s="6" t="inlineStr">
        <is>
          <t>screening_diet_signal</t>
        </is>
      </c>
      <c r="B209" s="6" t="n">
        <v>3</v>
      </c>
      <c r="C209" s="6" t="inlineStr">
        <is>
          <t>eligible_band</t>
        </is>
      </c>
      <c r="D209" s="6" t="inlineStr">
        <is>
          <t>참고 구간</t>
        </is>
      </c>
      <c r="E209" s="6" t="inlineStr">
        <is>
          <t>VARCHAR(40)</t>
        </is>
      </c>
      <c r="F209" s="6" t="inlineStr">
        <is>
          <t>Y</t>
        </is>
      </c>
      <c r="G209" s="6" t="n"/>
      <c r="H209" s="5" t="inlineStr">
        <is>
          <t>NORMAL_B,SUSPECT</t>
        </is>
      </c>
      <c r="I209" s="5" t="inlineStr">
        <is>
          <t>BMI는 원본 수치의 minimum_value_inclusive 조건도 충족해야 함</t>
        </is>
      </c>
    </row>
    <row r="210">
      <c r="A210" s="6" t="inlineStr">
        <is>
          <t>screening_diet_signal</t>
        </is>
      </c>
      <c r="B210" s="6" t="n">
        <v>4</v>
      </c>
      <c r="C210" s="6" t="inlineStr">
        <is>
          <t>goal_axis_status</t>
        </is>
      </c>
      <c r="D210" s="6" t="inlineStr">
        <is>
          <t>연결 축 상태</t>
        </is>
      </c>
      <c r="E210" s="6" t="inlineStr">
        <is>
          <t>ENUM</t>
        </is>
      </c>
      <c r="F210" s="6" t="inlineStr">
        <is>
          <t>Y</t>
        </is>
      </c>
      <c r="G210" s="6" t="n"/>
      <c r="H210" s="5" t="inlineStr">
        <is>
          <t>MAPPED</t>
        </is>
      </c>
      <c r="I210" s="5" t="n"/>
    </row>
    <row r="211">
      <c r="A211" s="6" t="inlineStr">
        <is>
          <t>screening_diet_signal</t>
        </is>
      </c>
      <c r="B211" s="6" t="n">
        <v>5</v>
      </c>
      <c r="C211" s="6" t="inlineStr">
        <is>
          <t>phrase_status</t>
        </is>
      </c>
      <c r="D211" s="6" t="inlineStr">
        <is>
          <t>전용 문구 상태</t>
        </is>
      </c>
      <c r="E211" s="6" t="inlineStr">
        <is>
          <t>ENUM</t>
        </is>
      </c>
      <c r="F211" s="6" t="inlineStr">
        <is>
          <t>Y</t>
        </is>
      </c>
      <c r="G211" s="6" t="n"/>
      <c r="H211" s="5" t="inlineStr">
        <is>
          <t>REUSE_AXIS_POOL</t>
        </is>
      </c>
      <c r="I211" s="5" t="inlineStr">
        <is>
          <t>전용 문구를 따로 지정하지 않고 기존 축·단계 풀 사용</t>
        </is>
      </c>
    </row>
    <row r="212">
      <c r="A212" s="6" t="inlineStr">
        <is>
          <t>screening_diet_signal</t>
        </is>
      </c>
      <c r="B212" s="6" t="n">
        <v>6</v>
      </c>
      <c r="C212" s="6" t="inlineStr">
        <is>
          <t>axis_question_id</t>
        </is>
      </c>
      <c r="D212" s="6" t="inlineStr">
        <is>
          <t>연결 질문 축</t>
        </is>
      </c>
      <c r="E212" s="6" t="inlineStr">
        <is>
          <t>VARCHAR(20)</t>
        </is>
      </c>
      <c r="F212" s="6" t="inlineStr">
        <is>
          <t>Y</t>
        </is>
      </c>
      <c r="G212" s="6" t="inlineStr">
        <is>
          <t>FK→diet_question</t>
        </is>
      </c>
      <c r="H212" s="5" t="n"/>
      <c r="I212" s="5" t="inlineStr">
        <is>
          <t>검진 신호와 연결된 기존 식이 질문 축 ID</t>
        </is>
      </c>
    </row>
    <row r="213">
      <c r="A213" s="6" t="inlineStr">
        <is>
          <t>screening_diet_signal</t>
        </is>
      </c>
      <c r="B213" s="6" t="n">
        <v>7</v>
      </c>
      <c r="C213" s="6" t="inlineStr">
        <is>
          <t>selection_policy</t>
        </is>
      </c>
      <c r="D213" s="6" t="inlineStr">
        <is>
          <t>자동 선정 정책</t>
        </is>
      </c>
      <c r="E213" s="6" t="inlineStr">
        <is>
          <t>ENUM</t>
        </is>
      </c>
      <c r="F213" s="6" t="inlineStr">
        <is>
          <t>Y</t>
        </is>
      </c>
      <c r="G213" s="6" t="n"/>
      <c r="H213" s="5" t="inlineStr">
        <is>
          <t>SELECT_EXISTING_AXIS_POOL</t>
        </is>
      </c>
      <c r="I213" s="5" t="inlineStr">
        <is>
          <t>축·단계·질환별 금지·시간·상황 필터를 통과한 기존 문구 선정</t>
        </is>
      </c>
    </row>
    <row r="214">
      <c r="A214" s="6" t="inlineStr">
        <is>
          <t>screening_diet_signal</t>
        </is>
      </c>
      <c r="B214" s="6" t="n">
        <v>8</v>
      </c>
      <c r="C214" s="6" t="inlineStr">
        <is>
          <t>source_note</t>
        </is>
      </c>
      <c r="D214" s="6" t="inlineStr">
        <is>
          <t>연결 근거</t>
        </is>
      </c>
      <c r="E214" s="6" t="inlineStr">
        <is>
          <t>TEXT</t>
        </is>
      </c>
      <c r="F214" s="6" t="inlineStr">
        <is>
          <t>Y</t>
        </is>
      </c>
      <c r="G214" s="6" t="n"/>
      <c r="H214" s="5" t="n"/>
      <c r="I214" s="5" t="n"/>
    </row>
    <row r="215">
      <c r="A215" s="6" t="inlineStr">
        <is>
          <t>screening_diet_signal</t>
        </is>
      </c>
      <c r="B215" s="6" t="n">
        <v>9</v>
      </c>
      <c r="C215" s="6" t="inlineStr">
        <is>
          <t>minimum_value_inclusive</t>
        </is>
      </c>
      <c r="D215" s="6" t="inlineStr">
        <is>
          <t>자동 목표 선정 최소 수치</t>
        </is>
      </c>
      <c r="E215" s="6" t="inlineStr">
        <is>
          <t>DECIMAL(6,2)</t>
        </is>
      </c>
      <c r="F215" s="6" t="inlineStr">
        <is>
          <t>N</t>
        </is>
      </c>
      <c r="G215" s="6" t="n"/>
      <c r="H215" s="5" t="inlineStr">
        <is>
          <t>25 또는 NULL</t>
        </is>
      </c>
      <c r="I215" s="5" t="inlineStr">
        <is>
          <t>BMI는 원본 수치 25 이상만 연결. 원본값 NULL이면 자동 선정 금지</t>
        </is>
      </c>
    </row>
    <row r="216">
      <c r="A216" s="6" t="inlineStr">
        <is>
          <t>screening_peer_rank_policy</t>
        </is>
      </c>
      <c r="B216" s="6" t="n">
        <v>1</v>
      </c>
      <c r="C216" s="6" t="inlineStr">
        <is>
          <t>policy_id</t>
        </is>
      </c>
      <c r="D216" s="6" t="inlineStr">
        <is>
          <t>정책 ID</t>
        </is>
      </c>
      <c r="E216" s="6" t="inlineStr">
        <is>
          <t>VARCHAR(20)</t>
        </is>
      </c>
      <c r="F216" s="6" t="inlineStr">
        <is>
          <t>Y</t>
        </is>
      </c>
      <c r="G216" s="6" t="inlineStr">
        <is>
          <t>PK</t>
        </is>
      </c>
      <c r="H216" s="5" t="n"/>
      <c r="I216" s="5" t="n"/>
    </row>
    <row r="217">
      <c r="A217" s="6" t="inlineStr">
        <is>
          <t>screening_peer_rank_policy</t>
        </is>
      </c>
      <c r="B217" s="6" t="n">
        <v>2</v>
      </c>
      <c r="C217" s="6" t="inlineStr">
        <is>
          <t>policy_name</t>
        </is>
      </c>
      <c r="D217" s="6" t="inlineStr">
        <is>
          <t>정책명</t>
        </is>
      </c>
      <c r="E217" s="6" t="inlineStr">
        <is>
          <t>VARCHAR(70)</t>
        </is>
      </c>
      <c r="F217" s="6" t="inlineStr">
        <is>
          <t>Y</t>
        </is>
      </c>
      <c r="G217" s="6" t="n"/>
      <c r="H217" s="5" t="n"/>
      <c r="I217" s="5" t="n"/>
    </row>
    <row r="218">
      <c r="A218" s="6" t="inlineStr">
        <is>
          <t>screening_peer_rank_policy</t>
        </is>
      </c>
      <c r="B218" s="6" t="n">
        <v>3</v>
      </c>
      <c r="C218" s="6" t="inlineStr">
        <is>
          <t>value_text</t>
        </is>
      </c>
      <c r="D218" s="6" t="inlineStr">
        <is>
          <t>규칙</t>
        </is>
      </c>
      <c r="E218" s="6" t="inlineStr">
        <is>
          <t>TEXT</t>
        </is>
      </c>
      <c r="F218" s="6" t="inlineStr">
        <is>
          <t>Y</t>
        </is>
      </c>
      <c r="G218" s="6" t="n"/>
      <c r="H218" s="5" t="n"/>
      <c r="I218" s="5" t="n"/>
    </row>
    <row r="219">
      <c r="A219" s="6" t="inlineStr">
        <is>
          <t>screening_peer_rank_policy</t>
        </is>
      </c>
      <c r="B219" s="6" t="n">
        <v>4</v>
      </c>
      <c r="C219" s="6" t="inlineStr">
        <is>
          <t>number_value</t>
        </is>
      </c>
      <c r="D219" s="6" t="inlineStr">
        <is>
          <t>숫자 값</t>
        </is>
      </c>
      <c r="E219" s="6" t="inlineStr">
        <is>
          <t>DECIMAL</t>
        </is>
      </c>
      <c r="F219" s="6" t="inlineStr">
        <is>
          <t>N</t>
        </is>
      </c>
      <c r="G219" s="6" t="n"/>
      <c r="H219" s="5" t="n"/>
      <c r="I219" s="5" t="n"/>
    </row>
    <row r="220">
      <c r="A220" s="6" t="inlineStr">
        <is>
          <t>screening_peer_rank_policy</t>
        </is>
      </c>
      <c r="B220" s="6" t="n">
        <v>5</v>
      </c>
      <c r="C220" s="6" t="inlineStr">
        <is>
          <t>source_id</t>
        </is>
      </c>
      <c r="D220" s="6" t="inlineStr">
        <is>
          <t>출처 ID</t>
        </is>
      </c>
      <c r="E220" s="6" t="inlineStr">
        <is>
          <t>VARCHAR(30)</t>
        </is>
      </c>
      <c r="F220" s="6" t="inlineStr">
        <is>
          <t>Y</t>
        </is>
      </c>
      <c r="G220" s="6" t="inlineStr">
        <is>
          <t>FK→screening_source</t>
        </is>
      </c>
      <c r="H220" s="5" t="n"/>
      <c r="I220" s="5" t="n"/>
    </row>
    <row r="221">
      <c r="A221" s="6" t="inlineStr">
        <is>
          <t>screening_peer_rank_policy</t>
        </is>
      </c>
      <c r="B221" s="6" t="n">
        <v>6</v>
      </c>
      <c r="C221" s="6" t="inlineStr">
        <is>
          <t>data_status</t>
        </is>
      </c>
      <c r="D221" s="6" t="inlineStr">
        <is>
          <t>실제 데이터 상태</t>
        </is>
      </c>
      <c r="E221" s="6" t="inlineStr">
        <is>
          <t>ENUM</t>
        </is>
      </c>
      <c r="F221" s="6" t="inlineStr">
        <is>
          <t>Y</t>
        </is>
      </c>
      <c r="G221" s="6" t="n"/>
      <c r="H221" s="5" t="inlineStr">
        <is>
          <t>POLICY_ONLY,NEEDS_PERCENTILE_TABLE</t>
        </is>
      </c>
      <c r="I221" s="5" t="n"/>
    </row>
    <row r="222">
      <c r="A222" s="6" t="inlineStr">
        <is>
          <t>screening_result</t>
        </is>
      </c>
      <c r="B222" s="6" t="n">
        <v>1</v>
      </c>
      <c r="C222" s="6" t="inlineStr">
        <is>
          <t>result_id</t>
        </is>
      </c>
      <c r="D222" s="6" t="inlineStr">
        <is>
          <t>결과 ID</t>
        </is>
      </c>
      <c r="E222" s="6" t="inlineStr">
        <is>
          <t>UUID</t>
        </is>
      </c>
      <c r="F222" s="6" t="inlineStr">
        <is>
          <t>Y</t>
        </is>
      </c>
      <c r="G222" s="6" t="inlineStr">
        <is>
          <t>PK</t>
        </is>
      </c>
      <c r="H222" s="5" t="n"/>
      <c r="I222" s="5" t="n"/>
    </row>
    <row r="223">
      <c r="A223" s="6" t="inlineStr">
        <is>
          <t>screening_result</t>
        </is>
      </c>
      <c r="B223" s="6" t="n">
        <v>2</v>
      </c>
      <c r="C223" s="6" t="inlineStr">
        <is>
          <t>user_id</t>
        </is>
      </c>
      <c r="D223" s="6" t="inlineStr">
        <is>
          <t>사용자 ID</t>
        </is>
      </c>
      <c r="E223" s="6" t="inlineStr">
        <is>
          <t>VARCHAR(64)</t>
        </is>
      </c>
      <c r="F223" s="6" t="inlineStr">
        <is>
          <t>Y</t>
        </is>
      </c>
      <c r="G223" s="6" t="n"/>
      <c r="H223" s="5" t="n"/>
      <c r="I223" s="5" t="n"/>
    </row>
    <row r="224">
      <c r="A224" s="6" t="inlineStr">
        <is>
          <t>screening_result</t>
        </is>
      </c>
      <c r="B224" s="6" t="n">
        <v>3</v>
      </c>
      <c r="C224" s="6" t="inlineStr">
        <is>
          <t>exam_id</t>
        </is>
      </c>
      <c r="D224" s="6" t="inlineStr">
        <is>
          <t>검진 회차 ID</t>
        </is>
      </c>
      <c r="E224" s="6" t="inlineStr">
        <is>
          <t>VARCHAR(64)</t>
        </is>
      </c>
      <c r="F224" s="6" t="inlineStr">
        <is>
          <t>Y</t>
        </is>
      </c>
      <c r="G224" s="6" t="n"/>
      <c r="H224" s="5" t="n"/>
      <c r="I224" s="5" t="n"/>
    </row>
    <row r="225">
      <c r="A225" s="6" t="inlineStr">
        <is>
          <t>screening_result</t>
        </is>
      </c>
      <c r="B225" s="6" t="n">
        <v>4</v>
      </c>
      <c r="C225" s="6" t="inlineStr">
        <is>
          <t>metric_id</t>
        </is>
      </c>
      <c r="D225" s="6" t="inlineStr">
        <is>
          <t>항목 ID</t>
        </is>
      </c>
      <c r="E225" s="6" t="inlineStr">
        <is>
          <t>VARCHAR(20)</t>
        </is>
      </c>
      <c r="F225" s="6" t="inlineStr">
        <is>
          <t>Y</t>
        </is>
      </c>
      <c r="G225" s="6" t="inlineStr">
        <is>
          <t>FK→screening_metric</t>
        </is>
      </c>
      <c r="H225" s="5" t="n"/>
      <c r="I225" s="5" t="n"/>
    </row>
    <row r="226">
      <c r="A226" s="6" t="inlineStr">
        <is>
          <t>screening_result</t>
        </is>
      </c>
      <c r="B226" s="6" t="n">
        <v>5</v>
      </c>
      <c r="C226" s="6" t="inlineStr">
        <is>
          <t>sex_code_at_exam</t>
        </is>
      </c>
      <c r="D226" s="6" t="inlineStr">
        <is>
          <t>검사 당시 적용 성별</t>
        </is>
      </c>
      <c r="E226" s="6" t="inlineStr">
        <is>
          <t>VARCHAR(20)</t>
        </is>
      </c>
      <c r="F226" s="6" t="inlineStr">
        <is>
          <t>N</t>
        </is>
      </c>
      <c r="G226" s="6" t="n"/>
      <c r="H226" s="5" t="n"/>
      <c r="I226" s="5" t="n"/>
    </row>
    <row r="227">
      <c r="A227" s="6" t="inlineStr">
        <is>
          <t>screening_result</t>
        </is>
      </c>
      <c r="B227" s="6" t="n">
        <v>6</v>
      </c>
      <c r="C227" s="6" t="inlineStr">
        <is>
          <t>measured_at</t>
        </is>
      </c>
      <c r="D227" s="6" t="inlineStr">
        <is>
          <t>검사 시각</t>
        </is>
      </c>
      <c r="E227" s="6" t="inlineStr">
        <is>
          <t>TIMESTAMP WITH TIME ZONE</t>
        </is>
      </c>
      <c r="F227" s="6" t="inlineStr">
        <is>
          <t>N</t>
        </is>
      </c>
      <c r="G227" s="6" t="n"/>
      <c r="H227" s="5" t="n"/>
      <c r="I227" s="5" t="n"/>
    </row>
    <row r="228">
      <c r="A228" s="6" t="inlineStr">
        <is>
          <t>screening_result</t>
        </is>
      </c>
      <c r="B228" s="6" t="n">
        <v>7</v>
      </c>
      <c r="C228" s="6" t="inlineStr">
        <is>
          <t>environment_code</t>
        </is>
      </c>
      <c r="D228" s="6" t="inlineStr">
        <is>
          <t>측정 환경</t>
        </is>
      </c>
      <c r="E228" s="6" t="inlineStr">
        <is>
          <t>VARCHAR(40)</t>
        </is>
      </c>
      <c r="F228" s="6" t="inlineStr">
        <is>
          <t>N</t>
        </is>
      </c>
      <c r="G228" s="6" t="n"/>
      <c r="H228" s="5" t="n"/>
      <c r="I228" s="5" t="n"/>
    </row>
    <row r="229">
      <c r="A229" s="6" t="inlineStr">
        <is>
          <t>screening_result</t>
        </is>
      </c>
      <c r="B229" s="6" t="n">
        <v>8</v>
      </c>
      <c r="C229" s="6" t="inlineStr">
        <is>
          <t>source_system</t>
        </is>
      </c>
      <c r="D229" s="6" t="inlineStr">
        <is>
          <t>원본 시스템</t>
        </is>
      </c>
      <c r="E229" s="6" t="inlineStr">
        <is>
          <t>VARCHAR(60)</t>
        </is>
      </c>
      <c r="F229" s="6" t="inlineStr">
        <is>
          <t>Y</t>
        </is>
      </c>
      <c r="G229" s="6" t="n"/>
      <c r="H229" s="5" t="n"/>
      <c r="I229" s="5" t="n"/>
    </row>
    <row r="230">
      <c r="A230" s="6" t="inlineStr">
        <is>
          <t>screening_result</t>
        </is>
      </c>
      <c r="B230" s="6" t="n">
        <v>9</v>
      </c>
      <c r="C230" s="6" t="inlineStr">
        <is>
          <t>provider_band_raw</t>
        </is>
      </c>
      <c r="D230" s="6" t="inlineStr">
        <is>
          <t>검진기관 판정 원문</t>
        </is>
      </c>
      <c r="E230" s="6" t="inlineStr">
        <is>
          <t>VARCHAR(60)</t>
        </is>
      </c>
      <c r="F230" s="6" t="inlineStr">
        <is>
          <t>N</t>
        </is>
      </c>
      <c r="G230" s="6" t="n"/>
      <c r="H230" s="5" t="n"/>
      <c r="I230" s="5" t="inlineStr">
        <is>
          <t>결과지 원문 보존</t>
        </is>
      </c>
    </row>
    <row r="231">
      <c r="A231" s="6" t="inlineStr">
        <is>
          <t>screening_result</t>
        </is>
      </c>
      <c r="B231" s="6" t="n">
        <v>10</v>
      </c>
      <c r="C231" s="6" t="inlineStr">
        <is>
          <t>provider_band_code</t>
        </is>
      </c>
      <c r="D231" s="6" t="inlineStr">
        <is>
          <t>정규화 판정</t>
        </is>
      </c>
      <c r="E231" s="6" t="inlineStr">
        <is>
          <t>ENUM</t>
        </is>
      </c>
      <c r="F231" s="6" t="inlineStr">
        <is>
          <t>N</t>
        </is>
      </c>
      <c r="G231" s="6" t="n"/>
      <c r="H231" s="5" t="inlineStr">
        <is>
          <t>NORMAL_A,NORMAL_B,SUSPECT</t>
        </is>
      </c>
      <c r="I231" s="5" t="inlineStr">
        <is>
          <t>기관 코드 매핑이 확인된 경우만 기록</t>
        </is>
      </c>
    </row>
    <row r="232">
      <c r="A232" s="6" t="inlineStr">
        <is>
          <t>screening_result</t>
        </is>
      </c>
      <c r="B232" s="6" t="n">
        <v>11</v>
      </c>
      <c r="C232" s="6" t="inlineStr">
        <is>
          <t>provider_band_map_status</t>
        </is>
      </c>
      <c r="D232" s="6" t="inlineStr">
        <is>
          <t>기관 판정 매핑</t>
        </is>
      </c>
      <c r="E232" s="6" t="inlineStr">
        <is>
          <t>ENUM</t>
        </is>
      </c>
      <c r="F232" s="6" t="inlineStr">
        <is>
          <t>Y</t>
        </is>
      </c>
      <c r="G232" s="6" t="n"/>
      <c r="H232" s="5" t="inlineStr">
        <is>
          <t>MAPPED,ABSENT,UNMAPPED</t>
        </is>
      </c>
      <c r="I232" s="5" t="inlineStr">
        <is>
          <t>UNMAPPED이면 계산 판정 덮어쓰기 금지</t>
        </is>
      </c>
    </row>
    <row r="233" ht="25" customHeight="1">
      <c r="A233" s="6" t="inlineStr">
        <is>
          <t>screening_result</t>
        </is>
      </c>
      <c r="B233" s="6" t="n">
        <v>12</v>
      </c>
      <c r="C233" s="6" t="inlineStr">
        <is>
          <t>provider_ref_range</t>
        </is>
      </c>
      <c r="D233" s="6" t="inlineStr">
        <is>
          <t>검진기관 참고범위</t>
        </is>
      </c>
      <c r="E233" s="6" t="inlineStr">
        <is>
          <t>TEXT</t>
        </is>
      </c>
      <c r="F233" s="6" t="inlineStr">
        <is>
          <t>N</t>
        </is>
      </c>
      <c r="G233" s="6" t="n"/>
      <c r="H233" s="5" t="n"/>
      <c r="I233" s="5" t="n"/>
    </row>
    <row r="234">
      <c r="A234" s="6" t="inlineStr">
        <is>
          <t>screening_result</t>
        </is>
      </c>
      <c r="B234" s="6" t="n">
        <v>13</v>
      </c>
      <c r="C234" s="6" t="inlineStr">
        <is>
          <t>source_record_id</t>
        </is>
      </c>
      <c r="D234" s="6" t="inlineStr">
        <is>
          <t>원본 레코드 ID</t>
        </is>
      </c>
      <c r="E234" s="6" t="inlineStr">
        <is>
          <t>VARCHAR(100)</t>
        </is>
      </c>
      <c r="F234" s="6" t="inlineStr">
        <is>
          <t>Y</t>
        </is>
      </c>
      <c r="G234" s="6" t="n"/>
      <c r="H234" s="5" t="n"/>
      <c r="I234" s="5" t="n"/>
    </row>
    <row r="235">
      <c r="A235" s="6" t="inlineStr">
        <is>
          <t>screening_result</t>
        </is>
      </c>
      <c r="B235" s="6" t="n">
        <v>14</v>
      </c>
      <c r="C235" s="6" t="inlineStr">
        <is>
          <t>exam_date</t>
        </is>
      </c>
      <c r="D235" s="6" t="inlineStr">
        <is>
          <t>검진 시행일</t>
        </is>
      </c>
      <c r="E235" s="6" t="inlineStr">
        <is>
          <t>DATE</t>
        </is>
      </c>
      <c r="F235" s="6" t="inlineStr">
        <is>
          <t>N</t>
        </is>
      </c>
      <c r="G235" s="6" t="n"/>
      <c r="H235" s="5" t="n"/>
      <c r="I235" s="5" t="inlineStr">
        <is>
          <t>기관 원본 검진일. 수신일이 아님. NULL이면 이 결과는 식이 목표 연결에 사용 불가</t>
        </is>
      </c>
    </row>
    <row r="236">
      <c r="A236" s="6" t="inlineStr">
        <is>
          <t>screening_result_component</t>
        </is>
      </c>
      <c r="B236" s="6" t="n">
        <v>1</v>
      </c>
      <c r="C236" s="6" t="inlineStr">
        <is>
          <t>result_id</t>
        </is>
      </c>
      <c r="D236" s="6" t="inlineStr">
        <is>
          <t>결과 ID</t>
        </is>
      </c>
      <c r="E236" s="6" t="inlineStr">
        <is>
          <t>UUID</t>
        </is>
      </c>
      <c r="F236" s="6" t="inlineStr">
        <is>
          <t>Y</t>
        </is>
      </c>
      <c r="G236" s="6" t="inlineStr">
        <is>
          <t>PK/FK→screening_result</t>
        </is>
      </c>
      <c r="H236" s="5" t="n"/>
      <c r="I236" s="5" t="n"/>
    </row>
    <row r="237">
      <c r="A237" s="6" t="inlineStr">
        <is>
          <t>screening_result_component</t>
        </is>
      </c>
      <c r="B237" s="6" t="n">
        <v>2</v>
      </c>
      <c r="C237" s="6" t="inlineStr">
        <is>
          <t>component_key</t>
        </is>
      </c>
      <c r="D237" s="6" t="inlineStr">
        <is>
          <t>비교 입력</t>
        </is>
      </c>
      <c r="E237" s="6" t="inlineStr">
        <is>
          <t>VARCHAR(30)</t>
        </is>
      </c>
      <c r="F237" s="6" t="inlineStr">
        <is>
          <t>Y</t>
        </is>
      </c>
      <c r="G237" s="6" t="inlineStr">
        <is>
          <t>PK</t>
        </is>
      </c>
      <c r="H237" s="5" t="n"/>
      <c r="I237" s="5" t="inlineStr">
        <is>
          <t>부모 결과의 metric_id와 함께 성분규격(metric_id,component_key)을 검증</t>
        </is>
      </c>
    </row>
    <row r="238">
      <c r="A238" s="6" t="inlineStr">
        <is>
          <t>screening_result_component</t>
        </is>
      </c>
      <c r="B238" s="6" t="n">
        <v>3</v>
      </c>
      <c r="C238" s="6" t="inlineStr">
        <is>
          <t>value_number</t>
        </is>
      </c>
      <c r="D238" s="6" t="inlineStr">
        <is>
          <t>수치 원본</t>
        </is>
      </c>
      <c r="E238" s="6" t="inlineStr">
        <is>
          <t>DECIMAL(12,3)</t>
        </is>
      </c>
      <c r="F238" s="6" t="inlineStr">
        <is>
          <t>N</t>
        </is>
      </c>
      <c r="G238" s="6" t="n"/>
      <c r="H238" s="5" t="n"/>
      <c r="I238" s="5" t="inlineStr">
        <is>
          <t>수치 성분만 입력. value_code와 동시 입력 금지</t>
        </is>
      </c>
    </row>
    <row r="239">
      <c r="A239" s="6" t="inlineStr">
        <is>
          <t>screening_result_component</t>
        </is>
      </c>
      <c r="B239" s="6" t="n">
        <v>4</v>
      </c>
      <c r="C239" s="6" t="inlineStr">
        <is>
          <t>value_code</t>
        </is>
      </c>
      <c r="D239" s="6" t="inlineStr">
        <is>
          <t>범주 원본 코드</t>
        </is>
      </c>
      <c r="E239" s="6" t="inlineStr">
        <is>
          <t>VARCHAR(30)</t>
        </is>
      </c>
      <c r="F239" s="6" t="inlineStr">
        <is>
          <t>N</t>
        </is>
      </c>
      <c r="G239" s="6" t="n"/>
      <c r="H239" s="5" t="n"/>
      <c r="I239" s="5" t="inlineStr">
        <is>
          <t>범주 성분만 입력. 원문 코드 매핑 실패 시 계산 판정 보류</t>
        </is>
      </c>
    </row>
    <row r="240">
      <c r="A240" s="6" t="inlineStr">
        <is>
          <t>screening_result_component</t>
        </is>
      </c>
      <c r="B240" s="6" t="n">
        <v>5</v>
      </c>
      <c r="C240" s="6" t="inlineStr">
        <is>
          <t>unit_code</t>
        </is>
      </c>
      <c r="D240" s="6" t="inlineStr">
        <is>
          <t>수신 단위</t>
        </is>
      </c>
      <c r="E240" s="6" t="inlineStr">
        <is>
          <t>VARCHAR(30)</t>
        </is>
      </c>
      <c r="F240" s="6" t="inlineStr">
        <is>
          <t>N</t>
        </is>
      </c>
      <c r="G240" s="6" t="n"/>
      <c r="H240" s="5" t="n"/>
      <c r="I240" s="5" t="n"/>
    </row>
    <row r="241">
      <c r="A241" s="6" t="inlineStr">
        <is>
          <t>screening_interpretation</t>
        </is>
      </c>
      <c r="B241" s="6" t="n">
        <v>1</v>
      </c>
      <c r="C241" s="6" t="inlineStr">
        <is>
          <t>result_id</t>
        </is>
      </c>
      <c r="D241" s="6" t="inlineStr">
        <is>
          <t>결과 ID</t>
        </is>
      </c>
      <c r="E241" s="6" t="inlineStr">
        <is>
          <t>UUID</t>
        </is>
      </c>
      <c r="F241" s="6" t="inlineStr">
        <is>
          <t>Y</t>
        </is>
      </c>
      <c r="G241" s="6" t="inlineStr">
        <is>
          <t>PK/FK→screening_result</t>
        </is>
      </c>
      <c r="H241" s="5" t="n"/>
      <c r="I241" s="5" t="n"/>
    </row>
    <row r="242">
      <c r="A242" s="6" t="inlineStr">
        <is>
          <t>screening_interpretation</t>
        </is>
      </c>
      <c r="B242" s="6" t="n">
        <v>2</v>
      </c>
      <c r="C242" s="6" t="inlineStr">
        <is>
          <t>rule_version</t>
        </is>
      </c>
      <c r="D242" s="6" t="inlineStr">
        <is>
          <t>판정 규칙 버전</t>
        </is>
      </c>
      <c r="E242" s="6" t="inlineStr">
        <is>
          <t>VARCHAR(30)</t>
        </is>
      </c>
      <c r="F242" s="6" t="inlineStr">
        <is>
          <t>Y</t>
        </is>
      </c>
      <c r="G242" s="6" t="inlineStr">
        <is>
          <t>PK</t>
        </is>
      </c>
      <c r="H242" s="5" t="n"/>
      <c r="I242" s="5" t="n"/>
    </row>
    <row r="243">
      <c r="A243" s="6" t="inlineStr">
        <is>
          <t>screening_interpretation</t>
        </is>
      </c>
      <c r="B243" s="6" t="n">
        <v>3</v>
      </c>
      <c r="C243" s="6" t="inlineStr">
        <is>
          <t>final_band</t>
        </is>
      </c>
      <c r="D243" s="6" t="inlineStr">
        <is>
          <t>최종 화면 판정</t>
        </is>
      </c>
      <c r="E243" s="6" t="inlineStr">
        <is>
          <t>ENUM</t>
        </is>
      </c>
      <c r="F243" s="6" t="inlineStr">
        <is>
          <t>N</t>
        </is>
      </c>
      <c r="G243" s="6" t="n"/>
      <c r="H243" s="5" t="inlineStr">
        <is>
          <t>NORMAL_A,NORMAL_B,SUSPECT,UNCLASSIFIED</t>
        </is>
      </c>
      <c r="I243" s="5" t="n"/>
    </row>
    <row r="244">
      <c r="A244" s="6" t="inlineStr">
        <is>
          <t>screening_interpretation</t>
        </is>
      </c>
      <c r="B244" s="6" t="n">
        <v>4</v>
      </c>
      <c r="C244" s="6" t="inlineStr">
        <is>
          <t>band_source</t>
        </is>
      </c>
      <c r="D244" s="6" t="inlineStr">
        <is>
          <t>판정 출처</t>
        </is>
      </c>
      <c r="E244" s="6" t="inlineStr">
        <is>
          <t>ENUM</t>
        </is>
      </c>
      <c r="F244" s="6" t="inlineStr">
        <is>
          <t>Y</t>
        </is>
      </c>
      <c r="G244" s="6" t="n"/>
      <c r="H244" s="5" t="inlineStr">
        <is>
          <t>PROVIDER,CALCULATED,UNCLASSIFIED</t>
        </is>
      </c>
      <c r="I244" s="5" t="n"/>
    </row>
    <row r="245">
      <c r="A245" s="6" t="inlineStr">
        <is>
          <t>screening_interpretation</t>
        </is>
      </c>
      <c r="B245" s="6" t="n">
        <v>5</v>
      </c>
      <c r="C245" s="6" t="inlineStr">
        <is>
          <t>matched_rule_group_id</t>
        </is>
      </c>
      <c r="D245" s="6" t="inlineStr">
        <is>
          <t>적용 그룹 ID</t>
        </is>
      </c>
      <c r="E245" s="6" t="inlineStr">
        <is>
          <t>VARCHAR(40)</t>
        </is>
      </c>
      <c r="F245" s="6" t="inlineStr">
        <is>
          <t>N</t>
        </is>
      </c>
      <c r="G245" s="6" t="inlineStr">
        <is>
          <t>FK→screening_band_group</t>
        </is>
      </c>
      <c r="H245" s="5" t="n"/>
      <c r="I245" s="5" t="n"/>
    </row>
    <row r="246">
      <c r="A246" s="6" t="inlineStr">
        <is>
          <t>screening_interpretation</t>
        </is>
      </c>
      <c r="B246" s="6" t="n">
        <v>6</v>
      </c>
      <c r="C246" s="6" t="inlineStr">
        <is>
          <t>reference_source_id</t>
        </is>
      </c>
      <c r="D246" s="6" t="inlineStr">
        <is>
          <t>기준 출처</t>
        </is>
      </c>
      <c r="E246" s="6" t="inlineStr">
        <is>
          <t>VARCHAR(30)</t>
        </is>
      </c>
      <c r="F246" s="6" t="inlineStr">
        <is>
          <t>Y</t>
        </is>
      </c>
      <c r="G246" s="6" t="inlineStr">
        <is>
          <t>FK→screening_source</t>
        </is>
      </c>
      <c r="H246" s="5" t="n"/>
      <c r="I246" s="5" t="n"/>
    </row>
    <row r="247">
      <c r="A247" s="6" t="inlineStr">
        <is>
          <t>screening_interpretation</t>
        </is>
      </c>
      <c r="B247" s="6" t="n">
        <v>7</v>
      </c>
      <c r="C247" s="6" t="inlineStr">
        <is>
          <t>interpreted_at</t>
        </is>
      </c>
      <c r="D247" s="6" t="inlineStr">
        <is>
          <t>판정 시각</t>
        </is>
      </c>
      <c r="E247" s="6" t="inlineStr">
        <is>
          <t>TIMESTAMP WITH TIME ZONE</t>
        </is>
      </c>
      <c r="F247" s="6" t="inlineStr">
        <is>
          <t>Y</t>
        </is>
      </c>
      <c r="G247" s="6" t="n"/>
      <c r="H247" s="5" t="n"/>
      <c r="I247" s="5" t="n"/>
    </row>
    <row r="248">
      <c r="A248" s="6" t="inlineStr">
        <is>
          <t>screening_band_group</t>
        </is>
      </c>
      <c r="B248" s="6" t="n">
        <v>1</v>
      </c>
      <c r="C248" s="6" t="inlineStr">
        <is>
          <t>rule_group_id</t>
        </is>
      </c>
      <c r="D248" s="6" t="inlineStr">
        <is>
          <t>판정 그룹 ID</t>
        </is>
      </c>
      <c r="E248" s="6" t="inlineStr">
        <is>
          <t>VARCHAR(40)</t>
        </is>
      </c>
      <c r="F248" s="6" t="inlineStr">
        <is>
          <t>Y</t>
        </is>
      </c>
      <c r="G248" s="6" t="inlineStr">
        <is>
          <t>PK</t>
        </is>
      </c>
      <c r="H248" s="5" t="n"/>
      <c r="I248" s="5" t="n"/>
    </row>
    <row r="249">
      <c r="A249" s="6" t="inlineStr">
        <is>
          <t>screening_band_group</t>
        </is>
      </c>
      <c r="B249" s="6" t="n">
        <v>2</v>
      </c>
      <c r="C249" s="6" t="inlineStr">
        <is>
          <t>metric_id</t>
        </is>
      </c>
      <c r="D249" s="6" t="inlineStr">
        <is>
          <t>검사항목 ID</t>
        </is>
      </c>
      <c r="E249" s="6" t="inlineStr">
        <is>
          <t>VARCHAR(20)</t>
        </is>
      </c>
      <c r="F249" s="6" t="inlineStr">
        <is>
          <t>Y</t>
        </is>
      </c>
      <c r="G249" s="6" t="inlineStr">
        <is>
          <t>FK→screening_metric</t>
        </is>
      </c>
      <c r="H249" s="5" t="n"/>
      <c r="I249" s="5" t="n"/>
    </row>
    <row r="250">
      <c r="A250" s="6" t="inlineStr">
        <is>
          <t>screening_band_group</t>
        </is>
      </c>
      <c r="B250" s="6" t="n">
        <v>3</v>
      </c>
      <c r="C250" s="6" t="inlineStr">
        <is>
          <t>sex_code</t>
        </is>
      </c>
      <c r="D250" s="6" t="inlineStr">
        <is>
          <t>적용 성별</t>
        </is>
      </c>
      <c r="E250" s="6" t="inlineStr">
        <is>
          <t>ENUM</t>
        </is>
      </c>
      <c r="F250" s="6" t="inlineStr">
        <is>
          <t>Y</t>
        </is>
      </c>
      <c r="G250" s="6" t="n"/>
      <c r="H250" s="5" t="inlineStr">
        <is>
          <t>ALL,MALE,FEMALE</t>
        </is>
      </c>
      <c r="I250" s="5" t="n"/>
    </row>
    <row r="251">
      <c r="A251" s="6" t="inlineStr">
        <is>
          <t>screening_band_group</t>
        </is>
      </c>
      <c r="B251" s="6" t="n">
        <v>4</v>
      </c>
      <c r="C251" s="6" t="inlineStr">
        <is>
          <t>band_code</t>
        </is>
      </c>
      <c r="D251" s="6" t="inlineStr">
        <is>
          <t>판정 구간</t>
        </is>
      </c>
      <c r="E251" s="6" t="inlineStr">
        <is>
          <t>ENUM</t>
        </is>
      </c>
      <c r="F251" s="6" t="inlineStr">
        <is>
          <t>Y</t>
        </is>
      </c>
      <c r="G251" s="6" t="n"/>
      <c r="H251" s="5" t="inlineStr">
        <is>
          <t>NORMAL_A,NORMAL_B,SUSPECT</t>
        </is>
      </c>
      <c r="I251" s="5" t="n"/>
    </row>
    <row r="252">
      <c r="A252" s="6" t="inlineStr">
        <is>
          <t>screening_band_group</t>
        </is>
      </c>
      <c r="B252" s="6" t="n">
        <v>5</v>
      </c>
      <c r="C252" s="6" t="inlineStr">
        <is>
          <t>precedence</t>
        </is>
      </c>
      <c r="D252" s="6" t="inlineStr">
        <is>
          <t>우선순위</t>
        </is>
      </c>
      <c r="E252" s="6" t="inlineStr">
        <is>
          <t>SMALLINT</t>
        </is>
      </c>
      <c r="F252" s="6" t="inlineStr">
        <is>
          <t>Y</t>
        </is>
      </c>
      <c r="G252" s="6" t="n"/>
      <c r="H252" s="5" t="inlineStr">
        <is>
          <t>1=질환의심,2=정상B,3=정상A</t>
        </is>
      </c>
      <c r="I252" s="5" t="n"/>
    </row>
    <row r="253">
      <c r="A253" s="6" t="inlineStr">
        <is>
          <t>screening_band_group</t>
        </is>
      </c>
      <c r="B253" s="6" t="n">
        <v>6</v>
      </c>
      <c r="C253" s="6" t="inlineStr">
        <is>
          <t>group_logic</t>
        </is>
      </c>
      <c r="D253" s="6" t="inlineStr">
        <is>
          <t>조건 결합</t>
        </is>
      </c>
      <c r="E253" s="6" t="inlineStr">
        <is>
          <t>ENUM</t>
        </is>
      </c>
      <c r="F253" s="6" t="inlineStr">
        <is>
          <t>Y</t>
        </is>
      </c>
      <c r="G253" s="6" t="n"/>
      <c r="H253" s="5" t="inlineStr">
        <is>
          <t>AND</t>
        </is>
      </c>
      <c r="I253" s="5" t="inlineStr">
        <is>
          <t>그룹 내 AND; 동일 항목·구간의 다른 그룹은 OR</t>
        </is>
      </c>
    </row>
    <row r="254">
      <c r="A254" s="6" t="inlineStr">
        <is>
          <t>screening_band_group</t>
        </is>
      </c>
      <c r="B254" s="6" t="n">
        <v>7</v>
      </c>
      <c r="C254" s="6" t="inlineStr">
        <is>
          <t>source_id</t>
        </is>
      </c>
      <c r="D254" s="6" t="inlineStr">
        <is>
          <t>기준 출처</t>
        </is>
      </c>
      <c r="E254" s="6" t="inlineStr">
        <is>
          <t>VARCHAR(30)</t>
        </is>
      </c>
      <c r="F254" s="6" t="inlineStr">
        <is>
          <t>Y</t>
        </is>
      </c>
      <c r="G254" s="6" t="inlineStr">
        <is>
          <t>FK→screening_source</t>
        </is>
      </c>
      <c r="H254" s="5" t="n"/>
      <c r="I254" s="5" t="n"/>
    </row>
    <row r="255">
      <c r="A255" s="6" t="inlineStr">
        <is>
          <t>screening_band_group</t>
        </is>
      </c>
      <c r="B255" s="6" t="n">
        <v>8</v>
      </c>
      <c r="C255" s="6" t="inlineStr">
        <is>
          <t>rule_version</t>
        </is>
      </c>
      <c r="D255" s="6" t="inlineStr">
        <is>
          <t>판정 규칙 버전</t>
        </is>
      </c>
      <c r="E255" s="6" t="inlineStr">
        <is>
          <t>VARCHAR(30)</t>
        </is>
      </c>
      <c r="F255" s="6" t="inlineStr">
        <is>
          <t>Y</t>
        </is>
      </c>
      <c r="G255" s="6" t="n"/>
      <c r="H255" s="5" t="inlineStr">
        <is>
          <t>NHIS-2026-01</t>
        </is>
      </c>
      <c r="I255" s="5" t="inlineStr">
        <is>
          <t>새 버전은 새 그룹 ID를 발급해 기존 결과 참조 유지</t>
        </is>
      </c>
    </row>
    <row r="256">
      <c r="A256" s="6" t="inlineStr">
        <is>
          <t>screening_band_group</t>
        </is>
      </c>
      <c r="B256" s="6" t="n">
        <v>9</v>
      </c>
      <c r="C256" s="6" t="inlineStr">
        <is>
          <t>effective_from</t>
        </is>
      </c>
      <c r="D256" s="6" t="inlineStr">
        <is>
          <t>적용 시작일</t>
        </is>
      </c>
      <c r="E256" s="6" t="inlineStr">
        <is>
          <t>DATE</t>
        </is>
      </c>
      <c r="F256" s="6" t="inlineStr">
        <is>
          <t>Y</t>
        </is>
      </c>
      <c r="G256" s="6" t="n"/>
      <c r="H256" s="5" t="n"/>
      <c r="I256" s="5" t="inlineStr">
        <is>
          <t>원본 시행일. 실제 적용 기간의 종료일은 별도 버전에서 관리</t>
        </is>
      </c>
    </row>
    <row r="257">
      <c r="A257" s="6" t="inlineStr">
        <is>
          <t>screening_metric_component</t>
        </is>
      </c>
      <c r="B257" s="6" t="n">
        <v>1</v>
      </c>
      <c r="C257" s="6" t="inlineStr">
        <is>
          <t>metric_id</t>
        </is>
      </c>
      <c r="D257" s="6" t="inlineStr">
        <is>
          <t>검사항목 ID</t>
        </is>
      </c>
      <c r="E257" s="6" t="inlineStr">
        <is>
          <t>VARCHAR(20)</t>
        </is>
      </c>
      <c r="F257" s="6" t="inlineStr">
        <is>
          <t>Y</t>
        </is>
      </c>
      <c r="G257" s="6" t="inlineStr">
        <is>
          <t>PK/FK→screening_metric</t>
        </is>
      </c>
      <c r="H257" s="5" t="n"/>
      <c r="I257" s="5" t="n"/>
    </row>
    <row r="258">
      <c r="A258" s="6" t="inlineStr">
        <is>
          <t>screening_metric_component</t>
        </is>
      </c>
      <c r="B258" s="6" t="n">
        <v>2</v>
      </c>
      <c r="C258" s="6" t="inlineStr">
        <is>
          <t>component_key</t>
        </is>
      </c>
      <c r="D258" s="6" t="inlineStr">
        <is>
          <t>성분 키</t>
        </is>
      </c>
      <c r="E258" s="6" t="inlineStr">
        <is>
          <t>VARCHAR(30)</t>
        </is>
      </c>
      <c r="F258" s="6" t="inlineStr">
        <is>
          <t>Y</t>
        </is>
      </c>
      <c r="G258" s="6" t="inlineStr">
        <is>
          <t>PK</t>
        </is>
      </c>
      <c r="H258" s="5" t="n"/>
      <c r="I258" s="5" t="inlineStr">
        <is>
          <t>혈압 SBP·DBP, 숫자 VALUE, 요단백 PROTEIN_GRADE</t>
        </is>
      </c>
    </row>
    <row r="259">
      <c r="A259" s="6" t="inlineStr">
        <is>
          <t>screening_metric_component</t>
        </is>
      </c>
      <c r="B259" s="6" t="n">
        <v>3</v>
      </c>
      <c r="C259" s="6" t="inlineStr">
        <is>
          <t>value_kind</t>
        </is>
      </c>
      <c r="D259" s="6" t="inlineStr">
        <is>
          <t>값 형태</t>
        </is>
      </c>
      <c r="E259" s="6" t="inlineStr">
        <is>
          <t>ENUM</t>
        </is>
      </c>
      <c r="F259" s="6" t="inlineStr">
        <is>
          <t>Y</t>
        </is>
      </c>
      <c r="G259" s="6" t="n"/>
      <c r="H259" s="5" t="inlineStr">
        <is>
          <t>NUMBER,CATEGORY</t>
        </is>
      </c>
      <c r="I259" s="5" t="n"/>
    </row>
    <row r="260">
      <c r="A260" s="6" t="inlineStr">
        <is>
          <t>screening_metric_component</t>
        </is>
      </c>
      <c r="B260" s="6" t="n">
        <v>4</v>
      </c>
      <c r="C260" s="6" t="inlineStr">
        <is>
          <t>required</t>
        </is>
      </c>
      <c r="D260" s="6" t="inlineStr">
        <is>
          <t>필수 여부</t>
        </is>
      </c>
      <c r="E260" s="6" t="inlineStr">
        <is>
          <t>BOOLEAN</t>
        </is>
      </c>
      <c r="F260" s="6" t="inlineStr">
        <is>
          <t>Y</t>
        </is>
      </c>
      <c r="G260" s="6" t="n"/>
      <c r="H260" s="5" t="n"/>
      <c r="I260" s="5" t="n"/>
    </row>
    <row r="261">
      <c r="A261" s="6" t="inlineStr">
        <is>
          <t>screening_metric_component</t>
        </is>
      </c>
      <c r="B261" s="6" t="n">
        <v>5</v>
      </c>
      <c r="C261" s="6" t="inlineStr">
        <is>
          <t>expected_unit</t>
        </is>
      </c>
      <c r="D261" s="6" t="inlineStr">
        <is>
          <t>기준 단위</t>
        </is>
      </c>
      <c r="E261" s="6" t="inlineStr">
        <is>
          <t>VARCHAR(30)</t>
        </is>
      </c>
      <c r="F261" s="6" t="inlineStr">
        <is>
          <t>N</t>
        </is>
      </c>
      <c r="G261" s="6" t="n"/>
      <c r="H261" s="5" t="n"/>
      <c r="I261" s="5" t="n"/>
    </row>
    <row r="262">
      <c r="A262" s="6" t="inlineStr">
        <is>
          <t>screening_metric_component</t>
        </is>
      </c>
      <c r="B262" s="6" t="n">
        <v>6</v>
      </c>
      <c r="C262" s="6" t="inlineStr">
        <is>
          <t>normalization_note</t>
        </is>
      </c>
      <c r="D262" s="6" t="inlineStr">
        <is>
          <t>정규화 방법</t>
        </is>
      </c>
      <c r="E262" s="6" t="inlineStr">
        <is>
          <t>TEXT</t>
        </is>
      </c>
      <c r="F262" s="6" t="inlineStr">
        <is>
          <t>N</t>
        </is>
      </c>
      <c r="G262" s="6" t="n"/>
      <c r="H262" s="5" t="n"/>
      <c r="I262" s="5" t="n"/>
    </row>
    <row r="263">
      <c r="A263" s="6" t="inlineStr">
        <is>
          <t>diet_rule_parameter</t>
        </is>
      </c>
      <c r="B263" s="6" t="n">
        <v>1</v>
      </c>
      <c r="C263" s="6" t="inlineStr">
        <is>
          <t>setting_id</t>
        </is>
      </c>
      <c r="D263" s="6" t="inlineStr">
        <is>
          <t>설정 ID</t>
        </is>
      </c>
      <c r="E263" s="6" t="inlineStr">
        <is>
          <t>VARCHAR(10)</t>
        </is>
      </c>
      <c r="F263" s="6" t="inlineStr">
        <is>
          <t>Y</t>
        </is>
      </c>
      <c r="G263" s="6" t="inlineStr">
        <is>
          <t>PK/FK→diet_rule_setting</t>
        </is>
      </c>
      <c r="H263" s="5" t="n"/>
      <c r="I263" s="5" t="n"/>
    </row>
    <row r="264">
      <c r="A264" s="6" t="inlineStr">
        <is>
          <t>diet_rule_parameter</t>
        </is>
      </c>
      <c r="B264" s="6" t="n">
        <v>2</v>
      </c>
      <c r="C264" s="6" t="inlineStr">
        <is>
          <t>parameter_key</t>
        </is>
      </c>
      <c r="D264" s="6" t="inlineStr">
        <is>
          <t>파라미터 키</t>
        </is>
      </c>
      <c r="E264" s="6" t="inlineStr">
        <is>
          <t>VARCHAR(50)</t>
        </is>
      </c>
      <c r="F264" s="6" t="inlineStr">
        <is>
          <t>Y</t>
        </is>
      </c>
      <c r="G264" s="6" t="inlineStr">
        <is>
          <t>PK</t>
        </is>
      </c>
      <c r="H264" s="5" t="n"/>
      <c r="I264" s="5" t="n"/>
    </row>
    <row r="265">
      <c r="A265" s="6" t="inlineStr">
        <is>
          <t>diet_rule_parameter</t>
        </is>
      </c>
      <c r="B265" s="6" t="n">
        <v>3</v>
      </c>
      <c r="C265" s="6" t="inlineStr">
        <is>
          <t>operator_code</t>
        </is>
      </c>
      <c r="D265" s="6" t="inlineStr">
        <is>
          <t>비교 연산</t>
        </is>
      </c>
      <c r="E265" s="6" t="inlineStr">
        <is>
          <t>ENUM</t>
        </is>
      </c>
      <c r="F265" s="6" t="inlineStr">
        <is>
          <t>Y</t>
        </is>
      </c>
      <c r="G265" s="6" t="n"/>
      <c r="H265" s="5" t="inlineStr">
        <is>
          <t>LT,LTE,GT,GTE,EQ</t>
        </is>
      </c>
      <c r="I265" s="5" t="n"/>
    </row>
    <row r="266">
      <c r="A266" s="6" t="inlineStr">
        <is>
          <t>diet_rule_parameter</t>
        </is>
      </c>
      <c r="B266" s="6" t="n">
        <v>4</v>
      </c>
      <c r="C266" s="6" t="inlineStr">
        <is>
          <t>number_value</t>
        </is>
      </c>
      <c r="D266" s="6" t="inlineStr">
        <is>
          <t>숫자 기준</t>
        </is>
      </c>
      <c r="E266" s="6" t="inlineStr">
        <is>
          <t>DECIMAL(12,3)</t>
        </is>
      </c>
      <c r="F266" s="6" t="inlineStr">
        <is>
          <t>N</t>
        </is>
      </c>
      <c r="G266" s="6" t="n"/>
      <c r="H266" s="5" t="n"/>
      <c r="I266" s="5" t="inlineStr">
        <is>
          <t>시간 기준이면 NULL</t>
        </is>
      </c>
    </row>
    <row r="267">
      <c r="A267" s="6" t="inlineStr">
        <is>
          <t>diet_rule_parameter</t>
        </is>
      </c>
      <c r="B267" s="6" t="n">
        <v>5</v>
      </c>
      <c r="C267" s="6" t="inlineStr">
        <is>
          <t>text_value</t>
        </is>
      </c>
      <c r="D267" s="6" t="inlineStr">
        <is>
          <t>시간 기준</t>
        </is>
      </c>
      <c r="E267" s="6" t="inlineStr">
        <is>
          <t>VARCHAR(20)</t>
        </is>
      </c>
      <c r="F267" s="6" t="inlineStr">
        <is>
          <t>N</t>
        </is>
      </c>
      <c r="G267" s="6" t="n"/>
      <c r="H267" s="5" t="n"/>
      <c r="I267" s="5" t="inlineStr">
        <is>
          <t>숫자 기준이면 NULL</t>
        </is>
      </c>
    </row>
    <row r="268">
      <c r="A268" s="6" t="inlineStr">
        <is>
          <t>diet_rule_parameter</t>
        </is>
      </c>
      <c r="B268" s="6" t="n">
        <v>6</v>
      </c>
      <c r="C268" s="6" t="inlineStr">
        <is>
          <t>unit_code</t>
        </is>
      </c>
      <c r="D268" s="6" t="inlineStr">
        <is>
          <t>단위</t>
        </is>
      </c>
      <c r="E268" s="6" t="inlineStr">
        <is>
          <t>ENUM</t>
        </is>
      </c>
      <c r="F268" s="6" t="inlineStr">
        <is>
          <t>Y</t>
        </is>
      </c>
      <c r="G268" s="6" t="n"/>
      <c r="H268" s="5" t="inlineStr">
        <is>
          <t>RATIO,DAY,COUNT,CHAR,LOCAL_TIME</t>
        </is>
      </c>
      <c r="I268" s="5" t="n"/>
    </row>
    <row r="269">
      <c r="A269" s="6" t="inlineStr">
        <is>
          <t>diet_rule_parameter</t>
        </is>
      </c>
      <c r="B269" s="6" t="n">
        <v>7</v>
      </c>
      <c r="C269" s="6" t="inlineStr">
        <is>
          <t>parse_scope</t>
        </is>
      </c>
      <c r="D269" s="6" t="inlineStr">
        <is>
          <t>추출 범위</t>
        </is>
      </c>
      <c r="E269" s="6" t="inlineStr">
        <is>
          <t>ENUM</t>
        </is>
      </c>
      <c r="F269" s="6" t="inlineStr">
        <is>
          <t>Y</t>
        </is>
      </c>
      <c r="G269" s="6" t="n"/>
      <c r="H269" s="5" t="inlineStr">
        <is>
          <t>PARTIAL,SOURCE_ATOM</t>
        </is>
      </c>
      <c r="I269" s="5" t="inlineStr">
        <is>
          <t>SOURCE_ATOM은 문장 일부 원소. 원문 전체 실행 가능을 뜻하지 않음</t>
        </is>
      </c>
    </row>
    <row r="270">
      <c r="A270" s="6" t="inlineStr">
        <is>
          <t>diet_rule_parameter</t>
        </is>
      </c>
      <c r="B270" s="6" t="n">
        <v>8</v>
      </c>
      <c r="C270" s="6" t="inlineStr">
        <is>
          <t>note</t>
        </is>
      </c>
      <c r="D270" s="6" t="inlineStr">
        <is>
          <t>해석 단서</t>
        </is>
      </c>
      <c r="E270" s="6" t="inlineStr">
        <is>
          <t>TEXT</t>
        </is>
      </c>
      <c r="F270" s="6" t="inlineStr">
        <is>
          <t>N</t>
        </is>
      </c>
      <c r="G270" s="6" t="n"/>
      <c r="H270" s="5" t="n"/>
      <c r="I270" s="5" t="n"/>
    </row>
    <row r="271">
      <c r="A271" s="6" t="inlineStr">
        <is>
          <t>diet_screening_phrase_map</t>
        </is>
      </c>
      <c r="B271" s="6" t="n">
        <v>1</v>
      </c>
      <c r="C271" s="6" t="inlineStr">
        <is>
          <t>metric_id</t>
        </is>
      </c>
      <c r="D271" s="6" t="inlineStr">
        <is>
          <t>검사항목 ID</t>
        </is>
      </c>
      <c r="E271" s="6" t="inlineStr">
        <is>
          <t>VARCHAR(20)</t>
        </is>
      </c>
      <c r="F271" s="6" t="inlineStr">
        <is>
          <t>Y</t>
        </is>
      </c>
      <c r="G271" s="6" t="inlineStr">
        <is>
          <t>PK/FK→screening_metric</t>
        </is>
      </c>
      <c r="H271" s="5" t="n"/>
      <c r="I271" s="5" t="n"/>
    </row>
    <row r="272">
      <c r="A272" s="6" t="inlineStr">
        <is>
          <t>diet_screening_phrase_map</t>
        </is>
      </c>
      <c r="B272" s="6" t="n">
        <v>2</v>
      </c>
      <c r="C272" s="6" t="inlineStr">
        <is>
          <t>rule_group_id</t>
        </is>
      </c>
      <c r="D272" s="6" t="inlineStr">
        <is>
          <t>판정 그룹 ID</t>
        </is>
      </c>
      <c r="E272" s="6" t="inlineStr">
        <is>
          <t>VARCHAR(40)</t>
        </is>
      </c>
      <c r="F272" s="6" t="inlineStr">
        <is>
          <t>Y</t>
        </is>
      </c>
      <c r="G272" s="6" t="inlineStr">
        <is>
          <t>PK/FK→screening_band_group</t>
        </is>
      </c>
      <c r="H272" s="5" t="n"/>
      <c r="I272" s="5" t="n"/>
    </row>
    <row r="273">
      <c r="A273" s="6" t="inlineStr">
        <is>
          <t>diet_screening_phrase_map</t>
        </is>
      </c>
      <c r="B273" s="6" t="n">
        <v>3</v>
      </c>
      <c r="C273" s="6" t="inlineStr">
        <is>
          <t>phrase_id</t>
        </is>
      </c>
      <c r="D273" s="6" t="inlineStr">
        <is>
          <t>목표 문구 ID</t>
        </is>
      </c>
      <c r="E273" s="6" t="inlineStr">
        <is>
          <t>VARCHAR(20)</t>
        </is>
      </c>
      <c r="F273" s="6" t="inlineStr">
        <is>
          <t>Y</t>
        </is>
      </c>
      <c r="G273" s="6" t="inlineStr">
        <is>
          <t>PK/FK→diet_goal_phrase</t>
        </is>
      </c>
      <c r="H273" s="5" t="n"/>
      <c r="I273" s="5" t="n"/>
    </row>
    <row r="274">
      <c r="A274" s="6" t="inlineStr">
        <is>
          <t>diet_screening_phrase_map</t>
        </is>
      </c>
      <c r="B274" s="6" t="n">
        <v>4</v>
      </c>
      <c r="C274" s="6" t="inlineStr">
        <is>
          <t>phrase_version</t>
        </is>
      </c>
      <c r="D274" s="6" t="inlineStr">
        <is>
          <t>문구 버전</t>
        </is>
      </c>
      <c r="E274" s="6" t="inlineStr">
        <is>
          <t>VARCHAR(10)</t>
        </is>
      </c>
      <c r="F274" s="6" t="inlineStr">
        <is>
          <t>Y</t>
        </is>
      </c>
      <c r="G274" s="6" t="inlineStr">
        <is>
          <t>PK/FK→diet_goal_phrase</t>
        </is>
      </c>
      <c r="H274" s="5" t="n"/>
      <c r="I274" s="5" t="n"/>
    </row>
    <row r="275">
      <c r="A275" s="6" t="inlineStr">
        <is>
          <t>diet_screening_phrase_map</t>
        </is>
      </c>
      <c r="B275" s="6" t="n">
        <v>5</v>
      </c>
      <c r="C275" s="6" t="inlineStr">
        <is>
          <t>axis_question_id</t>
        </is>
      </c>
      <c r="D275" s="6" t="inlineStr">
        <is>
          <t>목표 축 ID</t>
        </is>
      </c>
      <c r="E275" s="6" t="inlineStr">
        <is>
          <t>VARCHAR(20)</t>
        </is>
      </c>
      <c r="F275" s="6" t="inlineStr">
        <is>
          <t>Y</t>
        </is>
      </c>
      <c r="G275" s="6" t="inlineStr">
        <is>
          <t>FK→diet_question</t>
        </is>
      </c>
      <c r="H275" s="5" t="n"/>
      <c r="I275" s="5" t="n"/>
    </row>
    <row r="276" ht="37.5" customHeight="1">
      <c r="A276" s="6" t="inlineStr">
        <is>
          <t>diet_screening_phrase_map</t>
        </is>
      </c>
      <c r="B276" s="6" t="n">
        <v>6</v>
      </c>
      <c r="C276" s="6" t="inlineStr">
        <is>
          <t>mapping_source</t>
        </is>
      </c>
      <c r="D276" s="6" t="inlineStr">
        <is>
          <t>연결 근거</t>
        </is>
      </c>
      <c r="E276" s="6" t="inlineStr">
        <is>
          <t>TEXT</t>
        </is>
      </c>
      <c r="F276" s="6" t="inlineStr">
        <is>
          <t>Y</t>
        </is>
      </c>
      <c r="G276" s="6" t="n"/>
      <c r="H276" s="5" t="n"/>
      <c r="I276" s="5" t="n"/>
    </row>
    <row r="277">
      <c r="A277" s="6" t="inlineStr">
        <is>
          <t>diet_screening_phrase_map</t>
        </is>
      </c>
      <c r="B277" s="6" t="n">
        <v>7</v>
      </c>
      <c r="C277" s="6" t="inlineStr">
        <is>
          <t>effective_from</t>
        </is>
      </c>
      <c r="D277" s="6" t="inlineStr">
        <is>
          <t>적용 시작일</t>
        </is>
      </c>
      <c r="E277" s="6" t="inlineStr">
        <is>
          <t>DATE</t>
        </is>
      </c>
      <c r="F277" s="6" t="inlineStr">
        <is>
          <t>Y</t>
        </is>
      </c>
      <c r="G277" s="6" t="n"/>
      <c r="H277" s="5" t="n"/>
      <c r="I277" s="5" t="n"/>
    </row>
    <row r="278">
      <c r="A278" s="6" t="inlineStr">
        <is>
          <t>diet_question_state</t>
        </is>
      </c>
      <c r="B278" s="6" t="n">
        <v>11</v>
      </c>
      <c r="C278" s="6" t="inlineStr">
        <is>
          <t>effective_answer_id</t>
        </is>
      </c>
      <c r="D278" s="6" t="inlineStr">
        <is>
          <t>유효 응답 ID</t>
        </is>
      </c>
      <c r="E278" s="6" t="inlineStr">
        <is>
          <t>UUID</t>
        </is>
      </c>
      <c r="F278" s="6" t="inlineStr">
        <is>
          <t>N</t>
        </is>
      </c>
      <c r="G278" s="6" t="inlineStr">
        <is>
          <t>FK→diet_answer.answer_id</t>
        </is>
      </c>
      <c r="H278" s="5" t="n"/>
      <c r="I278" s="5" t="inlineStr">
        <is>
          <t>ANSWERED이면 필수. 같은 사용자·meal_date·meal_type·question_id·question_version의 마지막 유효 응답을 가리킨다. 이전 세션의 응답 재사용 가능; PENDING·CONDITIONAL_SKIP은 NULL</t>
        </is>
      </c>
    </row>
    <row r="279">
      <c r="A279" s="6" t="inlineStr">
        <is>
          <t>profile_condition_diet_map</t>
        </is>
      </c>
      <c r="B279" s="6" t="n">
        <v>1</v>
      </c>
      <c r="C279" s="6" t="inlineStr">
        <is>
          <t>condition_code</t>
        </is>
      </c>
      <c r="D279" s="6" t="inlineStr">
        <is>
          <t>화면 질환 코드</t>
        </is>
      </c>
      <c r="E279" s="6" t="inlineStr">
        <is>
          <t>VARCHAR(40)</t>
        </is>
      </c>
      <c r="F279" s="6" t="inlineStr">
        <is>
          <t>Y</t>
        </is>
      </c>
      <c r="G279" s="6" t="inlineStr">
        <is>
          <t>PK</t>
        </is>
      </c>
      <c r="H279" s="5" t="n"/>
      <c r="I279" s="5" t="inlineStr">
        <is>
          <t>내정보 화면 선택지 4개 코드만 허용</t>
        </is>
      </c>
    </row>
    <row r="280">
      <c r="A280" s="6" t="inlineStr">
        <is>
          <t>profile_condition_diet_map</t>
        </is>
      </c>
      <c r="B280" s="6" t="n">
        <v>2</v>
      </c>
      <c r="C280" s="6" t="inlineStr">
        <is>
          <t>display_name</t>
        </is>
      </c>
      <c r="D280" s="6" t="inlineStr">
        <is>
          <t>화면 표시명</t>
        </is>
      </c>
      <c r="E280" s="6" t="inlineStr">
        <is>
          <t>VARCHAR(50)</t>
        </is>
      </c>
      <c r="F280" s="6" t="inlineStr">
        <is>
          <t>Y</t>
        </is>
      </c>
      <c r="G280" s="6" t="n"/>
      <c r="H280" s="5" t="n"/>
      <c r="I280" s="5" t="n"/>
    </row>
    <row r="281">
      <c r="A281" s="6" t="inlineStr">
        <is>
          <t>profile_condition_diet_map</t>
        </is>
      </c>
      <c r="B281" s="6" t="n">
        <v>3</v>
      </c>
      <c r="C281" s="6" t="inlineStr">
        <is>
          <t>diet_status</t>
        </is>
      </c>
      <c r="D281" s="6" t="inlineStr">
        <is>
          <t>식이 연결 상태</t>
        </is>
      </c>
      <c r="E281" s="6" t="inlineStr">
        <is>
          <t>ENUM</t>
        </is>
      </c>
      <c r="F281" s="6" t="inlineStr">
        <is>
          <t>Y</t>
        </is>
      </c>
      <c r="G281" s="6" t="n"/>
      <c r="H281" s="5" t="inlineStr">
        <is>
          <t>MAPPED,SAFETY_ONLY</t>
        </is>
      </c>
      <c r="I281" s="5" t="inlineStr">
        <is>
          <t>MAPPED는 축·금지, SAFETY_ONLY는 금지만 적용</t>
        </is>
      </c>
    </row>
    <row r="282">
      <c r="A282" s="6" t="inlineStr">
        <is>
          <t>profile_condition_diet_map</t>
        </is>
      </c>
      <c r="B282" s="6" t="n">
        <v>4</v>
      </c>
      <c r="C282" s="6" t="inlineStr">
        <is>
          <t>rule_id</t>
        </is>
      </c>
      <c r="D282" s="6" t="inlineStr">
        <is>
          <t>식이 질환 규칙 ID</t>
        </is>
      </c>
      <c r="E282" s="6" t="inlineStr">
        <is>
          <t>VARCHAR(10)</t>
        </is>
      </c>
      <c r="F282" s="6" t="inlineStr">
        <is>
          <t>N</t>
        </is>
      </c>
      <c r="G282" s="6" t="inlineStr">
        <is>
          <t>FK→diet_disease_rule</t>
        </is>
      </c>
      <c r="H282" s="5" t="n"/>
      <c r="I282" s="5" t="inlineStr">
        <is>
          <t>MAPPED·SAFETY_ONLY 모두 필수</t>
        </is>
      </c>
    </row>
    <row r="283">
      <c r="A283" s="6" t="inlineStr">
        <is>
          <t>profile_condition_diet_map</t>
        </is>
      </c>
      <c r="B283" s="6" t="n">
        <v>5</v>
      </c>
      <c r="C283" s="6" t="inlineStr">
        <is>
          <t>mapping_note</t>
        </is>
      </c>
      <c r="D283" s="6" t="inlineStr">
        <is>
          <t>연결 판단 설명</t>
        </is>
      </c>
      <c r="E283" s="6" t="inlineStr">
        <is>
          <t>TEXT</t>
        </is>
      </c>
      <c r="F283" s="6" t="inlineStr">
        <is>
          <t>Y</t>
        </is>
      </c>
      <c r="G283" s="6" t="n"/>
      <c r="H283" s="5" t="n"/>
      <c r="I283" s="5" t="n"/>
    </row>
    <row r="284">
      <c r="A284" s="6" t="inlineStr">
        <is>
          <t>profile_condition_diet_map</t>
        </is>
      </c>
      <c r="B284" s="6" t="n">
        <v>6</v>
      </c>
      <c r="C284" s="6" t="inlineStr">
        <is>
          <t>source_ui</t>
        </is>
      </c>
      <c r="D284" s="6" t="inlineStr">
        <is>
          <t>화면 출처</t>
        </is>
      </c>
      <c r="E284" s="6" t="inlineStr">
        <is>
          <t>VARCHAR(100)</t>
        </is>
      </c>
      <c r="F284" s="6" t="inlineStr">
        <is>
          <t>Y</t>
        </is>
      </c>
      <c r="G284" s="6" t="n"/>
      <c r="H284" s="5" t="n"/>
      <c r="I284" s="5" t="n"/>
    </row>
    <row r="285">
      <c r="A285" s="6" t="inlineStr">
        <is>
          <t>user_condition_response</t>
        </is>
      </c>
      <c r="B285" s="6" t="n">
        <v>1</v>
      </c>
      <c r="C285" s="6" t="inlineStr">
        <is>
          <t>user_id</t>
        </is>
      </c>
      <c r="D285" s="6" t="inlineStr">
        <is>
          <t>사용자 ID</t>
        </is>
      </c>
      <c r="E285" s="6" t="inlineStr">
        <is>
          <t>VARCHAR(64)</t>
        </is>
      </c>
      <c r="F285" s="6" t="inlineStr">
        <is>
          <t>Y</t>
        </is>
      </c>
      <c r="G285" s="6" t="inlineStr">
        <is>
          <t>PK</t>
        </is>
      </c>
      <c r="H285" s="5" t="n"/>
      <c r="I285" s="5" t="n"/>
    </row>
    <row r="286">
      <c r="A286" s="6" t="inlineStr">
        <is>
          <t>user_condition_response</t>
        </is>
      </c>
      <c r="B286" s="6" t="n">
        <v>2</v>
      </c>
      <c r="C286" s="6" t="inlineStr">
        <is>
          <t>revision</t>
        </is>
      </c>
      <c r="D286" s="6" t="inlineStr">
        <is>
          <t>응답 리비전</t>
        </is>
      </c>
      <c r="E286" s="6" t="inlineStr">
        <is>
          <t>INTEGER</t>
        </is>
      </c>
      <c r="F286" s="6" t="inlineStr">
        <is>
          <t>Y</t>
        </is>
      </c>
      <c r="G286" s="6" t="inlineStr">
        <is>
          <t>PK</t>
        </is>
      </c>
      <c r="H286" s="5" t="n"/>
      <c r="I286" s="5" t="inlineStr">
        <is>
          <t>저장할 때마다 증가; 최신 리비전으로 현재 입력 판정</t>
        </is>
      </c>
    </row>
    <row r="287">
      <c r="A287" s="6" t="inlineStr">
        <is>
          <t>user_condition_response</t>
        </is>
      </c>
      <c r="B287" s="6" t="n">
        <v>3</v>
      </c>
      <c r="C287" s="6" t="inlineStr">
        <is>
          <t>response_state</t>
        </is>
      </c>
      <c r="D287" s="6" t="inlineStr">
        <is>
          <t>수동 입력 상태</t>
        </is>
      </c>
      <c r="E287" s="6" t="inlineStr">
        <is>
          <t>ENUM</t>
        </is>
      </c>
      <c r="F287" s="6" t="inlineStr">
        <is>
          <t>Y</t>
        </is>
      </c>
      <c r="G287" s="6" t="n"/>
      <c r="H287" s="5" t="inlineStr">
        <is>
          <t>UNANSWERED,NONE,SELECTED</t>
        </is>
      </c>
      <c r="I287" s="5" t="inlineStr">
        <is>
          <t>NONE은 사용자가 해당 없음 선택, UNANSWERED는 입력하지 않음</t>
        </is>
      </c>
    </row>
    <row r="288">
      <c r="A288" s="6" t="inlineStr">
        <is>
          <t>user_condition_response</t>
        </is>
      </c>
      <c r="B288" s="6" t="n">
        <v>4</v>
      </c>
      <c r="C288" s="6" t="inlineStr">
        <is>
          <t>input_source</t>
        </is>
      </c>
      <c r="D288" s="6" t="inlineStr">
        <is>
          <t>입력 출처</t>
        </is>
      </c>
      <c r="E288" s="6" t="inlineStr">
        <is>
          <t>ENUM</t>
        </is>
      </c>
      <c r="F288" s="6" t="inlineStr">
        <is>
          <t>Y</t>
        </is>
      </c>
      <c r="G288" s="6" t="n"/>
      <c r="H288" s="5" t="inlineStr">
        <is>
          <t>SELF_REPORTED</t>
        </is>
      </c>
      <c r="I288" s="5" t="inlineStr">
        <is>
          <t>진료정보 연동이나 의료진 진단으로 표시하지 않음</t>
        </is>
      </c>
    </row>
    <row r="289">
      <c r="A289" s="6" t="inlineStr">
        <is>
          <t>user_condition_response</t>
        </is>
      </c>
      <c r="B289" s="6" t="n">
        <v>5</v>
      </c>
      <c r="C289" s="6" t="inlineStr">
        <is>
          <t>updated_at</t>
        </is>
      </c>
      <c r="D289" s="6" t="inlineStr">
        <is>
          <t>저장 시각</t>
        </is>
      </c>
      <c r="E289" s="6" t="inlineStr">
        <is>
          <t>TIMESTAMP WITH TIME ZONE</t>
        </is>
      </c>
      <c r="F289" s="6" t="inlineStr">
        <is>
          <t>Y</t>
        </is>
      </c>
      <c r="G289" s="6" t="n"/>
      <c r="H289" s="5" t="n"/>
      <c r="I289" s="5" t="n"/>
    </row>
    <row r="290">
      <c r="A290" s="6" t="inlineStr">
        <is>
          <t>user_condition_selection</t>
        </is>
      </c>
      <c r="B290" s="6" t="n">
        <v>1</v>
      </c>
      <c r="C290" s="6" t="inlineStr">
        <is>
          <t>user_id</t>
        </is>
      </c>
      <c r="D290" s="6" t="inlineStr">
        <is>
          <t>사용자 ID</t>
        </is>
      </c>
      <c r="E290" s="6" t="inlineStr">
        <is>
          <t>VARCHAR(64)</t>
        </is>
      </c>
      <c r="F290" s="6" t="inlineStr">
        <is>
          <t>Y</t>
        </is>
      </c>
      <c r="G290" s="6" t="inlineStr">
        <is>
          <t>PK/FK→user_condition_response</t>
        </is>
      </c>
      <c r="H290" s="5" t="n"/>
      <c r="I290" s="5" t="n"/>
    </row>
    <row r="291" ht="25" customHeight="1">
      <c r="A291" s="6" t="inlineStr">
        <is>
          <t>user_condition_selection</t>
        </is>
      </c>
      <c r="B291" s="6" t="n">
        <v>2</v>
      </c>
      <c r="C291" s="6" t="inlineStr">
        <is>
          <t>revision</t>
        </is>
      </c>
      <c r="D291" s="6" t="inlineStr">
        <is>
          <t>응답 리비전</t>
        </is>
      </c>
      <c r="E291" s="6" t="inlineStr">
        <is>
          <t>INTEGER</t>
        </is>
      </c>
      <c r="F291" s="6" t="inlineStr">
        <is>
          <t>Y</t>
        </is>
      </c>
      <c r="G291" s="6" t="inlineStr">
        <is>
          <t>PK/FK→user_condition_response</t>
        </is>
      </c>
      <c r="H291" s="5" t="n"/>
      <c r="I291" s="5" t="inlineStr">
        <is>
          <t>응답 상태 SELECTED인 리비전의 선택 행만 저장</t>
        </is>
      </c>
    </row>
    <row r="292">
      <c r="A292" s="6" t="inlineStr">
        <is>
          <t>user_condition_selection</t>
        </is>
      </c>
      <c r="B292" s="6" t="n">
        <v>3</v>
      </c>
      <c r="C292" s="6" t="inlineStr">
        <is>
          <t>condition_code</t>
        </is>
      </c>
      <c r="D292" s="6" t="inlineStr">
        <is>
          <t>화면 질환 코드</t>
        </is>
      </c>
      <c r="E292" s="6" t="inlineStr">
        <is>
          <t>VARCHAR(40)</t>
        </is>
      </c>
      <c r="F292" s="6" t="inlineStr">
        <is>
          <t>Y</t>
        </is>
      </c>
      <c r="G292" s="6" t="inlineStr">
        <is>
          <t>PK/FK→profile_condition_diet_map</t>
        </is>
      </c>
      <c r="H292" s="5" t="n"/>
      <c r="I292" s="5" t="inlineStr">
        <is>
          <t>선택지 4개 코드 중 하나</t>
        </is>
      </c>
    </row>
    <row r="293">
      <c r="A293" s="6" t="inlineStr">
        <is>
          <t>user_condition_selection</t>
        </is>
      </c>
      <c r="B293" s="6" t="inlineStr">
        <is>
          <t>4</t>
        </is>
      </c>
      <c r="C293" s="6" t="inlineStr">
        <is>
          <t>selection_order</t>
        </is>
      </c>
      <c r="D293" s="6" t="inlineStr">
        <is>
          <t>사용자 선택 순서</t>
        </is>
      </c>
      <c r="E293" s="6" t="inlineStr">
        <is>
          <t>INTEGER</t>
        </is>
      </c>
      <c r="F293" s="6" t="inlineStr">
        <is>
          <t>Y</t>
        </is>
      </c>
      <c r="G293" s="6" t="inlineStr">
        <is>
          <t>UK(user_id,revision,selection_order)</t>
        </is>
      </c>
      <c r="H293" s="5" t="inlineStr">
        <is>
          <t>1 이상</t>
        </is>
      </c>
      <c r="I293" s="5" t="inlineStr">
        <is>
          <t>화면에서 저장된 선택 순서. 같은 리비전 안에서 중복 금지; 값이 작은 질환 축부터 통과 후보를 찾는다</t>
        </is>
      </c>
    </row>
    <row r="294">
      <c r="A294" s="6" t="inlineStr">
        <is>
          <t>diet_calendar_date</t>
        </is>
      </c>
      <c r="B294" s="6" t="n">
        <v>1</v>
      </c>
      <c r="C294" s="6" t="inlineStr">
        <is>
          <t>country_code</t>
        </is>
      </c>
      <c r="D294" s="6" t="inlineStr">
        <is>
          <t>국가 코드</t>
        </is>
      </c>
      <c r="E294" s="6" t="inlineStr">
        <is>
          <t>CHAR(2)</t>
        </is>
      </c>
      <c r="F294" s="6" t="inlineStr">
        <is>
          <t>Y</t>
        </is>
      </c>
      <c r="G294" s="6" t="inlineStr">
        <is>
          <t>PK</t>
        </is>
      </c>
      <c r="H294" s="5" t="inlineStr">
        <is>
          <t>KR</t>
        </is>
      </c>
      <c r="I294" s="5" t="inlineStr">
        <is>
          <t>v1.0.0은 대한민국 캘린더 사용</t>
        </is>
      </c>
    </row>
    <row r="295">
      <c r="A295" s="6" t="inlineStr">
        <is>
          <t>diet_calendar_date</t>
        </is>
      </c>
      <c r="B295" s="6" t="n">
        <v>2</v>
      </c>
      <c r="C295" s="6" t="inlineStr">
        <is>
          <t>calendar_date</t>
        </is>
      </c>
      <c r="D295" s="6" t="inlineStr">
        <is>
          <t>달력 날짜</t>
        </is>
      </c>
      <c r="E295" s="6" t="inlineStr">
        <is>
          <t>DATE</t>
        </is>
      </c>
      <c r="F295" s="6" t="inlineStr">
        <is>
          <t>Y</t>
        </is>
      </c>
      <c r="G295" s="6" t="inlineStr">
        <is>
          <t>PK</t>
        </is>
      </c>
      <c r="H295" s="5" t="inlineStr">
        <is>
          <t>YYYY-MM-DD</t>
        </is>
      </c>
      <c r="I295" s="5" t="inlineStr">
        <is>
          <t>사용자 현지 달력 날짜</t>
        </is>
      </c>
    </row>
    <row r="296">
      <c r="A296" s="6" t="inlineStr">
        <is>
          <t>diet_calendar_date</t>
        </is>
      </c>
      <c r="B296" s="6" t="n">
        <v>3</v>
      </c>
      <c r="C296" s="6" t="inlineStr">
        <is>
          <t>calendar_code</t>
        </is>
      </c>
      <c r="D296" s="6" t="inlineStr">
        <is>
          <t>달력 구분</t>
        </is>
      </c>
      <c r="E296" s="6" t="inlineStr">
        <is>
          <t>ENUM</t>
        </is>
      </c>
      <c r="F296" s="6" t="inlineStr">
        <is>
          <t>Y</t>
        </is>
      </c>
      <c r="G296" s="6" t="inlineStr">
        <is>
          <t>PK</t>
        </is>
      </c>
      <c r="H296" s="5" t="inlineStr">
        <is>
          <t>HOLIDAY,EXTENDED_HOLIDAY</t>
        </is>
      </c>
      <c r="I296" s="5" t="inlineStr">
        <is>
          <t>명절 또는 명절 연휴</t>
        </is>
      </c>
    </row>
    <row r="297">
      <c r="A297" s="6" t="inlineStr">
        <is>
          <t>diet_calendar_date</t>
        </is>
      </c>
      <c r="B297" s="6" t="n">
        <v>4</v>
      </c>
      <c r="C297" s="6" t="inlineStr">
        <is>
          <t>calendar_name</t>
        </is>
      </c>
      <c r="D297" s="6" t="inlineStr">
        <is>
          <t>달력 이름</t>
        </is>
      </c>
      <c r="E297" s="6" t="inlineStr">
        <is>
          <t>VARCHAR(100)</t>
        </is>
      </c>
      <c r="F297" s="6" t="inlineStr">
        <is>
          <t>Y</t>
        </is>
      </c>
      <c r="G297" s="6" t="n"/>
      <c r="H297" s="5" t="n"/>
      <c r="I297" s="5" t="inlineStr">
        <is>
          <t>설날·추석·연휴 등 표시 이름</t>
        </is>
      </c>
    </row>
    <row r="298">
      <c r="A298" s="6" t="inlineStr">
        <is>
          <t>diet_calendar_date</t>
        </is>
      </c>
      <c r="B298" s="6" t="n">
        <v>5</v>
      </c>
      <c r="C298" s="6" t="inlineStr">
        <is>
          <t>source_id</t>
        </is>
      </c>
      <c r="D298" s="6" t="inlineStr">
        <is>
          <t>출처 ID</t>
        </is>
      </c>
      <c r="E298" s="6" t="inlineStr">
        <is>
          <t>VARCHAR(50)</t>
        </is>
      </c>
      <c r="F298" s="6" t="inlineStr">
        <is>
          <t>Y</t>
        </is>
      </c>
      <c r="G298" s="6" t="n"/>
      <c r="H298" s="5" t="n"/>
      <c r="I298" s="5" t="inlineStr">
        <is>
          <t>백엔드 캘린더 자료 출처</t>
        </is>
      </c>
    </row>
    <row r="299">
      <c r="A299" s="6" t="inlineStr">
        <is>
          <t>diet_calendar_date</t>
        </is>
      </c>
      <c r="B299" s="6" t="n">
        <v>6</v>
      </c>
      <c r="C299" s="6" t="inlineStr">
        <is>
          <t>updated_at</t>
        </is>
      </c>
      <c r="D299" s="6" t="inlineStr">
        <is>
          <t>갱신 시각</t>
        </is>
      </c>
      <c r="E299" s="6" t="inlineStr">
        <is>
          <t>DATETIME</t>
        </is>
      </c>
      <c r="F299" s="6" t="inlineStr">
        <is>
          <t>Y</t>
        </is>
      </c>
      <c r="G299" s="6" t="n"/>
      <c r="H299" s="5" t="n"/>
      <c r="I299" s="5" t="inlineStr">
        <is>
          <t>마지막 적재 시각</t>
        </is>
      </c>
    </row>
    <row r="300">
      <c r="A300" s="26" t="inlineStr">
        <is>
          <t>diet_text_translation</t>
        </is>
      </c>
      <c r="B300" s="26" t="n">
        <v>1</v>
      </c>
      <c r="C300" s="26" t="inlineStr">
        <is>
          <t>text_type</t>
        </is>
      </c>
      <c r="D300" s="26" t="inlineStr">
        <is>
          <t>문구 종류</t>
        </is>
      </c>
      <c r="E300" s="26" t="inlineStr">
        <is>
          <t>VARCHAR(20)</t>
        </is>
      </c>
      <c r="F300" s="26" t="inlineStr">
        <is>
          <t>Y</t>
        </is>
      </c>
      <c r="G300" s="26" t="inlineStr">
        <is>
          <t>Y</t>
        </is>
      </c>
      <c r="H300" s="27" t="inlineStr">
        <is>
          <t>QUESTION · OPTION · MEAL · CONDITION · PHRASE</t>
        </is>
      </c>
      <c r="I300" s="27" t="inlineStr">
        <is>
          <t>번역 대상 종류</t>
        </is>
      </c>
    </row>
    <row r="301">
      <c r="A301" s="26" t="inlineStr">
        <is>
          <t>diet_text_translation</t>
        </is>
      </c>
      <c r="B301" s="26" t="n">
        <v>2</v>
      </c>
      <c r="C301" s="26" t="inlineStr">
        <is>
          <t>key_id</t>
        </is>
      </c>
      <c r="D301" s="26" t="inlineStr">
        <is>
          <t>키</t>
        </is>
      </c>
      <c r="E301" s="26" t="inlineStr">
        <is>
          <t>VARCHAR(50)</t>
        </is>
      </c>
      <c r="F301" s="26" t="inlineStr">
        <is>
          <t>Y</t>
        </is>
      </c>
      <c r="G301" s="26" t="inlineStr">
        <is>
          <t>Y</t>
        </is>
      </c>
      <c r="H301" s="5" t="n"/>
      <c r="I301" s="27" t="inlineStr">
        <is>
          <t>질문 ID · 문구 ID · 끼니 구분 · 질환 코드</t>
        </is>
      </c>
    </row>
    <row r="302">
      <c r="A302" s="26" t="inlineStr">
        <is>
          <t>diet_text_translation</t>
        </is>
      </c>
      <c r="B302" s="26" t="n">
        <v>3</v>
      </c>
      <c r="C302" s="26" t="inlineStr">
        <is>
          <t>key_code</t>
        </is>
      </c>
      <c r="D302" s="26" t="inlineStr">
        <is>
          <t>선택지 코드</t>
        </is>
      </c>
      <c r="E302" s="26" t="inlineStr">
        <is>
          <t>VARCHAR(50)</t>
        </is>
      </c>
      <c r="F302" s="26" t="inlineStr">
        <is>
          <t>N</t>
        </is>
      </c>
      <c r="G302" s="26" t="inlineStr">
        <is>
          <t>Y</t>
        </is>
      </c>
      <c r="H302" s="5" t="n"/>
      <c r="I302" s="27" t="inlineStr">
        <is>
          <t>OPTION일 때만 선택지 코드</t>
        </is>
      </c>
    </row>
    <row r="303">
      <c r="A303" s="26" t="inlineStr">
        <is>
          <t>diet_text_translation</t>
        </is>
      </c>
      <c r="B303" s="26" t="n">
        <v>4</v>
      </c>
      <c r="C303" s="26" t="inlineStr">
        <is>
          <t>key_version</t>
        </is>
      </c>
      <c r="D303" s="26" t="inlineStr">
        <is>
          <t>버전</t>
        </is>
      </c>
      <c r="E303" s="26" t="inlineStr">
        <is>
          <t>VARCHAR(20)</t>
        </is>
      </c>
      <c r="F303" s="26" t="inlineStr">
        <is>
          <t>N</t>
        </is>
      </c>
      <c r="G303" s="26" t="inlineStr">
        <is>
          <t>Y</t>
        </is>
      </c>
      <c r="H303" s="5" t="n"/>
      <c r="I303" s="27" t="inlineStr">
        <is>
          <t>QUESTION · PHRASE의 질문·문구 버전</t>
        </is>
      </c>
    </row>
    <row r="304">
      <c r="A304" s="26" t="inlineStr">
        <is>
          <t>diet_text_translation</t>
        </is>
      </c>
      <c r="B304" s="26" t="n">
        <v>5</v>
      </c>
      <c r="C304" s="26" t="inlineStr">
        <is>
          <t>text_ko</t>
        </is>
      </c>
      <c r="D304" s="26" t="inlineStr">
        <is>
          <t>한글 문구</t>
        </is>
      </c>
      <c r="E304" s="26" t="inlineStr">
        <is>
          <t>VARCHAR(200)</t>
        </is>
      </c>
      <c r="F304" s="26" t="inlineStr">
        <is>
          <t>Y</t>
        </is>
      </c>
      <c r="G304" s="6" t="n"/>
      <c r="H304" s="5" t="n"/>
      <c r="I304" s="27" t="inlineStr">
        <is>
          <t>한글 원문. 시트 수식으로 질문·선택지·목표문구 시트를 따라간다</t>
        </is>
      </c>
    </row>
    <row r="305" ht="25" customHeight="1">
      <c r="A305" s="26" t="inlineStr">
        <is>
          <t>diet_text_translation</t>
        </is>
      </c>
      <c r="B305" s="26" t="n">
        <v>6</v>
      </c>
      <c r="C305" s="26" t="inlineStr">
        <is>
          <t>text_en</t>
        </is>
      </c>
      <c r="D305" s="26" t="inlineStr">
        <is>
          <t>영문 문구</t>
        </is>
      </c>
      <c r="E305" s="26" t="inlineStr">
        <is>
          <t>VARCHAR(200)</t>
        </is>
      </c>
      <c r="F305" s="26" t="inlineStr">
        <is>
          <t>Y</t>
        </is>
      </c>
      <c r="G305" s="6" t="n"/>
      <c r="H305" s="5" t="n"/>
      <c r="I305" s="27" t="inlineStr">
        <is>
          <t>화면에 나가는 영문. 길이 상한 이내</t>
        </is>
      </c>
    </row>
    <row r="306">
      <c r="A306" s="26" t="inlineStr">
        <is>
          <t>diet_text_translation</t>
        </is>
      </c>
      <c r="B306" s="26" t="n">
        <v>7</v>
      </c>
      <c r="C306" s="26" t="inlineStr">
        <is>
          <t>limit_recommended</t>
        </is>
      </c>
      <c r="D306" s="26" t="inlineStr">
        <is>
          <t>권장 글자 수</t>
        </is>
      </c>
      <c r="E306" s="26" t="inlineStr">
        <is>
          <t>INT</t>
        </is>
      </c>
      <c r="F306" s="26" t="inlineStr">
        <is>
          <t>Y</t>
        </is>
      </c>
      <c r="G306" s="6" t="n"/>
      <c r="H306" s="5" t="n"/>
      <c r="I306" s="27" t="inlineStr">
        <is>
          <t>목표 한 줄 30 · 질문 56 · 선택지 16 · 끼니 26 · 질환 28</t>
        </is>
      </c>
    </row>
    <row r="307">
      <c r="A307" s="26" t="inlineStr">
        <is>
          <t>diet_text_translation</t>
        </is>
      </c>
      <c r="B307" s="26" t="n">
        <v>8</v>
      </c>
      <c r="C307" s="26" t="inlineStr">
        <is>
          <t>limit_max</t>
        </is>
      </c>
      <c r="D307" s="26" t="inlineStr">
        <is>
          <t>최대 글자 수</t>
        </is>
      </c>
      <c r="E307" s="26" t="inlineStr">
        <is>
          <t>INT</t>
        </is>
      </c>
      <c r="F307" s="26" t="inlineStr">
        <is>
          <t>Y</t>
        </is>
      </c>
      <c r="G307" s="6" t="n"/>
      <c r="H307" s="5" t="n"/>
      <c r="I307" s="27" t="inlineStr">
        <is>
          <t>목표 한 줄 36 · 질문 64 · 선택지 20 · 끼니 30 · 질환 32. 넘으면 화면에서 줄바꿈이 한 줄 늘어난다</t>
        </is>
      </c>
    </row>
    <row r="308">
      <c r="A308" s="26" t="inlineStr">
        <is>
          <t>diet_meal_time</t>
        </is>
      </c>
      <c r="B308" s="26" t="n">
        <v>1</v>
      </c>
      <c r="C308" s="26" t="inlineStr">
        <is>
          <t>user_id</t>
        </is>
      </c>
      <c r="D308" s="26" t="inlineStr">
        <is>
          <t>사용자 ID</t>
        </is>
      </c>
      <c r="E308" s="26" t="inlineStr">
        <is>
          <t>VARCHAR(64)</t>
        </is>
      </c>
      <c r="F308" s="26" t="inlineStr">
        <is>
          <t>Y</t>
        </is>
      </c>
      <c r="G308" s="6" t="inlineStr">
        <is>
          <t>PK/FK→diet_session</t>
        </is>
      </c>
      <c r="H308" s="5" t="n"/>
      <c r="I308" s="27" t="n"/>
    </row>
    <row r="309">
      <c r="A309" s="26" t="inlineStr">
        <is>
          <t>diet_meal_time</t>
        </is>
      </c>
      <c r="B309" s="26" t="n">
        <v>2</v>
      </c>
      <c r="C309" s="26" t="inlineStr">
        <is>
          <t>meal_date</t>
        </is>
      </c>
      <c r="D309" s="26" t="inlineStr">
        <is>
          <t>실제 끼니 날짜</t>
        </is>
      </c>
      <c r="E309" s="26" t="inlineStr">
        <is>
          <t>DATE</t>
        </is>
      </c>
      <c r="F309" s="26" t="inlineStr">
        <is>
          <t>Y</t>
        </is>
      </c>
      <c r="G309" s="6" t="inlineStr">
        <is>
          <t>PK</t>
        </is>
      </c>
      <c r="H309" s="5" t="n"/>
      <c r="I309" s="27" t="n"/>
    </row>
    <row r="310">
      <c r="A310" s="26" t="inlineStr">
        <is>
          <t>diet_meal_time</t>
        </is>
      </c>
      <c r="B310" s="26" t="n">
        <v>3</v>
      </c>
      <c r="C310" s="26" t="inlineStr">
        <is>
          <t>meal_type</t>
        </is>
      </c>
      <c r="D310" s="26" t="inlineStr">
        <is>
          <t>끼니 종류</t>
        </is>
      </c>
      <c r="E310" s="26" t="inlineStr">
        <is>
          <t>ENUM</t>
        </is>
      </c>
      <c r="F310" s="26" t="inlineStr">
        <is>
          <t>Y</t>
        </is>
      </c>
      <c r="G310" s="6" t="inlineStr">
        <is>
          <t>PK</t>
        </is>
      </c>
      <c r="H310" s="5" t="inlineStr">
        <is>
          <t>BREAKFAST,LUNCH,DINNER</t>
        </is>
      </c>
      <c r="I310" s="27" t="n"/>
    </row>
    <row r="311">
      <c r="A311" s="26" t="inlineStr">
        <is>
          <t>diet_meal_time</t>
        </is>
      </c>
      <c r="B311" s="26" t="n">
        <v>4</v>
      </c>
      <c r="C311" s="26" t="inlineStr">
        <is>
          <t>source_code</t>
        </is>
      </c>
      <c r="D311" s="26" t="inlineStr">
        <is>
          <t>시각 출처</t>
        </is>
      </c>
      <c r="E311" s="26" t="inlineStr">
        <is>
          <t>ENUM</t>
        </is>
      </c>
      <c r="F311" s="26" t="inlineStr">
        <is>
          <t>Y</t>
        </is>
      </c>
      <c r="G311" s="6" t="n"/>
      <c r="H311" s="5" t="inlineStr">
        <is>
          <t>HEALTH_APP,ANSWER,NONE</t>
        </is>
      </c>
      <c r="I311" s="27" t="inlineStr">
        <is>
          <t>HEALTH_APP 연동 건강 앱 식사 기록(시각 단계 생략) · ANSWER 시각 단계 답 · NONE 묻지 못함</t>
        </is>
      </c>
    </row>
    <row r="312">
      <c r="A312" s="26" t="inlineStr">
        <is>
          <t>diet_meal_time</t>
        </is>
      </c>
      <c r="B312" s="26" t="n">
        <v>5</v>
      </c>
      <c r="C312" s="26" t="inlineStr">
        <is>
          <t>answer_id</t>
        </is>
      </c>
      <c r="D312" s="26" t="inlineStr">
        <is>
          <t>시각 단계 응답 ID</t>
        </is>
      </c>
      <c r="E312" s="26" t="inlineStr">
        <is>
          <t>UUID</t>
        </is>
      </c>
      <c r="F312" s="26" t="inlineStr">
        <is>
          <t>N</t>
        </is>
      </c>
      <c r="G312" s="6" t="inlineStr">
        <is>
          <t>FK→diet_answer.answer_id</t>
        </is>
      </c>
      <c r="H312" s="5" t="n"/>
      <c r="I312" s="27" t="inlineStr">
        <is>
          <t>source_code=ANSWER이면 필수. 답을 고치면 이 행도 다시 계산</t>
        </is>
      </c>
    </row>
    <row r="313">
      <c r="A313" s="26" t="inlineStr">
        <is>
          <t>diet_meal_time</t>
        </is>
      </c>
      <c r="B313" s="26" t="n">
        <v>6</v>
      </c>
      <c r="C313" s="26" t="inlineStr">
        <is>
          <t>window_start</t>
        </is>
      </c>
      <c r="D313" s="26" t="inlineStr">
        <is>
          <t>범위 시작</t>
        </is>
      </c>
      <c r="E313" s="26" t="inlineStr">
        <is>
          <t>TIME</t>
        </is>
      </c>
      <c r="F313" s="26" t="inlineStr">
        <is>
          <t>N</t>
        </is>
      </c>
      <c r="G313" s="6" t="n"/>
      <c r="H313" s="5" t="n"/>
      <c r="I313" s="27" t="inlineStr">
        <is>
          <t>고른 선택지의 구간을 끼니 시작 기본값(CFG-077)으로 자른 뒤의 시작. 끝은 끼니 끝 기본값(CFG-091)까지</t>
        </is>
      </c>
    </row>
    <row r="314">
      <c r="A314" s="26" t="inlineStr">
        <is>
          <t>diet_meal_time</t>
        </is>
      </c>
      <c r="B314" s="26" t="n">
        <v>7</v>
      </c>
      <c r="C314" s="26" t="inlineStr">
        <is>
          <t>window_end</t>
        </is>
      </c>
      <c r="D314" s="26" t="inlineStr">
        <is>
          <t>범위 끝</t>
        </is>
      </c>
      <c r="E314" s="26" t="inlineStr">
        <is>
          <t>TIME</t>
        </is>
      </c>
      <c r="F314" s="26" t="inlineStr">
        <is>
          <t>N</t>
        </is>
      </c>
      <c r="G314" s="6" t="n"/>
      <c r="H314" s="5" t="n"/>
      <c r="I314" s="27" t="n"/>
    </row>
    <row r="315">
      <c r="A315" s="26" t="inlineStr">
        <is>
          <t>diet_meal_time</t>
        </is>
      </c>
      <c r="B315" s="26" t="n">
        <v>8</v>
      </c>
      <c r="C315" s="26" t="inlineStr">
        <is>
          <t>estimate_method</t>
        </is>
      </c>
      <c r="D315" s="26" t="inlineStr">
        <is>
          <t>추정 방법</t>
        </is>
      </c>
      <c r="E315" s="26" t="inlineStr">
        <is>
          <t>ENUM</t>
        </is>
      </c>
      <c r="F315" s="26" t="inlineStr">
        <is>
          <t>Y</t>
        </is>
      </c>
      <c r="G315" s="6" t="n"/>
      <c r="H315" s="5" t="inlineStr">
        <is>
          <t>HEALTH_APP,WINDOW_MIDPOINT,UNKNOWN</t>
        </is>
      </c>
      <c r="I315" s="27" t="inlineStr">
        <is>
          <t>R-11 ⑤. UNKNOWN은 계산에서 빠질 뿐 점수를 깎지 않는다. STEP_PAUSE · HABIT은 1차에서 쓰지 않음</t>
        </is>
      </c>
    </row>
    <row r="316">
      <c r="A316" s="26" t="inlineStr">
        <is>
          <t>diet_meal_time</t>
        </is>
      </c>
      <c r="B316" s="26" t="n">
        <v>9</v>
      </c>
      <c r="C316" s="26" t="inlineStr">
        <is>
          <t>estimated_time</t>
        </is>
      </c>
      <c r="D316" s="26" t="inlineStr">
        <is>
          <t>추정 식사 시각</t>
        </is>
      </c>
      <c r="E316" s="26" t="inlineStr">
        <is>
          <t>TIME</t>
        </is>
      </c>
      <c r="F316" s="26" t="inlineStr">
        <is>
          <t>N</t>
        </is>
      </c>
      <c r="G316" s="6" t="n"/>
      <c r="H316" s="5" t="n"/>
      <c r="I316" s="27" t="inlineStr">
        <is>
          <t>UNKNOWN이면 NULL</t>
        </is>
      </c>
    </row>
    <row r="317">
      <c r="A317" s="26" t="inlineStr">
        <is>
          <t>diet_meal_time</t>
        </is>
      </c>
      <c r="B317" s="26" t="n">
        <v>10</v>
      </c>
      <c r="C317" s="26" t="inlineStr">
        <is>
          <t>confidence</t>
        </is>
      </c>
      <c r="D317" s="26" t="inlineStr">
        <is>
          <t>확신</t>
        </is>
      </c>
      <c r="E317" s="26" t="inlineStr">
        <is>
          <t>ENUM</t>
        </is>
      </c>
      <c r="F317" s="26" t="inlineStr">
        <is>
          <t>Y</t>
        </is>
      </c>
      <c r="G317" s="6" t="n"/>
      <c r="H317" s="5" t="inlineStr">
        <is>
          <t>HIGH,MEDIUM,UNKNOWN</t>
        </is>
      </c>
      <c r="I317" s="27" t="inlineStr">
        <is>
          <t>HIGH 건강 앱 / MEDIUM 선택지 범위 가운데 / UNKNOWN 모름</t>
        </is>
      </c>
    </row>
    <row r="318">
      <c r="A318" s="26" t="inlineStr">
        <is>
          <t>diet_meal_time</t>
        </is>
      </c>
      <c r="B318" s="26" t="n">
        <v>11</v>
      </c>
      <c r="C318" s="26" t="inlineStr">
        <is>
          <t>post_meal_window_start</t>
        </is>
      </c>
      <c r="D318" s="26" t="inlineStr">
        <is>
          <t>식후 관찰 시작</t>
        </is>
      </c>
      <c r="E318" s="26" t="inlineStr">
        <is>
          <t>TIME</t>
        </is>
      </c>
      <c r="F318" s="26" t="inlineStr">
        <is>
          <t>N</t>
        </is>
      </c>
      <c r="G318" s="6" t="n"/>
      <c r="H318" s="5" t="n"/>
      <c r="I318" s="27" t="inlineStr">
        <is>
          <t>건강 앱이면 그 시각부터 30분(CFG-082), 가운데값이면 범위 전체 + 30분</t>
        </is>
      </c>
    </row>
    <row r="319">
      <c r="A319" s="26" t="inlineStr">
        <is>
          <t>diet_meal_time</t>
        </is>
      </c>
      <c r="B319" s="26" t="n">
        <v>12</v>
      </c>
      <c r="C319" s="26" t="inlineStr">
        <is>
          <t>post_meal_window_end</t>
        </is>
      </c>
      <c r="D319" s="26" t="inlineStr">
        <is>
          <t>식후 관찰 끝</t>
        </is>
      </c>
      <c r="E319" s="26" t="inlineStr">
        <is>
          <t>TIME</t>
        </is>
      </c>
      <c r="F319" s="26" t="inlineStr">
        <is>
          <t>N</t>
        </is>
      </c>
      <c r="G319" s="6" t="n"/>
      <c r="H319" s="5" t="n"/>
      <c r="I319" s="27" t="n"/>
    </row>
    <row r="320">
      <c r="A320" s="26" t="inlineStr">
        <is>
          <t>diet_meal_time</t>
        </is>
      </c>
      <c r="B320" s="26" t="n">
        <v>13</v>
      </c>
      <c r="C320" s="26" t="inlineStr">
        <is>
          <t>computed_at</t>
        </is>
      </c>
      <c r="D320" s="26" t="inlineStr">
        <is>
          <t>계산 시각</t>
        </is>
      </c>
      <c r="E320" s="26" t="inlineStr">
        <is>
          <t>TIMESTAMP WITH TIME ZONE</t>
        </is>
      </c>
      <c r="F320" s="26" t="inlineStr">
        <is>
          <t>Y</t>
        </is>
      </c>
      <c r="G320" s="6" t="n"/>
      <c r="H320" s="5" t="n"/>
      <c r="I320" s="27" t="n"/>
    </row>
    <row r="321">
      <c r="A321" s="26" t="inlineStr">
        <is>
          <t>diet_meal_time</t>
        </is>
      </c>
      <c r="B321" s="26" t="n">
        <v>14</v>
      </c>
      <c r="C321" s="26" t="inlineStr">
        <is>
          <t>post_meal_action</t>
        </is>
      </c>
      <c r="D321" s="26" t="inlineStr">
        <is>
          <t>식후 행동 판정</t>
        </is>
      </c>
      <c r="E321" s="26" t="inlineStr">
        <is>
          <t>ENUM</t>
        </is>
      </c>
      <c r="F321" s="26" t="inlineStr">
        <is>
          <t>Y</t>
        </is>
      </c>
      <c r="G321" s="6" t="n"/>
      <c r="H321" s="5" t="inlineStr">
        <is>
          <t>COMPLETED,NOT_COMPLETED,UNKNOWN</t>
        </is>
      </c>
      <c r="I321" s="27" t="inlineStr">
        <is>
          <t>R-12. 지표 계산기의 completed/not_completed/unknown으로 그대로 넘긴다</t>
        </is>
      </c>
    </row>
    <row r="322">
      <c r="A322" s="26" t="inlineStr">
        <is>
          <t>diet_meal_time</t>
        </is>
      </c>
      <c r="B322" s="26" t="n">
        <v>15</v>
      </c>
      <c r="C322" s="26" t="inlineStr">
        <is>
          <t>post_meal_action_basis</t>
        </is>
      </c>
      <c r="D322" s="26" t="inlineStr">
        <is>
          <t>판정 근거</t>
        </is>
      </c>
      <c r="E322" s="26" t="inlineStr">
        <is>
          <t>ENUM</t>
        </is>
      </c>
      <c r="F322" s="26" t="inlineStr">
        <is>
          <t>Y</t>
        </is>
      </c>
      <c r="G322" s="6" t="n"/>
      <c r="H322" s="5" t="inlineStr">
        <is>
          <t>WORKOUT,STEP_STREAK,STEP_TOTAL,BELOW_THRESHOLD,NO_STEP_DATA,NO_MEAL_TIME</t>
        </is>
      </c>
      <c r="I322" s="27" t="inlineStr">
        <is>
          <t>어느 기준으로 판정했는지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315A7D"/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0.58203125" customWidth="1" min="1" max="1"/>
    <col width="13.58203125" customWidth="1" min="2" max="2"/>
    <col width="50.58203125" customWidth="1" min="3" max="3"/>
    <col width="38.58203125" customWidth="1" min="4" max="4"/>
    <col width="60.58203125" customWidth="1" min="5" max="6"/>
    <col width="10.58203125" customWidth="1" min="7" max="7"/>
  </cols>
  <sheetData>
    <row r="1" ht="28" customHeight="1">
      <c r="A1" s="7" t="inlineStr">
        <is>
          <t>기준 ID</t>
        </is>
      </c>
      <c r="B1" s="7" t="inlineStr">
        <is>
          <t>구분</t>
        </is>
      </c>
      <c r="C1" s="7" t="inlineStr">
        <is>
          <t>영향 테이블</t>
        </is>
      </c>
      <c r="D1" s="7" t="inlineStr">
        <is>
          <t>출처</t>
        </is>
      </c>
      <c r="E1" s="7" t="inlineStr">
        <is>
          <t>확정 규칙</t>
        </is>
      </c>
      <c r="F1" s="7" t="inlineStr">
        <is>
          <t>구현 메모</t>
        </is>
      </c>
      <c r="G1" s="7" t="inlineStr">
        <is>
          <t>상태</t>
        </is>
      </c>
    </row>
    <row r="2" ht="39" customHeight="1">
      <c r="A2" s="6" t="inlineStr">
        <is>
          <t>R-01</t>
        </is>
      </c>
      <c r="B2" s="6" t="inlineStr">
        <is>
          <t>질문 UX</t>
        </is>
      </c>
      <c r="C2" s="6" t="inlineStr">
        <is>
          <t>diet_disease_confirmation,diet_question,diet_question_option</t>
        </is>
      </c>
      <c r="D2" s="6" t="inlineStr">
        <is>
          <t>식이 질문·목표 상세기획</t>
        </is>
      </c>
      <c r="E2" s="20" t="inlineStr">
        <is>
          <t>식이 질문은 세션당 최대 2개다. 미확인 진료 질환이 있으면 확인 질문 1개를 먼저 내고, 현재 관리 중이면 해당 질환 회전 질문 1개, 아니요·모르겠어요이면 공통 고정 질문 1개를 둘째로 낸다.</t>
        </is>
      </c>
      <c r="F2" s="5" t="inlineStr">
        <is>
          <t>질환 확인이 없는 날만 공통 고정 1개와 회전 최대 1개를 낸다. 한 세션에 세 번째 식이 질문은 생성하지 않는다.</t>
        </is>
      </c>
      <c r="G2" s="6" t="inlineStr">
        <is>
          <t>ACTIVE</t>
        </is>
      </c>
    </row>
    <row r="3" ht="25" customHeight="1">
      <c r="A3" s="6" t="inlineStr">
        <is>
          <t>R-02</t>
        </is>
      </c>
      <c r="B3" s="6" t="inlineStr">
        <is>
          <t>끼니 시각</t>
        </is>
      </c>
      <c r="C3" s="6" t="inlineStr">
        <is>
          <t>diet_session,diet_answer</t>
        </is>
      </c>
      <c r="D3" s="6" t="inlineStr">
        <is>
          <t>설정 CFG-057</t>
        </is>
      </c>
      <c r="E3" s="5" t="inlineStr">
        <is>
          <t>00~04시·04~10시는 어제 저녁, 10~12시는 오늘 아침, 12~17시는 오늘 점심, 17~24시는 오늘 저녁을 묻는다.</t>
        </is>
      </c>
      <c r="F3" s="5" t="inlineStr">
        <is>
          <t>경계 시각은 뒤 구간에 포함한다.</t>
        </is>
      </c>
      <c r="G3" s="6" t="inlineStr">
        <is>
          <t>ACTIVE</t>
        </is>
      </c>
    </row>
    <row r="4" ht="50" customHeight="1">
      <c r="A4" s="6" t="inlineStr">
        <is>
          <t>R-03</t>
        </is>
      </c>
      <c r="B4" s="6" t="inlineStr">
        <is>
          <t>목표 축</t>
        </is>
      </c>
      <c r="C4" s="6" t="inlineStr">
        <is>
          <t>user_condition_selection,diet_disease_confirmation</t>
        </is>
      </c>
      <c r="D4" s="6" t="inlineStr">
        <is>
          <t>설정 CFG-059~063</t>
        </is>
      </c>
      <c r="E4" s="27" t="inlineStr">
        <is>
          <t>목표 축은 CFG-041로 고른 그날의 회전 질문 축과 같다. 그 축에 통과 문구가 없을 때만 직접 선택 → 확인된 진료정보 → 3개월 이내 검진 신호 → 일반 순으로 내려간다. 끼니 규칙 축(고정 질문 축)도 일반 축으로 보고 이 순서의 마지막에 후보로 둔다.</t>
        </is>
      </c>
      <c r="F4" s="5" t="inlineStr">
        <is>
          <t>질문과 목표가 한 묶음으로 읽히도록 같은 축을 쓴다. 질환 축의 비중은 질문 축 선정(CFG-041, R-09)에서 이미 지켜지므로 목표에서 따로 올리지 않는다.</t>
        </is>
      </c>
      <c r="G4" s="6" t="inlineStr">
        <is>
          <t>ACTIVE</t>
        </is>
      </c>
    </row>
    <row r="5">
      <c r="A5" s="6" t="inlineStr">
        <is>
          <t>R-04</t>
        </is>
      </c>
      <c r="B5" s="6" t="inlineStr">
        <is>
          <t>검진 유효기간</t>
        </is>
      </c>
      <c r="C5" s="6" t="inlineStr">
        <is>
          <t>screening_diet_signal</t>
        </is>
      </c>
      <c r="D5" s="6" t="inlineStr">
        <is>
          <t>설정 CFG-058</t>
        </is>
      </c>
      <c r="E5" s="5" t="inlineStr">
        <is>
          <t>목표 선정일 기준 검진일로부터 3개월 이내 결과만 식이 목표 선정에 사용한다.</t>
        </is>
      </c>
      <c r="F5" s="5" t="inlineStr">
        <is>
          <t>미래·만료·검진일 미상 결과는 검진 분기에서 제외한다.</t>
        </is>
      </c>
      <c r="G5" s="6" t="inlineStr">
        <is>
          <t>ACTIVE</t>
        </is>
      </c>
    </row>
    <row r="6" ht="65" customHeight="1">
      <c r="A6" s="6" t="inlineStr">
        <is>
          <t>R-05</t>
        </is>
      </c>
      <c r="B6" s="6" t="inlineStr">
        <is>
          <t>식후 목표</t>
        </is>
      </c>
      <c r="C6" s="6" t="inlineStr">
        <is>
          <t>diet_phrase_applicability</t>
        </is>
      </c>
      <c r="D6" s="6" t="inlineStr">
        <is>
          <t>노출조건 after_dinner_eligible</t>
        </is>
      </c>
      <c r="E6" s="20">
        <f>"17~24시와 00~04시 식후 목표는 READY이면서 after_dinner_eligible=true인 문구(노출조건 시트에서 true인 줄 전체, 지금 "&amp;COUNTIF(노출조건!G2:G999,TRUE)&amp;"개)를 후보로 사용한다. "&amp;"17~24시는 모두 쓰고, 00~04시는 그중 시간 제한이 없거나(ANY) 저녁 전체 시간대(EVENING)인 문구만 쓴다(지금 "&amp;(COUNTIFS(노출조건!G2:G999,TRUE,노출조건!D2:D999,"ANY")+COUNTIFS(노출조건!G2:G999,TRUE,노출조건!D2:D999,"EVENING"))&amp;"개). "&amp;"이 숫자는 노출조건 시트에서 자동으로 계산되므로 문구가 늘거나 줄어도 이 문장은 고치지 않는다."</f>
        <v/>
      </c>
      <c r="F6" s="5" t="inlineStr">
        <is>
          <t>질환 안전·시간·달력 조건을 다시 적용한다.</t>
        </is>
      </c>
      <c r="G6" s="6" t="inlineStr">
        <is>
          <t>ACTIVE</t>
        </is>
      </c>
    </row>
    <row r="7" ht="25" customHeight="1">
      <c r="A7" s="6" t="inlineStr">
        <is>
          <t>R-06</t>
        </is>
      </c>
      <c r="B7" s="6" t="inlineStr">
        <is>
          <t>내정보 질환</t>
        </is>
      </c>
      <c r="C7" s="6" t="inlineStr">
        <is>
          <t>profile_condition_diet_map</t>
        </is>
      </c>
      <c r="D7" s="6" t="inlineStr">
        <is>
          <t>내정보질환매핑</t>
        </is>
      </c>
      <c r="E7" s="5" t="inlineStr">
        <is>
          <t>사용자 직접 선택지는 고혈압·당뇨병·이상지질혈증·만성 신장질환 네 개로 고정한다.</t>
        </is>
      </c>
      <c r="F7" s="5" t="inlineStr">
        <is>
          <t>앞의 세 질환은 연결 축과 안전 제외, 만성 신장질환은 안전 제외에만 적용한다.</t>
        </is>
      </c>
      <c r="G7" s="6" t="inlineStr">
        <is>
          <t>ACTIVE</t>
        </is>
      </c>
    </row>
    <row r="8" ht="25" customHeight="1">
      <c r="A8" s="6" t="inlineStr">
        <is>
          <t>R-07</t>
        </is>
      </c>
      <c r="B8" s="6" t="inlineStr">
        <is>
          <t>개인 조건</t>
        </is>
      </c>
      <c r="C8" s="6" t="inlineStr">
        <is>
          <t>diet_goal</t>
        </is>
      </c>
      <c r="D8" s="6" t="inlineStr">
        <is>
          <t>식이 질문·목표 상세기획</t>
        </is>
      </c>
      <c r="E8" s="5" t="inlineStr">
        <is>
          <t>개인 처방식·식품 알레르기 정보를 받지 않으므로 이를 전제로 한 개인화 목표를 생성하지 않는다.</t>
        </is>
      </c>
      <c r="F8" s="5" t="inlineStr">
        <is>
          <t>특정 식품을 반드시 먹도록 지시하지 않는다.</t>
        </is>
      </c>
      <c r="G8" s="6" t="inlineStr">
        <is>
          <t>ACTIVE</t>
        </is>
      </c>
    </row>
    <row r="9" ht="62.5" customHeight="1">
      <c r="A9" s="6" t="inlineStr">
        <is>
          <t>R-08</t>
        </is>
      </c>
      <c r="B9" s="6" t="inlineStr">
        <is>
          <t>노출 조건</t>
        </is>
      </c>
      <c r="C9" s="6" t="inlineStr">
        <is>
          <t>diet_phrase_applicability</t>
        </is>
      </c>
      <c r="D9" s="6" t="inlineStr">
        <is>
          <t>앱 진입 시각·현지 날짜·대한민국 명절 캘린더</t>
        </is>
      </c>
      <c r="E9" s="27" t="inlineStr">
        <is>
          <t>자동 노출 조건은 시간대, 평일·주말, 명절·연휴만 사용한다. 명절·연휴는 달력일자 시트의 날짜(calendar_code HOLIDAY)로 판정한다. 그 날짜에는 그날 목표 축에서 현재 단계 이하의 명절·연휴 문구가 통과하면 다른 문구보다 먼저 쓴다. 배달·편의점·회식·카페·사무실·급식·마트·야근·여행처럼 앱이 확인하지 않는 상황 조건은 사용하지 않는다.</t>
        </is>
      </c>
      <c r="F9" s="5" t="inlineStr">
        <is>
          <t>HOLIDAY와 HOLIDAY_OR_EXTENDED는 백엔드가 전달한 날짜 목록으로 판정한다. 날짜 목록이 없으면 해당 문구를 후보에서 제외한다.</t>
        </is>
      </c>
      <c r="G9" s="6" t="inlineStr">
        <is>
          <t>ACTIVE</t>
        </is>
      </c>
    </row>
    <row r="10" ht="62.5" customHeight="1">
      <c r="A10" s="6" t="inlineStr">
        <is>
          <t>R-09</t>
        </is>
      </c>
      <c r="B10" s="6" t="inlineStr">
        <is>
          <t>질문 축 선정</t>
        </is>
      </c>
      <c r="C10" s="6" t="inlineStr">
        <is>
          <t>diet_answer, diet_question, diet_question_state</t>
        </is>
      </c>
      <c r="D10" s="6" t="inlineStr">
        <is>
          <t>설정 CFG-041</t>
        </is>
      </c>
      <c r="E10" s="5" t="inlineStr">
        <is>
          <t>회전 질문의 축은 질환·검진으로 연결된 축에서 고른다. 마지막으로 일반 축을 낸 뒤 연결 축을 모두 한 번씩 물었으면 그다음 날은 일반 축에서 하나 고른다. 같은 묶음 안에서는 28일 유효답이 가장 적은 축, 같으면 마지막으로 물은 지 오래된 축, 그다음 question_id 오름차순이다. 연결 축이 없으면 전체 축을 같은 순서로 본다.</t>
        </is>
      </c>
      <c r="F10" s="5" t="inlineStr">
        <is>
          <t>목표 축(R-03)과 따로 계산한다. 한 값으로 둘 다 정하면 연결 축만 반복해 묻게 되어 나머지 축의 상태가 영원히 관찰 중에 머문다.</t>
        </is>
      </c>
      <c r="G10" s="6" t="inlineStr">
        <is>
          <t>ACTIVE</t>
        </is>
      </c>
    </row>
    <row r="11" ht="91" customHeight="1">
      <c r="A11" s="19" t="inlineStr">
        <is>
          <t>R-10</t>
        </is>
      </c>
      <c r="B11" s="19" t="inlineStr">
        <is>
          <t>목표 고르는 순서</t>
        </is>
      </c>
      <c r="C11" s="19" t="inlineStr">
        <is>
          <t>diet_goal</t>
        </is>
      </c>
      <c r="D11" s="19" t="inlineStr">
        <is>
          <t>검증규칙 V-52 · 구현기준 R-03 · R-05 · 설정 CFG-041</t>
        </is>
      </c>
      <c r="E11" s="20" t="inlineStr">
        <is>
          <t>목표는 아래 순서로 고른다. ① 고정 질문 답이 「적게 · 몇 입만」「못 먹거나 거름」이면 회복 풀(17시 이후·새벽은 식후 가능 회복 문구만). ② 연동 수면이 5시간 미만이면 부담 줄이기 풀. ③ 그날 회전 질문과 같은 축의 문구(R-03). ④ 그 축에 통과 문구가 없으면 내정보 직접 선택 → 확인된 진료정보 → 3개월 이내 검진 신호 → 일반 순서로 다음 축을 찾는다(끼니 규칙 축도 일반 축에 포함). 모든 단계에서 질환 금지 성격·시간·달력 조건을 다시 적용하고, 끝까지 후보가 없으면 목표 없이 안내만 낸다.</t>
        </is>
      </c>
      <c r="F11" s="20" t="inlineStr">
        <is>
          <t>회복은 상태·단계를 건너뛰고(단계 계산에도 세지 않음) 바로 꺼낸다. 질환 안전 제외는 이 순서보다 먼저 걸리고 완화되지 않는다. 상세기획의 옛 문장(회복 → 내정보 직접 선택 → 진료정보 → 검진 → 수면 → 일반)과 순서가 다르면 이 행이 기준이다.</t>
        </is>
      </c>
      <c r="G11" s="19" t="inlineStr">
        <is>
          <t>ACTIVE</t>
        </is>
      </c>
    </row>
    <row r="12" ht="91" customHeight="1">
      <c r="A12" s="19" t="inlineStr">
        <is>
          <t>R-11</t>
        </is>
      </c>
      <c r="B12" s="19" t="inlineStr">
        <is>
          <t>식사 시각 단계</t>
        </is>
      </c>
      <c r="C12" s="19" t="inlineStr">
        <is>
          <t>diet_question_state,diet_answer,diet_meal_time</t>
        </is>
      </c>
      <c r="D12" s="19" t="inlineStr">
        <is>
          <t>maiReport_식이_식사시각질문_v1.0.0.html (2026-10-14) · 설정 CFG-072~085</t>
        </is>
      </c>
      <c r="E12" s="20" t="inlineStr">
        <is>
          <t>① 고정 질문(DIET-Q-00) 답이 usual · less이고 그 끼니의 건강 앱 식사 기록이 없으면, 다음 질문으로 넘어가기 전 같은 자리에서 시각 단계를 낸다. 점심 · 저녁(오후 9시까지) DIET-Q-08, 아침 DIET-Q-09, 어제 저녁 DIET-Q-10, 저녁을 오후 9시가 지나서 답하면 DIET-Q-11. 질문 1개로 세어 진행 번호도 따로 센다. 선택지 3개 · 건너뛰기 없음 · 작은 글씨 없음. 어제 저녁도 묻는다 — 일상안정이 최근 7일의 식후 행동을 합산하므로 어제 값도 쓰인다. 어젯밤 같은 끼니에 이미 답했으면 재사용(V-30). ② 점심 · 저녁(9시까지) 선택지: 「1시간 이내 / 1~2시간 전 / 그보다 전」. 각 선택지의 시각 구간은 답한 시각을 10분 단위로 내리고(CFG-073) 1시간(CFG-072)씩 거꾸로 센다. 점심은 선택지 상한 시각 14:00(CFG-075)을 넘으면 「오후 1:00 이후 / 12:00~1:00 / 12:00 이전」으로 두고 시각 글자를 보여 준다. 「…이후」 칸의 끝은 끼니 끝 기본값(점심 14:00, CFG-091)으로 자른다. 선택지 하한 시각(점심 12:00 · 저녁 16:00, CFG-090) 아래로는 내려가지 않고, 하한에 걸린 동안도 시각 글자를 보여 준다. ③ 고정 선택지: 아침 「7시 이전 / 7시~8시 / 8시 이후」(CFG-078, 범위 6~7 · 7~8 · 8~10시 — 「8시 이후」는 아침 끝 기본값 10시까지). 저녁을 오후 9시(CFG-076)가 지나서 답할 때와 어제 저녁은 「7시 이전 / 7시~9시 / 9시 이후」(CFG-089, 범위 17~19 · 19~21 · 21~23시). 1시간 칸 3개로는 5시 식사와 10시 식사를 함께 덮을 수 없기 때문이다. ④ 저장: diet_answer에 option_code와 사용자가 본 구간(option_window_start/end)을 함께 저장한다. 점수 없음. ⑤ 추정(diet_meal_time): 그 끼니 시간대 안에 건강 앱 식사 기록이 있으면 그 시각(HIGH, 시각 단계를 묻지 않음) → 없으면 고른 선택지 범위의 가운데(MEDIUM). 범위는 끼니 시작 기본값(CFG-077)보다 이른 부분을 잘라 내고, 「…이후」 칸은 끼니 끝 기본값(CFG-091)까지로 본다. 저녁 「9시 이후」는 9시로 본다. 범위가 비어 있으면 UNKNOWN. 식후 관찰 시간은 건강 앱이면 그 시각부터 30분, 가운데값이면 범위 전체 + 30분(CFG-082). 걸음 단서(CFG-079) · 평소 시각(CFG-080)은 1차에서 쓰지 않는다. ⑥ 시각 단계 도중 앱을 나갔다 오면 식사 답은 두고 선택지는 다시 들어온 시각으로 새로 만든다(저녁은 9시 앞뒤로 질문이 바뀔 수 있다). 「오늘 답변 모두 보기」에서는 답할 때 보여 준 선택지를 그대로 다시 보여 준다.</t>
        </is>
      </c>
      <c r="F12" s="20" t="inlineStr">
        <is>
          <t>참조 구현 diet-meal-time-v1.0.0.mjs(askMealTime · mealTimeOptions · estimateMealTime · judgePostMealAction). 선택지 글자는 모두 5~7자 안. 모의(저녁 19시±45분, 10%는 밤 9시 반 뒤 답): 30분 이내 적중 77%, 모름 2% — 1시간 칸만 쓰는 방식과 같고, 5시 · 10시 식사도 고를 수 있다.</t>
        </is>
      </c>
      <c r="G12" s="19" t="inlineStr">
        <is>
          <t>ACTIVE</t>
        </is>
      </c>
    </row>
    <row r="13">
      <c r="A13" s="19" t="inlineStr">
        <is>
          <t>R-12</t>
        </is>
      </c>
      <c r="B13" s="19" t="inlineStr">
        <is>
          <t>식후 행동 판정</t>
        </is>
      </c>
      <c r="C13" s="19" t="inlineStr">
        <is>
          <t>diet_meal_time</t>
        </is>
      </c>
      <c r="D13" s="19" t="inlineStr">
        <is>
          <t>maiReport_식이_식사시각질문_v1.0.0.html (2026-10-14) · 계산식 전달 문서(LJH) v7.0 README 5 · 8장</t>
        </is>
      </c>
      <c r="E13" s="20" t="inlineStr">
        <is>
          <t>식후에 걸었는지는 걸음 기록으로 판정한다. 계산식 전달 문서 v7.0은 「어떤 행동을 식후 행동으로 인정할지는 운영(서비스)이 정하고, 계산기는 완료 · 미완료 · 모름만 받는다」고 하므로 판정은 이 계약의 몫이다. ① 식사 시각이 UNKNOWN이면 UNKNOWN(NO_MEAL_TIME). ② diet_meal_time의 식후 관찰 시간(post_meal_window) 안에 운동 기록이 시작되면 COMPLETED(WORKOUT). ③ 관찰 시간에 분 단위 걸음 기록이 하나도 없으면 UNKNOWN(NO_STEP_DATA). ④ 분당 20보 이상이 5분 넘게 이어지면 COMPLETED(STEP_STREAK, CFG-086). ⑤ 합계 300보 이상이면 COMPLETED(STEP_TOTAL, CFG-087). ⑥ 그 밖에는 NOT_COMPLETED. 결과를 diet_meal_time.post_meal_action · post_meal_action_basis에 저장하고, 지표 계산기에는 completed/not_completed/unknown으로 넘긴다(자기돌봄 post_anchor_action_credit · 일상안정 action lane). UNKNOWN은 분모에서 뺀다.</t>
        </is>
      </c>
      <c r="F13" s="20" t="inlineStr">
        <is>
          <t>참조 구현 diet-meal-time-v1.0.0.mjs judgePostMealAction. 5분 · 20보 · 300보는 임시값으로 출시 뒤 실제 데이터로 조정. 식후 걷기 「목표」 완료 버튼과는 별개다(목표 완료는 사용자가 누른 것만).</t>
        </is>
      </c>
      <c r="G13" s="19" t="inlineStr">
        <is>
          <t>ACTIVE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8EA6B8"/>
    <outlinePr summaryBelow="1" summaryRight="1"/>
    <pageSetUpPr/>
  </sheetPr>
  <dimension ref="A1:I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0.58203125" customWidth="1" min="1" max="1"/>
    <col width="16.58203125" customWidth="1" min="2" max="4"/>
    <col width="47.58203125" customWidth="1" min="5" max="5"/>
    <col width="54.58203125" customWidth="1" min="6" max="6"/>
    <col width="60.58203125" customWidth="1" min="7" max="8"/>
    <col width="10.58203125" customWidth="1" min="9" max="9"/>
  </cols>
  <sheetData>
    <row r="1" ht="28" customHeight="1">
      <c r="A1" s="8" t="inlineStr">
        <is>
          <t>question_id</t>
        </is>
      </c>
      <c r="B1" s="8" t="inlineStr">
        <is>
          <t>question_version</t>
        </is>
      </c>
      <c r="C1" s="8" t="inlineStr">
        <is>
          <t>axis_name</t>
        </is>
      </c>
      <c r="D1" s="8" t="inlineStr">
        <is>
          <t>question_role</t>
        </is>
      </c>
      <c r="E1" s="8" t="inlineStr">
        <is>
          <t>question_template</t>
        </is>
      </c>
      <c r="F1" s="8" t="inlineStr">
        <is>
          <t>meal_scope_raw</t>
        </is>
      </c>
      <c r="G1" s="8" t="inlineStr">
        <is>
          <t>observation_scope</t>
        </is>
      </c>
      <c r="H1" s="8" t="inlineStr">
        <is>
          <t>interpretation_limit</t>
        </is>
      </c>
      <c r="I1" s="8" t="inlineStr">
        <is>
          <t>source_row</t>
        </is>
      </c>
    </row>
    <row r="2">
      <c r="A2" s="9" t="inlineStr">
        <is>
          <t>DIET-Q-00</t>
        </is>
      </c>
      <c r="B2" s="9" t="inlineStr">
        <is>
          <t>1.0.0</t>
        </is>
      </c>
      <c r="C2" s="9" t="inlineStr">
        <is>
          <t>끼니 규칙</t>
        </is>
      </c>
      <c r="D2" s="9" t="inlineStr">
        <is>
          <t>FIXED</t>
        </is>
      </c>
      <c r="E2" s="3" t="inlineStr">
        <is>
          <t>{지난 끼니}은 평소만큼 드셨나요?</t>
        </is>
      </c>
      <c r="F2" s="21" t="inlineStr">
        <is>
          <t>질환 확인 질문이 없는 날 또는 확인 답이 아니요·모르겠어요인 날</t>
        </is>
      </c>
      <c r="G2" s="10" t="inlineStr">
        <is>
          <t>지난 끼니의 상대적 섭취량. 결식 빈도·영양 충족도 아님</t>
        </is>
      </c>
      <c r="H2" s="10" t="inlineStr">
        <is>
          <t>고정 답은 회복 목표 분기에도 사용. 미섭취와 소량 섭취를 구분할 수 없음</t>
        </is>
      </c>
      <c r="I2" s="9" t="n">
        <v>2</v>
      </c>
    </row>
    <row r="3">
      <c r="A3" s="9" t="inlineStr">
        <is>
          <t>DIET-Q-01</t>
        </is>
      </c>
      <c r="B3" s="9" t="inlineStr">
        <is>
          <t>1.0.0</t>
        </is>
      </c>
      <c r="C3" s="9" t="inlineStr">
        <is>
          <t>채소</t>
        </is>
      </c>
      <c r="D3" s="9" t="inlineStr">
        <is>
          <t>ROTATING</t>
        </is>
      </c>
      <c r="E3" s="21" t="inlineStr">
        <is>
          <t>{지난 끼니}엔 채소 반찬을 얼마나 드셨나요?</t>
        </is>
      </c>
      <c r="F3" s="9" t="inlineStr">
        <is>
          <t>모든 끼니</t>
        </is>
      </c>
      <c r="G3" s="18" t="inlineStr">
        <is>
          <t>채소 반찬을 먹은 정도(본인 판단). 중량·먹는 순서 아님</t>
        </is>
      </c>
      <c r="H3" s="18" t="inlineStr">
        <is>
          <t>본인이 느낀 양만 관찰. 400g 달성·혈당 개선으로 해석 금지</t>
        </is>
      </c>
      <c r="I3" s="9" t="n">
        <v>3</v>
      </c>
    </row>
    <row r="4" ht="25" customHeight="1">
      <c r="A4" s="9" t="inlineStr">
        <is>
          <t>DIET-Q-02</t>
        </is>
      </c>
      <c r="B4" s="9" t="inlineStr">
        <is>
          <t>1.0.0</t>
        </is>
      </c>
      <c r="C4" s="9" t="inlineStr">
        <is>
          <t>단 음료 · 단 간식</t>
        </is>
      </c>
      <c r="D4" s="9" t="inlineStr">
        <is>
          <t>ROTATING</t>
        </is>
      </c>
      <c r="E4" s="21" t="inlineStr">
        <is>
          <t>{지난 끼니} 전후 단 음료·간식은 몇 번이었나요?</t>
        </is>
      </c>
      <c r="F4" s="9" t="inlineStr">
        <is>
          <t>모든 끼니</t>
        </is>
      </c>
      <c r="G4" s="10" t="inlineStr">
        <is>
          <t>단 음료·단 간식 섭취 횟수. 양·총당량 아님</t>
        </is>
      </c>
      <c r="H4" s="10" t="inlineStr">
        <is>
          <t>저혈당 처치용 섭취는 불리한 응답으로 평가하지 않음. 해당 위험 시 축 집계/목표 제한</t>
        </is>
      </c>
      <c r="I4" s="9" t="n">
        <v>4</v>
      </c>
    </row>
    <row r="5">
      <c r="A5" s="9" t="inlineStr">
        <is>
          <t>DIET-Q-03</t>
        </is>
      </c>
      <c r="B5" s="9" t="inlineStr">
        <is>
          <t>1.0.0</t>
        </is>
      </c>
      <c r="C5" s="9" t="inlineStr">
        <is>
          <t>짠맛 · 국물</t>
        </is>
      </c>
      <c r="D5" s="9" t="inlineStr">
        <is>
          <t>ROTATING</t>
        </is>
      </c>
      <c r="E5" s="21" t="inlineStr">
        <is>
          <t>{지난 끼니}엔 국물을 얼마나 드셨나요?</t>
        </is>
      </c>
      <c r="F5" s="9" t="inlineStr">
        <is>
          <t>모든 끼니</t>
        </is>
      </c>
      <c r="G5" s="10" t="inlineStr">
        <is>
          <t>제공된 국물 중 먹은 대략 비율. 전체 나트륨 아님</t>
        </is>
      </c>
      <c r="H5" s="10" t="inlineStr">
        <is>
          <t>국물이 없는 끼니도 첫 답. 저나트륨 식사로 단정하지 않음</t>
        </is>
      </c>
      <c r="I5" s="9" t="n">
        <v>5</v>
      </c>
    </row>
    <row r="6" ht="26" customHeight="1">
      <c r="A6" s="9" t="inlineStr">
        <is>
          <t>DIET-Q-04</t>
        </is>
      </c>
      <c r="B6" s="9" t="inlineStr">
        <is>
          <t>1.0.0</t>
        </is>
      </c>
      <c r="C6" s="9" t="inlineStr">
        <is>
          <t>식사 시각</t>
        </is>
      </c>
      <c r="D6" s="9" t="inlineStr">
        <is>
          <t>ROTATING</t>
        </is>
      </c>
      <c r="E6" s="21" t="inlineStr">
        <is>
          <t>어젯밤 야식은 얼마나 드셨나요?</t>
        </is>
      </c>
      <c r="F6" s="9" t="inlineStr">
        <is>
          <t>04:00~10:00 진입에서만(전날 밤 회상)</t>
        </is>
      </c>
      <c r="G6" s="18" t="inlineStr">
        <is>
          <t>전날 저녁 식사 후~당일 04:00 전의 야식 자기보고 양(조금 / 배불리). 오늘 아침 식사는 제외. 위해성·수면 영향 판정 아님</t>
        </is>
      </c>
      <c r="H6" s="18" t="inlineStr">
        <is>
          <t>야식 여부·양만 저장. 필요한 간식·교대근무 상황은 구분 불가. 상태 점수 산출 중지</t>
        </is>
      </c>
      <c r="I6" s="9" t="n">
        <v>6</v>
      </c>
    </row>
    <row r="7">
      <c r="A7" s="9" t="inlineStr">
        <is>
          <t>DIET-Q-05</t>
        </is>
      </c>
      <c r="B7" s="9" t="inlineStr">
        <is>
          <t>1.0.0</t>
        </is>
      </c>
      <c r="C7" s="9" t="inlineStr">
        <is>
          <t>식사 속도 · 양</t>
        </is>
      </c>
      <c r="D7" s="9" t="inlineStr">
        <is>
          <t>ROTATING</t>
        </is>
      </c>
      <c r="E7" s="21" t="inlineStr">
        <is>
          <t>{지난 끼니} 후 배부름은 어땠나요?</t>
        </is>
      </c>
      <c r="F7" s="9" t="inlineStr">
        <is>
          <t>모든 끼니</t>
        </is>
      </c>
      <c r="G7" s="10" t="inlineStr">
        <is>
          <t>식후 주관적 포만감. 속도·열량 아님</t>
        </is>
      </c>
      <c r="H7" s="10" t="inlineStr">
        <is>
          <t>체중감량 필요·속도 과다로 해석 금지</t>
        </is>
      </c>
      <c r="I7" s="9" t="n">
        <v>7</v>
      </c>
    </row>
    <row r="8">
      <c r="A8" s="9" t="inlineStr">
        <is>
          <t>DIET-Q-06</t>
        </is>
      </c>
      <c r="B8" s="9" t="inlineStr">
        <is>
          <t>1.0.0</t>
        </is>
      </c>
      <c r="C8" s="9" t="inlineStr">
        <is>
          <t>단백질</t>
        </is>
      </c>
      <c r="D8" s="9" t="inlineStr">
        <is>
          <t>ROTATING</t>
        </is>
      </c>
      <c r="E8" s="21" t="inlineStr">
        <is>
          <t>{지난 끼니}엔 단백질류(고기·생선·달걀 등)를 드셨나요?</t>
        </is>
      </c>
      <c r="F8" s="9" t="inlineStr">
        <is>
          <t>모든 끼니</t>
        </is>
      </c>
      <c r="G8" s="10" t="inlineStr">
        <is>
          <t>단백질 식품 섭취 여부와 맛보기 구분. 필요량 충족 아님</t>
        </is>
      </c>
      <c r="H8" s="10" t="inlineStr">
        <is>
          <t>어제 결식 후 단백질 질문 강제 분기 제거. 개인 식사 제한 우선</t>
        </is>
      </c>
      <c r="I8" s="9" t="n">
        <v>8</v>
      </c>
    </row>
    <row r="9">
      <c r="A9" s="9" t="inlineStr">
        <is>
          <t>DIET-Q-07</t>
        </is>
      </c>
      <c r="B9" s="9" t="inlineStr">
        <is>
          <t>1.0.0</t>
        </is>
      </c>
      <c r="C9" s="9" t="inlineStr">
        <is>
          <t>기름진 음식</t>
        </is>
      </c>
      <c r="D9" s="9" t="inlineStr">
        <is>
          <t>ROTATING</t>
        </is>
      </c>
      <c r="E9" s="21" t="inlineStr">
        <is>
          <t>{지난 끼니}엔 튀긴 음식을 드셨나요?</t>
        </is>
      </c>
      <c r="F9" s="9" t="inlineStr">
        <is>
          <t>모든 끼니</t>
        </is>
      </c>
      <c r="G9" s="10" t="inlineStr">
        <is>
          <t>튀긴 음식 섭취 여부와 맛보기 구분. 총지방·포화지방량 아님</t>
        </is>
      </c>
      <c r="H9" s="10" t="inlineStr">
        <is>
          <t>식품 존재 여부만 관찰. 지방 부족/과다 진단 금지</t>
        </is>
      </c>
      <c r="I9" s="9" t="n">
        <v>9</v>
      </c>
    </row>
    <row r="10" ht="26" customHeight="1">
      <c r="A10" s="6" t="inlineStr">
        <is>
          <t>DIET-Q-90</t>
        </is>
      </c>
      <c r="B10" s="6" t="inlineStr">
        <is>
          <t>1.0.0</t>
        </is>
      </c>
      <c r="C10" s="6" t="inlineStr">
        <is>
          <t>질환 확인</t>
        </is>
      </c>
      <c r="D10" s="6" t="inlineStr">
        <is>
          <t>CONFIRMATION</t>
        </is>
      </c>
      <c r="E10" s="19" t="inlineStr">
        <is>
          <t>{질환명}을 진단받았거나 관리 중이신가요?</t>
        </is>
      </c>
      <c r="F10" s="6" t="inlineStr">
        <is>
          <t>해당 없음. 미확인 진료 질환이 있는 세션의 첫째 질문으로만 노출</t>
        </is>
      </c>
      <c r="G10" s="20" t="inlineStr">
        <is>
          <t>해당 질환을 진단받았거나 지금 관리하고 있는지에 대한 자기보고. 임상 확진 여부 아님</t>
        </is>
      </c>
      <c r="H10" s="20" t="inlineStr">
        <is>
          <t>자가 응답이므로 임상 확진이 아니다. 아니요·모르겠어요가 질환 없음을 뜻하지 않으며 후보 단계의 문구 금지는 그대로 유지된다. 축 점수로 집계하지 않는다</t>
        </is>
      </c>
      <c r="I10" s="6" t="n"/>
    </row>
    <row r="11" ht="26" customHeight="1">
      <c r="A11" s="6" t="inlineStr">
        <is>
          <t>DIET-Q-08</t>
        </is>
      </c>
      <c r="B11" s="6" t="inlineStr">
        <is>
          <t>1.0.0</t>
        </is>
      </c>
      <c r="C11" s="6" t="inlineStr">
        <is>
          <t>식사 시각 단계</t>
        </is>
      </c>
      <c r="D11" s="6" t="inlineStr">
        <is>
          <t>FOLLOW_UP</t>
        </is>
      </c>
      <c r="E11" s="19" t="inlineStr">
        <is>
          <t>{끼니}은 언제쯤 드셨어요?</t>
        </is>
      </c>
      <c r="F11" s="6" t="inlineStr">
        <is>
          <t>오늘 점심(12~17시) · 오늘 저녁(17시~오후 9시에 답할 때). 고정 질문 DIET-Q-00에 usual · less로 답한 바로 뒤. 저녁을 오후 9시가 지나서 답하면 DIET-Q-11로 대신한다. very_little_or_skipped 답, 건강 앱 식사 기록이 있는 끼니에는 내지 않는다</t>
        </is>
      </c>
      <c r="G11" s="20" t="inlineStr">
        <is>
          <t>그 끼니를 먹은 시각의 대략 범위(1시간 구간). 선택지 글자는 「1시간 이내 / 1~2시간 전 / 그보다 전」으로 고정이고, 아래 작은 글씨로 시각 구간(답한 시각 기준, CFG-072~076)을 보여 준다. 상한 · 하한에 걸린 동안은 시각 글자를 크게 쓰고 작은 글씨를 뺀다</t>
        </is>
      </c>
      <c r="H11" s="20" t="inlineStr">
        <is>
          <t>점수 없음. 좋음 · 나쁨 등급 · 축 상태를 만들지 않는다. 식후 행동 판정(자기돌봄 · 일상안정)의 입력으로만 쓴다. 사실 빈도 저장 원칙(CFG-044)은 그대로</t>
        </is>
      </c>
      <c r="I11" s="6" t="n"/>
    </row>
    <row r="12" ht="26" customHeight="1">
      <c r="A12" s="6" t="inlineStr">
        <is>
          <t>DIET-Q-09</t>
        </is>
      </c>
      <c r="B12" s="6" t="inlineStr">
        <is>
          <t>1.0.0</t>
        </is>
      </c>
      <c r="C12" s="6" t="inlineStr">
        <is>
          <t>식사 시각 단계</t>
        </is>
      </c>
      <c r="D12" s="6" t="inlineStr">
        <is>
          <t>FOLLOW_UP</t>
        </is>
      </c>
      <c r="E12" s="19" t="inlineStr">
        <is>
          <t>아침은 몇 시쯤 드셨어요?</t>
        </is>
      </c>
      <c r="F12" s="6" t="inlineStr">
        <is>
          <t>오늘 아침(10~12시). 고정 질문 DIET-Q-00에 usual · less로 답한 바로 뒤. very_little_or_skipped 답, 건강 앱 식사 기록이 있는 끼니에는 내지 않는다</t>
        </is>
      </c>
      <c r="G12" s="20" t="inlineStr">
        <is>
          <t>아침을 먹은 시각의 대략 범위. 버튼은 7시 · 8시 정각으로 고정(CFG-078). 아침 질문은 10시가 넘어야 나와 선택지 상한 시각(9시)을 늘 지난 뒤이기 때문</t>
        </is>
      </c>
      <c r="H12" s="20" t="inlineStr">
        <is>
          <t>DIET-Q-08과 같다. 「8시 이후」 선택 비율이 30%를 넘으면 경계를 다시 본다(CFG-084)</t>
        </is>
      </c>
      <c r="I12" s="6" t="n"/>
    </row>
    <row r="13">
      <c r="A13" s="6" t="inlineStr">
        <is>
          <t>DIET-Q-10</t>
        </is>
      </c>
      <c r="B13" s="6" t="inlineStr">
        <is>
          <t>1.0.0</t>
        </is>
      </c>
      <c r="C13" s="6" t="inlineStr">
        <is>
          <t>식사 시각 단계</t>
        </is>
      </c>
      <c r="D13" s="6" t="inlineStr">
        <is>
          <t>FOLLOW_UP</t>
        </is>
      </c>
      <c r="E13" s="19" t="inlineStr">
        <is>
          <t>어제 저녁은 몇 시쯤 드셨어요?</t>
        </is>
      </c>
      <c r="F13" s="6" t="inlineStr">
        <is>
          <t>어제 저녁(00~10시 진입). 고정 질문 DIET-Q-00에 usual · less로 답한 바로 뒤. 어젯밤 같은 끼니에 이미 답했으면 재사용(V-30)하고 다시 묻지 않는다</t>
        </is>
      </c>
      <c r="G13" s="20" t="inlineStr">
        <is>
          <t>어제 저녁을 먹은 시각의 대략 범위. 선택지는 「7시 이전 / 7시~9시 / 9시 이후」 고정(CFG-089). 하루 지난 끼니라 답한 시각에서 거꾸로 세지 않는다</t>
        </is>
      </c>
      <c r="H13" s="20" t="inlineStr">
        <is>
          <t>일상안정은 최근 7일의 식후 행동을 합산하므로 어제 값도 들어간다. 점수 없음. 모름이면 계산에서 빠진다</t>
        </is>
      </c>
      <c r="I13" s="6" t="n"/>
    </row>
    <row r="14">
      <c r="A14" s="6" t="inlineStr">
        <is>
          <t>DIET-Q-11</t>
        </is>
      </c>
      <c r="B14" s="6" t="inlineStr">
        <is>
          <t>1.0.0</t>
        </is>
      </c>
      <c r="C14" s="6" t="inlineStr">
        <is>
          <t>식사 시각 단계</t>
        </is>
      </c>
      <c r="D14" s="6" t="inlineStr">
        <is>
          <t>FOLLOW_UP</t>
        </is>
      </c>
      <c r="E14" s="19" t="inlineStr">
        <is>
          <t>저녁은 몇 시쯤 드셨어요?</t>
        </is>
      </c>
      <c r="F14" s="6" t="inlineStr">
        <is>
          <t>오늘 저녁을 오후 9시(선택지 상한, 10분 내림 기준)가 지나서 답할 때. 고정 질문 DIET-Q-00에 usual · less로 답한 바로 뒤</t>
        </is>
      </c>
      <c r="G14" s="20" t="inlineStr">
        <is>
          <t>저녁을 먹은 시각의 대략 범위. 선택지는 「7시 이전 / 7시~9시 / 9시 이후」 고정(CFG-089). 1시간 칸 3개로는 5시 식사와 10시 식사를 다 덮을 수 없어 늦게 답한 날은 2시간 칸을 쓴다</t>
        </is>
      </c>
      <c r="H14" s="20" t="inlineStr">
        <is>
          <t>점수 없음. 칸이 2시간이라 걸음 단서 · 평소 시각이 없으면 가운데값 오차가 최대 1시간. 모름이면 계산에서 빠진다</t>
        </is>
      </c>
      <c r="I14" s="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8EA6B8"/>
    <outlinePr summaryBelow="1" summaryRight="1"/>
    <pageSetUpPr/>
  </sheetPr>
  <dimension ref="A1:H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0.58203125" customWidth="1" min="1" max="1"/>
    <col width="16.58203125" customWidth="1" min="2" max="2"/>
    <col width="13.58203125" customWidth="1" min="3" max="3"/>
    <col width="19.58203125" customWidth="1" min="4" max="4"/>
    <col width="15.58203125" customWidth="1" min="5" max="5"/>
    <col width="12.58203125" customWidth="1" min="6" max="6"/>
    <col width="10.58203125" customWidth="1" min="7" max="7"/>
  </cols>
  <sheetData>
    <row r="1" ht="28" customHeight="1">
      <c r="A1" s="8" t="inlineStr">
        <is>
          <t>question_id</t>
        </is>
      </c>
      <c r="B1" s="8" t="inlineStr">
        <is>
          <t>question_version</t>
        </is>
      </c>
      <c r="C1" s="8" t="inlineStr">
        <is>
          <t>option_order</t>
        </is>
      </c>
      <c r="D1" s="8" t="inlineStr">
        <is>
          <t>option_code</t>
        </is>
      </c>
      <c r="E1" s="8" t="inlineStr">
        <is>
          <t>option_label</t>
        </is>
      </c>
      <c r="F1" s="8" t="inlineStr">
        <is>
          <t>score_value</t>
        </is>
      </c>
      <c r="G1" s="8" t="inlineStr">
        <is>
          <t>source_row</t>
        </is>
      </c>
      <c r="H1" t="inlineStr">
        <is>
          <t>설명</t>
        </is>
      </c>
    </row>
    <row r="2">
      <c r="A2" s="9" t="inlineStr">
        <is>
          <t>DIET-Q-00</t>
        </is>
      </c>
      <c r="B2" s="9" t="inlineStr">
        <is>
          <t>1.0.0</t>
        </is>
      </c>
      <c r="C2" s="9" t="n">
        <v>1</v>
      </c>
      <c r="D2" s="9" t="inlineStr">
        <is>
          <t>usual</t>
        </is>
      </c>
      <c r="E2" s="9" t="inlineStr">
        <is>
          <t>충분히 먹음</t>
        </is>
      </c>
      <c r="F2" s="9" t="n">
        <v>1</v>
      </c>
      <c r="G2" s="9" t="n">
        <v>2</v>
      </c>
    </row>
    <row r="3">
      <c r="A3" s="9" t="inlineStr">
        <is>
          <t>DIET-Q-00</t>
        </is>
      </c>
      <c r="B3" s="9" t="inlineStr">
        <is>
          <t>1.0.0</t>
        </is>
      </c>
      <c r="C3" s="9" t="n">
        <v>2</v>
      </c>
      <c r="D3" s="9" t="inlineStr">
        <is>
          <t>less</t>
        </is>
      </c>
      <c r="E3" s="9" t="inlineStr">
        <is>
          <t>적게 · 몇 입만</t>
        </is>
      </c>
      <c r="F3" s="9" t="n">
        <v>0</v>
      </c>
      <c r="G3" s="9" t="n">
        <v>2</v>
      </c>
    </row>
    <row r="4">
      <c r="A4" s="9" t="inlineStr">
        <is>
          <t>DIET-Q-00</t>
        </is>
      </c>
      <c r="B4" s="9" t="inlineStr">
        <is>
          <t>1.0.0</t>
        </is>
      </c>
      <c r="C4" s="9" t="n">
        <v>3</v>
      </c>
      <c r="D4" s="9" t="inlineStr">
        <is>
          <t>very_little_or_skipped</t>
        </is>
      </c>
      <c r="E4" s="21" t="inlineStr">
        <is>
          <t>못 먹거나 거름</t>
        </is>
      </c>
      <c r="F4" s="9" t="n">
        <v>-1</v>
      </c>
      <c r="G4" s="9" t="n">
        <v>2</v>
      </c>
    </row>
    <row r="5">
      <c r="A5" s="9" t="inlineStr">
        <is>
          <t>DIET-Q-01</t>
        </is>
      </c>
      <c r="B5" s="9" t="inlineStr">
        <is>
          <t>1.0.0</t>
        </is>
      </c>
      <c r="C5" s="9" t="n">
        <v>1</v>
      </c>
      <c r="D5" s="9" t="inlineStr">
        <is>
          <t>two_or_more</t>
        </is>
      </c>
      <c r="E5" s="21" t="inlineStr">
        <is>
          <t>충분히 먹음</t>
        </is>
      </c>
      <c r="F5" s="9" t="n">
        <v>1</v>
      </c>
      <c r="G5" s="9" t="n">
        <v>3</v>
      </c>
    </row>
    <row r="6">
      <c r="A6" s="9" t="inlineStr">
        <is>
          <t>DIET-Q-01</t>
        </is>
      </c>
      <c r="B6" s="9" t="inlineStr">
        <is>
          <t>1.0.0</t>
        </is>
      </c>
      <c r="C6" s="9" t="n">
        <v>2</v>
      </c>
      <c r="D6" s="9" t="inlineStr">
        <is>
          <t>one</t>
        </is>
      </c>
      <c r="E6" s="21" t="inlineStr">
        <is>
          <t>조금 먹음</t>
        </is>
      </c>
      <c r="F6" s="9" t="n">
        <v>0</v>
      </c>
      <c r="G6" s="9" t="n">
        <v>3</v>
      </c>
    </row>
    <row r="7">
      <c r="A7" s="9" t="inlineStr">
        <is>
          <t>DIET-Q-01</t>
        </is>
      </c>
      <c r="B7" s="9" t="inlineStr">
        <is>
          <t>1.0.0</t>
        </is>
      </c>
      <c r="C7" s="9" t="n">
        <v>3</v>
      </c>
      <c r="D7" s="9" t="inlineStr">
        <is>
          <t>none</t>
        </is>
      </c>
      <c r="E7" s="21" t="inlineStr">
        <is>
          <t>먹지 않음</t>
        </is>
      </c>
      <c r="F7" s="9" t="n">
        <v>-1</v>
      </c>
      <c r="G7" s="9" t="n">
        <v>3</v>
      </c>
    </row>
    <row r="8">
      <c r="A8" s="9" t="inlineStr">
        <is>
          <t>DIET-Q-02</t>
        </is>
      </c>
      <c r="B8" s="9" t="inlineStr">
        <is>
          <t>1.0.0</t>
        </is>
      </c>
      <c r="C8" s="9" t="n">
        <v>1</v>
      </c>
      <c r="D8" s="9" t="inlineStr">
        <is>
          <t>none</t>
        </is>
      </c>
      <c r="E8" s="9" t="inlineStr">
        <is>
          <t>없었어요</t>
        </is>
      </c>
      <c r="F8" s="9" t="n">
        <v>1</v>
      </c>
      <c r="G8" s="9" t="n">
        <v>4</v>
      </c>
    </row>
    <row r="9">
      <c r="A9" s="9" t="inlineStr">
        <is>
          <t>DIET-Q-02</t>
        </is>
      </c>
      <c r="B9" s="9" t="inlineStr">
        <is>
          <t>1.0.0</t>
        </is>
      </c>
      <c r="C9" s="9" t="n">
        <v>2</v>
      </c>
      <c r="D9" s="9" t="inlineStr">
        <is>
          <t>once</t>
        </is>
      </c>
      <c r="E9" s="9" t="inlineStr">
        <is>
          <t>한 번</t>
        </is>
      </c>
      <c r="F9" s="9" t="n">
        <v>0</v>
      </c>
      <c r="G9" s="9" t="n">
        <v>4</v>
      </c>
    </row>
    <row r="10">
      <c r="A10" s="9" t="inlineStr">
        <is>
          <t>DIET-Q-02</t>
        </is>
      </c>
      <c r="B10" s="9" t="inlineStr">
        <is>
          <t>1.0.0</t>
        </is>
      </c>
      <c r="C10" s="9" t="n">
        <v>3</v>
      </c>
      <c r="D10" s="9" t="inlineStr">
        <is>
          <t>twice_or_more</t>
        </is>
      </c>
      <c r="E10" s="9" t="inlineStr">
        <is>
          <t>두 번 이상</t>
        </is>
      </c>
      <c r="F10" s="9" t="n">
        <v>-1</v>
      </c>
      <c r="G10" s="9" t="n">
        <v>4</v>
      </c>
    </row>
    <row r="11">
      <c r="A11" s="9" t="inlineStr">
        <is>
          <t>DIET-Q-03</t>
        </is>
      </c>
      <c r="B11" s="9" t="inlineStr">
        <is>
          <t>1.0.0</t>
        </is>
      </c>
      <c r="C11" s="9" t="n">
        <v>1</v>
      </c>
      <c r="D11" s="9" t="inlineStr">
        <is>
          <t>none</t>
        </is>
      </c>
      <c r="E11" s="21" t="inlineStr">
        <is>
          <t>먹지 않음</t>
        </is>
      </c>
      <c r="F11" s="9" t="n">
        <v>1</v>
      </c>
      <c r="G11" s="9" t="n">
        <v>5</v>
      </c>
    </row>
    <row r="12">
      <c r="A12" s="9" t="inlineStr">
        <is>
          <t>DIET-Q-03</t>
        </is>
      </c>
      <c r="B12" s="9" t="inlineStr">
        <is>
          <t>1.0.0</t>
        </is>
      </c>
      <c r="C12" s="9" t="n">
        <v>2</v>
      </c>
      <c r="D12" s="9" t="inlineStr">
        <is>
          <t>half_or_less</t>
        </is>
      </c>
      <c r="E12" s="3" t="inlineStr">
        <is>
          <t>절반 이하</t>
        </is>
      </c>
      <c r="F12" s="9" t="n">
        <v>0</v>
      </c>
      <c r="G12" s="9" t="n">
        <v>5</v>
      </c>
    </row>
    <row r="13">
      <c r="A13" s="9" t="inlineStr">
        <is>
          <t>DIET-Q-03</t>
        </is>
      </c>
      <c r="B13" s="9" t="inlineStr">
        <is>
          <t>1.0.0</t>
        </is>
      </c>
      <c r="C13" s="9" t="n">
        <v>3</v>
      </c>
      <c r="D13" s="9" t="inlineStr">
        <is>
          <t>more_than_half</t>
        </is>
      </c>
      <c r="E13" s="3" t="inlineStr">
        <is>
          <t>절반 넘게</t>
        </is>
      </c>
      <c r="F13" s="9" t="n">
        <v>-1</v>
      </c>
      <c r="G13" s="9" t="n">
        <v>5</v>
      </c>
    </row>
    <row r="14">
      <c r="A14" s="9" t="inlineStr">
        <is>
          <t>DIET-Q-04</t>
        </is>
      </c>
      <c r="B14" s="9" t="inlineStr">
        <is>
          <t>1.0.0</t>
        </is>
      </c>
      <c r="C14" s="9" t="n">
        <v>1</v>
      </c>
      <c r="D14" s="9" t="inlineStr">
        <is>
          <t>none</t>
        </is>
      </c>
      <c r="E14" s="21" t="inlineStr">
        <is>
          <t>먹지 않음</t>
        </is>
      </c>
      <c r="F14" s="9" t="n"/>
      <c r="G14" s="9" t="n">
        <v>6</v>
      </c>
    </row>
    <row r="15">
      <c r="A15" s="9" t="inlineStr">
        <is>
          <t>DIET-Q-04</t>
        </is>
      </c>
      <c r="B15" s="9" t="inlineStr">
        <is>
          <t>1.0.0</t>
        </is>
      </c>
      <c r="C15" s="9" t="n">
        <v>2</v>
      </c>
      <c r="D15" s="21" t="inlineStr">
        <is>
          <t>light</t>
        </is>
      </c>
      <c r="E15" s="21" t="inlineStr">
        <is>
          <t>조금 먹음</t>
        </is>
      </c>
      <c r="F15" s="9" t="n"/>
      <c r="G15" s="9" t="n">
        <v>6</v>
      </c>
    </row>
    <row r="16">
      <c r="A16" s="9" t="inlineStr">
        <is>
          <t>DIET-Q-04</t>
        </is>
      </c>
      <c r="B16" s="9" t="inlineStr">
        <is>
          <t>1.0.0</t>
        </is>
      </c>
      <c r="C16" s="9" t="n">
        <v>3</v>
      </c>
      <c r="D16" s="21" t="inlineStr">
        <is>
          <t>meal_sized</t>
        </is>
      </c>
      <c r="E16" s="21" t="inlineStr">
        <is>
          <t>배불리 먹음</t>
        </is>
      </c>
      <c r="F16" s="9" t="n"/>
      <c r="G16" s="9" t="n">
        <v>6</v>
      </c>
    </row>
    <row r="17">
      <c r="A17" s="9" t="inlineStr">
        <is>
          <t>DIET-Q-05</t>
        </is>
      </c>
      <c r="B17" s="9" t="inlineStr">
        <is>
          <t>1.0.0</t>
        </is>
      </c>
      <c r="C17" s="9" t="n">
        <v>1</v>
      </c>
      <c r="D17" s="9" t="inlineStr">
        <is>
          <t>comfortable</t>
        </is>
      </c>
      <c r="E17" s="9" t="inlineStr">
        <is>
          <t>편안했어요</t>
        </is>
      </c>
      <c r="F17" s="9" t="n">
        <v>1</v>
      </c>
      <c r="G17" s="9" t="n">
        <v>7</v>
      </c>
    </row>
    <row r="18">
      <c r="A18" s="9" t="inlineStr">
        <is>
          <t>DIET-Q-05</t>
        </is>
      </c>
      <c r="B18" s="9" t="inlineStr">
        <is>
          <t>1.0.0</t>
        </is>
      </c>
      <c r="C18" s="9" t="n">
        <v>2</v>
      </c>
      <c r="D18" s="9" t="inlineStr">
        <is>
          <t>somewhat_full</t>
        </is>
      </c>
      <c r="E18" s="3" t="inlineStr">
        <is>
          <t>조금 배불렀어요</t>
        </is>
      </c>
      <c r="F18" s="9" t="n">
        <v>0</v>
      </c>
      <c r="G18" s="9" t="n">
        <v>7</v>
      </c>
    </row>
    <row r="19">
      <c r="A19" s="9" t="inlineStr">
        <is>
          <t>DIET-Q-05</t>
        </is>
      </c>
      <c r="B19" s="9" t="inlineStr">
        <is>
          <t>1.0.0</t>
        </is>
      </c>
      <c r="C19" s="9" t="n">
        <v>3</v>
      </c>
      <c r="D19" s="9" t="inlineStr">
        <is>
          <t>too_full</t>
        </is>
      </c>
      <c r="E19" s="3" t="inlineStr">
        <is>
          <t>많이 배불렀어요</t>
        </is>
      </c>
      <c r="F19" s="9" t="n">
        <v>-1</v>
      </c>
      <c r="G19" s="9" t="n">
        <v>7</v>
      </c>
    </row>
    <row r="20">
      <c r="A20" s="9" t="inlineStr">
        <is>
          <t>DIET-Q-06</t>
        </is>
      </c>
      <c r="B20" s="9" t="inlineStr">
        <is>
          <t>1.0.0</t>
        </is>
      </c>
      <c r="C20" s="9" t="n">
        <v>1</v>
      </c>
      <c r="D20" s="9" t="inlineStr">
        <is>
          <t>ate</t>
        </is>
      </c>
      <c r="E20" s="9" t="inlineStr">
        <is>
          <t>먹었어요</t>
        </is>
      </c>
      <c r="F20" s="9" t="n">
        <v>1</v>
      </c>
      <c r="G20" s="9" t="n">
        <v>8</v>
      </c>
    </row>
    <row r="21">
      <c r="A21" s="9" t="inlineStr">
        <is>
          <t>DIET-Q-06</t>
        </is>
      </c>
      <c r="B21" s="9" t="inlineStr">
        <is>
          <t>1.0.0</t>
        </is>
      </c>
      <c r="C21" s="9" t="n">
        <v>2</v>
      </c>
      <c r="D21" s="9" t="inlineStr">
        <is>
          <t>tasted_only</t>
        </is>
      </c>
      <c r="E21" s="9" t="inlineStr">
        <is>
          <t>맛만 봤어요</t>
        </is>
      </c>
      <c r="F21" s="9" t="n">
        <v>0</v>
      </c>
      <c r="G21" s="9" t="n">
        <v>8</v>
      </c>
    </row>
    <row r="22">
      <c r="A22" s="9" t="inlineStr">
        <is>
          <t>DIET-Q-06</t>
        </is>
      </c>
      <c r="B22" s="9" t="inlineStr">
        <is>
          <t>1.0.0</t>
        </is>
      </c>
      <c r="C22" s="9" t="n">
        <v>3</v>
      </c>
      <c r="D22" s="9" t="inlineStr">
        <is>
          <t>absent</t>
        </is>
      </c>
      <c r="E22" s="9" t="inlineStr">
        <is>
          <t>안 먹었어요</t>
        </is>
      </c>
      <c r="F22" s="9" t="n">
        <v>-1</v>
      </c>
      <c r="G22" s="9" t="n">
        <v>8</v>
      </c>
    </row>
    <row r="23">
      <c r="A23" s="9" t="inlineStr">
        <is>
          <t>DIET-Q-07</t>
        </is>
      </c>
      <c r="B23" s="9" t="inlineStr">
        <is>
          <t>1.0.0</t>
        </is>
      </c>
      <c r="C23" s="9" t="n">
        <v>1</v>
      </c>
      <c r="D23" s="9" t="inlineStr">
        <is>
          <t>absent</t>
        </is>
      </c>
      <c r="E23" s="9" t="inlineStr">
        <is>
          <t>안 먹었어요</t>
        </is>
      </c>
      <c r="F23" s="9" t="n">
        <v>1</v>
      </c>
      <c r="G23" s="9" t="n">
        <v>9</v>
      </c>
    </row>
    <row r="24">
      <c r="A24" s="9" t="inlineStr">
        <is>
          <t>DIET-Q-07</t>
        </is>
      </c>
      <c r="B24" s="9" t="inlineStr">
        <is>
          <t>1.0.0</t>
        </is>
      </c>
      <c r="C24" s="9" t="n">
        <v>2</v>
      </c>
      <c r="D24" s="9" t="inlineStr">
        <is>
          <t>tasted_only</t>
        </is>
      </c>
      <c r="E24" s="9" t="inlineStr">
        <is>
          <t>맛만 봤어요</t>
        </is>
      </c>
      <c r="F24" s="9" t="n">
        <v>0</v>
      </c>
      <c r="G24" s="9" t="n">
        <v>9</v>
      </c>
    </row>
    <row r="25">
      <c r="A25" s="9" t="inlineStr">
        <is>
          <t>DIET-Q-07</t>
        </is>
      </c>
      <c r="B25" s="9" t="inlineStr">
        <is>
          <t>1.0.0</t>
        </is>
      </c>
      <c r="C25" s="9" t="n">
        <v>3</v>
      </c>
      <c r="D25" s="9" t="inlineStr">
        <is>
          <t>ate</t>
        </is>
      </c>
      <c r="E25" s="9" t="inlineStr">
        <is>
          <t>먹었어요</t>
        </is>
      </c>
      <c r="F25" s="9" t="n">
        <v>-1</v>
      </c>
      <c r="G25" s="9" t="n">
        <v>9</v>
      </c>
    </row>
    <row r="26">
      <c r="A26" s="6" t="inlineStr">
        <is>
          <t>DIET-Q-90</t>
        </is>
      </c>
      <c r="B26" s="6" t="inlineStr">
        <is>
          <t>1.0.0</t>
        </is>
      </c>
      <c r="C26" s="6" t="n">
        <v>1</v>
      </c>
      <c r="D26" s="6" t="inlineStr">
        <is>
          <t>confirmed</t>
        </is>
      </c>
      <c r="E26" s="19" t="inlineStr">
        <is>
          <t>네</t>
        </is>
      </c>
      <c r="F26" s="6" t="n"/>
      <c r="G26" s="6" t="n"/>
    </row>
    <row r="27">
      <c r="A27" s="6" t="inlineStr">
        <is>
          <t>DIET-Q-90</t>
        </is>
      </c>
      <c r="B27" s="6" t="inlineStr">
        <is>
          <t>1.0.0</t>
        </is>
      </c>
      <c r="C27" s="6" t="n">
        <v>2</v>
      </c>
      <c r="D27" s="6" t="inlineStr">
        <is>
          <t>denied</t>
        </is>
      </c>
      <c r="E27" s="6" t="inlineStr">
        <is>
          <t>아니요</t>
        </is>
      </c>
      <c r="F27" s="6" t="n"/>
      <c r="G27" s="6" t="n"/>
    </row>
    <row r="28">
      <c r="A28" s="6" t="inlineStr">
        <is>
          <t>DIET-Q-90</t>
        </is>
      </c>
      <c r="B28" s="6" t="inlineStr">
        <is>
          <t>1.0.0</t>
        </is>
      </c>
      <c r="C28" s="6" t="n">
        <v>3</v>
      </c>
      <c r="D28" s="6" t="inlineStr">
        <is>
          <t>unknown</t>
        </is>
      </c>
      <c r="E28" s="19" t="inlineStr">
        <is>
          <t>모르겠어요</t>
        </is>
      </c>
      <c r="F28" s="6" t="n"/>
      <c r="G28" s="6" t="n"/>
    </row>
    <row r="29">
      <c r="A29" s="6" t="inlineStr">
        <is>
          <t>DIET-Q-08</t>
        </is>
      </c>
      <c r="B29" s="6" t="inlineStr">
        <is>
          <t>1.0.0</t>
        </is>
      </c>
      <c r="C29" s="6" t="n">
        <v>1</v>
      </c>
      <c r="D29" s="6" t="inlineStr">
        <is>
          <t>within_1h</t>
        </is>
      </c>
      <c r="E29" s="19" t="inlineStr">
        <is>
          <t>1시간 이내</t>
        </is>
      </c>
      <c r="F29" s="6" t="n"/>
      <c r="G29" s="6" t="n"/>
      <c r="H29" t="inlineStr">
        <is>
          <t>점심·저녁. 글자는 고정, 구간 「{t0} 이후」({t0}=답한 시각(10분 내림)−1시간)는 저장용. 상한·하한에 걸린 동안은 시각 글자(「1시 이후 / 12시~1시 사이 / 12시 이전」, 낮 12시대는 「12시 이후 / 11시~12시 사이 / 11시 이전」)를 보여 줌</t>
        </is>
      </c>
    </row>
    <row r="30">
      <c r="A30" s="6" t="inlineStr">
        <is>
          <t>DIET-Q-08</t>
        </is>
      </c>
      <c r="B30" s="6" t="inlineStr">
        <is>
          <t>1.0.0</t>
        </is>
      </c>
      <c r="C30" s="6" t="n">
        <v>2</v>
      </c>
      <c r="D30" s="6" t="inlineStr">
        <is>
          <t>one_to_two_h</t>
        </is>
      </c>
      <c r="E30" s="19" t="inlineStr">
        <is>
          <t>1~2시간 전</t>
        </is>
      </c>
      <c r="F30" s="6" t="n"/>
      <c r="G30" s="6" t="n"/>
      <c r="H30" t="inlineStr">
        <is>
          <t>구간 「{t1}~{t0}」({t1}={t0}−1시간)는 저장용</t>
        </is>
      </c>
    </row>
    <row r="31">
      <c r="A31" s="6" t="inlineStr">
        <is>
          <t>DIET-Q-08</t>
        </is>
      </c>
      <c r="B31" s="6" t="inlineStr">
        <is>
          <t>1.0.0</t>
        </is>
      </c>
      <c r="C31" s="6" t="n">
        <v>3</v>
      </c>
      <c r="D31" s="6" t="inlineStr">
        <is>
          <t>earlier</t>
        </is>
      </c>
      <c r="E31" s="19" t="inlineStr">
        <is>
          <t>그보다 전</t>
        </is>
      </c>
      <c r="F31" s="6" t="n"/>
      <c r="G31" s="6" t="n"/>
      <c r="H31" t="inlineStr">
        <is>
          <t>구간 「{t1} 이전」은 저장용</t>
        </is>
      </c>
    </row>
    <row r="32">
      <c r="A32" s="6" t="inlineStr">
        <is>
          <t>DIET-Q-09</t>
        </is>
      </c>
      <c r="B32" s="6" t="inlineStr">
        <is>
          <t>1.0.0</t>
        </is>
      </c>
      <c r="C32" s="6" t="n">
        <v>1</v>
      </c>
      <c r="D32" s="6" t="inlineStr">
        <is>
          <t>before_7</t>
        </is>
      </c>
      <c r="E32" s="19" t="inlineStr">
        <is>
          <t>7시 이전</t>
        </is>
      </c>
      <c r="F32" s="6" t="n"/>
      <c r="G32" s="6" t="n"/>
      <c r="H32" t="inlineStr">
        <is>
          <t>아침 고정. 작은 글씨 없음</t>
        </is>
      </c>
    </row>
    <row r="33">
      <c r="A33" s="6" t="inlineStr">
        <is>
          <t>DIET-Q-09</t>
        </is>
      </c>
      <c r="B33" s="6" t="inlineStr">
        <is>
          <t>1.0.0</t>
        </is>
      </c>
      <c r="C33" s="6" t="n">
        <v>2</v>
      </c>
      <c r="D33" s="6" t="inlineStr">
        <is>
          <t>seven_to_eight</t>
        </is>
      </c>
      <c r="E33" s="19" t="inlineStr">
        <is>
          <t>7시~8시</t>
        </is>
      </c>
      <c r="F33" s="6" t="n"/>
      <c r="G33" s="6" t="n"/>
      <c r="H33" t="inlineStr">
        <is>
          <t>아침 고정</t>
        </is>
      </c>
    </row>
    <row r="34">
      <c r="A34" s="6" t="inlineStr">
        <is>
          <t>DIET-Q-09</t>
        </is>
      </c>
      <c r="B34" s="6" t="inlineStr">
        <is>
          <t>1.0.0</t>
        </is>
      </c>
      <c r="C34" s="6" t="n">
        <v>3</v>
      </c>
      <c r="D34" s="6" t="inlineStr">
        <is>
          <t>after_8</t>
        </is>
      </c>
      <c r="E34" s="19" t="inlineStr">
        <is>
          <t>8시 이후</t>
        </is>
      </c>
      <c r="F34" s="6" t="n"/>
      <c r="G34" s="6" t="n"/>
      <c r="H34" t="inlineStr">
        <is>
          <t>아침 고정</t>
        </is>
      </c>
    </row>
    <row r="35">
      <c r="A35" s="6" t="inlineStr">
        <is>
          <t>DIET-Q-10</t>
        </is>
      </c>
      <c r="B35" s="6" t="inlineStr">
        <is>
          <t>1.0.0</t>
        </is>
      </c>
      <c r="C35" s="6" t="n">
        <v>1</v>
      </c>
      <c r="D35" s="6" t="inlineStr">
        <is>
          <t>before_7</t>
        </is>
      </c>
      <c r="E35" s="19" t="inlineStr">
        <is>
          <t>7시 이전</t>
        </is>
      </c>
      <c r="F35" s="6" t="n"/>
      <c r="G35" s="6" t="n"/>
      <c r="H35" t="inlineStr">
        <is>
          <t>어제 저녁 고정. 범위 17:00~19:00</t>
        </is>
      </c>
    </row>
    <row r="36">
      <c r="A36" s="6" t="inlineStr">
        <is>
          <t>DIET-Q-10</t>
        </is>
      </c>
      <c r="B36" s="6" t="inlineStr">
        <is>
          <t>1.0.0</t>
        </is>
      </c>
      <c r="C36" s="6" t="n">
        <v>2</v>
      </c>
      <c r="D36" s="6" t="inlineStr">
        <is>
          <t>seven_to_nine</t>
        </is>
      </c>
      <c r="E36" s="19" t="inlineStr">
        <is>
          <t>7시~9시</t>
        </is>
      </c>
      <c r="F36" s="6" t="n"/>
      <c r="G36" s="6" t="n"/>
      <c r="H36" t="inlineStr">
        <is>
          <t>범위 19:00~21:00</t>
        </is>
      </c>
    </row>
    <row r="37">
      <c r="A37" s="6" t="inlineStr">
        <is>
          <t>DIET-Q-10</t>
        </is>
      </c>
      <c r="B37" s="6" t="inlineStr">
        <is>
          <t>1.0.0</t>
        </is>
      </c>
      <c r="C37" s="6" t="n">
        <v>3</v>
      </c>
      <c r="D37" s="6" t="inlineStr">
        <is>
          <t>after_9</t>
        </is>
      </c>
      <c r="E37" s="19" t="inlineStr">
        <is>
          <t>9시 이후</t>
        </is>
      </c>
      <c r="F37" s="6" t="n"/>
      <c r="G37" s="6" t="n"/>
      <c r="H37" t="inlineStr">
        <is>
          <t>범위 21:00~23:00. 추정은 21:00(9시에 먹은 것으로 봄)</t>
        </is>
      </c>
    </row>
    <row r="38">
      <c r="A38" s="6" t="inlineStr">
        <is>
          <t>DIET-Q-11</t>
        </is>
      </c>
      <c r="B38" s="6" t="inlineStr">
        <is>
          <t>1.0.0</t>
        </is>
      </c>
      <c r="C38" s="6" t="n">
        <v>1</v>
      </c>
      <c r="D38" s="6" t="inlineStr">
        <is>
          <t>before_7</t>
        </is>
      </c>
      <c r="E38" s="19" t="inlineStr">
        <is>
          <t>7시 이전</t>
        </is>
      </c>
      <c r="F38" s="6" t="n"/>
      <c r="G38" s="6" t="n"/>
      <c r="H38" t="inlineStr">
        <is>
          <t>저녁 9시 뒤 고정. 범위 17:00~19:00</t>
        </is>
      </c>
    </row>
    <row r="39">
      <c r="A39" s="6" t="inlineStr">
        <is>
          <t>DIET-Q-11</t>
        </is>
      </c>
      <c r="B39" s="6" t="inlineStr">
        <is>
          <t>1.0.0</t>
        </is>
      </c>
      <c r="C39" s="6" t="n">
        <v>2</v>
      </c>
      <c r="D39" s="6" t="inlineStr">
        <is>
          <t>seven_to_nine</t>
        </is>
      </c>
      <c r="E39" s="19" t="inlineStr">
        <is>
          <t>7시~9시</t>
        </is>
      </c>
      <c r="F39" s="6" t="n"/>
      <c r="G39" s="6" t="n"/>
      <c r="H39" t="inlineStr">
        <is>
          <t>범위 19:00~21:00</t>
        </is>
      </c>
    </row>
    <row r="40">
      <c r="A40" s="6" t="inlineStr">
        <is>
          <t>DIET-Q-11</t>
        </is>
      </c>
      <c r="B40" s="6" t="inlineStr">
        <is>
          <t>1.0.0</t>
        </is>
      </c>
      <c r="C40" s="6" t="n">
        <v>3</v>
      </c>
      <c r="D40" s="6" t="inlineStr">
        <is>
          <t>after_9</t>
        </is>
      </c>
      <c r="E40" s="19" t="inlineStr">
        <is>
          <t>9시 이후</t>
        </is>
      </c>
      <c r="F40" s="6" t="n"/>
      <c r="G40" s="6" t="n"/>
      <c r="H40" t="inlineStr">
        <is>
          <t>범위 21:00~23:00. 추정은 21:00(9시에 먹은 것으로 봄)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8EA6B8"/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0.58203125" customWidth="1" min="1" max="1"/>
    <col width="23.58203125" customWidth="1" min="2" max="2"/>
    <col width="14.58203125" customWidth="1" min="3" max="3"/>
    <col width="12.58203125" customWidth="1" min="4" max="4"/>
    <col width="13.58203125" customWidth="1" min="5" max="5"/>
    <col width="20.58203125" customWidth="1" min="6" max="6"/>
    <col width="21.58203125" customWidth="1" min="7" max="7"/>
    <col width="60.58203125" customWidth="1" min="8" max="8"/>
    <col width="22.58203125" customWidth="1" min="9" max="9"/>
    <col width="60.58203125" customWidth="1" min="10" max="10"/>
    <col width="10.58203125" customWidth="1" min="11" max="11"/>
  </cols>
  <sheetData>
    <row r="1" ht="28" customHeight="1">
      <c r="A1" s="8" t="inlineStr">
        <is>
          <t>rule_id</t>
        </is>
      </c>
      <c r="B1" s="8" t="inlineStr">
        <is>
          <t>disease_name</t>
        </is>
      </c>
      <c r="C1" s="8" t="inlineStr">
        <is>
          <t>release_phase</t>
        </is>
      </c>
      <c r="D1" s="8" t="inlineStr">
        <is>
          <t>link_enabled</t>
        </is>
      </c>
      <c r="E1" s="8" t="inlineStr">
        <is>
          <t>ban_enabled</t>
        </is>
      </c>
      <c r="F1" s="8" t="inlineStr">
        <is>
          <t>confirmation_enabled</t>
        </is>
      </c>
      <c r="G1" s="8" t="inlineStr">
        <is>
          <t>confirmation_label</t>
        </is>
      </c>
      <c r="H1" s="8" t="inlineStr">
        <is>
          <t>ban_reason</t>
        </is>
      </c>
      <c r="I1" s="8" t="inlineStr">
        <is>
          <t>recommendation_action</t>
        </is>
      </c>
      <c r="J1" s="8" t="inlineStr">
        <is>
          <t>action_basis</t>
        </is>
      </c>
      <c r="K1" s="8" t="inlineStr">
        <is>
          <t>source_row</t>
        </is>
      </c>
    </row>
    <row r="2">
      <c r="A2" s="9" t="inlineStr">
        <is>
          <t>DX-01</t>
        </is>
      </c>
      <c r="B2" s="9" t="inlineStr">
        <is>
          <t>당뇨병</t>
        </is>
      </c>
      <c r="C2" s="9" t="inlineStr">
        <is>
          <t>1차</t>
        </is>
      </c>
      <c r="D2" s="9" t="b">
        <v>1</v>
      </c>
      <c r="E2" s="9" t="b">
        <v>1</v>
      </c>
      <c r="F2" s="9" t="b">
        <v>1</v>
      </c>
      <c r="G2" s="9" t="inlineStr">
        <is>
          <t>당뇨병</t>
        </is>
      </c>
      <c r="H2" s="10" t="inlineStr">
        <is>
          <t>저혈당 처치 우선. 공복 연장과 식사·탄수화물 일률 감량을 자동으로 내지 않는다</t>
        </is>
      </c>
      <c r="I2" s="9" t="inlineStr">
        <is>
          <t>EXCLUDE_PHRASE</t>
        </is>
      </c>
      <c r="J2" s="10" t="inlineStr">
        <is>
          <t>원본 link_enabled·ban_enabled 조합에서 파생</t>
        </is>
      </c>
      <c r="K2" s="9" t="n">
        <v>2</v>
      </c>
    </row>
    <row r="3">
      <c r="A3" s="9" t="inlineStr">
        <is>
          <t>DX-02</t>
        </is>
      </c>
      <c r="B3" s="9" t="inlineStr">
        <is>
          <t>고혈압</t>
        </is>
      </c>
      <c r="C3" s="9" t="inlineStr">
        <is>
          <t>1차</t>
        </is>
      </c>
      <c r="D3" s="9" t="b">
        <v>1</v>
      </c>
      <c r="E3" s="9" t="b">
        <v>0</v>
      </c>
      <c r="F3" s="9" t="b">
        <v>1</v>
      </c>
      <c r="G3" s="9" t="inlineStr">
        <is>
          <t>고혈압</t>
        </is>
      </c>
      <c r="H3" s="10" t="n"/>
      <c r="I3" s="9" t="inlineStr">
        <is>
          <t>LINK_ONLY</t>
        </is>
      </c>
      <c r="J3" s="10" t="inlineStr">
        <is>
          <t>원본 link_enabled·ban_enabled 조합에서 파생</t>
        </is>
      </c>
      <c r="K3" s="9" t="n">
        <v>3</v>
      </c>
    </row>
    <row r="4">
      <c r="A4" s="9" t="inlineStr">
        <is>
          <t>DX-03</t>
        </is>
      </c>
      <c r="B4" s="9" t="inlineStr">
        <is>
          <t>이상지질혈증</t>
        </is>
      </c>
      <c r="C4" s="9" t="inlineStr">
        <is>
          <t>1차</t>
        </is>
      </c>
      <c r="D4" s="9" t="b">
        <v>1</v>
      </c>
      <c r="E4" s="9" t="b">
        <v>0</v>
      </c>
      <c r="F4" s="9" t="b">
        <v>1</v>
      </c>
      <c r="G4" s="9" t="inlineStr">
        <is>
          <t>고지혈증(이상지질혈증)</t>
        </is>
      </c>
      <c r="H4" s="10" t="n"/>
      <c r="I4" s="9" t="inlineStr">
        <is>
          <t>LINK_ONLY</t>
        </is>
      </c>
      <c r="J4" s="10" t="inlineStr">
        <is>
          <t>원본 link_enabled·ban_enabled 조합에서 파생</t>
        </is>
      </c>
      <c r="K4" s="9" t="n">
        <v>4</v>
      </c>
    </row>
    <row r="5">
      <c r="A5" s="9" t="inlineStr">
        <is>
          <t>DX-04</t>
        </is>
      </c>
      <c r="B5" s="9" t="inlineStr">
        <is>
          <t>이상지질혈증 · 고중성지방</t>
        </is>
      </c>
      <c r="C5" s="9" t="inlineStr">
        <is>
          <t>1차</t>
        </is>
      </c>
      <c r="D5" s="9" t="b">
        <v>1</v>
      </c>
      <c r="E5" s="9" t="b">
        <v>0</v>
      </c>
      <c r="F5" s="9" t="b">
        <v>1</v>
      </c>
      <c r="G5" s="9" t="inlineStr">
        <is>
          <t>고지혈증(이상지질혈증)</t>
        </is>
      </c>
      <c r="H5" s="10" t="n"/>
      <c r="I5" s="9" t="inlineStr">
        <is>
          <t>LINK_ONLY</t>
        </is>
      </c>
      <c r="J5" s="10" t="inlineStr">
        <is>
          <t>원본 link_enabled·ban_enabled 조합에서 파생</t>
        </is>
      </c>
      <c r="K5" s="9" t="n">
        <v>5</v>
      </c>
    </row>
    <row r="6" ht="25" customHeight="1">
      <c r="A6" s="9" t="inlineStr">
        <is>
          <t>DX-05</t>
        </is>
      </c>
      <c r="B6" s="9" t="inlineStr">
        <is>
          <t>만성 신장질환</t>
        </is>
      </c>
      <c r="C6" s="9" t="inlineStr">
        <is>
          <t>1차</t>
        </is>
      </c>
      <c r="D6" s="3" t="b">
        <v>0</v>
      </c>
      <c r="E6" s="9" t="b">
        <v>1</v>
      </c>
      <c r="F6" s="9" t="b">
        <v>1</v>
      </c>
      <c r="G6" s="9" t="inlineStr">
        <is>
          <t>만성 신장질환</t>
        </is>
      </c>
      <c r="H6" s="10" t="inlineStr">
        <is>
          <t>칼륨·인·단백질·수분은 병기·검사·투석·영양상태별로 개별화한다. 정보를 확인하기 전에는 섭취 증감·수분 목표를 자동으로 내지 않는다</t>
        </is>
      </c>
      <c r="I6" s="9" t="inlineStr">
        <is>
          <t>EXCLUDE_PHRASE</t>
        </is>
      </c>
      <c r="J6" s="4" t="inlineStr">
        <is>
          <t>연결 축 없음. 금지만 적용한다(내정보질환매핑 SAFETY_ONLY와 맞춤)</t>
        </is>
      </c>
      <c r="K6" s="9" t="n">
        <v>6</v>
      </c>
    </row>
    <row r="7">
      <c r="A7" s="9" t="inlineStr">
        <is>
          <t>DX-06</t>
        </is>
      </c>
      <c r="B7" s="9" t="inlineStr">
        <is>
          <t>심혈관질환</t>
        </is>
      </c>
      <c r="C7" s="9" t="inlineStr">
        <is>
          <t>1차</t>
        </is>
      </c>
      <c r="D7" s="9" t="b">
        <v>1</v>
      </c>
      <c r="E7" s="9" t="b">
        <v>1</v>
      </c>
      <c r="F7" s="9" t="b">
        <v>1</v>
      </c>
      <c r="G7" s="3" t="inlineStr">
        <is>
          <t>심장 · 뇌혈관 질환</t>
        </is>
      </c>
      <c r="H7" s="10" t="inlineStr">
        <is>
          <t>심부전은 처방된 수분 계획이 우선이다</t>
        </is>
      </c>
      <c r="I7" s="9" t="inlineStr">
        <is>
          <t>EXCLUDE_PHRASE</t>
        </is>
      </c>
      <c r="J7" s="10" t="inlineStr">
        <is>
          <t>원본 link_enabled·ban_enabled 조합에서 파생</t>
        </is>
      </c>
      <c r="K7" s="9" t="n">
        <v>7</v>
      </c>
    </row>
    <row r="8">
      <c r="A8" s="9" t="inlineStr">
        <is>
          <t>DX-07</t>
        </is>
      </c>
      <c r="B8" s="9" t="inlineStr">
        <is>
          <t>지방간</t>
        </is>
      </c>
      <c r="C8" s="9" t="inlineStr">
        <is>
          <t>1차</t>
        </is>
      </c>
      <c r="D8" s="9" t="b">
        <v>1</v>
      </c>
      <c r="E8" s="9" t="b">
        <v>0</v>
      </c>
      <c r="F8" s="9" t="b">
        <v>1</v>
      </c>
      <c r="G8" s="9" t="inlineStr">
        <is>
          <t>지방간</t>
        </is>
      </c>
      <c r="H8" s="10" t="n"/>
      <c r="I8" s="9" t="inlineStr">
        <is>
          <t>LINK_ONLY</t>
        </is>
      </c>
      <c r="J8" s="10" t="inlineStr">
        <is>
          <t>원본 link_enabled·ban_enabled 조합에서 파생</t>
        </is>
      </c>
      <c r="K8" s="9" t="n">
        <v>8</v>
      </c>
    </row>
    <row r="9" ht="25" customHeight="1">
      <c r="A9" s="9" t="inlineStr">
        <is>
          <t>DX-08</t>
        </is>
      </c>
      <c r="B9" s="9" t="inlineStr">
        <is>
          <t>임신 · 산후 · 수유</t>
        </is>
      </c>
      <c r="C9" s="9" t="inlineStr">
        <is>
          <t>1차</t>
        </is>
      </c>
      <c r="D9" s="9" t="b">
        <v>0</v>
      </c>
      <c r="E9" s="9" t="b">
        <v>1</v>
      </c>
      <c r="F9" s="9" t="b">
        <v>0</v>
      </c>
      <c r="G9" s="9" t="n"/>
      <c r="H9" s="10" t="inlineStr">
        <is>
          <t>전문가의 개인 영양 계획을 확인하기 전에는 일반 감량·공복·증량을 자동으로 내지 않는다</t>
        </is>
      </c>
      <c r="I9" s="9" t="inlineStr">
        <is>
          <t>EXCLUDE_PHRASE</t>
        </is>
      </c>
      <c r="J9" s="10" t="inlineStr">
        <is>
          <t>ban_reason과 맞춘 값. 연결=False는 이 질환으로 목표를 몰아주지 않는다는 뜻이지 목표를 만들지 말라는 뜻이 아니다. 후보가 0이 되면 안내 상태로 끝난다</t>
        </is>
      </c>
      <c r="K9" s="9" t="n">
        <v>9</v>
      </c>
    </row>
    <row r="10" ht="25" customHeight="1">
      <c r="A10" s="9" t="inlineStr">
        <is>
          <t>DX-09</t>
        </is>
      </c>
      <c r="B10" s="9" t="inlineStr">
        <is>
          <t>섭식장애</t>
        </is>
      </c>
      <c r="C10" s="9" t="inlineStr">
        <is>
          <t>1차</t>
        </is>
      </c>
      <c r="D10" s="9" t="b">
        <v>0</v>
      </c>
      <c r="E10" s="9" t="b">
        <v>1</v>
      </c>
      <c r="F10" s="9" t="b">
        <v>0</v>
      </c>
      <c r="G10" s="9" t="n"/>
      <c r="H10" s="10" t="inlineStr">
        <is>
          <t>전문가의 개인 영양 계획을 확인하기 전에는 일반 감량·공복·증량을 자동으로 내지 않는다</t>
        </is>
      </c>
      <c r="I10" s="9" t="inlineStr">
        <is>
          <t>EXCLUDE_PHRASE</t>
        </is>
      </c>
      <c r="J10" s="10" t="inlineStr">
        <is>
          <t>ban_reason과 맞춘 값. 연결=False는 이 질환으로 목표를 몰아주지 않는다는 뜻이지 목표를 만들지 말라는 뜻이 아니다. 후보가 0이 되면 안내 상태로 끝난다</t>
        </is>
      </c>
      <c r="K10" s="9" t="n">
        <v>10</v>
      </c>
    </row>
    <row r="11" ht="25" customHeight="1">
      <c r="A11" s="9" t="inlineStr">
        <is>
          <t>DX-10</t>
        </is>
      </c>
      <c r="B11" s="9" t="inlineStr">
        <is>
          <t>영양결핍 · 저체중</t>
        </is>
      </c>
      <c r="C11" s="9" t="inlineStr">
        <is>
          <t>1차</t>
        </is>
      </c>
      <c r="D11" s="9" t="b">
        <v>0</v>
      </c>
      <c r="E11" s="9" t="b">
        <v>1</v>
      </c>
      <c r="F11" s="9" t="b">
        <v>0</v>
      </c>
      <c r="G11" s="9" t="n"/>
      <c r="H11" s="10" t="inlineStr">
        <is>
          <t>전문가의 개인 영양 계획을 확인하기 전에는 일반 감량·공복·증량을 자동으로 내지 않는다</t>
        </is>
      </c>
      <c r="I11" s="9" t="inlineStr">
        <is>
          <t>EXCLUDE_PHRASE</t>
        </is>
      </c>
      <c r="J11" s="10" t="inlineStr">
        <is>
          <t>ban_reason과 맞춘 값. 연결=False는 이 질환으로 목표를 몰아주지 않는다는 뜻이지 목표를 만들지 말라는 뜻이 아니다. 후보가 0이 되면 안내 상태로 끝난다</t>
        </is>
      </c>
      <c r="K11" s="9" t="n">
        <v>11</v>
      </c>
    </row>
    <row r="12" ht="25" customHeight="1">
      <c r="A12" s="9" t="inlineStr">
        <is>
          <t>DX-11</t>
        </is>
      </c>
      <c r="B12" s="9" t="inlineStr">
        <is>
          <t>악성신생물 치료 중</t>
        </is>
      </c>
      <c r="C12" s="9" t="inlineStr">
        <is>
          <t>1차</t>
        </is>
      </c>
      <c r="D12" s="9" t="b">
        <v>0</v>
      </c>
      <c r="E12" s="9" t="b">
        <v>1</v>
      </c>
      <c r="F12" s="9" t="b">
        <v>0</v>
      </c>
      <c r="G12" s="9" t="n"/>
      <c r="H12" s="10" t="inlineStr">
        <is>
          <t>전문가의 개인 영양 계획을 확인하기 전에는 일반 감량·공복·증량을 자동으로 내지 않는다</t>
        </is>
      </c>
      <c r="I12" s="9" t="inlineStr">
        <is>
          <t>EXCLUDE_PHRASE</t>
        </is>
      </c>
      <c r="J12" s="10" t="inlineStr">
        <is>
          <t>ban_reason과 맞춘 값. 연결=False는 이 질환으로 목표를 몰아주지 않는다는 뜻이지 목표를 만들지 말라는 뜻이 아니다. 후보가 0이 되면 안내 상태로 끝난다</t>
        </is>
      </c>
      <c r="K12" s="9" t="n">
        <v>12</v>
      </c>
    </row>
    <row r="13" ht="25" customHeight="1">
      <c r="A13" s="9" t="inlineStr">
        <is>
          <t>DX-12</t>
        </is>
      </c>
      <c r="B13" s="9" t="inlineStr">
        <is>
          <t>위 절제 · 비만수술 상태</t>
        </is>
      </c>
      <c r="C13" s="9" t="inlineStr">
        <is>
          <t>1차</t>
        </is>
      </c>
      <c r="D13" s="9" t="b">
        <v>0</v>
      </c>
      <c r="E13" s="9" t="b">
        <v>1</v>
      </c>
      <c r="F13" s="9" t="b">
        <v>0</v>
      </c>
      <c r="G13" s="9" t="n"/>
      <c r="H13" s="10" t="inlineStr">
        <is>
          <t>전문가의 개인 영양 계획을 확인하기 전에는 일반 감량·공복·증량을 자동으로 내지 않는다</t>
        </is>
      </c>
      <c r="I13" s="9" t="inlineStr">
        <is>
          <t>EXCLUDE_PHRASE</t>
        </is>
      </c>
      <c r="J13" s="10" t="inlineStr">
        <is>
          <t>ban_reason과 맞춘 값. 연결=False는 이 질환으로 목표를 몰아주지 않는다는 뜻이지 목표를 만들지 말라는 뜻이 아니다. 후보가 0이 되면 안내 상태로 끝난다</t>
        </is>
      </c>
      <c r="K13" s="9" t="n">
        <v>13</v>
      </c>
    </row>
    <row r="14" ht="25" customHeight="1">
      <c r="A14" s="9" t="inlineStr">
        <is>
          <t>DX-18</t>
        </is>
      </c>
      <c r="B14" s="9" t="inlineStr">
        <is>
          <t>투석 · 이식</t>
        </is>
      </c>
      <c r="C14" s="9" t="inlineStr">
        <is>
          <t>1차</t>
        </is>
      </c>
      <c r="D14" s="9" t="b">
        <v>0</v>
      </c>
      <c r="E14" s="9" t="b">
        <v>1</v>
      </c>
      <c r="F14" s="9" t="b">
        <v>0</v>
      </c>
      <c r="G14" s="9" t="n"/>
      <c r="H14" s="10" t="inlineStr">
        <is>
          <t>칼륨·인·단백질·수분은 병기·검사·투석·영양상태별로 개별화한다. 정보를 확인하기 전에는 증량·감량을 자동으로 내지 않는다</t>
        </is>
      </c>
      <c r="I14" s="9" t="inlineStr">
        <is>
          <t>EXCLUDE_PHRASE</t>
        </is>
      </c>
      <c r="J14" s="10" t="inlineStr">
        <is>
          <t>ban_reason과 맞춘 값. 연결=False는 이 질환으로 목표를 몰아주지 않는다는 뜻이지 목표를 만들지 말라는 뜻이 아니다. 후보가 0이 되면 안내 상태로 끝난다</t>
        </is>
      </c>
      <c r="K14" s="9" t="n">
        <v>14</v>
      </c>
    </row>
    <row r="15" ht="37.5" customHeight="1">
      <c r="A15" s="9" t="inlineStr">
        <is>
          <t>DX-20</t>
        </is>
      </c>
      <c r="B15" s="9" t="inlineStr">
        <is>
          <t>연하장애</t>
        </is>
      </c>
      <c r="C15" s="9" t="inlineStr">
        <is>
          <t>1차</t>
        </is>
      </c>
      <c r="D15" s="9" t="b">
        <v>0</v>
      </c>
      <c r="E15" s="9" t="b">
        <v>1</v>
      </c>
      <c r="F15" s="9" t="b">
        <v>0</v>
      </c>
      <c r="G15" s="9" t="n"/>
      <c r="H15" s="10" t="inlineStr">
        <is>
          <t>삼킴이 어려운 상태에서는 음식의 양·속도·질감을 개인 평가 없이 자동으로 권하지 않는다. 묽은 액체는 후두가 닫히기 전에 기도로 넘어가기 쉬워 물·차 권유도 막는다</t>
        </is>
      </c>
      <c r="I15" s="9" t="inlineStr">
        <is>
          <t>EXCLUDE_PHRASE</t>
        </is>
      </c>
      <c r="J15" s="10" t="inlineStr">
        <is>
          <t>ban_reason과 맞춘 값. 연결=False는 이 질환으로 목표를 몰아주지 않는다는 뜻이지 목표를 만들지 말라는 뜻이 아니다. 후보가 0이 되면 안내 상태로 끝난다</t>
        </is>
      </c>
      <c r="K15" s="9" t="n">
        <v>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8EA6B8"/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0.58203125" customWidth="1" min="1" max="3"/>
  </cols>
  <sheetData>
    <row r="1" ht="28" customHeight="1">
      <c r="A1" s="8" t="inlineStr">
        <is>
          <t>rule_id</t>
        </is>
      </c>
      <c r="B1" s="8" t="inlineStr">
        <is>
          <t>question_id</t>
        </is>
      </c>
      <c r="C1" s="8" t="inlineStr">
        <is>
          <t>source_row</t>
        </is>
      </c>
    </row>
    <row r="2">
      <c r="A2" s="9" t="inlineStr">
        <is>
          <t>DX-01</t>
        </is>
      </c>
      <c r="B2" s="9" t="inlineStr">
        <is>
          <t>DIET-Q-01</t>
        </is>
      </c>
      <c r="C2" s="9" t="n">
        <v>2</v>
      </c>
    </row>
    <row r="3">
      <c r="A3" s="9" t="inlineStr">
        <is>
          <t>DX-01</t>
        </is>
      </c>
      <c r="B3" s="9" t="inlineStr">
        <is>
          <t>DIET-Q-02</t>
        </is>
      </c>
      <c r="C3" s="9" t="n">
        <v>2</v>
      </c>
    </row>
    <row r="4">
      <c r="A4" s="9" t="inlineStr">
        <is>
          <t>DX-01</t>
        </is>
      </c>
      <c r="B4" s="9" t="inlineStr">
        <is>
          <t>DIET-Q-05</t>
        </is>
      </c>
      <c r="C4" s="9" t="n">
        <v>2</v>
      </c>
    </row>
    <row r="5">
      <c r="A5" s="9" t="inlineStr">
        <is>
          <t>DX-02</t>
        </is>
      </c>
      <c r="B5" s="9" t="inlineStr">
        <is>
          <t>DIET-Q-03</t>
        </is>
      </c>
      <c r="C5" s="9" t="n">
        <v>3</v>
      </c>
    </row>
    <row r="6">
      <c r="A6" s="9" t="inlineStr">
        <is>
          <t>DX-02</t>
        </is>
      </c>
      <c r="B6" s="9" t="inlineStr">
        <is>
          <t>DIET-Q-01</t>
        </is>
      </c>
      <c r="C6" s="9" t="n">
        <v>3</v>
      </c>
    </row>
    <row r="7">
      <c r="A7" s="9" t="inlineStr">
        <is>
          <t>DX-03</t>
        </is>
      </c>
      <c r="B7" s="9" t="inlineStr">
        <is>
          <t>DIET-Q-07</t>
        </is>
      </c>
      <c r="C7" s="9" t="n">
        <v>4</v>
      </c>
    </row>
    <row r="8">
      <c r="A8" s="9" t="inlineStr">
        <is>
          <t>DX-03</t>
        </is>
      </c>
      <c r="B8" s="9" t="inlineStr">
        <is>
          <t>DIET-Q-05</t>
        </is>
      </c>
      <c r="C8" s="9" t="n">
        <v>4</v>
      </c>
    </row>
    <row r="9">
      <c r="A9" s="9" t="inlineStr">
        <is>
          <t>DX-04</t>
        </is>
      </c>
      <c r="B9" s="9" t="inlineStr">
        <is>
          <t>DIET-Q-07</t>
        </is>
      </c>
      <c r="C9" s="9" t="n">
        <v>5</v>
      </c>
    </row>
    <row r="10">
      <c r="A10" s="9" t="inlineStr">
        <is>
          <t>DX-04</t>
        </is>
      </c>
      <c r="B10" s="9" t="inlineStr">
        <is>
          <t>DIET-Q-05</t>
        </is>
      </c>
      <c r="C10" s="9" t="n">
        <v>5</v>
      </c>
    </row>
    <row r="11">
      <c r="A11" s="9" t="inlineStr">
        <is>
          <t>DX-04</t>
        </is>
      </c>
      <c r="B11" s="9" t="inlineStr">
        <is>
          <t>DIET-Q-02</t>
        </is>
      </c>
      <c r="C11" s="9" t="n">
        <v>5</v>
      </c>
    </row>
    <row r="12">
      <c r="A12" s="3" t="inlineStr">
        <is>
          <t>DX-06</t>
        </is>
      </c>
      <c r="B12" s="9" t="inlineStr">
        <is>
          <t>DIET-Q-03</t>
        </is>
      </c>
      <c r="C12" s="3" t="n">
        <v>7</v>
      </c>
    </row>
    <row r="13">
      <c r="A13" s="9" t="inlineStr">
        <is>
          <t>DX-06</t>
        </is>
      </c>
      <c r="B13" s="3" t="inlineStr">
        <is>
          <t>DIET-Q-07</t>
        </is>
      </c>
      <c r="C13" s="9" t="n">
        <v>7</v>
      </c>
    </row>
    <row r="14">
      <c r="A14" s="3" t="inlineStr">
        <is>
          <t>DX-07</t>
        </is>
      </c>
      <c r="B14" s="3" t="inlineStr">
        <is>
          <t>DIET-Q-02</t>
        </is>
      </c>
      <c r="C14" s="3" t="n">
        <v>8</v>
      </c>
    </row>
    <row r="15">
      <c r="A15" s="9" t="inlineStr">
        <is>
          <t>DX-07</t>
        </is>
      </c>
      <c r="B15" s="3" t="inlineStr">
        <is>
          <t>DIET-Q-07</t>
        </is>
      </c>
      <c r="C15" s="9" t="n">
        <v>8</v>
      </c>
    </row>
    <row r="16">
      <c r="A16" s="9" t="inlineStr">
        <is>
          <t>DX-07</t>
        </is>
      </c>
      <c r="B16" s="3" t="inlineStr">
        <is>
          <t>DIET-Q-05</t>
        </is>
      </c>
      <c r="C16" s="9" t="n">
        <v>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8EA6B8"/>
    <outlinePr summaryBelow="1" summaryRight="1"/>
    <pageSetUpPr/>
  </sheetPr>
  <dimension ref="A1:C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0.58203125" customWidth="1" min="1" max="1"/>
    <col width="12.58203125" customWidth="1" min="2" max="2"/>
    <col width="10.58203125" customWidth="1" min="3" max="3"/>
  </cols>
  <sheetData>
    <row r="1" ht="28" customHeight="1">
      <c r="A1" s="8" t="inlineStr">
        <is>
          <t>rule_id</t>
        </is>
      </c>
      <c r="B1" s="8" t="inlineStr">
        <is>
          <t>nature_code</t>
        </is>
      </c>
      <c r="C1" s="8" t="inlineStr">
        <is>
          <t>source_row</t>
        </is>
      </c>
    </row>
    <row r="2">
      <c r="A2" s="9" t="inlineStr">
        <is>
          <t>DX-01</t>
        </is>
      </c>
      <c r="B2" s="9" t="inlineStr">
        <is>
          <t>FAST</t>
        </is>
      </c>
      <c r="C2" s="9" t="n">
        <v>2</v>
      </c>
    </row>
    <row r="3">
      <c r="A3" s="9" t="inlineStr">
        <is>
          <t>DX-01</t>
        </is>
      </c>
      <c r="B3" s="9" t="inlineStr">
        <is>
          <t>REDUCE</t>
        </is>
      </c>
      <c r="C3" s="9" t="n">
        <v>2</v>
      </c>
    </row>
    <row r="4">
      <c r="A4" s="9" t="inlineStr">
        <is>
          <t>DX-05</t>
        </is>
      </c>
      <c r="B4" s="9" t="inlineStr">
        <is>
          <t>INCREASE</t>
        </is>
      </c>
      <c r="C4" s="9" t="n">
        <v>6</v>
      </c>
    </row>
    <row r="5">
      <c r="A5" s="9" t="inlineStr">
        <is>
          <t>DX-05</t>
        </is>
      </c>
      <c r="B5" s="9" t="inlineStr">
        <is>
          <t>REDUCE</t>
        </is>
      </c>
      <c r="C5" s="9" t="n">
        <v>6</v>
      </c>
    </row>
    <row r="6">
      <c r="A6" s="9" t="inlineStr">
        <is>
          <t>DX-06</t>
        </is>
      </c>
      <c r="B6" s="9" t="inlineStr">
        <is>
          <t>FLUID</t>
        </is>
      </c>
      <c r="C6" s="9" t="n">
        <v>7</v>
      </c>
    </row>
    <row r="7">
      <c r="A7" s="9" t="inlineStr">
        <is>
          <t>DX-08</t>
        </is>
      </c>
      <c r="B7" s="9" t="inlineStr">
        <is>
          <t>REDUCE</t>
        </is>
      </c>
      <c r="C7" s="9" t="n">
        <v>9</v>
      </c>
    </row>
    <row r="8">
      <c r="A8" s="9" t="inlineStr">
        <is>
          <t>DX-08</t>
        </is>
      </c>
      <c r="B8" s="9" t="inlineStr">
        <is>
          <t>FAST</t>
        </is>
      </c>
      <c r="C8" s="9" t="n">
        <v>9</v>
      </c>
    </row>
    <row r="9">
      <c r="A9" s="9" t="inlineStr">
        <is>
          <t>DX-08</t>
        </is>
      </c>
      <c r="B9" s="9" t="inlineStr">
        <is>
          <t>INCREASE</t>
        </is>
      </c>
      <c r="C9" s="9" t="n">
        <v>9</v>
      </c>
    </row>
    <row r="10">
      <c r="A10" s="9" t="inlineStr">
        <is>
          <t>DX-09</t>
        </is>
      </c>
      <c r="B10" s="9" t="inlineStr">
        <is>
          <t>REDUCE</t>
        </is>
      </c>
      <c r="C10" s="9" t="n">
        <v>10</v>
      </c>
    </row>
    <row r="11">
      <c r="A11" s="9" t="inlineStr">
        <is>
          <t>DX-09</t>
        </is>
      </c>
      <c r="B11" s="9" t="inlineStr">
        <is>
          <t>FAST</t>
        </is>
      </c>
      <c r="C11" s="9" t="n">
        <v>10</v>
      </c>
    </row>
    <row r="12">
      <c r="A12" s="9" t="inlineStr">
        <is>
          <t>DX-09</t>
        </is>
      </c>
      <c r="B12" s="9" t="inlineStr">
        <is>
          <t>INCREASE</t>
        </is>
      </c>
      <c r="C12" s="9" t="n">
        <v>10</v>
      </c>
    </row>
    <row r="13">
      <c r="A13" s="9" t="inlineStr">
        <is>
          <t>DX-10</t>
        </is>
      </c>
      <c r="B13" s="9" t="inlineStr">
        <is>
          <t>REDUCE</t>
        </is>
      </c>
      <c r="C13" s="9" t="n">
        <v>11</v>
      </c>
    </row>
    <row r="14">
      <c r="A14" s="9" t="inlineStr">
        <is>
          <t>DX-10</t>
        </is>
      </c>
      <c r="B14" s="9" t="inlineStr">
        <is>
          <t>FAST</t>
        </is>
      </c>
      <c r="C14" s="9" t="n">
        <v>11</v>
      </c>
    </row>
    <row r="15">
      <c r="A15" s="9" t="inlineStr">
        <is>
          <t>DX-10</t>
        </is>
      </c>
      <c r="B15" s="9" t="inlineStr">
        <is>
          <t>INCREASE</t>
        </is>
      </c>
      <c r="C15" s="9" t="n">
        <v>11</v>
      </c>
    </row>
    <row r="16">
      <c r="A16" s="9" t="inlineStr">
        <is>
          <t>DX-11</t>
        </is>
      </c>
      <c r="B16" s="9" t="inlineStr">
        <is>
          <t>REDUCE</t>
        </is>
      </c>
      <c r="C16" s="9" t="n">
        <v>12</v>
      </c>
    </row>
    <row r="17">
      <c r="A17" s="9" t="inlineStr">
        <is>
          <t>DX-11</t>
        </is>
      </c>
      <c r="B17" s="9" t="inlineStr">
        <is>
          <t>FAST</t>
        </is>
      </c>
      <c r="C17" s="9" t="n">
        <v>12</v>
      </c>
    </row>
    <row r="18">
      <c r="A18" s="9" t="inlineStr">
        <is>
          <t>DX-11</t>
        </is>
      </c>
      <c r="B18" s="9" t="inlineStr">
        <is>
          <t>INCREASE</t>
        </is>
      </c>
      <c r="C18" s="9" t="n">
        <v>12</v>
      </c>
    </row>
    <row r="19">
      <c r="A19" s="9" t="inlineStr">
        <is>
          <t>DX-12</t>
        </is>
      </c>
      <c r="B19" s="9" t="inlineStr">
        <is>
          <t>REDUCE</t>
        </is>
      </c>
      <c r="C19" s="9" t="n">
        <v>13</v>
      </c>
    </row>
    <row r="20">
      <c r="A20" s="9" t="inlineStr">
        <is>
          <t>DX-12</t>
        </is>
      </c>
      <c r="B20" s="9" t="inlineStr">
        <is>
          <t>FAST</t>
        </is>
      </c>
      <c r="C20" s="9" t="n">
        <v>13</v>
      </c>
    </row>
    <row r="21">
      <c r="A21" s="9" t="inlineStr">
        <is>
          <t>DX-12</t>
        </is>
      </c>
      <c r="B21" s="9" t="inlineStr">
        <is>
          <t>INCREASE</t>
        </is>
      </c>
      <c r="C21" s="9" t="n">
        <v>13</v>
      </c>
    </row>
    <row r="22">
      <c r="A22" s="9" t="inlineStr">
        <is>
          <t>DX-18</t>
        </is>
      </c>
      <c r="B22" s="9" t="inlineStr">
        <is>
          <t>INCREASE</t>
        </is>
      </c>
      <c r="C22" s="9" t="n">
        <v>14</v>
      </c>
    </row>
    <row r="23">
      <c r="A23" s="9" t="inlineStr">
        <is>
          <t>DX-18</t>
        </is>
      </c>
      <c r="B23" s="9" t="inlineStr">
        <is>
          <t>REDUCE</t>
        </is>
      </c>
      <c r="C23" s="9" t="n">
        <v>14</v>
      </c>
    </row>
    <row r="24">
      <c r="A24" s="9" t="inlineStr">
        <is>
          <t>DX-20</t>
        </is>
      </c>
      <c r="B24" s="9" t="inlineStr">
        <is>
          <t>REDUCE</t>
        </is>
      </c>
      <c r="C24" s="9" t="n">
        <v>15</v>
      </c>
    </row>
    <row r="25">
      <c r="A25" s="9" t="inlineStr">
        <is>
          <t>DX-20</t>
        </is>
      </c>
      <c r="B25" s="9" t="inlineStr">
        <is>
          <t>FAST</t>
        </is>
      </c>
      <c r="C25" s="9" t="n">
        <v>15</v>
      </c>
    </row>
    <row r="26">
      <c r="A26" s="9" t="inlineStr">
        <is>
          <t>DX-20</t>
        </is>
      </c>
      <c r="B26" s="9" t="inlineStr">
        <is>
          <t>INCREASE</t>
        </is>
      </c>
      <c r="C26" s="9" t="n">
        <v>15</v>
      </c>
    </row>
    <row r="27">
      <c r="A27" s="9" t="inlineStr">
        <is>
          <t>DX-20</t>
        </is>
      </c>
      <c r="B27" s="9" t="inlineStr">
        <is>
          <t>TEXTURE</t>
        </is>
      </c>
      <c r="C27" s="9" t="n">
        <v>15</v>
      </c>
    </row>
    <row r="28">
      <c r="A28" s="9" t="inlineStr">
        <is>
          <t>DX-20</t>
        </is>
      </c>
      <c r="B28" s="9" t="inlineStr">
        <is>
          <t>FLUID</t>
        </is>
      </c>
      <c r="C28" s="9" t="n">
        <v>15</v>
      </c>
    </row>
    <row r="29">
      <c r="A29" s="6" t="inlineStr">
        <is>
          <t>DX-05</t>
        </is>
      </c>
      <c r="B29" s="6" t="inlineStr">
        <is>
          <t>FLUID</t>
        </is>
      </c>
      <c r="C29" s="6" t="n">
        <v>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8EA6B8"/>
    <outlinePr summaryBelow="1" summaryRight="1"/>
    <pageSetUpPr/>
  </sheetPr>
  <dimension ref="A1:L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2.58203125" customWidth="1" min="1" max="1"/>
    <col width="10.58203125" customWidth="1" min="2" max="2"/>
    <col width="15.58203125" customWidth="1" min="3" max="3"/>
    <col width="47.58203125" customWidth="1" min="4" max="4"/>
    <col width="10.58203125" customWidth="1" min="5" max="6"/>
    <col width="16.58203125" customWidth="1" min="7" max="8"/>
    <col width="13.58203125" customWidth="1" min="9" max="9"/>
    <col width="21.58203125" customWidth="1" min="10" max="10"/>
    <col width="53.58203125" customWidth="1" min="11" max="11"/>
    <col width="10.58203125" customWidth="1" min="12" max="12"/>
  </cols>
  <sheetData>
    <row r="1" ht="28" customHeight="1">
      <c r="A1" s="8" t="inlineStr">
        <is>
          <t>condition_id</t>
        </is>
      </c>
      <c r="B1" s="8" t="inlineStr">
        <is>
          <t>rule_id</t>
        </is>
      </c>
      <c r="C1" s="8" t="inlineStr">
        <is>
          <t>diagnosis_code</t>
        </is>
      </c>
      <c r="D1" s="8" t="inlineStr">
        <is>
          <t>code_label</t>
        </is>
      </c>
      <c r="E1" s="8" t="inlineStr">
        <is>
          <t>match_type</t>
        </is>
      </c>
      <c r="F1" s="8" t="inlineStr">
        <is>
          <t>range_end</t>
        </is>
      </c>
      <c r="G1" s="8" t="inlineStr">
        <is>
          <t>window_months</t>
        </is>
      </c>
      <c r="H1" s="8" t="inlineStr">
        <is>
          <t>min_occurrences</t>
        </is>
      </c>
      <c r="I1" s="8" t="inlineStr">
        <is>
          <t>primary_only</t>
        </is>
      </c>
      <c r="J1" s="8" t="inlineStr">
        <is>
          <t>companion_codes_raw</t>
        </is>
      </c>
      <c r="K1" s="8" t="inlineStr">
        <is>
          <t>condition_note</t>
        </is>
      </c>
      <c r="L1" s="8" t="inlineStr">
        <is>
          <t>source_row</t>
        </is>
      </c>
    </row>
    <row r="2">
      <c r="A2" s="9" t="inlineStr">
        <is>
          <t>COND-002</t>
        </is>
      </c>
      <c r="B2" s="9" t="inlineStr">
        <is>
          <t>DX-01</t>
        </is>
      </c>
      <c r="C2" s="9" t="inlineStr">
        <is>
          <t>E11</t>
        </is>
      </c>
      <c r="D2" s="9" t="inlineStr">
        <is>
          <t>2형 당뇨병</t>
        </is>
      </c>
      <c r="E2" s="9" t="inlineStr">
        <is>
          <t>PREFIX</t>
        </is>
      </c>
      <c r="F2" s="9" t="n"/>
      <c r="G2" s="9" t="n">
        <v>12</v>
      </c>
      <c r="H2" s="9" t="n">
        <v>2</v>
      </c>
      <c r="I2" s="9" t="b">
        <v>1</v>
      </c>
      <c r="J2" s="9" t="n"/>
      <c r="K2" s="9" t="inlineStr">
        <is>
          <t>2형 당뇨병. 세부 4자리 포함</t>
        </is>
      </c>
      <c r="L2" s="9" t="n">
        <v>2</v>
      </c>
    </row>
    <row r="3">
      <c r="A3" s="9" t="inlineStr">
        <is>
          <t>COND-003</t>
        </is>
      </c>
      <c r="B3" s="9" t="inlineStr">
        <is>
          <t>DX-01</t>
        </is>
      </c>
      <c r="C3" s="9" t="inlineStr">
        <is>
          <t>E13</t>
        </is>
      </c>
      <c r="D3" s="9" t="inlineStr">
        <is>
          <t>기타 명시된 당뇨병</t>
        </is>
      </c>
      <c r="E3" s="9" t="inlineStr">
        <is>
          <t>PREFIX</t>
        </is>
      </c>
      <c r="F3" s="9" t="n"/>
      <c r="G3" s="9" t="n">
        <v>12</v>
      </c>
      <c r="H3" s="9" t="n">
        <v>2</v>
      </c>
      <c r="I3" s="9" t="b">
        <v>1</v>
      </c>
      <c r="J3" s="9" t="n"/>
      <c r="K3" s="9" t="n"/>
      <c r="L3" s="9" t="n">
        <v>3</v>
      </c>
    </row>
    <row r="4">
      <c r="A4" s="9" t="inlineStr">
        <is>
          <t>COND-004</t>
        </is>
      </c>
      <c r="B4" s="9" t="inlineStr">
        <is>
          <t>DX-01</t>
        </is>
      </c>
      <c r="C4" s="9" t="inlineStr">
        <is>
          <t>E14</t>
        </is>
      </c>
      <c r="D4" s="9" t="inlineStr">
        <is>
          <t>상세불명의 당뇨병</t>
        </is>
      </c>
      <c r="E4" s="9" t="inlineStr">
        <is>
          <t>PREFIX</t>
        </is>
      </c>
      <c r="F4" s="9" t="n"/>
      <c r="G4" s="9" t="n">
        <v>12</v>
      </c>
      <c r="H4" s="9" t="n">
        <v>2</v>
      </c>
      <c r="I4" s="9" t="b">
        <v>1</v>
      </c>
      <c r="J4" s="9" t="n"/>
      <c r="K4" s="9" t="n"/>
      <c r="L4" s="9" t="n">
        <v>4</v>
      </c>
    </row>
    <row r="5">
      <c r="A5" s="9" t="inlineStr">
        <is>
          <t>COND-005</t>
        </is>
      </c>
      <c r="B5" s="9" t="inlineStr">
        <is>
          <t>DX-01</t>
        </is>
      </c>
      <c r="C5" s="9" t="inlineStr">
        <is>
          <t>E10</t>
        </is>
      </c>
      <c r="D5" s="9" t="inlineStr">
        <is>
          <t>1형 당뇨병</t>
        </is>
      </c>
      <c r="E5" s="9" t="inlineStr">
        <is>
          <t>PREFIX</t>
        </is>
      </c>
      <c r="F5" s="9" t="n"/>
      <c r="G5" s="9" t="n">
        <v>12</v>
      </c>
      <c r="H5" s="9" t="n">
        <v>2</v>
      </c>
      <c r="I5" s="9" t="b">
        <v>1</v>
      </c>
      <c r="J5" s="9" t="n"/>
      <c r="K5" s="9" t="inlineStr">
        <is>
          <t>1형 당뇨병</t>
        </is>
      </c>
      <c r="L5" s="9" t="n">
        <v>5</v>
      </c>
    </row>
    <row r="6">
      <c r="A6" s="9" t="inlineStr">
        <is>
          <t>COND-006</t>
        </is>
      </c>
      <c r="B6" s="9" t="inlineStr">
        <is>
          <t>DX-02</t>
        </is>
      </c>
      <c r="C6" s="9" t="inlineStr">
        <is>
          <t>I10</t>
        </is>
      </c>
      <c r="D6" s="9" t="inlineStr">
        <is>
          <t>본태성(원발성) 고혈압</t>
        </is>
      </c>
      <c r="E6" s="9" t="inlineStr">
        <is>
          <t>PREFIX</t>
        </is>
      </c>
      <c r="F6" s="9" t="n"/>
      <c r="G6" s="9" t="n">
        <v>12</v>
      </c>
      <c r="H6" s="9" t="n">
        <v>2</v>
      </c>
      <c r="I6" s="9" t="b">
        <v>1</v>
      </c>
      <c r="J6" s="9" t="n"/>
      <c r="K6" s="9" t="n"/>
      <c r="L6" s="9" t="n">
        <v>6</v>
      </c>
    </row>
    <row r="7">
      <c r="A7" s="9" t="inlineStr">
        <is>
          <t>COND-007</t>
        </is>
      </c>
      <c r="B7" s="9" t="inlineStr">
        <is>
          <t>DX-02</t>
        </is>
      </c>
      <c r="C7" s="9" t="inlineStr">
        <is>
          <t>I11</t>
        </is>
      </c>
      <c r="D7" s="9" t="inlineStr">
        <is>
          <t>고혈압성 심장질환</t>
        </is>
      </c>
      <c r="E7" s="9" t="inlineStr">
        <is>
          <t>PREFIX</t>
        </is>
      </c>
      <c r="F7" s="9" t="n"/>
      <c r="G7" s="9" t="n">
        <v>12</v>
      </c>
      <c r="H7" s="9" t="n">
        <v>2</v>
      </c>
      <c r="I7" s="9" t="b">
        <v>1</v>
      </c>
      <c r="J7" s="9" t="n"/>
      <c r="K7" s="9" t="n"/>
      <c r="L7" s="9" t="n">
        <v>7</v>
      </c>
    </row>
    <row r="8">
      <c r="A8" s="9" t="inlineStr">
        <is>
          <t>COND-008</t>
        </is>
      </c>
      <c r="B8" s="9" t="inlineStr">
        <is>
          <t>DX-02</t>
        </is>
      </c>
      <c r="C8" s="9" t="inlineStr">
        <is>
          <t>I15</t>
        </is>
      </c>
      <c r="D8" s="9" t="inlineStr">
        <is>
          <t>이차성 고혈압</t>
        </is>
      </c>
      <c r="E8" s="9" t="inlineStr">
        <is>
          <t>PREFIX</t>
        </is>
      </c>
      <c r="F8" s="9" t="n"/>
      <c r="G8" s="9" t="n">
        <v>12</v>
      </c>
      <c r="H8" s="9" t="n">
        <v>2</v>
      </c>
      <c r="I8" s="9" t="b">
        <v>1</v>
      </c>
      <c r="J8" s="9" t="n"/>
      <c r="K8" s="9" t="n"/>
      <c r="L8" s="9" t="n">
        <v>8</v>
      </c>
    </row>
    <row r="9">
      <c r="A9" s="9" t="inlineStr">
        <is>
          <t>COND-009</t>
        </is>
      </c>
      <c r="B9" s="9" t="inlineStr">
        <is>
          <t>DX-03</t>
        </is>
      </c>
      <c r="C9" s="9" t="inlineStr">
        <is>
          <t>E78.0</t>
        </is>
      </c>
      <c r="D9" s="9" t="inlineStr">
        <is>
          <t>순수 고콜레스테롤혈증</t>
        </is>
      </c>
      <c r="E9" s="9" t="inlineStr">
        <is>
          <t>EXACT</t>
        </is>
      </c>
      <c r="F9" s="9" t="n"/>
      <c r="G9" s="9" t="n">
        <v>12</v>
      </c>
      <c r="H9" s="9" t="n">
        <v>2</v>
      </c>
      <c r="I9" s="9" t="b">
        <v>1</v>
      </c>
      <c r="J9" s="9" t="n"/>
      <c r="K9" s="9" t="n"/>
      <c r="L9" s="9" t="n">
        <v>9</v>
      </c>
    </row>
    <row r="10">
      <c r="A10" s="9" t="inlineStr">
        <is>
          <t>COND-010</t>
        </is>
      </c>
      <c r="B10" s="9" t="inlineStr">
        <is>
          <t>DX-03</t>
        </is>
      </c>
      <c r="C10" s="9" t="inlineStr">
        <is>
          <t>E78.4</t>
        </is>
      </c>
      <c r="D10" s="9" t="inlineStr">
        <is>
          <t>기타 고지질혈증</t>
        </is>
      </c>
      <c r="E10" s="9" t="inlineStr">
        <is>
          <t>EXACT</t>
        </is>
      </c>
      <c r="F10" s="9" t="n"/>
      <c r="G10" s="9" t="n">
        <v>12</v>
      </c>
      <c r="H10" s="9" t="n">
        <v>2</v>
      </c>
      <c r="I10" s="9" t="b">
        <v>1</v>
      </c>
      <c r="J10" s="9" t="n"/>
      <c r="K10" s="9" t="n"/>
      <c r="L10" s="9" t="n">
        <v>10</v>
      </c>
    </row>
    <row r="11">
      <c r="A11" s="9" t="inlineStr">
        <is>
          <t>COND-011</t>
        </is>
      </c>
      <c r="B11" s="9" t="inlineStr">
        <is>
          <t>DX-03</t>
        </is>
      </c>
      <c r="C11" s="9" t="inlineStr">
        <is>
          <t>E78.5</t>
        </is>
      </c>
      <c r="D11" s="9" t="inlineStr">
        <is>
          <t>상세불명의 고지질혈증</t>
        </is>
      </c>
      <c r="E11" s="9" t="inlineStr">
        <is>
          <t>EXACT</t>
        </is>
      </c>
      <c r="F11" s="9" t="n"/>
      <c r="G11" s="9" t="n">
        <v>12</v>
      </c>
      <c r="H11" s="9" t="n">
        <v>2</v>
      </c>
      <c r="I11" s="9" t="b">
        <v>1</v>
      </c>
      <c r="J11" s="9" t="n"/>
      <c r="K11" s="9" t="inlineStr">
        <is>
          <t>E78.6은 쓰지 않는다</t>
        </is>
      </c>
      <c r="L11" s="9" t="n">
        <v>11</v>
      </c>
    </row>
    <row r="12">
      <c r="A12" s="9" t="inlineStr">
        <is>
          <t>COND-012</t>
        </is>
      </c>
      <c r="B12" s="9" t="inlineStr">
        <is>
          <t>DX-04</t>
        </is>
      </c>
      <c r="C12" s="9" t="inlineStr">
        <is>
          <t>E78.1</t>
        </is>
      </c>
      <c r="D12" s="9" t="inlineStr">
        <is>
          <t>순수 고글리세리드혈증</t>
        </is>
      </c>
      <c r="E12" s="9" t="inlineStr">
        <is>
          <t>EXACT</t>
        </is>
      </c>
      <c r="F12" s="9" t="n"/>
      <c r="G12" s="9" t="n">
        <v>12</v>
      </c>
      <c r="H12" s="9" t="n">
        <v>2</v>
      </c>
      <c r="I12" s="9" t="b">
        <v>1</v>
      </c>
      <c r="J12" s="9" t="n"/>
      <c r="K12" s="9" t="inlineStr">
        <is>
          <t>고중성지방</t>
        </is>
      </c>
      <c r="L12" s="9" t="n">
        <v>12</v>
      </c>
    </row>
    <row r="13">
      <c r="A13" s="9" t="inlineStr">
        <is>
          <t>COND-013</t>
        </is>
      </c>
      <c r="B13" s="9" t="inlineStr">
        <is>
          <t>DX-04</t>
        </is>
      </c>
      <c r="C13" s="9" t="inlineStr">
        <is>
          <t>E78.2</t>
        </is>
      </c>
      <c r="D13" s="9" t="inlineStr">
        <is>
          <t>혼합성 고지질혈증</t>
        </is>
      </c>
      <c r="E13" s="9" t="inlineStr">
        <is>
          <t>EXACT</t>
        </is>
      </c>
      <c r="F13" s="9" t="n"/>
      <c r="G13" s="9" t="n">
        <v>12</v>
      </c>
      <c r="H13" s="9" t="n">
        <v>2</v>
      </c>
      <c r="I13" s="9" t="b">
        <v>1</v>
      </c>
      <c r="J13" s="9" t="n"/>
      <c r="K13" s="9" t="inlineStr">
        <is>
          <t>고중성지방</t>
        </is>
      </c>
      <c r="L13" s="9" t="n">
        <v>13</v>
      </c>
    </row>
    <row r="14">
      <c r="A14" s="9" t="inlineStr">
        <is>
          <t>COND-014</t>
        </is>
      </c>
      <c r="B14" s="9" t="inlineStr">
        <is>
          <t>DX-05</t>
        </is>
      </c>
      <c r="C14" s="9" t="inlineStr">
        <is>
          <t>N18.3</t>
        </is>
      </c>
      <c r="D14" s="9" t="inlineStr">
        <is>
          <t>만성 신장질환 3기</t>
        </is>
      </c>
      <c r="E14" s="9" t="inlineStr">
        <is>
          <t>EXACT</t>
        </is>
      </c>
      <c r="F14" s="9" t="n"/>
      <c r="G14" s="9" t="n">
        <v>12</v>
      </c>
      <c r="H14" s="9" t="n">
        <v>1</v>
      </c>
      <c r="I14" s="9" t="b">
        <v>1</v>
      </c>
      <c r="J14" s="9" t="n"/>
      <c r="K14" s="9" t="inlineStr">
        <is>
          <t>3기 이상은 1회로 족하다</t>
        </is>
      </c>
      <c r="L14" s="9" t="n">
        <v>14</v>
      </c>
    </row>
    <row r="15">
      <c r="A15" s="9" t="inlineStr">
        <is>
          <t>COND-015</t>
        </is>
      </c>
      <c r="B15" s="9" t="inlineStr">
        <is>
          <t>DX-05</t>
        </is>
      </c>
      <c r="C15" s="9" t="inlineStr">
        <is>
          <t>N18.4</t>
        </is>
      </c>
      <c r="D15" s="9" t="inlineStr">
        <is>
          <t>만성 신장질환 4기</t>
        </is>
      </c>
      <c r="E15" s="9" t="inlineStr">
        <is>
          <t>EXACT</t>
        </is>
      </c>
      <c r="F15" s="9" t="n"/>
      <c r="G15" s="9" t="n">
        <v>12</v>
      </c>
      <c r="H15" s="9" t="n">
        <v>1</v>
      </c>
      <c r="I15" s="9" t="b">
        <v>1</v>
      </c>
      <c r="J15" s="9" t="n"/>
      <c r="K15" s="9" t="n"/>
      <c r="L15" s="9" t="n">
        <v>15</v>
      </c>
    </row>
    <row r="16">
      <c r="A16" s="9" t="inlineStr">
        <is>
          <t>COND-016</t>
        </is>
      </c>
      <c r="B16" s="9" t="inlineStr">
        <is>
          <t>DX-05</t>
        </is>
      </c>
      <c r="C16" s="9" t="inlineStr">
        <is>
          <t>N18.5</t>
        </is>
      </c>
      <c r="D16" s="9" t="inlineStr">
        <is>
          <t>만성 신장질환 5기</t>
        </is>
      </c>
      <c r="E16" s="9" t="inlineStr">
        <is>
          <t>EXACT</t>
        </is>
      </c>
      <c r="F16" s="9" t="n"/>
      <c r="G16" s="9" t="n">
        <v>12</v>
      </c>
      <c r="H16" s="9" t="n">
        <v>1</v>
      </c>
      <c r="I16" s="9" t="b">
        <v>1</v>
      </c>
      <c r="J16" s="9" t="n"/>
      <c r="K16" s="9" t="n"/>
      <c r="L16" s="9" t="n">
        <v>16</v>
      </c>
    </row>
    <row r="17">
      <c r="A17" s="9" t="inlineStr">
        <is>
          <t>COND-017</t>
        </is>
      </c>
      <c r="B17" s="9" t="inlineStr">
        <is>
          <t>DX-05</t>
        </is>
      </c>
      <c r="C17" s="9" t="inlineStr">
        <is>
          <t>N18.1</t>
        </is>
      </c>
      <c r="D17" s="9" t="inlineStr">
        <is>
          <t>만성 신장질환 1기</t>
        </is>
      </c>
      <c r="E17" s="9" t="inlineStr">
        <is>
          <t>EXACT</t>
        </is>
      </c>
      <c r="F17" s="9" t="n"/>
      <c r="G17" s="9" t="n">
        <v>12</v>
      </c>
      <c r="H17" s="9" t="n">
        <v>2</v>
      </c>
      <c r="I17" s="9" t="b">
        <v>1</v>
      </c>
      <c r="J17" s="9" t="n"/>
      <c r="K17" s="9" t="n"/>
      <c r="L17" s="9" t="n">
        <v>17</v>
      </c>
    </row>
    <row r="18">
      <c r="A18" s="9" t="inlineStr">
        <is>
          <t>COND-018</t>
        </is>
      </c>
      <c r="B18" s="9" t="inlineStr">
        <is>
          <t>DX-05</t>
        </is>
      </c>
      <c r="C18" s="9" t="inlineStr">
        <is>
          <t>N18.2</t>
        </is>
      </c>
      <c r="D18" s="9" t="inlineStr">
        <is>
          <t>만성 신장질환 2기</t>
        </is>
      </c>
      <c r="E18" s="9" t="inlineStr">
        <is>
          <t>EXACT</t>
        </is>
      </c>
      <c r="F18" s="9" t="n"/>
      <c r="G18" s="9" t="n">
        <v>12</v>
      </c>
      <c r="H18" s="9" t="n">
        <v>2</v>
      </c>
      <c r="I18" s="9" t="b">
        <v>1</v>
      </c>
      <c r="J18" s="9" t="n"/>
      <c r="K18" s="9" t="n"/>
      <c r="L18" s="9" t="n">
        <v>18</v>
      </c>
    </row>
    <row r="19">
      <c r="A19" s="9" t="inlineStr">
        <is>
          <t>COND-019</t>
        </is>
      </c>
      <c r="B19" s="9" t="inlineStr">
        <is>
          <t>DX-05</t>
        </is>
      </c>
      <c r="C19" s="9" t="inlineStr">
        <is>
          <t>N18.9</t>
        </is>
      </c>
      <c r="D19" s="9" t="inlineStr">
        <is>
          <t>상세불명의 만성 신장질환</t>
        </is>
      </c>
      <c r="E19" s="9" t="inlineStr">
        <is>
          <t>EXACT</t>
        </is>
      </c>
      <c r="F19" s="9" t="n"/>
      <c r="G19" s="9" t="n">
        <v>12</v>
      </c>
      <c r="H19" s="9" t="n">
        <v>2</v>
      </c>
      <c r="I19" s="9" t="b">
        <v>1</v>
      </c>
      <c r="J19" s="9" t="n"/>
      <c r="K19" s="9" t="n"/>
      <c r="L19" s="9" t="n">
        <v>19</v>
      </c>
    </row>
    <row r="20">
      <c r="A20" s="9" t="inlineStr">
        <is>
          <t>COND-020</t>
        </is>
      </c>
      <c r="B20" s="9" t="inlineStr">
        <is>
          <t>DX-05</t>
        </is>
      </c>
      <c r="C20" s="9" t="inlineStr">
        <is>
          <t>N19</t>
        </is>
      </c>
      <c r="D20" s="9" t="inlineStr">
        <is>
          <t>상세불명의 신장기능상실</t>
        </is>
      </c>
      <c r="E20" s="9" t="inlineStr">
        <is>
          <t>PREFIX</t>
        </is>
      </c>
      <c r="F20" s="9" t="n"/>
      <c r="G20" s="9" t="n">
        <v>12</v>
      </c>
      <c r="H20" s="9" t="n">
        <v>2</v>
      </c>
      <c r="I20" s="9" t="b">
        <v>1</v>
      </c>
      <c r="J20" s="9" t="n"/>
      <c r="K20" s="9" t="n"/>
      <c r="L20" s="9" t="n">
        <v>20</v>
      </c>
    </row>
    <row r="21">
      <c r="A21" s="9" t="inlineStr">
        <is>
          <t>COND-021</t>
        </is>
      </c>
      <c r="B21" s="9" t="inlineStr">
        <is>
          <t>DX-05</t>
        </is>
      </c>
      <c r="C21" s="9" t="inlineStr">
        <is>
          <t>E11.2</t>
        </is>
      </c>
      <c r="D21" s="9" t="inlineStr">
        <is>
          <t>2형 당뇨병 · 신장 합병증 동반</t>
        </is>
      </c>
      <c r="E21" s="9" t="inlineStr">
        <is>
          <t>EXACT</t>
        </is>
      </c>
      <c r="F21" s="9" t="n"/>
      <c r="G21" s="9" t="n">
        <v>12</v>
      </c>
      <c r="H21" s="9" t="n">
        <v>2</v>
      </c>
      <c r="I21" s="9" t="b">
        <v>1</v>
      </c>
      <c r="J21" s="9" t="n"/>
      <c r="K21" s="9" t="inlineStr">
        <is>
          <t>당뇨병성 신장합병증</t>
        </is>
      </c>
      <c r="L21" s="9" t="n">
        <v>21</v>
      </c>
    </row>
    <row r="22">
      <c r="A22" s="9" t="inlineStr">
        <is>
          <t>COND-022</t>
        </is>
      </c>
      <c r="B22" s="9" t="inlineStr">
        <is>
          <t>DX-05</t>
        </is>
      </c>
      <c r="C22" s="9" t="inlineStr">
        <is>
          <t>E14.2</t>
        </is>
      </c>
      <c r="D22" s="9" t="inlineStr">
        <is>
          <t>상세불명 당뇨병 · 신장 합병증 동반</t>
        </is>
      </c>
      <c r="E22" s="9" t="inlineStr">
        <is>
          <t>EXACT</t>
        </is>
      </c>
      <c r="F22" s="9" t="n"/>
      <c r="G22" s="9" t="n">
        <v>12</v>
      </c>
      <c r="H22" s="9" t="n">
        <v>2</v>
      </c>
      <c r="I22" s="9" t="b">
        <v>1</v>
      </c>
      <c r="J22" s="9" t="n"/>
      <c r="K22" s="9" t="n"/>
      <c r="L22" s="9" t="n">
        <v>22</v>
      </c>
    </row>
    <row r="23">
      <c r="A23" s="9" t="inlineStr">
        <is>
          <t>COND-023</t>
        </is>
      </c>
      <c r="B23" s="9" t="inlineStr">
        <is>
          <t>DX-05</t>
        </is>
      </c>
      <c r="C23" s="9" t="inlineStr">
        <is>
          <t>I12</t>
        </is>
      </c>
      <c r="D23" s="9" t="inlineStr">
        <is>
          <t>고혈압성 신장질환</t>
        </is>
      </c>
      <c r="E23" s="9" t="inlineStr">
        <is>
          <t>PREFIX</t>
        </is>
      </c>
      <c r="F23" s="9" t="n"/>
      <c r="G23" s="9" t="n">
        <v>12</v>
      </c>
      <c r="H23" s="9" t="n">
        <v>2</v>
      </c>
      <c r="I23" s="9" t="b">
        <v>1</v>
      </c>
      <c r="J23" s="9" t="n"/>
      <c r="K23" s="9" t="inlineStr">
        <is>
          <t>고혈압성 신장질환. 고혈압(DX-02)에서 빼고 여기만 남겼다</t>
        </is>
      </c>
      <c r="L23" s="9" t="n">
        <v>23</v>
      </c>
    </row>
    <row r="24">
      <c r="A24" s="9" t="inlineStr">
        <is>
          <t>COND-024</t>
        </is>
      </c>
      <c r="B24" s="9" t="inlineStr">
        <is>
          <t>DX-05</t>
        </is>
      </c>
      <c r="C24" s="9" t="inlineStr">
        <is>
          <t>I13</t>
        </is>
      </c>
      <c r="D24" s="9" t="inlineStr">
        <is>
          <t>고혈압성 심장 및 신장질환</t>
        </is>
      </c>
      <c r="E24" s="9" t="inlineStr">
        <is>
          <t>PREFIX</t>
        </is>
      </c>
      <c r="F24" s="9" t="n"/>
      <c r="G24" s="9" t="n">
        <v>12</v>
      </c>
      <c r="H24" s="9" t="n">
        <v>2</v>
      </c>
      <c r="I24" s="9" t="b">
        <v>1</v>
      </c>
      <c r="J24" s="9" t="n"/>
      <c r="K24" s="9" t="inlineStr">
        <is>
          <t>고혈압성 심장·신장질환. 고혈압(DX-02)에서 빼고 여기만 남겼다</t>
        </is>
      </c>
      <c r="L24" s="9" t="n">
        <v>24</v>
      </c>
    </row>
    <row r="25">
      <c r="A25" s="9" t="inlineStr">
        <is>
          <t>COND-025</t>
        </is>
      </c>
      <c r="B25" s="9" t="inlineStr">
        <is>
          <t>DX-06</t>
        </is>
      </c>
      <c r="C25" s="9" t="inlineStr">
        <is>
          <t>I21</t>
        </is>
      </c>
      <c r="D25" s="9" t="inlineStr">
        <is>
          <t>급성 심근경색증</t>
        </is>
      </c>
      <c r="E25" s="9" t="inlineStr">
        <is>
          <t>PREFIX</t>
        </is>
      </c>
      <c r="F25" s="9" t="n"/>
      <c r="G25" s="9" t="n">
        <v>12</v>
      </c>
      <c r="H25" s="9" t="n">
        <v>1</v>
      </c>
      <c r="I25" s="9" t="b">
        <v>1</v>
      </c>
      <c r="J25" s="9" t="n"/>
      <c r="K25" s="9" t="inlineStr">
        <is>
          <t>급성 심근경색</t>
        </is>
      </c>
      <c r="L25" s="9" t="n">
        <v>25</v>
      </c>
    </row>
    <row r="26">
      <c r="A26" s="9" t="inlineStr">
        <is>
          <t>COND-026</t>
        </is>
      </c>
      <c r="B26" s="9" t="inlineStr">
        <is>
          <t>DX-06</t>
        </is>
      </c>
      <c r="C26" s="9" t="inlineStr">
        <is>
          <t>I25.2</t>
        </is>
      </c>
      <c r="D26" s="9" t="inlineStr">
        <is>
          <t>진구성 심근경색증</t>
        </is>
      </c>
      <c r="E26" s="9" t="inlineStr">
        <is>
          <t>EXACT</t>
        </is>
      </c>
      <c r="F26" s="9" t="n"/>
      <c r="G26" s="9" t="n">
        <v>12</v>
      </c>
      <c r="H26" s="9" t="n">
        <v>1</v>
      </c>
      <c r="I26" s="9" t="b">
        <v>1</v>
      </c>
      <c r="J26" s="9" t="n"/>
      <c r="K26" s="9" t="inlineStr">
        <is>
          <t>진구성 심근경색</t>
        </is>
      </c>
      <c r="L26" s="9" t="n">
        <v>26</v>
      </c>
    </row>
    <row r="27">
      <c r="A27" s="9" t="inlineStr">
        <is>
          <t>COND-027</t>
        </is>
      </c>
      <c r="B27" s="9" t="inlineStr">
        <is>
          <t>DX-06</t>
        </is>
      </c>
      <c r="C27" s="9" t="inlineStr">
        <is>
          <t>I20</t>
        </is>
      </c>
      <c r="D27" s="9" t="inlineStr">
        <is>
          <t>협심증</t>
        </is>
      </c>
      <c r="E27" s="9" t="inlineStr">
        <is>
          <t>PREFIX</t>
        </is>
      </c>
      <c r="F27" s="9" t="n"/>
      <c r="G27" s="9" t="n">
        <v>12</v>
      </c>
      <c r="H27" s="9" t="n">
        <v>2</v>
      </c>
      <c r="I27" s="9" t="b">
        <v>1</v>
      </c>
      <c r="J27" s="9" t="n"/>
      <c r="K27" s="9" t="n"/>
      <c r="L27" s="9" t="n">
        <v>27</v>
      </c>
    </row>
    <row r="28">
      <c r="A28" s="9" t="inlineStr">
        <is>
          <t>COND-028</t>
        </is>
      </c>
      <c r="B28" s="9" t="inlineStr">
        <is>
          <t>DX-06</t>
        </is>
      </c>
      <c r="C28" s="9" t="inlineStr">
        <is>
          <t>I22</t>
        </is>
      </c>
      <c r="D28" s="9" t="inlineStr">
        <is>
          <t>후속 심근경색증</t>
        </is>
      </c>
      <c r="E28" s="9" t="inlineStr">
        <is>
          <t>PREFIX</t>
        </is>
      </c>
      <c r="F28" s="9" t="n"/>
      <c r="G28" s="9" t="n">
        <v>12</v>
      </c>
      <c r="H28" s="9" t="n">
        <v>2</v>
      </c>
      <c r="I28" s="9" t="b">
        <v>1</v>
      </c>
      <c r="J28" s="9" t="n"/>
      <c r="K28" s="9" t="n"/>
      <c r="L28" s="9" t="n">
        <v>28</v>
      </c>
    </row>
    <row r="29">
      <c r="A29" s="9" t="inlineStr">
        <is>
          <t>COND-029</t>
        </is>
      </c>
      <c r="B29" s="9" t="inlineStr">
        <is>
          <t>DX-06</t>
        </is>
      </c>
      <c r="C29" s="9" t="inlineStr">
        <is>
          <t>I23</t>
        </is>
      </c>
      <c r="D29" s="9" t="inlineStr">
        <is>
          <t>급성 심근경색증 후 특정 현존 합병증</t>
        </is>
      </c>
      <c r="E29" s="9" t="inlineStr">
        <is>
          <t>PREFIX</t>
        </is>
      </c>
      <c r="F29" s="9" t="n"/>
      <c r="G29" s="9" t="n">
        <v>12</v>
      </c>
      <c r="H29" s="9" t="n">
        <v>2</v>
      </c>
      <c r="I29" s="9" t="b">
        <v>1</v>
      </c>
      <c r="J29" s="9" t="n"/>
      <c r="K29" s="9" t="n"/>
      <c r="L29" s="9" t="n">
        <v>29</v>
      </c>
    </row>
    <row r="30">
      <c r="A30" s="9" t="inlineStr">
        <is>
          <t>COND-030</t>
        </is>
      </c>
      <c r="B30" s="9" t="inlineStr">
        <is>
          <t>DX-06</t>
        </is>
      </c>
      <c r="C30" s="9" t="inlineStr">
        <is>
          <t>I24</t>
        </is>
      </c>
      <c r="D30" s="9" t="inlineStr">
        <is>
          <t>기타 급성 허혈성 심장질환</t>
        </is>
      </c>
      <c r="E30" s="9" t="inlineStr">
        <is>
          <t>PREFIX</t>
        </is>
      </c>
      <c r="F30" s="9" t="n"/>
      <c r="G30" s="9" t="n">
        <v>12</v>
      </c>
      <c r="H30" s="9" t="n">
        <v>2</v>
      </c>
      <c r="I30" s="9" t="b">
        <v>1</v>
      </c>
      <c r="J30" s="9" t="n"/>
      <c r="K30" s="9" t="n"/>
      <c r="L30" s="9" t="n">
        <v>30</v>
      </c>
    </row>
    <row r="31">
      <c r="A31" s="9" t="inlineStr">
        <is>
          <t>COND-031</t>
        </is>
      </c>
      <c r="B31" s="9" t="inlineStr">
        <is>
          <t>DX-06</t>
        </is>
      </c>
      <c r="C31" s="9" t="inlineStr">
        <is>
          <t>I25</t>
        </is>
      </c>
      <c r="D31" s="9" t="inlineStr">
        <is>
          <t>만성 허혈성 심장질환</t>
        </is>
      </c>
      <c r="E31" s="9" t="inlineStr">
        <is>
          <t>PREFIX</t>
        </is>
      </c>
      <c r="F31" s="9" t="n"/>
      <c r="G31" s="9" t="n">
        <v>12</v>
      </c>
      <c r="H31" s="9" t="n">
        <v>2</v>
      </c>
      <c r="I31" s="9" t="b">
        <v>1</v>
      </c>
      <c r="J31" s="9" t="n"/>
      <c r="K31" s="9" t="inlineStr">
        <is>
          <t>I25.2는 위 1회 규칙이 우선한다</t>
        </is>
      </c>
      <c r="L31" s="9" t="n">
        <v>31</v>
      </c>
    </row>
    <row r="32">
      <c r="A32" s="9" t="inlineStr">
        <is>
          <t>COND-032</t>
        </is>
      </c>
      <c r="B32" s="9" t="inlineStr">
        <is>
          <t>DX-06</t>
        </is>
      </c>
      <c r="C32" s="9" t="inlineStr">
        <is>
          <t>I50</t>
        </is>
      </c>
      <c r="D32" s="9" t="inlineStr">
        <is>
          <t>심부전</t>
        </is>
      </c>
      <c r="E32" s="9" t="inlineStr">
        <is>
          <t>PREFIX</t>
        </is>
      </c>
      <c r="F32" s="9" t="n"/>
      <c r="G32" s="9" t="n">
        <v>12</v>
      </c>
      <c r="H32" s="9" t="n">
        <v>2</v>
      </c>
      <c r="I32" s="9" t="b">
        <v>1</v>
      </c>
      <c r="J32" s="9" t="n"/>
      <c r="K32" s="9" t="inlineStr">
        <is>
          <t>심부전</t>
        </is>
      </c>
      <c r="L32" s="9" t="n">
        <v>32</v>
      </c>
    </row>
    <row r="33">
      <c r="A33" s="9" t="inlineStr">
        <is>
          <t>COND-033</t>
        </is>
      </c>
      <c r="B33" s="9" t="inlineStr">
        <is>
          <t>DX-06</t>
        </is>
      </c>
      <c r="C33" s="9" t="inlineStr">
        <is>
          <t>I63</t>
        </is>
      </c>
      <c r="D33" s="9" t="inlineStr">
        <is>
          <t>뇌경색증</t>
        </is>
      </c>
      <c r="E33" s="9" t="inlineStr">
        <is>
          <t>PREFIX</t>
        </is>
      </c>
      <c r="F33" s="9" t="n"/>
      <c r="G33" s="9" t="n">
        <v>12</v>
      </c>
      <c r="H33" s="9" t="n">
        <v>1</v>
      </c>
      <c r="I33" s="9" t="b">
        <v>1</v>
      </c>
      <c r="J33" s="9" t="n"/>
      <c r="K33" s="9" t="inlineStr">
        <is>
          <t>뇌경색</t>
        </is>
      </c>
      <c r="L33" s="9" t="n">
        <v>33</v>
      </c>
    </row>
    <row r="34">
      <c r="A34" s="9" t="inlineStr">
        <is>
          <t>COND-034</t>
        </is>
      </c>
      <c r="B34" s="9" t="inlineStr">
        <is>
          <t>DX-06</t>
        </is>
      </c>
      <c r="C34" s="9" t="inlineStr">
        <is>
          <t>I64</t>
        </is>
      </c>
      <c r="D34" s="9" t="inlineStr">
        <is>
          <t>출혈 또는 경색으로 명시되지 않은 뇌졸중</t>
        </is>
      </c>
      <c r="E34" s="9" t="inlineStr">
        <is>
          <t>PREFIX</t>
        </is>
      </c>
      <c r="F34" s="9" t="n"/>
      <c r="G34" s="9" t="n">
        <v>12</v>
      </c>
      <c r="H34" s="9" t="n">
        <v>1</v>
      </c>
      <c r="I34" s="9" t="b">
        <v>1</v>
      </c>
      <c r="J34" s="9" t="n"/>
      <c r="K34" s="9" t="inlineStr">
        <is>
          <t>뇌졸중</t>
        </is>
      </c>
      <c r="L34" s="9" t="n">
        <v>34</v>
      </c>
    </row>
    <row r="35">
      <c r="A35" s="9" t="inlineStr">
        <is>
          <t>COND-035</t>
        </is>
      </c>
      <c r="B35" s="9" t="inlineStr">
        <is>
          <t>DX-06</t>
        </is>
      </c>
      <c r="C35" s="9" t="inlineStr">
        <is>
          <t>I69</t>
        </is>
      </c>
      <c r="D35" s="9" t="inlineStr">
        <is>
          <t>뇌혈관질환의 후유증</t>
        </is>
      </c>
      <c r="E35" s="9" t="inlineStr">
        <is>
          <t>PREFIX</t>
        </is>
      </c>
      <c r="F35" s="9" t="n"/>
      <c r="G35" s="9" t="n">
        <v>12</v>
      </c>
      <c r="H35" s="9" t="n">
        <v>1</v>
      </c>
      <c r="I35" s="9" t="b">
        <v>1</v>
      </c>
      <c r="J35" s="9" t="n"/>
      <c r="K35" s="9" t="inlineStr">
        <is>
          <t>뇌혈관질환 후유증</t>
        </is>
      </c>
      <c r="L35" s="9" t="n">
        <v>35</v>
      </c>
    </row>
    <row r="36">
      <c r="A36" s="9" t="inlineStr">
        <is>
          <t>COND-036</t>
        </is>
      </c>
      <c r="B36" s="9" t="inlineStr">
        <is>
          <t>DX-07</t>
        </is>
      </c>
      <c r="C36" s="9" t="inlineStr">
        <is>
          <t>K76.0</t>
        </is>
      </c>
      <c r="D36" s="9" t="inlineStr">
        <is>
          <t>달리 분류되지 않은 지방간</t>
        </is>
      </c>
      <c r="E36" s="9" t="inlineStr">
        <is>
          <t>EXACT</t>
        </is>
      </c>
      <c r="F36" s="9" t="n"/>
      <c r="G36" s="9" t="n">
        <v>12</v>
      </c>
      <c r="H36" s="9" t="n">
        <v>2</v>
      </c>
      <c r="I36" s="9" t="b">
        <v>1</v>
      </c>
      <c r="J36" s="9" t="n"/>
      <c r="K36" s="9" t="inlineStr">
        <is>
          <t>12개월 2회 또는 1회 + 검진 간기능 경계</t>
        </is>
      </c>
      <c r="L36" s="9" t="n">
        <v>36</v>
      </c>
    </row>
    <row r="37">
      <c r="A37" s="9" t="inlineStr">
        <is>
          <t>COND-037</t>
        </is>
      </c>
      <c r="B37" s="9" t="inlineStr">
        <is>
          <t>DX-07</t>
        </is>
      </c>
      <c r="C37" s="9" t="inlineStr">
        <is>
          <t>K75.8</t>
        </is>
      </c>
      <c r="D37" s="9" t="inlineStr">
        <is>
          <t>기타 명시된 염증성 간질환 — 비알코올성 지방간염 포함</t>
        </is>
      </c>
      <c r="E37" s="9" t="inlineStr">
        <is>
          <t>EXACT</t>
        </is>
      </c>
      <c r="F37" s="9" t="n"/>
      <c r="G37" s="9" t="n">
        <v>12</v>
      </c>
      <c r="H37" s="9" t="n">
        <v>2</v>
      </c>
      <c r="I37" s="9" t="b">
        <v>1</v>
      </c>
      <c r="J37" s="9" t="n"/>
      <c r="K37" s="9" t="n"/>
      <c r="L37" s="9" t="n">
        <v>37</v>
      </c>
    </row>
    <row r="38">
      <c r="A38" s="9" t="inlineStr">
        <is>
          <t>COND-038</t>
        </is>
      </c>
      <c r="B38" s="9" t="inlineStr">
        <is>
          <t>DX-07</t>
        </is>
      </c>
      <c r="C38" s="9" t="inlineStr">
        <is>
          <t>K70.0</t>
        </is>
      </c>
      <c r="D38" s="9" t="inlineStr">
        <is>
          <t>알코올성 지방간</t>
        </is>
      </c>
      <c r="E38" s="9" t="inlineStr">
        <is>
          <t>EXACT</t>
        </is>
      </c>
      <c r="F38" s="9" t="n"/>
      <c r="G38" s="9" t="n">
        <v>12</v>
      </c>
      <c r="H38" s="9" t="n">
        <v>2</v>
      </c>
      <c r="I38" s="9" t="b">
        <v>1</v>
      </c>
      <c r="J38" s="9" t="n"/>
      <c r="K38" s="9" t="n"/>
      <c r="L38" s="9" t="n">
        <v>38</v>
      </c>
    </row>
    <row r="39">
      <c r="A39" s="9" t="inlineStr">
        <is>
          <t>COND-039</t>
        </is>
      </c>
      <c r="B39" s="9" t="inlineStr">
        <is>
          <t>DX-08</t>
        </is>
      </c>
      <c r="C39" s="9" t="inlineStr">
        <is>
          <t>O00</t>
        </is>
      </c>
      <c r="D39" s="9" t="inlineStr">
        <is>
          <t>임신 · 출산 및 산후기 (O00~O99)</t>
        </is>
      </c>
      <c r="E39" s="9" t="inlineStr">
        <is>
          <t>RANGE</t>
        </is>
      </c>
      <c r="F39" s="9" t="inlineStr">
        <is>
          <t>O99</t>
        </is>
      </c>
      <c r="G39" s="9" t="n">
        <v>10</v>
      </c>
      <c r="H39" s="9" t="n">
        <v>1</v>
      </c>
      <c r="I39" s="9" t="b">
        <v>0</v>
      </c>
      <c r="J39" s="9" t="n"/>
      <c r="K39" s="9" t="inlineStr">
        <is>
          <t>임신·출산·산욕</t>
        </is>
      </c>
      <c r="L39" s="9" t="n">
        <v>39</v>
      </c>
    </row>
    <row r="40">
      <c r="A40" s="9" t="inlineStr">
        <is>
          <t>COND-040</t>
        </is>
      </c>
      <c r="B40" s="9" t="inlineStr">
        <is>
          <t>DX-08</t>
        </is>
      </c>
      <c r="C40" s="9" t="inlineStr">
        <is>
          <t>Z32.1</t>
        </is>
      </c>
      <c r="D40" s="9" t="inlineStr">
        <is>
          <t>임신 확인됨</t>
        </is>
      </c>
      <c r="E40" s="9" t="inlineStr">
        <is>
          <t>EXACT</t>
        </is>
      </c>
      <c r="F40" s="9" t="n"/>
      <c r="G40" s="9" t="n">
        <v>10</v>
      </c>
      <c r="H40" s="9" t="n">
        <v>1</v>
      </c>
      <c r="I40" s="9" t="b">
        <v>0</v>
      </c>
      <c r="J40" s="9" t="n"/>
      <c r="K40" s="9" t="inlineStr">
        <is>
          <t>원본에 기간이 없어 O 코드와 같게 두었다. 확인 필요</t>
        </is>
      </c>
      <c r="L40" s="9" t="n">
        <v>40</v>
      </c>
    </row>
    <row r="41">
      <c r="A41" s="9" t="inlineStr">
        <is>
          <t>COND-041</t>
        </is>
      </c>
      <c r="B41" s="9" t="inlineStr">
        <is>
          <t>DX-08</t>
        </is>
      </c>
      <c r="C41" s="9" t="inlineStr">
        <is>
          <t>Z33</t>
        </is>
      </c>
      <c r="D41" s="9" t="inlineStr">
        <is>
          <t>우연히 발견된 임신 상태</t>
        </is>
      </c>
      <c r="E41" s="9" t="inlineStr">
        <is>
          <t>PREFIX</t>
        </is>
      </c>
      <c r="F41" s="9" t="n"/>
      <c r="G41" s="9" t="n">
        <v>10</v>
      </c>
      <c r="H41" s="9" t="n">
        <v>1</v>
      </c>
      <c r="I41" s="9" t="b">
        <v>0</v>
      </c>
      <c r="J41" s="9" t="n"/>
      <c r="K41" s="9" t="inlineStr">
        <is>
          <t>원본에 기간이 없어 O 코드와 같게 두었다. 확인 필요</t>
        </is>
      </c>
      <c r="L41" s="9" t="n">
        <v>41</v>
      </c>
    </row>
    <row r="42">
      <c r="A42" s="9" t="inlineStr">
        <is>
          <t>COND-042</t>
        </is>
      </c>
      <c r="B42" s="9" t="inlineStr">
        <is>
          <t>DX-08</t>
        </is>
      </c>
      <c r="C42" s="9" t="inlineStr">
        <is>
          <t>Z34</t>
        </is>
      </c>
      <c r="D42" s="9" t="inlineStr">
        <is>
          <t>정상 임신의 관리</t>
        </is>
      </c>
      <c r="E42" s="9" t="inlineStr">
        <is>
          <t>PREFIX</t>
        </is>
      </c>
      <c r="F42" s="9" t="n"/>
      <c r="G42" s="9" t="n">
        <v>10</v>
      </c>
      <c r="H42" s="9" t="n">
        <v>1</v>
      </c>
      <c r="I42" s="9" t="b">
        <v>0</v>
      </c>
      <c r="J42" s="9" t="n"/>
      <c r="K42" s="9" t="n"/>
      <c r="L42" s="9" t="n">
        <v>42</v>
      </c>
    </row>
    <row r="43">
      <c r="A43" s="9" t="inlineStr">
        <is>
          <t>COND-043</t>
        </is>
      </c>
      <c r="B43" s="9" t="inlineStr">
        <is>
          <t>DX-08</t>
        </is>
      </c>
      <c r="C43" s="9" t="inlineStr">
        <is>
          <t>Z35</t>
        </is>
      </c>
      <c r="D43" s="9" t="inlineStr">
        <is>
          <t>고위험 임신의 관리</t>
        </is>
      </c>
      <c r="E43" s="9" t="inlineStr">
        <is>
          <t>PREFIX</t>
        </is>
      </c>
      <c r="F43" s="9" t="n"/>
      <c r="G43" s="9" t="n">
        <v>10</v>
      </c>
      <c r="H43" s="9" t="n">
        <v>1</v>
      </c>
      <c r="I43" s="9" t="b">
        <v>0</v>
      </c>
      <c r="J43" s="9" t="n"/>
      <c r="K43" s="9" t="n"/>
      <c r="L43" s="9" t="n">
        <v>43</v>
      </c>
    </row>
    <row r="44">
      <c r="A44" s="9" t="inlineStr">
        <is>
          <t>COND-044</t>
        </is>
      </c>
      <c r="B44" s="9" t="inlineStr">
        <is>
          <t>DX-08</t>
        </is>
      </c>
      <c r="C44" s="9" t="inlineStr">
        <is>
          <t>Z39</t>
        </is>
      </c>
      <c r="D44" s="9" t="inlineStr">
        <is>
          <t>산후 관리 및 검사</t>
        </is>
      </c>
      <c r="E44" s="9" t="inlineStr">
        <is>
          <t>PREFIX</t>
        </is>
      </c>
      <c r="F44" s="9" t="n"/>
      <c r="G44" s="9" t="n">
        <v>12</v>
      </c>
      <c r="H44" s="9" t="n">
        <v>1</v>
      </c>
      <c r="I44" s="9" t="b">
        <v>0</v>
      </c>
      <c r="J44" s="9" t="n"/>
      <c r="K44" s="9" t="inlineStr">
        <is>
          <t>산후 관리</t>
        </is>
      </c>
      <c r="L44" s="9" t="n">
        <v>44</v>
      </c>
    </row>
    <row r="45">
      <c r="A45" s="9" t="inlineStr">
        <is>
          <t>COND-045</t>
        </is>
      </c>
      <c r="B45" s="9" t="inlineStr">
        <is>
          <t>DX-09</t>
        </is>
      </c>
      <c r="C45" s="9" t="inlineStr">
        <is>
          <t>F50.0</t>
        </is>
      </c>
      <c r="D45" s="9" t="inlineStr">
        <is>
          <t>신경성 식욕부진</t>
        </is>
      </c>
      <c r="E45" s="9" t="inlineStr">
        <is>
          <t>EXACT</t>
        </is>
      </c>
      <c r="F45" s="9" t="n"/>
      <c r="G45" s="9" t="n">
        <v>24</v>
      </c>
      <c r="H45" s="9" t="n">
        <v>1</v>
      </c>
      <c r="I45" s="9" t="b">
        <v>0</v>
      </c>
      <c r="J45" s="9" t="n"/>
      <c r="K45" s="9" t="n"/>
      <c r="L45" s="9" t="n">
        <v>45</v>
      </c>
    </row>
    <row r="46">
      <c r="A46" s="9" t="inlineStr">
        <is>
          <t>COND-046</t>
        </is>
      </c>
      <c r="B46" s="9" t="inlineStr">
        <is>
          <t>DX-09</t>
        </is>
      </c>
      <c r="C46" s="9" t="inlineStr">
        <is>
          <t>F50.1</t>
        </is>
      </c>
      <c r="D46" s="9" t="inlineStr">
        <is>
          <t>비정형 신경성 식욕부진</t>
        </is>
      </c>
      <c r="E46" s="9" t="inlineStr">
        <is>
          <t>EXACT</t>
        </is>
      </c>
      <c r="F46" s="9" t="n"/>
      <c r="G46" s="9" t="n">
        <v>24</v>
      </c>
      <c r="H46" s="9" t="n">
        <v>1</v>
      </c>
      <c r="I46" s="9" t="b">
        <v>0</v>
      </c>
      <c r="J46" s="9" t="n"/>
      <c r="K46" s="9" t="n"/>
      <c r="L46" s="9" t="n">
        <v>46</v>
      </c>
    </row>
    <row r="47">
      <c r="A47" s="9" t="inlineStr">
        <is>
          <t>COND-047</t>
        </is>
      </c>
      <c r="B47" s="9" t="inlineStr">
        <is>
          <t>DX-09</t>
        </is>
      </c>
      <c r="C47" s="9" t="inlineStr">
        <is>
          <t>F50.2</t>
        </is>
      </c>
      <c r="D47" s="9" t="inlineStr">
        <is>
          <t>신경성 폭식증</t>
        </is>
      </c>
      <c r="E47" s="9" t="inlineStr">
        <is>
          <t>EXACT</t>
        </is>
      </c>
      <c r="F47" s="9" t="n"/>
      <c r="G47" s="9" t="n">
        <v>24</v>
      </c>
      <c r="H47" s="9" t="n">
        <v>1</v>
      </c>
      <c r="I47" s="9" t="b">
        <v>0</v>
      </c>
      <c r="J47" s="9" t="n"/>
      <c r="K47" s="9" t="n"/>
      <c r="L47" s="9" t="n">
        <v>47</v>
      </c>
    </row>
    <row r="48">
      <c r="A48" s="9" t="inlineStr">
        <is>
          <t>COND-048</t>
        </is>
      </c>
      <c r="B48" s="9" t="inlineStr">
        <is>
          <t>DX-09</t>
        </is>
      </c>
      <c r="C48" s="9" t="inlineStr">
        <is>
          <t>F50.3</t>
        </is>
      </c>
      <c r="D48" s="9" t="inlineStr">
        <is>
          <t>비정형 신경성 폭식증</t>
        </is>
      </c>
      <c r="E48" s="9" t="inlineStr">
        <is>
          <t>EXACT</t>
        </is>
      </c>
      <c r="F48" s="9" t="n"/>
      <c r="G48" s="9" t="n">
        <v>24</v>
      </c>
      <c r="H48" s="9" t="n">
        <v>1</v>
      </c>
      <c r="I48" s="9" t="b">
        <v>0</v>
      </c>
      <c r="J48" s="9" t="n"/>
      <c r="K48" s="9" t="n"/>
      <c r="L48" s="9" t="n">
        <v>48</v>
      </c>
    </row>
    <row r="49">
      <c r="A49" s="9" t="inlineStr">
        <is>
          <t>COND-049</t>
        </is>
      </c>
      <c r="B49" s="9" t="inlineStr">
        <is>
          <t>DX-09</t>
        </is>
      </c>
      <c r="C49" s="9" t="inlineStr">
        <is>
          <t>F50.8</t>
        </is>
      </c>
      <c r="D49" s="9" t="inlineStr">
        <is>
          <t>기타 섭식장애</t>
        </is>
      </c>
      <c r="E49" s="9" t="inlineStr">
        <is>
          <t>EXACT</t>
        </is>
      </c>
      <c r="F49" s="9" t="n"/>
      <c r="G49" s="9" t="n">
        <v>24</v>
      </c>
      <c r="H49" s="9" t="n">
        <v>1</v>
      </c>
      <c r="I49" s="9" t="b">
        <v>0</v>
      </c>
      <c r="J49" s="9" t="n"/>
      <c r="K49" s="9" t="n"/>
      <c r="L49" s="9" t="n">
        <v>49</v>
      </c>
    </row>
    <row r="50">
      <c r="A50" s="9" t="inlineStr">
        <is>
          <t>COND-050</t>
        </is>
      </c>
      <c r="B50" s="9" t="inlineStr">
        <is>
          <t>DX-09</t>
        </is>
      </c>
      <c r="C50" s="9" t="inlineStr">
        <is>
          <t>F50.9</t>
        </is>
      </c>
      <c r="D50" s="9" t="inlineStr">
        <is>
          <t>상세불명의 섭식장애</t>
        </is>
      </c>
      <c r="E50" s="9" t="inlineStr">
        <is>
          <t>EXACT</t>
        </is>
      </c>
      <c r="F50" s="9" t="n"/>
      <c r="G50" s="9" t="n">
        <v>24</v>
      </c>
      <c r="H50" s="9" t="n">
        <v>1</v>
      </c>
      <c r="I50" s="9" t="b">
        <v>0</v>
      </c>
      <c r="J50" s="9" t="n"/>
      <c r="K50" s="9" t="n"/>
      <c r="L50" s="9" t="n">
        <v>50</v>
      </c>
    </row>
    <row r="51">
      <c r="A51" s="9" t="inlineStr">
        <is>
          <t>COND-051</t>
        </is>
      </c>
      <c r="B51" s="9" t="inlineStr">
        <is>
          <t>DX-10</t>
        </is>
      </c>
      <c r="C51" s="9" t="inlineStr">
        <is>
          <t>E40</t>
        </is>
      </c>
      <c r="D51" s="9" t="inlineStr">
        <is>
          <t>영양실조 (E40~E46)</t>
        </is>
      </c>
      <c r="E51" s="9" t="inlineStr">
        <is>
          <t>RANGE</t>
        </is>
      </c>
      <c r="F51" s="9" t="inlineStr">
        <is>
          <t>E46</t>
        </is>
      </c>
      <c r="G51" s="9" t="n">
        <v>12</v>
      </c>
      <c r="H51" s="9" t="n">
        <v>1</v>
      </c>
      <c r="I51" s="9" t="b">
        <v>0</v>
      </c>
      <c r="J51" s="9" t="n"/>
      <c r="K51" s="9" t="inlineStr">
        <is>
          <t>영양결핍</t>
        </is>
      </c>
      <c r="L51" s="9" t="n">
        <v>51</v>
      </c>
    </row>
    <row r="52">
      <c r="A52" s="9" t="inlineStr">
        <is>
          <t>COND-052</t>
        </is>
      </c>
      <c r="B52" s="9" t="inlineStr">
        <is>
          <t>DX-10</t>
        </is>
      </c>
      <c r="C52" s="9" t="inlineStr">
        <is>
          <t>R63.4</t>
        </is>
      </c>
      <c r="D52" s="9" t="inlineStr">
        <is>
          <t>비정상적 체중감소</t>
        </is>
      </c>
      <c r="E52" s="9" t="inlineStr">
        <is>
          <t>EXACT</t>
        </is>
      </c>
      <c r="F52" s="9" t="n"/>
      <c r="G52" s="9" t="n">
        <v>12</v>
      </c>
      <c r="H52" s="9" t="n">
        <v>1</v>
      </c>
      <c r="I52" s="9" t="b">
        <v>0</v>
      </c>
      <c r="J52" s="9" t="n"/>
      <c r="K52" s="9" t="inlineStr">
        <is>
          <t>비정상적 체중 감소</t>
        </is>
      </c>
      <c r="L52" s="9" t="n">
        <v>52</v>
      </c>
    </row>
    <row r="53">
      <c r="A53" s="9" t="inlineStr">
        <is>
          <t>COND-053</t>
        </is>
      </c>
      <c r="B53" s="9" t="inlineStr">
        <is>
          <t>DX-10</t>
        </is>
      </c>
      <c r="C53" s="9" t="inlineStr">
        <is>
          <t>R64</t>
        </is>
      </c>
      <c r="D53" s="9" t="inlineStr">
        <is>
          <t>악액질</t>
        </is>
      </c>
      <c r="E53" s="9" t="inlineStr">
        <is>
          <t>PREFIX</t>
        </is>
      </c>
      <c r="F53" s="9" t="n"/>
      <c r="G53" s="9" t="n">
        <v>12</v>
      </c>
      <c r="H53" s="9" t="n">
        <v>1</v>
      </c>
      <c r="I53" s="9" t="b">
        <v>0</v>
      </c>
      <c r="J53" s="9" t="n"/>
      <c r="K53" s="9" t="inlineStr">
        <is>
          <t>악액질</t>
        </is>
      </c>
      <c r="L53" s="9" t="n">
        <v>53</v>
      </c>
    </row>
    <row r="54">
      <c r="A54" s="9" t="inlineStr">
        <is>
          <t>COND-054</t>
        </is>
      </c>
      <c r="B54" s="9" t="inlineStr">
        <is>
          <t>DX-10</t>
        </is>
      </c>
      <c r="C54" s="9" t="inlineStr">
        <is>
          <t>R63.0</t>
        </is>
      </c>
      <c r="D54" s="9" t="inlineStr">
        <is>
          <t>식욕부진</t>
        </is>
      </c>
      <c r="E54" s="9" t="inlineStr">
        <is>
          <t>EXACT</t>
        </is>
      </c>
      <c r="F54" s="9" t="n"/>
      <c r="G54" s="9" t="n">
        <v>12</v>
      </c>
      <c r="H54" s="9" t="n">
        <v>1</v>
      </c>
      <c r="I54" s="9" t="b">
        <v>0</v>
      </c>
      <c r="J54" s="9" t="n"/>
      <c r="K54" s="9" t="inlineStr">
        <is>
          <t>식욕부진</t>
        </is>
      </c>
      <c r="L54" s="9" t="n">
        <v>54</v>
      </c>
    </row>
    <row r="55">
      <c r="A55" s="9" t="inlineStr">
        <is>
          <t>COND-055</t>
        </is>
      </c>
      <c r="B55" s="9" t="inlineStr">
        <is>
          <t>DX-11</t>
        </is>
      </c>
      <c r="C55" s="9" t="inlineStr">
        <is>
          <t>C00</t>
        </is>
      </c>
      <c r="D55" s="9" t="inlineStr">
        <is>
          <t>악성 신생물 (C00~C97)</t>
        </is>
      </c>
      <c r="E55" s="9" t="inlineStr">
        <is>
          <t>RANGE</t>
        </is>
      </c>
      <c r="F55" s="9" t="inlineStr">
        <is>
          <t>C97</t>
        </is>
      </c>
      <c r="G55" s="9" t="n">
        <v>6</v>
      </c>
      <c r="H55" s="9" t="n">
        <v>1</v>
      </c>
      <c r="I55" s="9" t="b">
        <v>0</v>
      </c>
      <c r="J55" s="9" t="inlineStr">
        <is>
          <t>Z51.1;Z51.0;Z54</t>
        </is>
      </c>
      <c r="K55" s="9" t="inlineStr">
        <is>
          <t>치료 중일 때만. C 코드만 있고 5년 이상 지났으면 제외</t>
        </is>
      </c>
      <c r="L55" s="9" t="n">
        <v>55</v>
      </c>
    </row>
    <row r="56">
      <c r="A56" s="9" t="inlineStr">
        <is>
          <t>COND-056</t>
        </is>
      </c>
      <c r="B56" s="9" t="inlineStr">
        <is>
          <t>DX-12</t>
        </is>
      </c>
      <c r="C56" s="9" t="inlineStr">
        <is>
          <t>Z90.3</t>
        </is>
      </c>
      <c r="D56" s="9" t="inlineStr">
        <is>
          <t>위 부분의 후천성 결손</t>
        </is>
      </c>
      <c r="E56" s="9" t="inlineStr">
        <is>
          <t>EXACT</t>
        </is>
      </c>
      <c r="F56" s="9" t="n"/>
      <c r="G56" s="9" t="n"/>
      <c r="H56" s="9" t="n">
        <v>1</v>
      </c>
      <c r="I56" s="9" t="b">
        <v>0</v>
      </c>
      <c r="J56" s="9" t="n"/>
      <c r="K56" s="9" t="inlineStr">
        <is>
          <t>위 부분 절제 상태. 영구 상태라 기간을 보지 않는다</t>
        </is>
      </c>
      <c r="L56" s="9" t="n">
        <v>56</v>
      </c>
    </row>
    <row r="57">
      <c r="A57" s="9" t="inlineStr">
        <is>
          <t>COND-057</t>
        </is>
      </c>
      <c r="B57" s="9" t="inlineStr">
        <is>
          <t>DX-12</t>
        </is>
      </c>
      <c r="C57" s="9" t="inlineStr">
        <is>
          <t>Z98.0</t>
        </is>
      </c>
      <c r="D57" s="9" t="inlineStr">
        <is>
          <t>장관우회 및 문합 상태</t>
        </is>
      </c>
      <c r="E57" s="9" t="inlineStr">
        <is>
          <t>EXACT</t>
        </is>
      </c>
      <c r="F57" s="9" t="n"/>
      <c r="G57" s="9" t="n"/>
      <c r="H57" s="9" t="n">
        <v>1</v>
      </c>
      <c r="I57" s="9" t="b">
        <v>0</v>
      </c>
      <c r="J57" s="9" t="n"/>
      <c r="K57" s="9" t="inlineStr">
        <is>
          <t>장관 우회 상태</t>
        </is>
      </c>
      <c r="L57" s="9" t="n">
        <v>57</v>
      </c>
    </row>
    <row r="58">
      <c r="A58" s="9" t="inlineStr">
        <is>
          <t>COND-058</t>
        </is>
      </c>
      <c r="B58" s="9" t="inlineStr">
        <is>
          <t>DX-12</t>
        </is>
      </c>
      <c r="C58" s="9" t="inlineStr">
        <is>
          <t>K91.1</t>
        </is>
      </c>
      <c r="D58" s="9" t="inlineStr">
        <is>
          <t>위수술후증후군</t>
        </is>
      </c>
      <c r="E58" s="9" t="inlineStr">
        <is>
          <t>EXACT</t>
        </is>
      </c>
      <c r="F58" s="9" t="n"/>
      <c r="G58" s="9" t="n"/>
      <c r="H58" s="9" t="n">
        <v>1</v>
      </c>
      <c r="I58" s="9" t="b">
        <v>0</v>
      </c>
      <c r="J58" s="9" t="n"/>
      <c r="K58" s="9" t="inlineStr">
        <is>
          <t>위 수술 후 증후군</t>
        </is>
      </c>
      <c r="L58" s="9" t="n">
        <v>58</v>
      </c>
    </row>
    <row r="59">
      <c r="A59" s="9" t="inlineStr">
        <is>
          <t>COND-059</t>
        </is>
      </c>
      <c r="B59" s="9" t="inlineStr">
        <is>
          <t>DX-18</t>
        </is>
      </c>
      <c r="C59" s="9" t="inlineStr">
        <is>
          <t>Z49</t>
        </is>
      </c>
      <c r="D59" s="9" t="inlineStr">
        <is>
          <t>투석간호</t>
        </is>
      </c>
      <c r="E59" s="9" t="inlineStr">
        <is>
          <t>PREFIX</t>
        </is>
      </c>
      <c r="F59" s="9" t="n"/>
      <c r="G59" s="9" t="n"/>
      <c r="H59" s="9" t="n">
        <v>1</v>
      </c>
      <c r="I59" s="9" t="b">
        <v>0</v>
      </c>
      <c r="J59" s="9" t="n"/>
      <c r="K59" s="9" t="inlineStr">
        <is>
          <t>투석. 영구 상태로 본다</t>
        </is>
      </c>
      <c r="L59" s="9" t="n">
        <v>59</v>
      </c>
    </row>
    <row r="60">
      <c r="A60" s="9" t="inlineStr">
        <is>
          <t>COND-060</t>
        </is>
      </c>
      <c r="B60" s="9" t="inlineStr">
        <is>
          <t>DX-18</t>
        </is>
      </c>
      <c r="C60" s="9" t="inlineStr">
        <is>
          <t>Z99.2</t>
        </is>
      </c>
      <c r="D60" s="9" t="inlineStr">
        <is>
          <t>신장투석에 의존</t>
        </is>
      </c>
      <c r="E60" s="9" t="inlineStr">
        <is>
          <t>EXACT</t>
        </is>
      </c>
      <c r="F60" s="9" t="n"/>
      <c r="G60" s="9" t="n"/>
      <c r="H60" s="9" t="n">
        <v>1</v>
      </c>
      <c r="I60" s="9" t="b">
        <v>0</v>
      </c>
      <c r="J60" s="9" t="n"/>
      <c r="K60" s="9" t="inlineStr">
        <is>
          <t>투석 의존</t>
        </is>
      </c>
      <c r="L60" s="9" t="n">
        <v>60</v>
      </c>
    </row>
    <row r="61">
      <c r="A61" s="9" t="inlineStr">
        <is>
          <t>COND-061</t>
        </is>
      </c>
      <c r="B61" s="9" t="inlineStr">
        <is>
          <t>DX-18</t>
        </is>
      </c>
      <c r="C61" s="9" t="inlineStr">
        <is>
          <t>Z94.0</t>
        </is>
      </c>
      <c r="D61" s="9" t="inlineStr">
        <is>
          <t>신장이식 상태</t>
        </is>
      </c>
      <c r="E61" s="9" t="inlineStr">
        <is>
          <t>EXACT</t>
        </is>
      </c>
      <c r="F61" s="9" t="n"/>
      <c r="G61" s="9" t="n"/>
      <c r="H61" s="9" t="n">
        <v>1</v>
      </c>
      <c r="I61" s="9" t="b">
        <v>0</v>
      </c>
      <c r="J61" s="9" t="n"/>
      <c r="K61" s="9" t="inlineStr">
        <is>
          <t>신장 이식 상태</t>
        </is>
      </c>
      <c r="L61" s="9" t="n">
        <v>61</v>
      </c>
    </row>
    <row r="62">
      <c r="A62" s="9" t="inlineStr">
        <is>
          <t>COND-062</t>
        </is>
      </c>
      <c r="B62" s="9" t="inlineStr">
        <is>
          <t>DX-20</t>
        </is>
      </c>
      <c r="C62" s="9" t="inlineStr">
        <is>
          <t>R13</t>
        </is>
      </c>
      <c r="D62" s="9" t="inlineStr">
        <is>
          <t>연하곤란</t>
        </is>
      </c>
      <c r="E62" s="9" t="inlineStr">
        <is>
          <t>PREFIX</t>
        </is>
      </c>
      <c r="F62" s="9" t="n"/>
      <c r="G62" s="9" t="n">
        <v>12</v>
      </c>
      <c r="H62" s="9" t="n">
        <v>1</v>
      </c>
      <c r="I62" s="9" t="b">
        <v>0</v>
      </c>
      <c r="J62" s="9" t="n"/>
      <c r="K62" s="9" t="inlineStr">
        <is>
          <t>뇌졸중·수술 뒤 부상병으로 붙는 일이 많아 주상병만 보면 놓친다</t>
        </is>
      </c>
      <c r="L62" s="9" t="n">
        <v>62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8EA6B8"/>
    <outlinePr summaryBelow="1" summaryRight="1"/>
    <pageSetUpPr/>
  </sheetPr>
  <dimension ref="A1:K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0.58203125" customWidth="1" min="1" max="1"/>
    <col width="16.58203125" customWidth="1" min="2" max="2"/>
    <col width="32.58203125" customWidth="1" min="3" max="3"/>
    <col width="60.58203125" customWidth="1" min="4" max="4"/>
    <col width="12.58203125" customWidth="1" min="5" max="5"/>
    <col width="14.58203125" customWidth="1" min="6" max="6"/>
    <col width="10.58203125" customWidth="1" min="7" max="7"/>
    <col width="14.58203125" customWidth="1" min="8" max="8"/>
    <col width="21.58203125" customWidth="1" min="9" max="9"/>
    <col width="60.58203125" customWidth="1" min="10" max="10"/>
    <col width="10.58203125" customWidth="1" min="11" max="11"/>
  </cols>
  <sheetData>
    <row r="1" ht="28" customHeight="1">
      <c r="A1" s="8" t="inlineStr">
        <is>
          <t>setting_id</t>
        </is>
      </c>
      <c r="B1" s="8" t="inlineStr">
        <is>
          <t>setting_group</t>
        </is>
      </c>
      <c r="C1" s="8" t="inlineStr">
        <is>
          <t>setting_name</t>
        </is>
      </c>
      <c r="D1" s="8" t="inlineStr">
        <is>
          <t>value_raw</t>
        </is>
      </c>
      <c r="E1" s="8" t="inlineStr">
        <is>
          <t>value_type</t>
        </is>
      </c>
      <c r="F1" s="8" t="inlineStr">
        <is>
          <t>number_value</t>
        </is>
      </c>
      <c r="G1" s="8" t="inlineStr">
        <is>
          <t>time_value</t>
        </is>
      </c>
      <c r="H1" s="8" t="inlineStr">
        <is>
          <t>boolean_value</t>
        </is>
      </c>
      <c r="I1" s="8" t="inlineStr">
        <is>
          <t>execution_status</t>
        </is>
      </c>
      <c r="J1" s="8" t="inlineStr">
        <is>
          <t>use_case</t>
        </is>
      </c>
      <c r="K1" s="8" t="inlineStr">
        <is>
          <t>source_row</t>
        </is>
      </c>
    </row>
    <row r="2">
      <c r="A2" s="9" t="inlineStr">
        <is>
          <t>CFG-002</t>
        </is>
      </c>
      <c r="B2" s="9" t="inlineStr">
        <is>
          <t>축 상태</t>
        </is>
      </c>
      <c r="C2" s="9" t="inlineStr">
        <is>
          <t>개선 필요 경계</t>
        </is>
      </c>
      <c r="D2" s="10" t="inlineStr">
        <is>
          <t>나쁨 비율 &gt;= 0.5</t>
        </is>
      </c>
      <c r="E2" s="9" t="inlineStr">
        <is>
          <t>TEXT_RULE</t>
        </is>
      </c>
      <c r="F2" s="9" t="n"/>
      <c r="G2" s="9" t="n"/>
      <c r="H2" s="9" t="n"/>
      <c r="I2" s="11" t="inlineStr">
        <is>
          <t>TYPED</t>
        </is>
      </c>
      <c r="J2" s="10" t="inlineStr">
        <is>
          <t>축 상태 판정</t>
        </is>
      </c>
      <c r="K2" s="9" t="n">
        <v>2</v>
      </c>
    </row>
    <row r="3">
      <c r="A3" s="9" t="inlineStr">
        <is>
          <t>CFG-003</t>
        </is>
      </c>
      <c r="B3" s="9" t="inlineStr">
        <is>
          <t>축 상태</t>
        </is>
      </c>
      <c r="C3" s="9" t="inlineStr">
        <is>
          <t>양호 경계 · 3단계 축 (좋음)</t>
        </is>
      </c>
      <c r="D3" s="10" t="inlineStr">
        <is>
          <t>좋음 비율 &gt;= 0.6</t>
        </is>
      </c>
      <c r="E3" s="9" t="inlineStr">
        <is>
          <t>TEXT_RULE</t>
        </is>
      </c>
      <c r="F3" s="9" t="n"/>
      <c r="G3" s="9" t="n"/>
      <c r="H3" s="9" t="n"/>
      <c r="I3" s="11" t="inlineStr">
        <is>
          <t>TYPED</t>
        </is>
      </c>
      <c r="J3" s="10" t="inlineStr">
        <is>
          <t>축 상태 판정</t>
        </is>
      </c>
      <c r="K3" s="9" t="n">
        <v>3</v>
      </c>
    </row>
    <row r="4">
      <c r="A4" s="9" t="inlineStr">
        <is>
          <t>CFG-004</t>
        </is>
      </c>
      <c r="B4" s="9" t="inlineStr">
        <is>
          <t>축 상태</t>
        </is>
      </c>
      <c r="C4" s="9" t="inlineStr">
        <is>
          <t>양호 경계 · 3단계 축 (나쁨 상한)</t>
        </is>
      </c>
      <c r="D4" s="10" t="inlineStr">
        <is>
          <t>나쁨 비율 &lt; 0.2</t>
        </is>
      </c>
      <c r="E4" s="9" t="inlineStr">
        <is>
          <t>TEXT_RULE</t>
        </is>
      </c>
      <c r="F4" s="9" t="n"/>
      <c r="G4" s="9" t="n"/>
      <c r="H4" s="9" t="n"/>
      <c r="I4" s="11" t="inlineStr">
        <is>
          <t>TYPED</t>
        </is>
      </c>
      <c r="J4" s="10" t="inlineStr">
        <is>
          <t>축 상태 판정</t>
        </is>
      </c>
      <c r="K4" s="9" t="n">
        <v>4</v>
      </c>
    </row>
    <row r="5">
      <c r="A5" s="9" t="inlineStr">
        <is>
          <t>CFG-005</t>
        </is>
      </c>
      <c r="B5" s="9" t="inlineStr">
        <is>
          <t>축 상태</t>
        </is>
      </c>
      <c r="C5" s="9" t="inlineStr">
        <is>
          <t>양호 판정 결합 규칙</t>
        </is>
      </c>
      <c r="D5" s="10" t="inlineStr">
        <is>
          <t>CFG-003(좋음 비율 &gt;= 0.6) AND CFG-004(나쁨 비율 &lt; 0.2)</t>
        </is>
      </c>
      <c r="E5" s="9" t="inlineStr">
        <is>
          <t>TEXT_RULE</t>
        </is>
      </c>
      <c r="F5" s="9" t="n"/>
      <c r="G5" s="9" t="n"/>
      <c r="H5" s="9" t="n"/>
      <c r="I5" s="11" t="inlineStr">
        <is>
          <t>TYPED</t>
        </is>
      </c>
      <c r="J5" s="10" t="inlineStr">
        <is>
          <t>축 상태 판정</t>
        </is>
      </c>
      <c r="K5" s="9" t="n">
        <v>5</v>
      </c>
    </row>
    <row r="6">
      <c r="A6" s="9" t="inlineStr">
        <is>
          <t>CFG-006</t>
        </is>
      </c>
      <c r="B6" s="9" t="inlineStr">
        <is>
          <t>축 상태</t>
        </is>
      </c>
      <c r="C6" s="9" t="inlineStr">
        <is>
          <t>관찰 창 · 개선 필요 · 보통</t>
        </is>
      </c>
      <c r="D6" s="10" t="inlineStr">
        <is>
          <t>28</t>
        </is>
      </c>
      <c r="E6" s="9" t="inlineStr">
        <is>
          <t>NUMBER</t>
        </is>
      </c>
      <c r="F6" s="9" t="n">
        <v>28</v>
      </c>
      <c r="G6" s="9" t="n"/>
      <c r="H6" s="9" t="n"/>
      <c r="I6" s="12" t="inlineStr">
        <is>
          <t>TYPED</t>
        </is>
      </c>
      <c r="J6" s="10" t="inlineStr">
        <is>
          <t>유효 답 수 집계</t>
        </is>
      </c>
      <c r="K6" s="9" t="n">
        <v>6</v>
      </c>
    </row>
    <row r="7">
      <c r="A7" s="9" t="inlineStr">
        <is>
          <t>CFG-007</t>
        </is>
      </c>
      <c r="B7" s="9" t="inlineStr">
        <is>
          <t>축 상태</t>
        </is>
      </c>
      <c r="C7" s="9" t="inlineStr">
        <is>
          <t>상태 판정 최소 건수 · 개선 필요 · 보통</t>
        </is>
      </c>
      <c r="D7" s="10" t="inlineStr">
        <is>
          <t>3</t>
        </is>
      </c>
      <c r="E7" s="9" t="inlineStr">
        <is>
          <t>NUMBER</t>
        </is>
      </c>
      <c r="F7" s="9" t="n">
        <v>3</v>
      </c>
      <c r="G7" s="9" t="n"/>
      <c r="H7" s="9" t="n"/>
      <c r="I7" s="12" t="inlineStr">
        <is>
          <t>TYPED</t>
        </is>
      </c>
      <c r="J7" s="10" t="inlineStr">
        <is>
          <t>축 상태 판정</t>
        </is>
      </c>
      <c r="K7" s="9" t="n">
        <v>7</v>
      </c>
    </row>
    <row r="8">
      <c r="A8" s="9" t="inlineStr">
        <is>
          <t>CFG-008</t>
        </is>
      </c>
      <c r="B8" s="9" t="inlineStr">
        <is>
          <t>축 상태</t>
        </is>
      </c>
      <c r="C8" s="9" t="inlineStr">
        <is>
          <t>양호 판정 기준 · 최근 유효 응답 수</t>
        </is>
      </c>
      <c r="D8" s="10" t="inlineStr">
        <is>
          <t>7</t>
        </is>
      </c>
      <c r="E8" s="9" t="inlineStr">
        <is>
          <t>NUMBER</t>
        </is>
      </c>
      <c r="F8" s="9" t="n">
        <v>7</v>
      </c>
      <c r="G8" s="9" t="n"/>
      <c r="H8" s="9" t="n"/>
      <c r="I8" s="12" t="inlineStr">
        <is>
          <t>TYPED</t>
        </is>
      </c>
      <c r="J8" s="10" t="inlineStr">
        <is>
          <t>축 상태 판정</t>
        </is>
      </c>
      <c r="K8" s="9" t="n">
        <v>8</v>
      </c>
    </row>
    <row r="9">
      <c r="A9" s="9" t="inlineStr">
        <is>
          <t>CFG-009</t>
        </is>
      </c>
      <c r="B9" s="9" t="inlineStr">
        <is>
          <t>축 상태</t>
        </is>
      </c>
      <c r="C9" s="9" t="inlineStr">
        <is>
          <t>양호 판정 기준 · 거슬러 보는 상한</t>
        </is>
      </c>
      <c r="D9" s="10" t="inlineStr">
        <is>
          <t>84</t>
        </is>
      </c>
      <c r="E9" s="9" t="inlineStr">
        <is>
          <t>NUMBER</t>
        </is>
      </c>
      <c r="F9" s="9" t="n">
        <v>84</v>
      </c>
      <c r="G9" s="9" t="n"/>
      <c r="H9" s="9" t="n"/>
      <c r="I9" s="12" t="inlineStr">
        <is>
          <t>TYPED</t>
        </is>
      </c>
      <c r="J9" s="10" t="inlineStr">
        <is>
          <t>축 상태 판정</t>
        </is>
      </c>
      <c r="K9" s="9" t="n">
        <v>9</v>
      </c>
    </row>
    <row r="10" ht="26" customHeight="1">
      <c r="A10" s="9" t="inlineStr">
        <is>
          <t>CFG-010</t>
        </is>
      </c>
      <c r="B10" s="9" t="inlineStr">
        <is>
          <t>단계</t>
        </is>
      </c>
      <c r="C10" s="9" t="inlineStr">
        <is>
          <t>올리기 조건</t>
        </is>
      </c>
      <c r="D10" s="18" t="inlineStr">
        <is>
          <t>마지막 단계 변경 이후 그 축의 확정된 축 목표 최근 4건 중 3건 완료. 확정된 축 목표가 3건 미만이면 판단하지 않음</t>
        </is>
      </c>
      <c r="E10" s="9" t="inlineStr">
        <is>
          <t>TEXT_RULE</t>
        </is>
      </c>
      <c r="F10" s="9" t="n"/>
      <c r="G10" s="9" t="n"/>
      <c r="H10" s="9" t="n"/>
      <c r="I10" s="22" t="inlineStr">
        <is>
          <t>TYPED</t>
        </is>
      </c>
      <c r="J10" s="10" t="inlineStr">
        <is>
          <t>축 단계 상향</t>
        </is>
      </c>
      <c r="K10" s="9" t="n">
        <v>10</v>
      </c>
    </row>
    <row r="11">
      <c r="A11" s="9" t="inlineStr">
        <is>
          <t>CFG-011</t>
        </is>
      </c>
      <c r="B11" s="9" t="inlineStr">
        <is>
          <t>단계</t>
        </is>
      </c>
      <c r="C11" s="9" t="inlineStr">
        <is>
          <t>내리기 조건</t>
        </is>
      </c>
      <c r="D11" s="18" t="inlineStr">
        <is>
          <t>동일 축의 축 목표가 완료되지 않은 채 확정된 것 연속 2건</t>
        </is>
      </c>
      <c r="E11" s="9" t="inlineStr">
        <is>
          <t>TEXT_RULE</t>
        </is>
      </c>
      <c r="F11" s="9" t="n"/>
      <c r="G11" s="9" t="n"/>
      <c r="H11" s="9" t="n"/>
      <c r="I11" s="12" t="inlineStr">
        <is>
          <t>TYPED</t>
        </is>
      </c>
      <c r="J11" s="10" t="inlineStr">
        <is>
          <t>축 단계 하향</t>
        </is>
      </c>
      <c r="K11" s="9" t="n">
        <v>11</v>
      </c>
    </row>
    <row r="12">
      <c r="A12" s="9" t="inlineStr">
        <is>
          <t>CFG-012</t>
        </is>
      </c>
      <c r="B12" s="9" t="inlineStr">
        <is>
          <t>끼니</t>
        </is>
      </c>
      <c r="C12" s="9" t="inlineStr">
        <is>
          <t>끼니 경계 1</t>
        </is>
      </c>
      <c r="D12" s="10" t="inlineStr">
        <is>
          <t>10:00:00</t>
        </is>
      </c>
      <c r="E12" s="9" t="inlineStr">
        <is>
          <t>TIME</t>
        </is>
      </c>
      <c r="F12" s="9" t="n"/>
      <c r="G12" s="9" t="inlineStr">
        <is>
          <t>10:00:00</t>
        </is>
      </c>
      <c r="H12" s="9" t="n"/>
      <c r="I12" s="12" t="inlineStr">
        <is>
          <t>TYPED</t>
        </is>
      </c>
      <c r="J12" s="10" t="inlineStr">
        <is>
          <t>지난 끼니 = 어제 저녁 / 오늘 아침</t>
        </is>
      </c>
      <c r="K12" s="9" t="n">
        <v>12</v>
      </c>
    </row>
    <row r="13">
      <c r="A13" s="9" t="inlineStr">
        <is>
          <t>CFG-013</t>
        </is>
      </c>
      <c r="B13" s="9" t="inlineStr">
        <is>
          <t>끼니</t>
        </is>
      </c>
      <c r="C13" s="9" t="inlineStr">
        <is>
          <t>끼니 경계 2</t>
        </is>
      </c>
      <c r="D13" s="10" t="inlineStr">
        <is>
          <t>12:00:00</t>
        </is>
      </c>
      <c r="E13" s="9" t="inlineStr">
        <is>
          <t>TIME</t>
        </is>
      </c>
      <c r="F13" s="9" t="n"/>
      <c r="G13" s="9" t="inlineStr">
        <is>
          <t>12:00:00</t>
        </is>
      </c>
      <c r="H13" s="9" t="n"/>
      <c r="I13" s="12" t="inlineStr">
        <is>
          <t>TYPED</t>
        </is>
      </c>
      <c r="J13" s="10" t="inlineStr">
        <is>
          <t>지난 끼니 = 오늘 아침 / 오늘 점심</t>
        </is>
      </c>
      <c r="K13" s="9" t="n">
        <v>13</v>
      </c>
    </row>
    <row r="14">
      <c r="A14" s="9" t="inlineStr">
        <is>
          <t>CFG-014</t>
        </is>
      </c>
      <c r="B14" s="9" t="inlineStr">
        <is>
          <t>끼니</t>
        </is>
      </c>
      <c r="C14" s="9" t="inlineStr">
        <is>
          <t>끼니 경계 3</t>
        </is>
      </c>
      <c r="D14" s="10" t="inlineStr">
        <is>
          <t>17:00:00</t>
        </is>
      </c>
      <c r="E14" s="9" t="inlineStr">
        <is>
          <t>TIME</t>
        </is>
      </c>
      <c r="F14" s="9" t="n"/>
      <c r="G14" s="9" t="inlineStr">
        <is>
          <t>17:00:00</t>
        </is>
      </c>
      <c r="H14" s="9" t="n"/>
      <c r="I14" s="12" t="inlineStr">
        <is>
          <t>TYPED</t>
        </is>
      </c>
      <c r="J14" s="10" t="inlineStr">
        <is>
          <t>지난 끼니 = 오늘 점심 / 오늘 저녁. 00:00~04:00은 실제 달력일의 어제 저녁</t>
        </is>
      </c>
      <c r="K14" s="9" t="n">
        <v>14</v>
      </c>
    </row>
    <row r="15">
      <c r="A15" s="9" t="inlineStr">
        <is>
          <t>CFG-015</t>
        </is>
      </c>
      <c r="B15" s="9" t="inlineStr">
        <is>
          <t>날짜</t>
        </is>
      </c>
      <c r="C15" s="9" t="inlineStr">
        <is>
          <t>세션 경계</t>
        </is>
      </c>
      <c r="D15" s="10" t="inlineStr">
        <is>
          <t>04:00:00</t>
        </is>
      </c>
      <c r="E15" s="9" t="inlineStr">
        <is>
          <t>TIME</t>
        </is>
      </c>
      <c r="F15" s="9" t="n"/>
      <c r="G15" s="9" t="inlineStr">
        <is>
          <t>04:00:00</t>
        </is>
      </c>
      <c r="H15" s="9" t="n"/>
      <c r="I15" s="12" t="inlineStr">
        <is>
          <t>TYPED</t>
        </is>
      </c>
      <c r="J15" s="10" t="inlineStr">
        <is>
          <t>질문 세트 · 목표 · 코칭의 하루 단위</t>
        </is>
      </c>
      <c r="K15" s="9" t="n">
        <v>15</v>
      </c>
    </row>
    <row r="16">
      <c r="A16" s="9" t="inlineStr">
        <is>
          <t>CFG-016</t>
        </is>
      </c>
      <c r="B16" s="9" t="inlineStr">
        <is>
          <t>문구</t>
        </is>
      </c>
      <c r="C16" s="9" t="inlineStr">
        <is>
          <t>저녁 문구 우선 시각</t>
        </is>
      </c>
      <c r="D16" s="10" t="inlineStr">
        <is>
          <t>17:00:00</t>
        </is>
      </c>
      <c r="E16" s="9" t="inlineStr">
        <is>
          <t>TIME</t>
        </is>
      </c>
      <c r="F16" s="9" t="n"/>
      <c r="G16" s="9" t="inlineStr">
        <is>
          <t>17:00:00</t>
        </is>
      </c>
      <c r="H16" s="9" t="n"/>
      <c r="I16" s="12" t="inlineStr">
        <is>
          <t>TYPED</t>
        </is>
      </c>
      <c r="J16" s="10" t="inlineStr">
        <is>
          <t>17:00~24:00 저녁 문구 우선. 00:00~04:00은 어제 저녁으로 표시</t>
        </is>
      </c>
      <c r="K16" s="9" t="n">
        <v>16</v>
      </c>
    </row>
    <row r="17">
      <c r="A17" s="9" t="inlineStr">
        <is>
          <t>CFG-017</t>
        </is>
      </c>
      <c r="B17" s="9" t="inlineStr">
        <is>
          <t>문구</t>
        </is>
      </c>
      <c r="C17" s="9" t="inlineStr">
        <is>
          <t>오전 진입 문구 제한</t>
        </is>
      </c>
      <c r="D17" s="10" t="inlineStr">
        <is>
          <t>10:00 이후 제외</t>
        </is>
      </c>
      <c r="E17" s="9" t="inlineStr">
        <is>
          <t>TEXT_RULE</t>
        </is>
      </c>
      <c r="F17" s="9" t="n"/>
      <c r="G17" s="9" t="n"/>
      <c r="H17" s="9" t="n"/>
      <c r="I17" s="12" t="inlineStr">
        <is>
          <t>TYPED</t>
        </is>
      </c>
      <c r="J17" s="10" t="inlineStr">
        <is>
          <t>시간대 표시 「오전 진입」</t>
        </is>
      </c>
      <c r="K17" s="9" t="n">
        <v>17</v>
      </c>
    </row>
    <row r="18">
      <c r="A18" s="9" t="inlineStr">
        <is>
          <t>CFG-018</t>
        </is>
      </c>
      <c r="B18" s="9" t="inlineStr">
        <is>
          <t>회전 문항</t>
        </is>
      </c>
      <c r="C18" s="9" t="inlineStr">
        <is>
          <t>같은 축 연속 제한</t>
        </is>
      </c>
      <c r="D18" s="18" t="inlineStr">
        <is>
          <t>3일. 질문이 나간 날 기준(답하지 않아도 센다)</t>
        </is>
      </c>
      <c r="E18" s="9" t="inlineStr">
        <is>
          <t>TEXT_RULE</t>
        </is>
      </c>
      <c r="F18" s="9" t="n"/>
      <c r="G18" s="9" t="n"/>
      <c r="H18" s="9" t="n"/>
      <c r="I18" s="12" t="inlineStr">
        <is>
          <t>TYPED</t>
        </is>
      </c>
      <c r="J18" s="10" t="inlineStr">
        <is>
          <t>회전 축 선정에서 제외</t>
        </is>
      </c>
      <c r="K18" s="9" t="n">
        <v>18</v>
      </c>
    </row>
    <row r="19">
      <c r="A19" s="9" t="inlineStr">
        <is>
          <t>CFG-019</t>
        </is>
      </c>
      <c r="B19" s="9" t="inlineStr">
        <is>
          <t>진단 층</t>
        </is>
      </c>
      <c r="C19" s="9" t="inlineStr">
        <is>
          <t>진료정보 조회 창</t>
        </is>
      </c>
      <c r="D19" s="10" t="inlineStr">
        <is>
          <t>유형별 조회 창</t>
        </is>
      </c>
      <c r="E19" s="9" t="inlineStr">
        <is>
          <t>TEXT_RULE</t>
        </is>
      </c>
      <c r="F19" s="9" t="n"/>
      <c r="G19" s="9" t="n"/>
      <c r="H19" s="9" t="n"/>
      <c r="I19" s="12" t="inlineStr">
        <is>
          <t>NEEDS_STRUCTURING</t>
        </is>
      </c>
      <c r="J19" s="10" t="inlineStr">
        <is>
          <t>진단 후보 판정</t>
        </is>
      </c>
      <c r="K19" s="9" t="n">
        <v>19</v>
      </c>
    </row>
    <row r="20">
      <c r="A20" s="9" t="inlineStr">
        <is>
          <t>CFG-020</t>
        </is>
      </c>
      <c r="B20" s="9" t="inlineStr">
        <is>
          <t>진단 층</t>
        </is>
      </c>
      <c r="C20" s="9" t="inlineStr">
        <is>
          <t>기본 후보 조건</t>
        </is>
      </c>
      <c r="D20" s="10" t="inlineStr">
        <is>
          <t>주상병 2회 이상</t>
        </is>
      </c>
      <c r="E20" s="9" t="inlineStr">
        <is>
          <t>TEXT_RULE</t>
        </is>
      </c>
      <c r="F20" s="9" t="n"/>
      <c r="G20" s="9" t="n"/>
      <c r="H20" s="9" t="n"/>
      <c r="I20" s="12" t="inlineStr">
        <is>
          <t>TYPED</t>
        </is>
      </c>
      <c r="J20" s="10" t="inlineStr">
        <is>
          <t>진단 후보 판정</t>
        </is>
      </c>
      <c r="K20" s="9" t="n">
        <v>20</v>
      </c>
    </row>
    <row r="21">
      <c r="A21" s="9" t="inlineStr">
        <is>
          <t>CFG-021</t>
        </is>
      </c>
      <c r="B21" s="9" t="inlineStr">
        <is>
          <t>진단 층</t>
        </is>
      </c>
      <c r="C21" s="9" t="inlineStr">
        <is>
          <t>재질문 주기</t>
        </is>
      </c>
      <c r="D21" s="10" t="inlineStr">
        <is>
          <t>30일</t>
        </is>
      </c>
      <c r="E21" s="9" t="inlineStr">
        <is>
          <t>TEXT_RULE</t>
        </is>
      </c>
      <c r="F21" s="9" t="n"/>
      <c r="G21" s="9" t="n"/>
      <c r="H21" s="9" t="n"/>
      <c r="I21" s="12" t="inlineStr">
        <is>
          <t>TYPED</t>
        </is>
      </c>
      <c r="J21" s="18" t="inlineStr">
        <is>
          <t>「모르겠어요」 답변 후</t>
        </is>
      </c>
      <c r="K21" s="9" t="n">
        <v>21</v>
      </c>
    </row>
    <row r="22">
      <c r="A22" s="9" t="inlineStr">
        <is>
          <t>CFG-022</t>
        </is>
      </c>
      <c r="B22" s="9" t="inlineStr">
        <is>
          <t>검진 경계</t>
        </is>
      </c>
      <c r="C22" s="9" t="inlineStr">
        <is>
          <t>혈압 유효 조건</t>
        </is>
      </c>
      <c r="D22" s="10" t="inlineStr">
        <is>
          <t>측정 환경·기기·반복 측정·품질 저장</t>
        </is>
      </c>
      <c r="E22" s="9" t="inlineStr">
        <is>
          <t>TEXT_RULE</t>
        </is>
      </c>
      <c r="F22" s="9" t="n"/>
      <c r="G22" s="9" t="n"/>
      <c r="H22" s="9" t="n"/>
      <c r="I22" s="12" t="inlineStr">
        <is>
          <t>NEEDS_STRUCTURING</t>
        </is>
      </c>
      <c r="J22" s="10" t="inlineStr">
        <is>
          <t>기기 연동값 채택</t>
        </is>
      </c>
      <c r="K22" s="9" t="n">
        <v>22</v>
      </c>
    </row>
    <row r="23">
      <c r="A23" s="9" t="inlineStr">
        <is>
          <t>CFG-023</t>
        </is>
      </c>
      <c r="B23" s="9" t="inlineStr">
        <is>
          <t>검진 경계</t>
        </is>
      </c>
      <c r="C23" s="9" t="inlineStr">
        <is>
          <t>공복혈당 유효 조건</t>
        </is>
      </c>
      <c r="D23" s="10" t="inlineStr">
        <is>
          <t>검진 검사값과 기기 관찰값을 분리</t>
        </is>
      </c>
      <c r="E23" s="9" t="inlineStr">
        <is>
          <t>TEXT_RULE</t>
        </is>
      </c>
      <c r="F23" s="9" t="n"/>
      <c r="G23" s="9" t="n"/>
      <c r="H23" s="9" t="n"/>
      <c r="I23" s="12" t="inlineStr">
        <is>
          <t>NEEDS_STRUCTURING</t>
        </is>
      </c>
      <c r="J23" s="10" t="inlineStr">
        <is>
          <t>기기 연동값 채택</t>
        </is>
      </c>
      <c r="K23" s="9" t="n">
        <v>23</v>
      </c>
    </row>
    <row r="24">
      <c r="A24" s="9" t="inlineStr">
        <is>
          <t>CFG-024</t>
        </is>
      </c>
      <c r="B24" s="9" t="inlineStr">
        <is>
          <t>검진 경계</t>
        </is>
      </c>
      <c r="C24" s="9" t="inlineStr">
        <is>
          <t>체중 유효 조건</t>
        </is>
      </c>
      <c r="D24" s="10" t="inlineStr">
        <is>
          <t>하루 첫 측정 1건</t>
        </is>
      </c>
      <c r="E24" s="9" t="inlineStr">
        <is>
          <t>TEXT_RULE</t>
        </is>
      </c>
      <c r="F24" s="9" t="n"/>
      <c r="G24" s="9" t="n"/>
      <c r="H24" s="9" t="n"/>
      <c r="I24" s="12" t="inlineStr">
        <is>
          <t>NEEDS_STRUCTURING</t>
        </is>
      </c>
      <c r="J24" s="10" t="inlineStr">
        <is>
          <t>체질량지수 재계산</t>
        </is>
      </c>
      <c r="K24" s="9" t="n">
        <v>24</v>
      </c>
    </row>
    <row r="25">
      <c r="A25" s="9" t="inlineStr">
        <is>
          <t>CFG-025</t>
        </is>
      </c>
      <c r="B25" s="9" t="inlineStr">
        <is>
          <t>검진 경계</t>
        </is>
      </c>
      <c r="C25" s="9" t="inlineStr">
        <is>
          <t>공복혈당 구간</t>
        </is>
      </c>
      <c r="D25" s="10" t="inlineStr">
        <is>
          <t>검사실 참고 구간: 100~125 / 126 이상</t>
        </is>
      </c>
      <c r="E25" s="9" t="inlineStr">
        <is>
          <t>TEXT_RULE</t>
        </is>
      </c>
      <c r="F25" s="9" t="n"/>
      <c r="G25" s="9" t="n"/>
      <c r="H25" s="9" t="n"/>
      <c r="I25" s="12" t="inlineStr">
        <is>
          <t>NEEDS_STRUCTURING</t>
        </is>
      </c>
      <c r="J25" s="10" t="inlineStr">
        <is>
          <t>검진 경계 판정</t>
        </is>
      </c>
      <c r="K25" s="9" t="n">
        <v>25</v>
      </c>
    </row>
    <row r="26">
      <c r="A26" s="9" t="inlineStr">
        <is>
          <t>CFG-026</t>
        </is>
      </c>
      <c r="B26" s="9" t="inlineStr">
        <is>
          <t>검진 경계</t>
        </is>
      </c>
      <c r="C26" s="9" t="inlineStr">
        <is>
          <t>혈압 구간</t>
        </is>
      </c>
      <c r="D26" s="10" t="inlineStr">
        <is>
          <t>원본 임계치 보존·자동 판정 연결 보류</t>
        </is>
      </c>
      <c r="E26" s="9" t="inlineStr">
        <is>
          <t>TEXT_RULE</t>
        </is>
      </c>
      <c r="F26" s="9" t="n"/>
      <c r="G26" s="9" t="n"/>
      <c r="H26" s="9" t="n"/>
      <c r="I26" s="12" t="inlineStr">
        <is>
          <t>NEEDS_STRUCTURING</t>
        </is>
      </c>
      <c r="J26" s="10" t="inlineStr">
        <is>
          <t>검진 경계 판정</t>
        </is>
      </c>
      <c r="K26" s="9" t="n">
        <v>26</v>
      </c>
    </row>
    <row r="27">
      <c r="A27" s="9" t="inlineStr">
        <is>
          <t>CFG-027</t>
        </is>
      </c>
      <c r="B27" s="9" t="inlineStr">
        <is>
          <t>검진 경계</t>
        </is>
      </c>
      <c r="C27" s="9" t="inlineStr">
        <is>
          <t>콜레스테롤 구간</t>
        </is>
      </c>
      <c r="D27" s="10" t="inlineStr">
        <is>
          <t>검진 결과와 검사실 참고범위 저장</t>
        </is>
      </c>
      <c r="E27" s="9" t="inlineStr">
        <is>
          <t>TEXT_RULE</t>
        </is>
      </c>
      <c r="F27" s="9" t="n"/>
      <c r="G27" s="9" t="n"/>
      <c r="H27" s="9" t="n"/>
      <c r="I27" s="12" t="inlineStr">
        <is>
          <t>NEEDS_STRUCTURING</t>
        </is>
      </c>
      <c r="J27" s="10" t="inlineStr">
        <is>
          <t>검진 경계 판정</t>
        </is>
      </c>
      <c r="K27" s="9" t="n">
        <v>27</v>
      </c>
    </row>
    <row r="28">
      <c r="A28" s="9" t="inlineStr">
        <is>
          <t>CFG-028</t>
        </is>
      </c>
      <c r="B28" s="9" t="inlineStr">
        <is>
          <t>검진 경계</t>
        </is>
      </c>
      <c r="C28" s="9" t="inlineStr">
        <is>
          <t>체질량지수 구간</t>
        </is>
      </c>
      <c r="D28" s="10" t="inlineStr">
        <is>
          <t>성인용 기존 분류는 참고값으로만</t>
        </is>
      </c>
      <c r="E28" s="9" t="inlineStr">
        <is>
          <t>TEXT_RULE</t>
        </is>
      </c>
      <c r="F28" s="9" t="n"/>
      <c r="G28" s="9" t="n"/>
      <c r="H28" s="9" t="n"/>
      <c r="I28" s="12" t="inlineStr">
        <is>
          <t>NEEDS_STRUCTURING</t>
        </is>
      </c>
      <c r="J28" s="10" t="inlineStr">
        <is>
          <t>검진 경계 판정</t>
        </is>
      </c>
      <c r="K28" s="9" t="n">
        <v>28</v>
      </c>
    </row>
    <row r="29">
      <c r="A29" s="9" t="inlineStr">
        <is>
          <t>CFG-029</t>
        </is>
      </c>
      <c r="B29" s="9" t="inlineStr">
        <is>
          <t>문구 폭</t>
        </is>
      </c>
      <c r="C29" s="9" t="inlineStr">
        <is>
          <t>타일 최대</t>
        </is>
      </c>
      <c r="D29" s="10" t="inlineStr">
        <is>
          <t>22자 (2줄 × 11자)</t>
        </is>
      </c>
      <c r="E29" s="9" t="inlineStr">
        <is>
          <t>TEXT_RULE</t>
        </is>
      </c>
      <c r="F29" s="9" t="n"/>
      <c r="G29" s="9" t="n"/>
      <c r="H29" s="9" t="n"/>
      <c r="I29" s="12" t="inlineStr">
        <is>
          <t>TYPED</t>
        </is>
      </c>
      <c r="J29" s="10" t="inlineStr">
        <is>
          <t>문구 추가 시 검증</t>
        </is>
      </c>
      <c r="K29" s="9" t="n">
        <v>29</v>
      </c>
    </row>
    <row r="30">
      <c r="A30" s="9" t="inlineStr">
        <is>
          <t>CFG-030</t>
        </is>
      </c>
      <c r="B30" s="9" t="inlineStr">
        <is>
          <t>문구 폭</t>
        </is>
      </c>
      <c r="C30" s="9" t="inlineStr">
        <is>
          <t>질문 카드 최대</t>
        </is>
      </c>
      <c r="D30" s="10" t="inlineStr">
        <is>
          <t>32자 (2줄 × 16자)</t>
        </is>
      </c>
      <c r="E30" s="9" t="inlineStr">
        <is>
          <t>TEXT_RULE</t>
        </is>
      </c>
      <c r="F30" s="9" t="n"/>
      <c r="G30" s="9" t="n"/>
      <c r="H30" s="9" t="n"/>
      <c r="I30" s="12" t="inlineStr">
        <is>
          <t>TYPED</t>
        </is>
      </c>
      <c r="J30" s="10" t="inlineStr">
        <is>
          <t>문항 추가 시 검증</t>
        </is>
      </c>
      <c r="K30" s="9" t="n">
        <v>30</v>
      </c>
    </row>
    <row r="31">
      <c r="A31" s="9" t="inlineStr">
        <is>
          <t>CFG-031</t>
        </is>
      </c>
      <c r="B31" s="9" t="inlineStr">
        <is>
          <t>문구 폭</t>
        </is>
      </c>
      <c r="C31" s="9" t="inlineStr">
        <is>
          <t>답 버튼 최대</t>
        </is>
      </c>
      <c r="D31" s="18" t="inlineStr">
        <is>
          <t>7자 (5~7자)</t>
        </is>
      </c>
      <c r="E31" s="9" t="inlineStr">
        <is>
          <t>TEXT_RULE</t>
        </is>
      </c>
      <c r="F31" s="9" t="n"/>
      <c r="G31" s="9" t="n"/>
      <c r="H31" s="9" t="n"/>
      <c r="I31" s="12" t="inlineStr">
        <is>
          <t>TYPED</t>
        </is>
      </c>
      <c r="J31" s="10" t="inlineStr">
        <is>
          <t>답 추가 시 검증</t>
        </is>
      </c>
      <c r="K31" s="9" t="n">
        <v>31</v>
      </c>
    </row>
    <row r="32">
      <c r="A32" s="9" t="inlineStr">
        <is>
          <t>CFG-032</t>
        </is>
      </c>
      <c r="B32" s="9" t="inlineStr">
        <is>
          <t>운영 스위치</t>
        </is>
      </c>
      <c r="C32" s="9" t="inlineStr">
        <is>
          <t>격일 전환 기준</t>
        </is>
      </c>
      <c r="D32" s="10" t="inlineStr">
        <is>
          <t>미응답률 2주 연속 40% 이상 시 검토</t>
        </is>
      </c>
      <c r="E32" s="9" t="inlineStr">
        <is>
          <t>TEXT_RULE</t>
        </is>
      </c>
      <c r="F32" s="9" t="n"/>
      <c r="G32" s="9" t="n"/>
      <c r="H32" s="9" t="n"/>
      <c r="I32" s="12" t="inlineStr">
        <is>
          <t>NEEDS_STRUCTURING</t>
        </is>
      </c>
      <c r="J32" s="10" t="inlineStr">
        <is>
          <t>질문 빈도 하향</t>
        </is>
      </c>
      <c r="K32" s="9" t="n">
        <v>32</v>
      </c>
    </row>
    <row r="33">
      <c r="A33" s="9" t="inlineStr">
        <is>
          <t>CFG-033</t>
        </is>
      </c>
      <c r="B33" s="9" t="inlineStr">
        <is>
          <t>운영 스위치</t>
        </is>
      </c>
      <c r="C33" s="9" t="inlineStr">
        <is>
          <t>대상 끼니 재배분 기준</t>
        </is>
      </c>
      <c r="D33" s="10" t="inlineStr">
        <is>
          <t>10시 전 첫 진입 40% 미만</t>
        </is>
      </c>
      <c r="E33" s="9" t="inlineStr">
        <is>
          <t>TEXT_RULE</t>
        </is>
      </c>
      <c r="F33" s="9" t="n"/>
      <c r="G33" s="9" t="n"/>
      <c r="H33" s="9" t="n"/>
      <c r="I33" s="12" t="inlineStr">
        <is>
          <t>TYPED</t>
        </is>
      </c>
      <c r="J33" s="10" t="inlineStr">
        <is>
          <t>대상 끼니 규칙 변경 착수</t>
        </is>
      </c>
      <c r="K33" s="9" t="n">
        <v>33</v>
      </c>
    </row>
    <row r="34">
      <c r="A34" s="9" t="inlineStr">
        <is>
          <t>CFG-034</t>
        </is>
      </c>
      <c r="B34" s="9" t="inlineStr">
        <is>
          <t>임의값</t>
        </is>
      </c>
      <c r="C34" s="9" t="inlineStr">
        <is>
          <t>천천히 먹기 기준</t>
        </is>
      </c>
      <c r="D34" s="10" t="inlineStr">
        <is>
          <t>고정 시간 없음</t>
        </is>
      </c>
      <c r="E34" s="9" t="inlineStr">
        <is>
          <t>TEXT_RULE</t>
        </is>
      </c>
      <c r="F34" s="9" t="n"/>
      <c r="G34" s="9" t="n"/>
      <c r="H34" s="9" t="n"/>
      <c r="I34" s="12" t="inlineStr">
        <is>
          <t>NEEDS_STRUCTURING</t>
        </is>
      </c>
      <c r="J34" s="10" t="inlineStr">
        <is>
          <t>문구 「한 끼는 20분 이상 천천히」</t>
        </is>
      </c>
      <c r="K34" s="9" t="n">
        <v>34</v>
      </c>
    </row>
    <row r="35">
      <c r="A35" s="9" t="inlineStr">
        <is>
          <t>CFG-035</t>
        </is>
      </c>
      <c r="B35" s="9" t="inlineStr">
        <is>
          <t>임의값</t>
        </is>
      </c>
      <c r="C35" s="9" t="inlineStr">
        <is>
          <t>밥 양 감량 비율</t>
        </is>
      </c>
      <c r="D35" s="10" t="inlineStr">
        <is>
          <t>자동 추천 보류</t>
        </is>
      </c>
      <c r="E35" s="9" t="inlineStr">
        <is>
          <t>TEXT_RULE</t>
        </is>
      </c>
      <c r="F35" s="9" t="n"/>
      <c r="G35" s="9" t="n"/>
      <c r="H35" s="9" t="n"/>
      <c r="I35" s="12" t="inlineStr">
        <is>
          <t>NEEDS_STRUCTURING</t>
        </is>
      </c>
      <c r="J35" s="10" t="inlineStr">
        <is>
          <t>문구 「한 끼 밥 양은 평소의 3분의 2」</t>
        </is>
      </c>
      <c r="K35" s="9" t="n">
        <v>35</v>
      </c>
    </row>
    <row r="36">
      <c r="A36" s="9" t="inlineStr">
        <is>
          <t>CFG-036</t>
        </is>
      </c>
      <c r="B36" s="9" t="inlineStr">
        <is>
          <t>임의값</t>
        </is>
      </c>
      <c r="C36" s="9" t="inlineStr">
        <is>
          <t>취침 전 식사 간격</t>
        </is>
      </c>
      <c r="D36" s="10" t="inlineStr">
        <is>
          <t>역류 증상 대상 개별 검토</t>
        </is>
      </c>
      <c r="E36" s="9" t="inlineStr">
        <is>
          <t>TEXT_RULE</t>
        </is>
      </c>
      <c r="F36" s="9" t="n"/>
      <c r="G36" s="9" t="n"/>
      <c r="H36" s="9" t="n"/>
      <c r="I36" s="12" t="inlineStr">
        <is>
          <t>NEEDS_STRUCTURING</t>
        </is>
      </c>
      <c r="J36" s="10" t="inlineStr">
        <is>
          <t>문구 「저녁은 잠들기 3시간 전에 마치기」</t>
        </is>
      </c>
      <c r="K36" s="9" t="n">
        <v>36</v>
      </c>
    </row>
    <row r="37">
      <c r="A37" s="9" t="inlineStr">
        <is>
          <t>CFG-037</t>
        </is>
      </c>
      <c r="B37" s="9" t="inlineStr">
        <is>
          <t>임의값</t>
        </is>
      </c>
      <c r="C37" s="9" t="inlineStr">
        <is>
          <t>카페인 차단 시각</t>
        </is>
      </c>
      <c r="D37" s="10" t="inlineStr">
        <is>
          <t>개인 취침시각·민감도 고려</t>
        </is>
      </c>
      <c r="E37" s="9" t="inlineStr">
        <is>
          <t>TEXT_RULE</t>
        </is>
      </c>
      <c r="F37" s="9" t="n"/>
      <c r="G37" s="9" t="n"/>
      <c r="H37" s="9" t="n"/>
      <c r="I37" s="12" t="inlineStr">
        <is>
          <t>NEEDS_STRUCTURING</t>
        </is>
      </c>
      <c r="J37" s="10" t="inlineStr">
        <is>
          <t>문구 「오후 2시 이후 카페인 멈추기」</t>
        </is>
      </c>
      <c r="K37" s="9" t="n">
        <v>37</v>
      </c>
    </row>
    <row r="38">
      <c r="A38" s="9" t="inlineStr">
        <is>
          <t>CFG-038</t>
        </is>
      </c>
      <c r="B38" s="9" t="inlineStr">
        <is>
          <t>질문</t>
        </is>
      </c>
      <c r="C38" s="9" t="inlineStr">
        <is>
          <t>고정·회전 노출 수</t>
        </is>
      </c>
      <c r="D38" s="10" t="inlineStr">
        <is>
          <t>1+최대1</t>
        </is>
      </c>
      <c r="E38" s="9" t="inlineStr">
        <is>
          <t>TEXT_RULE</t>
        </is>
      </c>
      <c r="F38" s="9" t="n"/>
      <c r="G38" s="9" t="n"/>
      <c r="H38" s="9" t="n"/>
      <c r="I38" s="12" t="inlineStr">
        <is>
          <t>TYPED</t>
        </is>
      </c>
      <c r="J38" s="10" t="inlineStr">
        <is>
          <t>고정·회전 문항 모두 선택지 3개</t>
        </is>
      </c>
      <c r="K38" s="9" t="n">
        <v>38</v>
      </c>
    </row>
    <row r="39">
      <c r="A39" s="9" t="inlineStr">
        <is>
          <t>CFG-039</t>
        </is>
      </c>
      <c r="B39" s="9" t="inlineStr">
        <is>
          <t>질문</t>
        </is>
      </c>
      <c r="C39" s="9" t="inlineStr">
        <is>
          <t>어제 목표 확인 질문</t>
        </is>
      </c>
      <c r="D39" s="10" t="inlineStr">
        <is>
          <t>false</t>
        </is>
      </c>
      <c r="E39" s="9" t="inlineStr">
        <is>
          <t>BOOLEAN</t>
        </is>
      </c>
      <c r="F39" s="9" t="n"/>
      <c r="G39" s="9" t="n"/>
      <c r="H39" s="9" t="b">
        <v>0</v>
      </c>
      <c r="I39" s="12" t="inlineStr">
        <is>
          <t>TYPED</t>
        </is>
      </c>
      <c r="J39" s="10" t="inlineStr">
        <is>
          <t>회전 선정</t>
        </is>
      </c>
      <c r="K39" s="9" t="n">
        <v>39</v>
      </c>
    </row>
    <row r="40">
      <c r="A40" s="9" t="inlineStr">
        <is>
          <t>CFG-040</t>
        </is>
      </c>
      <c r="B40" s="9" t="inlineStr">
        <is>
          <t>질문</t>
        </is>
      </c>
      <c r="C40" s="9" t="inlineStr">
        <is>
          <t>어제 결식 단백질 강제</t>
        </is>
      </c>
      <c r="D40" s="10" t="inlineStr">
        <is>
          <t>false</t>
        </is>
      </c>
      <c r="E40" s="9" t="inlineStr">
        <is>
          <t>BOOLEAN</t>
        </is>
      </c>
      <c r="F40" s="9" t="n"/>
      <c r="G40" s="9" t="n"/>
      <c r="H40" s="9" t="b">
        <v>0</v>
      </c>
      <c r="I40" s="12" t="inlineStr">
        <is>
          <t>TYPED</t>
        </is>
      </c>
      <c r="J40" s="10" t="inlineStr">
        <is>
          <t>회전 선정</t>
        </is>
      </c>
      <c r="K40" s="9" t="n">
        <v>40</v>
      </c>
    </row>
    <row r="41" ht="25" customHeight="1">
      <c r="A41" s="9" t="inlineStr">
        <is>
          <t>CFG-041</t>
        </is>
      </c>
      <c r="B41" s="9" t="inlineStr">
        <is>
          <t>질문</t>
        </is>
      </c>
      <c r="C41" s="9" t="inlineStr">
        <is>
          <t>회전 우선순위</t>
        </is>
      </c>
      <c r="D41" s="4" t="inlineStr">
        <is>
          <t>질환 연결 축을 모두 한 번씩 물은 다음 날 일반 축 하나. 같은 묶음 안에서는 28일 유효답 최소 → 최근 질문 오래됨 → 질문 ID 오름차순</t>
        </is>
      </c>
      <c r="E41" s="9" t="inlineStr">
        <is>
          <t>TEXT_RULE</t>
        </is>
      </c>
      <c r="F41" s="9" t="n"/>
      <c r="G41" s="9" t="n"/>
      <c r="H41" s="9" t="n"/>
      <c r="I41" s="11" t="inlineStr">
        <is>
          <t>TYPED</t>
        </is>
      </c>
      <c r="J41" s="10" t="inlineStr">
        <is>
          <t>회전 선정</t>
        </is>
      </c>
      <c r="K41" s="9" t="n">
        <v>41</v>
      </c>
    </row>
    <row r="42">
      <c r="A42" s="9" t="inlineStr">
        <is>
          <t>CFG-042</t>
        </is>
      </c>
      <c r="B42" s="9" t="inlineStr">
        <is>
          <t>집계</t>
        </is>
      </c>
      <c r="C42" s="9" t="inlineStr">
        <is>
          <t>미응답 처리</t>
        </is>
      </c>
      <c r="D42" s="10" t="inlineStr">
        <is>
          <t>응답 없으면 문항 미완료·집계 제외</t>
        </is>
      </c>
      <c r="E42" s="9" t="inlineStr">
        <is>
          <t>TEXT_RULE</t>
        </is>
      </c>
      <c r="F42" s="9" t="n"/>
      <c r="G42" s="9" t="n"/>
      <c r="H42" s="9" t="n"/>
      <c r="I42" s="12" t="inlineStr">
        <is>
          <t>TYPED</t>
        </is>
      </c>
      <c r="J42" s="10" t="inlineStr">
        <is>
          <t>질문 상태·목표 잠금</t>
        </is>
      </c>
      <c r="K42" s="9" t="n">
        <v>42</v>
      </c>
    </row>
    <row r="43">
      <c r="A43" s="9" t="inlineStr">
        <is>
          <t>CFG-043</t>
        </is>
      </c>
      <c r="B43" s="9" t="inlineStr">
        <is>
          <t>집계</t>
        </is>
      </c>
      <c r="C43" s="9" t="inlineStr">
        <is>
          <t>오늘 선정용 스냅샷</t>
        </is>
      </c>
      <c r="D43" s="10" t="inlineStr">
        <is>
          <t>첫 선정 전일까지의 28일</t>
        </is>
      </c>
      <c r="E43" s="9" t="inlineStr">
        <is>
          <t>TEXT_RULE</t>
        </is>
      </c>
      <c r="F43" s="9" t="n"/>
      <c r="G43" s="9" t="n"/>
      <c r="H43" s="9" t="n"/>
      <c r="I43" s="12" t="inlineStr">
        <is>
          <t>NEEDS_STRUCTURING</t>
        </is>
      </c>
      <c r="J43" s="10" t="inlineStr">
        <is>
          <t>목표 선정</t>
        </is>
      </c>
      <c r="K43" s="9" t="n">
        <v>43</v>
      </c>
    </row>
    <row r="44">
      <c r="A44" s="9" t="inlineStr">
        <is>
          <t>CFG-044</t>
        </is>
      </c>
      <c r="B44" s="9" t="inlineStr">
        <is>
          <t>집계</t>
        </is>
      </c>
      <c r="C44" s="9" t="inlineStr">
        <is>
          <t>식사 시각 상태</t>
        </is>
      </c>
      <c r="D44" s="10" t="inlineStr">
        <is>
          <t>사실 빈도만 저장</t>
        </is>
      </c>
      <c r="E44" s="9" t="inlineStr">
        <is>
          <t>TEXT_RULE</t>
        </is>
      </c>
      <c r="F44" s="9" t="n"/>
      <c r="G44" s="9" t="n"/>
      <c r="H44" s="9" t="n"/>
      <c r="I44" s="12" t="inlineStr">
        <is>
          <t>NEEDS_STRUCTURING</t>
        </is>
      </c>
      <c r="J44" s="10" t="inlineStr">
        <is>
          <t>시간 축</t>
        </is>
      </c>
      <c r="K44" s="9" t="n">
        <v>44</v>
      </c>
    </row>
    <row r="45">
      <c r="A45" s="9" t="inlineStr">
        <is>
          <t>CFG-045</t>
        </is>
      </c>
      <c r="B45" s="9" t="inlineStr">
        <is>
          <t>단계</t>
        </is>
      </c>
      <c r="C45" s="9" t="inlineStr">
        <is>
          <t>양호 시 도전 강제</t>
        </is>
      </c>
      <c r="D45" s="10" t="inlineStr">
        <is>
          <t>false</t>
        </is>
      </c>
      <c r="E45" s="9" t="inlineStr">
        <is>
          <t>BOOLEAN</t>
        </is>
      </c>
      <c r="F45" s="9" t="n"/>
      <c r="G45" s="9" t="n"/>
      <c r="H45" s="9" t="b">
        <v>0</v>
      </c>
      <c r="I45" s="12" t="inlineStr">
        <is>
          <t>TYPED</t>
        </is>
      </c>
      <c r="J45" s="10" t="inlineStr">
        <is>
          <t>단계 선정</t>
        </is>
      </c>
      <c r="K45" s="9" t="n">
        <v>45</v>
      </c>
    </row>
    <row r="46">
      <c r="A46" s="9" t="inlineStr">
        <is>
          <t>CFG-046</t>
        </is>
      </c>
      <c r="B46" s="9" t="inlineStr">
        <is>
          <t>안전</t>
        </is>
      </c>
      <c r="C46" s="9" t="inlineStr">
        <is>
          <t>금지 필터 범위</t>
        </is>
      </c>
      <c r="D46" s="10" t="inlineStr">
        <is>
          <t>모든 풀·모든 대체 단계·최종 저장. 완화할 수 없다</t>
        </is>
      </c>
      <c r="E46" s="9" t="inlineStr">
        <is>
          <t>TEXT_RULE</t>
        </is>
      </c>
      <c r="F46" s="9" t="n"/>
      <c r="G46" s="9" t="n"/>
      <c r="H46" s="9" t="n"/>
      <c r="I46" s="12" t="inlineStr">
        <is>
          <t>TYPED</t>
        </is>
      </c>
      <c r="J46" s="10" t="inlineStr">
        <is>
          <t>목표 선정</t>
        </is>
      </c>
      <c r="K46" s="9" t="n">
        <v>46</v>
      </c>
    </row>
    <row r="47">
      <c r="A47" s="9" t="inlineStr">
        <is>
          <t>CFG-047</t>
        </is>
      </c>
      <c r="B47" s="9" t="inlineStr">
        <is>
          <t>안전</t>
        </is>
      </c>
      <c r="C47" s="9" t="inlineStr">
        <is>
          <t>후보 없음</t>
        </is>
      </c>
      <c r="D47" s="10" t="inlineStr">
        <is>
          <t>생성 안 함·안내 표시. 완료율 분모에는 들어가며 미완료로 센다</t>
        </is>
      </c>
      <c r="E47" s="9" t="inlineStr">
        <is>
          <t>TEXT_RULE</t>
        </is>
      </c>
      <c r="F47" s="9" t="n"/>
      <c r="G47" s="9" t="n"/>
      <c r="H47" s="9" t="n"/>
      <c r="I47" s="12" t="inlineStr">
        <is>
          <t>TYPED</t>
        </is>
      </c>
      <c r="J47" s="10" t="inlineStr">
        <is>
          <t>목표 타일</t>
        </is>
      </c>
      <c r="K47" s="9" t="n">
        <v>47</v>
      </c>
    </row>
    <row r="48">
      <c r="A48" s="9" t="inlineStr">
        <is>
          <t>CFG-049</t>
        </is>
      </c>
      <c r="B48" s="9" t="inlineStr">
        <is>
          <t>운영</t>
        </is>
      </c>
      <c r="C48" s="9" t="inlineStr">
        <is>
          <t>규칙 버전</t>
        </is>
      </c>
      <c r="D48" s="10" t="inlineStr">
        <is>
          <t>1.0.0</t>
        </is>
      </c>
      <c r="E48" s="9" t="inlineStr">
        <is>
          <t>TEXT_RULE</t>
        </is>
      </c>
      <c r="F48" s="9" t="n"/>
      <c r="G48" s="9" t="n"/>
      <c r="H48" s="9" t="n"/>
      <c r="I48" s="12" t="inlineStr">
        <is>
          <t>NEEDS_STRUCTURING</t>
        </is>
      </c>
      <c r="J48" s="10" t="inlineStr">
        <is>
          <t>전체</t>
        </is>
      </c>
      <c r="K48" s="9" t="n">
        <v>48</v>
      </c>
    </row>
    <row r="49">
      <c r="A49" s="9" t="inlineStr">
        <is>
          <t>CFG-050</t>
        </is>
      </c>
      <c r="B49" s="9" t="inlineStr">
        <is>
          <t>데이터</t>
        </is>
      </c>
      <c r="C49" s="9" t="inlineStr">
        <is>
          <t>질환 확인 의미</t>
        </is>
      </c>
      <c r="D49" s="10" t="inlineStr">
        <is>
          <t>사용자 확인 질환</t>
        </is>
      </c>
      <c r="E49" s="9" t="inlineStr">
        <is>
          <t>TEXT_RULE</t>
        </is>
      </c>
      <c r="F49" s="9" t="n"/>
      <c r="G49" s="9" t="n"/>
      <c r="H49" s="9" t="n"/>
      <c r="I49" s="12" t="inlineStr">
        <is>
          <t>NEEDS_STRUCTURING</t>
        </is>
      </c>
      <c r="J49" s="10" t="inlineStr">
        <is>
          <t>진단 층</t>
        </is>
      </c>
      <c r="K49" s="9" t="n">
        <v>49</v>
      </c>
    </row>
    <row r="50">
      <c r="A50" s="9" t="inlineStr">
        <is>
          <t>CFG-051</t>
        </is>
      </c>
      <c r="B50" s="9" t="inlineStr">
        <is>
          <t>데이터</t>
        </is>
      </c>
      <c r="C50" s="9" t="inlineStr">
        <is>
          <t>신규 질문버전 재집계</t>
        </is>
      </c>
      <c r="D50" s="10" t="inlineStr">
        <is>
          <t>버전별 별도</t>
        </is>
      </c>
      <c r="E50" s="9" t="inlineStr">
        <is>
          <t>TEXT_RULE</t>
        </is>
      </c>
      <c r="F50" s="9" t="n"/>
      <c r="G50" s="9" t="n"/>
      <c r="H50" s="9" t="n"/>
      <c r="I50" s="12" t="inlineStr">
        <is>
          <t>NEEDS_STRUCTURING</t>
        </is>
      </c>
      <c r="J50" s="10" t="inlineStr">
        <is>
          <t>축 상태</t>
        </is>
      </c>
      <c r="K50" s="9" t="n">
        <v>50</v>
      </c>
    </row>
    <row r="51">
      <c r="A51" s="9" t="inlineStr">
        <is>
          <t>CFG-052</t>
        </is>
      </c>
      <c r="B51" s="9" t="inlineStr">
        <is>
          <t>안전</t>
        </is>
      </c>
      <c r="C51" s="9" t="inlineStr">
        <is>
          <t>임상 고위험·정보 부족</t>
        </is>
      </c>
      <c r="D51" s="10" t="inlineStr">
        <is>
          <t>개별 영양 계획 확인 안내</t>
        </is>
      </c>
      <c r="E51" s="9" t="inlineStr">
        <is>
          <t>TEXT_RULE</t>
        </is>
      </c>
      <c r="F51" s="9" t="n"/>
      <c r="G51" s="9" t="n"/>
      <c r="H51" s="9" t="n"/>
      <c r="I51" s="12" t="inlineStr">
        <is>
          <t>NEEDS_STRUCTURING</t>
        </is>
      </c>
      <c r="J51" s="10" t="inlineStr">
        <is>
          <t>모든 풀</t>
        </is>
      </c>
      <c r="K51" s="9" t="n">
        <v>51</v>
      </c>
    </row>
    <row r="52">
      <c r="A52" s="9" t="inlineStr">
        <is>
          <t>CFG-053</t>
        </is>
      </c>
      <c r="B52" s="9" t="inlineStr">
        <is>
          <t>안전</t>
        </is>
      </c>
      <c r="C52" s="9" t="inlineStr">
        <is>
          <t>새 제한 정보 도착</t>
        </is>
      </c>
      <c r="D52" s="10" t="inlineStr">
        <is>
          <t>당일에도 안전성 재검사</t>
        </is>
      </c>
      <c r="E52" s="9" t="inlineStr">
        <is>
          <t>TEXT_RULE</t>
        </is>
      </c>
      <c r="F52" s="9" t="n"/>
      <c r="G52" s="9" t="n"/>
      <c r="H52" s="9" t="n"/>
      <c r="I52" s="12" t="inlineStr">
        <is>
          <t>NEEDS_STRUCTURING</t>
        </is>
      </c>
      <c r="J52" s="10" t="inlineStr">
        <is>
          <t>목표</t>
        </is>
      </c>
      <c r="K52" s="9" t="n">
        <v>52</v>
      </c>
    </row>
    <row r="53">
      <c r="A53" s="9" t="inlineStr">
        <is>
          <t>CFG-054</t>
        </is>
      </c>
      <c r="B53" s="9" t="inlineStr">
        <is>
          <t>날짜</t>
        </is>
      </c>
      <c r="C53" s="9" t="inlineStr">
        <is>
          <t>중복 관찰 키</t>
        </is>
      </c>
      <c r="D53" s="10" t="inlineStr">
        <is>
          <t>사용자+실제 끼니 날짜+끼니종류+질문ID+버전</t>
        </is>
      </c>
      <c r="E53" s="9" t="inlineStr">
        <is>
          <t>TEXT_RULE</t>
        </is>
      </c>
      <c r="F53" s="9" t="n"/>
      <c r="G53" s="9" t="n"/>
      <c r="H53" s="9" t="n"/>
      <c r="I53" s="12" t="inlineStr">
        <is>
          <t>NEEDS_STRUCTURING</t>
        </is>
      </c>
      <c r="J53" s="10" t="inlineStr">
        <is>
          <t>응답 집계</t>
        </is>
      </c>
      <c r="K53" s="9" t="n">
        <v>53</v>
      </c>
    </row>
    <row r="54">
      <c r="A54" s="9" t="inlineStr">
        <is>
          <t>CFG-055</t>
        </is>
      </c>
      <c r="B54" s="9" t="inlineStr">
        <is>
          <t>시간</t>
        </is>
      </c>
      <c r="C54" s="9" t="inlineStr">
        <is>
          <t>목표 실행 가능성</t>
        </is>
      </c>
      <c r="D54" s="10" t="inlineStr">
        <is>
          <t>생성 시각 이후 가능한 행동만</t>
        </is>
      </c>
      <c r="E54" s="9" t="inlineStr">
        <is>
          <t>TEXT_RULE</t>
        </is>
      </c>
      <c r="F54" s="9" t="n"/>
      <c r="G54" s="9" t="n"/>
      <c r="H54" s="9" t="n"/>
      <c r="I54" s="12" t="inlineStr">
        <is>
          <t>NEEDS_STRUCTURING</t>
        </is>
      </c>
      <c r="J54" s="10" t="inlineStr">
        <is>
          <t>목표 선정</t>
        </is>
      </c>
      <c r="K54" s="9" t="n">
        <v>54</v>
      </c>
    </row>
    <row r="55">
      <c r="A55" s="9" t="inlineStr">
        <is>
          <t>CFG-056</t>
        </is>
      </c>
      <c r="B55" s="9" t="inlineStr">
        <is>
          <t>정책</t>
        </is>
      </c>
      <c r="C55" s="9" t="inlineStr">
        <is>
          <t>과일 추천 제외</t>
        </is>
      </c>
      <c r="D55" s="10" t="inlineStr">
        <is>
          <t>true</t>
        </is>
      </c>
      <c r="E55" s="9" t="inlineStr">
        <is>
          <t>BOOLEAN</t>
        </is>
      </c>
      <c r="F55" s="9" t="n"/>
      <c r="G55" s="9" t="n"/>
      <c r="H55" s="9" t="b">
        <v>1</v>
      </c>
      <c r="I55" s="12" t="inlineStr">
        <is>
          <t>TYPED</t>
        </is>
      </c>
      <c r="J55" s="10" t="inlineStr">
        <is>
          <t>전체 문구·모든 풀</t>
        </is>
      </c>
      <c r="K55" s="9" t="n">
        <v>55</v>
      </c>
    </row>
    <row r="56" ht="25" customHeight="1">
      <c r="A56" s="9" t="inlineStr">
        <is>
          <t>CFG-057</t>
        </is>
      </c>
      <c r="B56" s="9" t="inlineStr">
        <is>
          <t>끼니</t>
        </is>
      </c>
      <c r="C56" s="9" t="inlineStr">
        <is>
          <t>저녁 여부 확인 시각</t>
        </is>
      </c>
      <c r="D56" s="10" t="inlineStr">
        <is>
          <t>17:00:00</t>
        </is>
      </c>
      <c r="E56" s="9" t="inlineStr">
        <is>
          <t>TIME</t>
        </is>
      </c>
      <c r="F56" s="9" t="n"/>
      <c r="G56" s="9" t="inlineStr">
        <is>
          <t>17:00:00</t>
        </is>
      </c>
      <c r="H56" s="9" t="n"/>
      <c r="I56" s="12" t="inlineStr">
        <is>
          <t>TYPED</t>
        </is>
      </c>
      <c r="J56" s="10" t="inlineStr">
        <is>
          <t>17:00~24:00 오늘 저녁을 묻고 식사 후 답하도록 안내. 00:00~04:00은 어제 저녁을 묻고 식후 안내 제외</t>
        </is>
      </c>
      <c r="K56" s="9" t="n">
        <v>56</v>
      </c>
    </row>
    <row r="57">
      <c r="A57" s="6" t="inlineStr">
        <is>
          <t>CFG-058</t>
        </is>
      </c>
      <c r="B57" s="6" t="inlineStr">
        <is>
          <t>검진 경계</t>
        </is>
      </c>
      <c r="C57" s="6" t="inlineStr">
        <is>
          <t>식이 목표 검진 데이터 유효기간</t>
        </is>
      </c>
      <c r="D57" s="5" t="inlineStr">
        <is>
          <t>검진일로부터 3개월(만료일 포함)</t>
        </is>
      </c>
      <c r="E57" s="6" t="inlineStr">
        <is>
          <t>NUMBER</t>
        </is>
      </c>
      <c r="F57" s="6" t="n">
        <v>3</v>
      </c>
      <c r="G57" s="6" t="n"/>
      <c r="H57" s="6" t="n"/>
      <c r="I57" s="6" t="inlineStr">
        <is>
          <t>TYPED</t>
        </is>
      </c>
      <c r="J57" s="5" t="inlineStr">
        <is>
          <t>검진 신호 기반 식이 목표 선정</t>
        </is>
      </c>
      <c r="K57" s="6" t="n">
        <v>57</v>
      </c>
    </row>
    <row r="58">
      <c r="A58" s="6" t="inlineStr">
        <is>
          <t>CFG-059</t>
        </is>
      </c>
      <c r="B58" s="6" t="inlineStr">
        <is>
          <t>질환 축 우선순위</t>
        </is>
      </c>
      <c r="C58" s="6" t="inlineStr">
        <is>
          <t>직접 선택</t>
        </is>
      </c>
      <c r="D58" s="5" t="inlineStr">
        <is>
          <t>1</t>
        </is>
      </c>
      <c r="E58" s="6" t="inlineStr">
        <is>
          <t>NUMBER</t>
        </is>
      </c>
      <c r="F58" s="6" t="n">
        <v>1</v>
      </c>
      <c r="G58" s="6" t="n"/>
      <c r="H58" s="6" t="n"/>
      <c r="I58" s="6" t="inlineStr">
        <is>
          <t>TYPED</t>
        </is>
      </c>
      <c r="J58" s="5" t="inlineStr">
        <is>
          <t>목표 축 선정</t>
        </is>
      </c>
      <c r="K58" s="6" t="n">
        <v>58</v>
      </c>
    </row>
    <row r="59">
      <c r="A59" s="6" t="inlineStr">
        <is>
          <t>CFG-060</t>
        </is>
      </c>
      <c r="B59" s="6" t="inlineStr">
        <is>
          <t>질환 축 우선순위</t>
        </is>
      </c>
      <c r="C59" s="6" t="inlineStr">
        <is>
          <t>진료정보 확인</t>
        </is>
      </c>
      <c r="D59" s="5" t="inlineStr">
        <is>
          <t>2</t>
        </is>
      </c>
      <c r="E59" s="6" t="inlineStr">
        <is>
          <t>NUMBER</t>
        </is>
      </c>
      <c r="F59" s="6" t="n">
        <v>2</v>
      </c>
      <c r="G59" s="6" t="n"/>
      <c r="H59" s="6" t="n"/>
      <c r="I59" s="6" t="inlineStr">
        <is>
          <t>TYPED</t>
        </is>
      </c>
      <c r="J59" s="5" t="inlineStr">
        <is>
          <t>목표 축 선정</t>
        </is>
      </c>
      <c r="K59" s="6" t="n">
        <v>59</v>
      </c>
    </row>
    <row r="60">
      <c r="A60" s="6" t="inlineStr">
        <is>
          <t>CFG-061</t>
        </is>
      </c>
      <c r="B60" s="6" t="inlineStr">
        <is>
          <t>질환 축 우선순위</t>
        </is>
      </c>
      <c r="C60" s="6" t="inlineStr">
        <is>
          <t>건강검진 신호</t>
        </is>
      </c>
      <c r="D60" s="5" t="inlineStr">
        <is>
          <t>3</t>
        </is>
      </c>
      <c r="E60" s="6" t="inlineStr">
        <is>
          <t>NUMBER</t>
        </is>
      </c>
      <c r="F60" s="6" t="n">
        <v>3</v>
      </c>
      <c r="G60" s="6" t="n"/>
      <c r="H60" s="6" t="n"/>
      <c r="I60" s="6" t="inlineStr">
        <is>
          <t>TYPED</t>
        </is>
      </c>
      <c r="J60" s="5" t="inlineStr">
        <is>
          <t>목표 축 선정</t>
        </is>
      </c>
      <c r="K60" s="6" t="n">
        <v>60</v>
      </c>
    </row>
    <row r="61">
      <c r="A61" s="6" t="inlineStr">
        <is>
          <t>CFG-062</t>
        </is>
      </c>
      <c r="B61" s="6" t="inlineStr">
        <is>
          <t>질환 축 우선순위</t>
        </is>
      </c>
      <c r="C61" s="6" t="inlineStr">
        <is>
          <t>일반 식이 질문</t>
        </is>
      </c>
      <c r="D61" s="5" t="inlineStr">
        <is>
          <t>4</t>
        </is>
      </c>
      <c r="E61" s="6" t="inlineStr">
        <is>
          <t>NUMBER</t>
        </is>
      </c>
      <c r="F61" s="6" t="n">
        <v>4</v>
      </c>
      <c r="G61" s="6" t="n"/>
      <c r="H61" s="6" t="n"/>
      <c r="I61" s="6" t="inlineStr">
        <is>
          <t>TYPED</t>
        </is>
      </c>
      <c r="J61" s="5" t="inlineStr">
        <is>
          <t>목표 축 선정</t>
        </is>
      </c>
      <c r="K61" s="6" t="n">
        <v>61</v>
      </c>
    </row>
    <row r="62">
      <c r="A62" s="6" t="inlineStr">
        <is>
          <t>CFG-063</t>
        </is>
      </c>
      <c r="B62" s="6" t="inlineStr">
        <is>
          <t>질환 축 우선순위</t>
        </is>
      </c>
      <c r="C62" s="6" t="inlineStr">
        <is>
          <t>직접 선택 내 순서</t>
        </is>
      </c>
      <c r="D62" s="5" t="inlineStr">
        <is>
          <t>selection_order 오름차순</t>
        </is>
      </c>
      <c r="E62" s="6" t="inlineStr">
        <is>
          <t>STRING</t>
        </is>
      </c>
      <c r="F62" s="6" t="n"/>
      <c r="G62" s="6" t="n"/>
      <c r="H62" s="6" t="n"/>
      <c r="I62" s="6" t="inlineStr">
        <is>
          <t>TYPED</t>
        </is>
      </c>
      <c r="J62" s="5" t="inlineStr">
        <is>
          <t>목표 축 선정</t>
        </is>
      </c>
      <c r="K62" s="6" t="n">
        <v>62</v>
      </c>
    </row>
    <row r="63">
      <c r="A63" s="6" t="inlineStr">
        <is>
          <t>CFG-064</t>
        </is>
      </c>
      <c r="B63" s="6" t="inlineStr">
        <is>
          <t>질문 구성</t>
        </is>
      </c>
      <c r="C63" s="6" t="inlineStr">
        <is>
          <t>질환 확인 당일 질문 구성</t>
        </is>
      </c>
      <c r="D63" s="5" t="inlineStr">
        <is>
          <t>확인 1개 + 응답에 따른 둘째 질문 1개</t>
        </is>
      </c>
      <c r="E63" s="6" t="inlineStr">
        <is>
          <t>STRING</t>
        </is>
      </c>
      <c r="F63" s="6" t="n"/>
      <c r="G63" s="6" t="n"/>
      <c r="H63" s="6" t="n"/>
      <c r="I63" s="6" t="inlineStr">
        <is>
          <t>TYPED</t>
        </is>
      </c>
      <c r="J63" s="5" t="inlineStr">
        <is>
          <t>질환 확인·고정·회전 질문 선택</t>
        </is>
      </c>
      <c r="K63" s="6" t="n">
        <v>63</v>
      </c>
    </row>
    <row r="64">
      <c r="A64" s="6" t="inlineStr">
        <is>
          <t>CFG-065</t>
        </is>
      </c>
      <c r="B64" s="6" t="inlineStr">
        <is>
          <t>문구 선택</t>
        </is>
      </c>
      <c r="C64" s="6" t="inlineStr">
        <is>
          <t>목표 최근 노출 조회 기간</t>
        </is>
      </c>
      <c r="D64" s="5" t="inlineStr">
        <is>
          <t>30</t>
        </is>
      </c>
      <c r="E64" s="6" t="inlineStr">
        <is>
          <t>NUMBER</t>
        </is>
      </c>
      <c r="F64" s="6" t="n">
        <v>30</v>
      </c>
      <c r="G64" s="6" t="inlineStr">
        <is>
          <t>DAY</t>
        </is>
      </c>
      <c r="H64" s="6" t="n"/>
      <c r="I64" s="6" t="inlineStr">
        <is>
          <t>TYPED</t>
        </is>
      </c>
      <c r="J64" s="5" t="inlineStr">
        <is>
          <t>일반·식후 목표 모두 최근 노출이 오래된 후보 우선 선택</t>
        </is>
      </c>
      <c r="K64" s="6" t="n">
        <v>64</v>
      </c>
    </row>
    <row r="65">
      <c r="A65" s="6" t="inlineStr">
        <is>
          <t>CFG-066</t>
        </is>
      </c>
      <c r="B65" s="6" t="inlineStr">
        <is>
          <t>질문 구성</t>
        </is>
      </c>
      <c r="C65" s="6" t="inlineStr">
        <is>
          <t>확인 질문 순서와 묶음</t>
        </is>
      </c>
      <c r="D65" s="5" t="inlineStr">
        <is>
          <t>표기 묶음 후 근거 진료일 내림차순, 동률은 규칙 ID 오름차순</t>
        </is>
      </c>
      <c r="E65" s="6" t="inlineStr">
        <is>
          <t>STRING</t>
        </is>
      </c>
      <c r="F65" s="6" t="n"/>
      <c r="G65" s="6" t="n"/>
      <c r="H65" s="6" t="n"/>
      <c r="I65" s="6" t="inlineStr">
        <is>
          <t>TYPED</t>
        </is>
      </c>
      <c r="J65" s="5" t="inlineStr">
        <is>
          <t>질환 확인 질문 선택</t>
        </is>
      </c>
      <c r="K65" s="6" t="n"/>
    </row>
    <row r="66">
      <c r="A66" s="6" t="inlineStr">
        <is>
          <t>CFG-068</t>
        </is>
      </c>
      <c r="B66" s="6" t="inlineStr">
        <is>
          <t>단계</t>
        </is>
      </c>
      <c r="C66" s="6" t="inlineStr">
        <is>
          <t>단계 상승 전제</t>
        </is>
      </c>
      <c r="D66" s="5" t="inlineStr">
        <is>
          <t>축 상태가 관찰 중이 아닐 것</t>
        </is>
      </c>
      <c r="E66" s="6" t="inlineStr">
        <is>
          <t>STRING</t>
        </is>
      </c>
      <c r="F66" s="6" t="n"/>
      <c r="G66" s="6" t="n"/>
      <c r="H66" s="6" t="n"/>
      <c r="I66" s="6" t="inlineStr">
        <is>
          <t>TYPED</t>
        </is>
      </c>
      <c r="J66" s="5" t="inlineStr">
        <is>
          <t>목표 단계 변경</t>
        </is>
      </c>
      <c r="K66" s="6" t="n"/>
    </row>
    <row r="67">
      <c r="A67" s="6" t="inlineStr">
        <is>
          <t>CFG-069</t>
        </is>
      </c>
      <c r="B67" s="6" t="inlineStr">
        <is>
          <t>단계</t>
        </is>
      </c>
      <c r="C67" s="6" t="inlineStr">
        <is>
          <t>개선 필요 축의 단계 상한</t>
        </is>
      </c>
      <c r="D67" s="5" t="inlineStr">
        <is>
          <t>기본</t>
        </is>
      </c>
      <c r="E67" s="6" t="inlineStr">
        <is>
          <t>STRING</t>
        </is>
      </c>
      <c r="F67" s="6" t="n"/>
      <c r="G67" s="6" t="n"/>
      <c r="H67" s="6" t="n"/>
      <c r="I67" s="6" t="inlineStr">
        <is>
          <t>TYPED</t>
        </is>
      </c>
      <c r="J67" s="5" t="inlineStr">
        <is>
          <t>목표 단계 변경</t>
        </is>
      </c>
      <c r="K67" s="6" t="n"/>
    </row>
    <row r="68" ht="39" customHeight="1">
      <c r="A68" s="19" t="inlineStr">
        <is>
          <t>CFG-070</t>
        </is>
      </c>
      <c r="B68" s="19" t="inlineStr">
        <is>
          <t>단계</t>
        </is>
      </c>
      <c r="C68" s="19" t="inlineStr">
        <is>
          <t>단계 계산 대상</t>
        </is>
      </c>
      <c r="D68" s="20" t="inlineStr">
        <is>
          <t>실제로 만들어진 축 목표(pool_type=AXIS_STAGE, goal_state=CREATED) 중 어제까지 결과(완료·미완료)가 정해진 것만 센다. 오늘 목표는 아직 완료할 수 있어 제외. 안내만·회복·부담 줄이기 목표는 올리기에도 내리기에도 세지 않는다</t>
        </is>
      </c>
      <c r="E68" s="19" t="inlineStr">
        <is>
          <t>TEXT_RULE</t>
        </is>
      </c>
      <c r="F68" s="6" t="n"/>
      <c r="G68" s="6" t="n"/>
      <c r="H68" s="6" t="n"/>
      <c r="I68" s="19" t="inlineStr">
        <is>
          <t>TYPED</t>
        </is>
      </c>
      <c r="J68" s="20" t="inlineStr">
        <is>
          <t>목표 단계 변경</t>
        </is>
      </c>
      <c r="K68" s="6" t="n"/>
    </row>
    <row r="69" ht="26" customHeight="1">
      <c r="A69" s="19" t="inlineStr">
        <is>
          <t>CFG-071</t>
        </is>
      </c>
      <c r="B69" s="19" t="inlineStr">
        <is>
          <t>단계</t>
        </is>
      </c>
      <c r="C69" s="19" t="inlineStr">
        <is>
          <t>단계 판단 유효 기간</t>
        </is>
      </c>
      <c r="D69" s="20" t="inlineStr">
        <is>
          <t>56일. 그보다 오래된 목표는 세지 않는다. 정해진 근거 값이 아니며 앱 출시 이후 사용 데이터를 보고 조정한다</t>
        </is>
      </c>
      <c r="E69" s="19" t="inlineStr">
        <is>
          <t>TEXT_RULE</t>
        </is>
      </c>
      <c r="F69" s="6" t="n"/>
      <c r="G69" s="6" t="n"/>
      <c r="H69" s="6" t="n"/>
      <c r="I69" s="19" t="inlineStr">
        <is>
          <t>TYPED</t>
        </is>
      </c>
      <c r="J69" s="20" t="inlineStr">
        <is>
          <t>목표 단계 변경</t>
        </is>
      </c>
      <c r="K69" s="6" t="n"/>
    </row>
    <row r="70" ht="26" customHeight="1">
      <c r="A70" s="19" t="inlineStr">
        <is>
          <t>CFG-072</t>
        </is>
      </c>
      <c r="B70" s="19" t="inlineStr">
        <is>
          <t>식사 시각</t>
        </is>
      </c>
      <c r="C70" s="19" t="inlineStr">
        <is>
          <t>시각 단계 버튼 간격</t>
        </is>
      </c>
      <c r="D70" s="20" t="inlineStr">
        <is>
          <t>60분</t>
        </is>
      </c>
      <c r="E70" s="19" t="inlineStr">
        <is>
          <t>NUMBER</t>
        </is>
      </c>
      <c r="F70" s="6" t="n">
        <v>60</v>
      </c>
      <c r="G70" s="6" t="n"/>
      <c r="H70" s="6" t="n"/>
      <c r="I70" s="19" t="inlineStr">
        <is>
          <t>TYPED</t>
        </is>
      </c>
      <c r="J70" s="20" t="inlineStr">
        <is>
          <t>시각 단계 버튼 3개의 구간 폭</t>
        </is>
      </c>
      <c r="K70" s="6" t="n"/>
    </row>
    <row r="71" ht="26" customHeight="1">
      <c r="A71" s="19" t="inlineStr">
        <is>
          <t>CFG-073</t>
        </is>
      </c>
      <c r="B71" s="19" t="inlineStr">
        <is>
          <t>식사 시각</t>
        </is>
      </c>
      <c r="C71" s="19" t="inlineStr">
        <is>
          <t>답한 시각 내림 단위</t>
        </is>
      </c>
      <c r="D71" s="20" t="inlineStr">
        <is>
          <t>10분</t>
        </is>
      </c>
      <c r="E71" s="19" t="inlineStr">
        <is>
          <t>NUMBER</t>
        </is>
      </c>
      <c r="F71" s="6" t="n">
        <v>10</v>
      </c>
      <c r="G71" s="6" t="n"/>
      <c r="H71" s="6" t="n"/>
      <c r="I71" s="19" t="inlineStr">
        <is>
          <t>TYPED</t>
        </is>
      </c>
      <c r="J71" s="20" t="inlineStr">
        <is>
          <t>버튼 시각 계산 전 내림. 반올림하면 아직 오지 않은 시각이 버튼에 들어간다</t>
        </is>
      </c>
      <c r="K71" s="6" t="n"/>
    </row>
    <row r="72" ht="26" customHeight="1">
      <c r="A72" s="19" t="inlineStr">
        <is>
          <t>CFG-074</t>
        </is>
      </c>
      <c r="B72" s="19" t="inlineStr">
        <is>
          <t>식사 시각</t>
        </is>
      </c>
      <c r="C72" s="19" t="inlineStr">
        <is>
          <t>선택지 상한 시각 · 아침</t>
        </is>
      </c>
      <c r="D72" s="20" t="inlineStr">
        <is>
          <t>09:00:00</t>
        </is>
      </c>
      <c r="E72" s="19" t="inlineStr">
        <is>
          <t>TIME</t>
        </is>
      </c>
      <c r="F72" s="6" t="n"/>
      <c r="G72" s="6" t="inlineStr">
        <is>
          <t>09:00:00</t>
        </is>
      </c>
      <c r="H72" s="6" t="n"/>
      <c r="I72" s="19" t="inlineStr">
        <is>
          <t>TYPED</t>
        </is>
      </c>
      <c r="J72" s="20" t="inlineStr">
        <is>
          <t>아침은 10시 이후 질문이라 항상 멈춘 상태 → 7시 · 8시 고정 버튼</t>
        </is>
      </c>
      <c r="K72" s="6" t="n"/>
    </row>
    <row r="73" ht="26" customHeight="1">
      <c r="A73" s="19" t="inlineStr">
        <is>
          <t>CFG-075</t>
        </is>
      </c>
      <c r="B73" s="19" t="inlineStr">
        <is>
          <t>식사 시각</t>
        </is>
      </c>
      <c r="C73" s="19" t="inlineStr">
        <is>
          <t>선택지 상한 시각 · 점심</t>
        </is>
      </c>
      <c r="D73" s="20" t="inlineStr">
        <is>
          <t>14:00:00</t>
        </is>
      </c>
      <c r="E73" s="19" t="inlineStr">
        <is>
          <t>TIME</t>
        </is>
      </c>
      <c r="F73" s="6" t="n"/>
      <c r="G73" s="6" t="inlineStr">
        <is>
          <t>14:00:00</t>
        </is>
      </c>
      <c r="H73" s="6" t="n"/>
      <c r="I73" s="19" t="inlineStr">
        <is>
          <t>TYPED</t>
        </is>
      </c>
      <c r="J73" s="20" t="inlineStr">
        <is>
          <t>14시를 넘으면 「1시 이후 / 12시~1시 사이 / 12시 이전」</t>
        </is>
      </c>
      <c r="K73" s="6" t="n"/>
    </row>
    <row r="74" ht="26" customHeight="1">
      <c r="A74" s="19" t="inlineStr">
        <is>
          <t>CFG-076</t>
        </is>
      </c>
      <c r="B74" s="19" t="inlineStr">
        <is>
          <t>식사 시각</t>
        </is>
      </c>
      <c r="C74" s="19" t="inlineStr">
        <is>
          <t>선택지 상한 시각 · 저녁</t>
        </is>
      </c>
      <c r="D74" s="20" t="inlineStr">
        <is>
          <t>21:00:00</t>
        </is>
      </c>
      <c r="E74" s="19" t="inlineStr">
        <is>
          <t>TIME</t>
        </is>
      </c>
      <c r="F74" s="6" t="n"/>
      <c r="G74" s="6" t="inlineStr">
        <is>
          <t>21:00:00</t>
        </is>
      </c>
      <c r="H74" s="6" t="n"/>
      <c r="I74" s="19" t="inlineStr">
        <is>
          <t>TYPED</t>
        </is>
      </c>
      <c r="J74" s="20" t="inlineStr">
        <is>
          <t>저녁은 이 시각이 지나서 답하면 1시간 칸 대신 고정 선택지(DIET-Q-11, CFG-089)로 묻는다</t>
        </is>
      </c>
      <c r="K74" s="6" t="n"/>
    </row>
    <row r="75" ht="26" customHeight="1">
      <c r="A75" s="19" t="inlineStr">
        <is>
          <t>CFG-077</t>
        </is>
      </c>
      <c r="B75" s="19" t="inlineStr">
        <is>
          <t>식사 시각</t>
        </is>
      </c>
      <c r="C75" s="19" t="inlineStr">
        <is>
          <t>끼니 시작 기본값</t>
        </is>
      </c>
      <c r="D75" s="20" t="inlineStr">
        <is>
          <t>아침 06:00 · 점심 11:00 · 저녁 16:00</t>
        </is>
      </c>
      <c r="E75" s="19" t="inlineStr">
        <is>
          <t>TEXT_RULE</t>
        </is>
      </c>
      <c r="F75" s="6" t="n"/>
      <c r="G75" s="6" t="n"/>
      <c r="H75" s="6" t="n"/>
      <c r="I75" s="19" t="inlineStr">
        <is>
          <t>TYPED</t>
        </is>
      </c>
      <c r="J75" s="20" t="inlineStr">
        <is>
          <t>「…이전」 선택지의 범위 시작. 추정 범위는 이보다 이른 부분을 잘라 낸다. 저녁 고정 선택지(DIET-Q-10 · 11)의 「7시 이전」은 17:00부터</t>
        </is>
      </c>
      <c r="K75" s="6" t="n"/>
    </row>
    <row r="76" ht="26" customHeight="1">
      <c r="A76" s="19" t="inlineStr">
        <is>
          <t>CFG-078</t>
        </is>
      </c>
      <c r="B76" s="19" t="inlineStr">
        <is>
          <t>식사 시각</t>
        </is>
      </c>
      <c r="C76" s="19" t="inlineStr">
        <is>
          <t>아침 고정 경계</t>
        </is>
      </c>
      <c r="D76" s="20" t="inlineStr">
        <is>
          <t>07:00 · 08:00 · 끝 10:00</t>
        </is>
      </c>
      <c r="E76" s="19" t="inlineStr">
        <is>
          <t>TEXT_RULE</t>
        </is>
      </c>
      <c r="F76" s="6" t="n"/>
      <c r="G76" s="6" t="n"/>
      <c r="H76" s="6" t="n"/>
      <c r="I76" s="19" t="inlineStr">
        <is>
          <t>TYPED</t>
        </is>
      </c>
      <c r="J76" s="20" t="inlineStr">
        <is>
          <t>아침 선택지 「7시 이전 / 7시~8시 / 8시 이후」. 「8시 이후」 범위는 아침 끝 기본값 10:00까지(→ 9:00). 늦게 일어나는 사람은 걸음 단서 · 평소 시각으로 보정</t>
        </is>
      </c>
      <c r="K76" s="6" t="n"/>
    </row>
    <row r="77" ht="26" customHeight="1">
      <c r="A77" s="19" t="inlineStr">
        <is>
          <t>CFG-079</t>
        </is>
      </c>
      <c r="B77" s="19" t="inlineStr">
        <is>
          <t>식사 시각</t>
        </is>
      </c>
      <c r="C77" s="19" t="inlineStr">
        <is>
          <t>걸음 멈춤 단서 최소 시간</t>
        </is>
      </c>
      <c r="D77" s="20" t="inlineStr">
        <is>
          <t>사용 안 함</t>
        </is>
      </c>
      <c r="E77" s="19" t="inlineStr">
        <is>
          <t>NUMBER</t>
        </is>
      </c>
      <c r="F77" s="6" t="n">
        <v>15</v>
      </c>
      <c r="G77" s="6" t="n"/>
      <c r="H77" s="6" t="n"/>
      <c r="I77" s="19" t="inlineStr">
        <is>
          <t>TYPED</t>
        </is>
      </c>
      <c r="J77" s="20" t="inlineStr">
        <is>
          <t>1차에서 쓰지 않음. 건강 앱 식사 기록은 끼니 구분이 없고 선택지 추정값은 가운데값이라 걸음 멈춤 단서으로 믿을 만한 시각이 나오지 않음. 추정은 건강 앱 기록 → 선택지 범위의 가운데 두 단계</t>
        </is>
      </c>
      <c r="K77" s="6" t="n"/>
    </row>
    <row r="78" ht="26" customHeight="1">
      <c r="A78" s="19" t="inlineStr">
        <is>
          <t>CFG-080</t>
        </is>
      </c>
      <c r="B78" s="19" t="inlineStr">
        <is>
          <t>식사 시각</t>
        </is>
      </c>
      <c r="C78" s="19" t="inlineStr">
        <is>
          <t>평소 식사 시각 관찰 기간</t>
        </is>
      </c>
      <c r="D78" s="20" t="inlineStr">
        <is>
          <t>사용 안 함</t>
        </is>
      </c>
      <c r="E78" s="19" t="inlineStr">
        <is>
          <t>NUMBER</t>
        </is>
      </c>
      <c r="F78" s="6" t="n">
        <v>14</v>
      </c>
      <c r="G78" s="6" t="n"/>
      <c r="H78" s="6" t="n"/>
      <c r="I78" s="19" t="inlineStr">
        <is>
          <t>TYPED</t>
        </is>
      </c>
      <c r="J78" s="20" t="inlineStr">
        <is>
          <t>1차에서 쓰지 않음. 건강 앱 식사 기록은 끼니 구분이 없고 선택지 추정값은 가운데값이라 평소 식사 시각으로 믿을 만한 시각이 나오지 않음. 추정은 건강 앱 기록 → 선택지 범위의 가운데 두 단계</t>
        </is>
      </c>
      <c r="K78" s="6" t="n"/>
    </row>
    <row r="79" ht="26" customHeight="1">
      <c r="A79" s="19" t="inlineStr">
        <is>
          <t>CFG-081</t>
        </is>
      </c>
      <c r="B79" s="19" t="inlineStr">
        <is>
          <t>식사 시각</t>
        </is>
      </c>
      <c r="C79" s="19" t="inlineStr">
        <is>
          <t>추정 범위 상한</t>
        </is>
      </c>
      <c r="D79" s="20" t="inlineStr">
        <is>
          <t>120분</t>
        </is>
      </c>
      <c r="E79" s="19" t="inlineStr">
        <is>
          <t>NUMBER</t>
        </is>
      </c>
      <c r="F79" s="6" t="n">
        <v>120</v>
      </c>
      <c r="G79" s="6" t="n"/>
      <c r="H79" s="6" t="n"/>
      <c r="I79" s="19" t="inlineStr">
        <is>
          <t>TYPED</t>
        </is>
      </c>
      <c r="J79" s="20" t="inlineStr">
        <is>
          <t>「…이후」 칸은 끼니 끝 기본값(CFG-091)까지로 봄. 비어 있으면 모름</t>
        </is>
      </c>
      <c r="K79" s="6" t="n"/>
    </row>
    <row r="80" ht="26" customHeight="1">
      <c r="A80" s="19" t="inlineStr">
        <is>
          <t>CFG-082</t>
        </is>
      </c>
      <c r="B80" s="19" t="inlineStr">
        <is>
          <t>식사 시각</t>
        </is>
      </c>
      <c r="C80" s="19" t="inlineStr">
        <is>
          <t>식후 행동 관찰 시간</t>
        </is>
      </c>
      <c r="D80" s="20" t="inlineStr">
        <is>
          <t>30분</t>
        </is>
      </c>
      <c r="E80" s="19" t="inlineStr">
        <is>
          <t>NUMBER</t>
        </is>
      </c>
      <c r="F80" s="6" t="n">
        <v>30</v>
      </c>
      <c r="G80" s="6" t="n"/>
      <c r="H80" s="6" t="n"/>
      <c r="I80" s="19" t="inlineStr">
        <is>
          <t>TYPED</t>
        </is>
      </c>
      <c r="J80" s="20" t="inlineStr">
        <is>
          <t>추정 시각부터 30분. 범위 가운데로 잡았으면 범위 전체 + 30분</t>
        </is>
      </c>
      <c r="K80" s="6" t="n"/>
    </row>
    <row r="81" ht="26" customHeight="1">
      <c r="A81" s="19" t="inlineStr">
        <is>
          <t>CFG-083</t>
        </is>
      </c>
      <c r="B81" s="19" t="inlineStr">
        <is>
          <t>질문</t>
        </is>
      </c>
      <c r="C81" s="19" t="inlineStr">
        <is>
          <t>시각 단계 질문 수</t>
        </is>
      </c>
      <c r="D81" s="20" t="inlineStr">
        <is>
          <t>최대 1 · 식이 최대 3 · 전체 최대 5~6</t>
        </is>
      </c>
      <c r="E81" s="19" t="inlineStr">
        <is>
          <t>TEXT_RULE</t>
        </is>
      </c>
      <c r="F81" s="6" t="n"/>
      <c r="G81" s="6" t="n"/>
      <c r="H81" s="6" t="n"/>
      <c r="I81" s="19" t="inlineStr">
        <is>
          <t>TYPED</t>
        </is>
      </c>
      <c r="J81" s="20" t="inlineStr">
        <is>
          <t>시각 단계도 질문 1개로 센다(어제 저녁 포함). 다른 질문을 빼서 맞추지 않는다</t>
        </is>
      </c>
      <c r="K81" s="6" t="n"/>
    </row>
    <row r="82" ht="26" customHeight="1">
      <c r="A82" s="19" t="inlineStr">
        <is>
          <t>CFG-084</t>
        </is>
      </c>
      <c r="B82" s="19" t="inlineStr">
        <is>
          <t>운영 스위치</t>
        </is>
      </c>
      <c r="C82" s="19" t="inlineStr">
        <is>
          <t>아침 경계 재검토 기준</t>
        </is>
      </c>
      <c r="D82" s="20" t="inlineStr">
        <is>
          <t>「8시 이후」 선택 비율 30% 초과</t>
        </is>
      </c>
      <c r="E82" s="19" t="inlineStr">
        <is>
          <t>TEXT_RULE</t>
        </is>
      </c>
      <c r="F82" s="6" t="n"/>
      <c r="G82" s="6" t="n"/>
      <c r="H82" s="6" t="n"/>
      <c r="I82" s="19" t="inlineStr">
        <is>
          <t>NEEDS_STRUCTURING</t>
        </is>
      </c>
      <c r="J82" s="20" t="inlineStr">
        <is>
          <t>출시 후 관찰. 넘으면 아침 고정 경계를 다시 본다</t>
        </is>
      </c>
      <c r="K82" s="6" t="n"/>
    </row>
    <row r="83" ht="26" customHeight="1">
      <c r="A83" s="19" t="inlineStr">
        <is>
          <t>CFG-085</t>
        </is>
      </c>
      <c r="B83" s="19" t="inlineStr">
        <is>
          <t>운영 스위치</t>
        </is>
      </c>
      <c r="C83" s="19" t="inlineStr">
        <is>
          <t>점심 식전 답 안내 기준</t>
        </is>
      </c>
      <c r="D83" s="20" t="inlineStr">
        <is>
          <t>12:00~12:30 답 비율 10% 초과</t>
        </is>
      </c>
      <c r="E83" s="19" t="inlineStr">
        <is>
          <t>TEXT_RULE</t>
        </is>
      </c>
      <c r="F83" s="6" t="n"/>
      <c r="G83" s="6" t="n"/>
      <c r="H83" s="6" t="n"/>
      <c r="I83" s="19" t="inlineStr">
        <is>
          <t>NEEDS_STRUCTURING</t>
        </is>
      </c>
      <c r="J83" s="20" t="inlineStr">
        <is>
          <t>넘으면 점심 질문에도 「드신 뒤 답해주세요」를 붙인다. 지금은 붙이지 않는다</t>
        </is>
      </c>
      <c r="K83" s="6" t="n"/>
    </row>
    <row r="84">
      <c r="A84" s="19" t="inlineStr">
        <is>
          <t>CFG-086</t>
        </is>
      </c>
      <c r="B84" s="19" t="inlineStr">
        <is>
          <t>식후 행동</t>
        </is>
      </c>
      <c r="C84" s="19" t="inlineStr">
        <is>
          <t>식후 이어 걷기 기준</t>
        </is>
      </c>
      <c r="D84" s="20" t="inlineStr">
        <is>
          <t>5분 초과 · 분당 20보 이상</t>
        </is>
      </c>
      <c r="E84" s="19" t="inlineStr">
        <is>
          <t>TEXT_RULE</t>
        </is>
      </c>
      <c r="F84" s="6" t="n"/>
      <c r="G84" s="6" t="n"/>
      <c r="H84" s="6" t="n"/>
      <c r="I84" s="19" t="inlineStr">
        <is>
          <t>TYPED</t>
        </is>
      </c>
      <c r="J84" s="20" t="inlineStr">
        <is>
          <t>식후 관찰 시간 안에 분당 20보 이상이 5분 넘게 이어지면 「걸었음」. 임시값</t>
        </is>
      </c>
      <c r="K84" s="6" t="n"/>
    </row>
    <row r="85">
      <c r="A85" s="19" t="inlineStr">
        <is>
          <t>CFG-087</t>
        </is>
      </c>
      <c r="B85" s="19" t="inlineStr">
        <is>
          <t>식후 행동</t>
        </is>
      </c>
      <c r="C85" s="19" t="inlineStr">
        <is>
          <t>식후 합계 걸음 기준</t>
        </is>
      </c>
      <c r="D85" s="20" t="inlineStr">
        <is>
          <t>300보</t>
        </is>
      </c>
      <c r="E85" s="19" t="inlineStr">
        <is>
          <t>NUMBER</t>
        </is>
      </c>
      <c r="F85" s="6" t="n">
        <v>300</v>
      </c>
      <c r="G85" s="6" t="n"/>
      <c r="H85" s="6" t="n"/>
      <c r="I85" s="19" t="inlineStr">
        <is>
          <t>TYPED</t>
        </is>
      </c>
      <c r="J85" s="20" t="inlineStr">
        <is>
          <t>식후 관찰 시간 안 합계 300보 이상이면 「걸었음」. 임시값</t>
        </is>
      </c>
      <c r="K85" s="6" t="n"/>
    </row>
    <row r="86">
      <c r="A86" s="19" t="inlineStr">
        <is>
          <t>CFG-088</t>
        </is>
      </c>
      <c r="B86" s="19" t="inlineStr">
        <is>
          <t>식후 행동</t>
        </is>
      </c>
      <c r="C86" s="19" t="inlineStr">
        <is>
          <t>식후 운동 기록 인정</t>
        </is>
      </c>
      <c r="D86" s="20" t="inlineStr">
        <is>
          <t>true</t>
        </is>
      </c>
      <c r="E86" s="19" t="inlineStr">
        <is>
          <t>BOOLEAN</t>
        </is>
      </c>
      <c r="F86" s="6" t="n"/>
      <c r="G86" s="6" t="n"/>
      <c r="H86" s="6" t="b">
        <v>1</v>
      </c>
      <c r="I86" s="19" t="inlineStr">
        <is>
          <t>TYPED</t>
        </is>
      </c>
      <c r="J86" s="20" t="inlineStr">
        <is>
          <t>관찰 시간 안에 운동 기록이 시작되면 「걸었음」</t>
        </is>
      </c>
      <c r="K86" s="6" t="n"/>
    </row>
    <row r="87">
      <c r="A87" s="19" t="inlineStr">
        <is>
          <t>CFG-089</t>
        </is>
      </c>
      <c r="B87" s="19" t="inlineStr">
        <is>
          <t>식사 시각</t>
        </is>
      </c>
      <c r="C87" s="19" t="inlineStr">
        <is>
          <t>저녁 고정 선택지 경계</t>
        </is>
      </c>
      <c r="D87" s="20" t="inlineStr">
        <is>
          <t>19:00 · 21:00 · 끝 23:00</t>
        </is>
      </c>
      <c r="E87" s="19" t="inlineStr">
        <is>
          <t>TEXT_RULE</t>
        </is>
      </c>
      <c r="F87" s="6" t="n"/>
      <c r="G87" s="6" t="n"/>
      <c r="H87" s="6" t="n"/>
      <c r="I87" s="19" t="inlineStr">
        <is>
          <t>TYPED</t>
        </is>
      </c>
      <c r="J87" s="20" t="inlineStr">
        <is>
          <t>오늘 저녁을 오후 9시 뒤에 답할 때(DIET-Q-11)와 어제 저녁(DIET-Q-10)의 선택지 「7시 이전 / 7시~9시 / 9시 이후」. 「9시 이후」 범위는 23:00까지. 「9시 이후」는 9시에 먹은 것으로 추정(걸음 단서 · 평소 시각이 9~11시 안이면 그 시각)</t>
        </is>
      </c>
      <c r="K87" s="6" t="n"/>
    </row>
    <row r="88">
      <c r="A88" s="19" t="inlineStr">
        <is>
          <t>CFG-090</t>
        </is>
      </c>
      <c r="B88" s="19" t="inlineStr">
        <is>
          <t>식사 시각</t>
        </is>
      </c>
      <c r="C88" s="19" t="inlineStr">
        <is>
          <t>선택지 하한 시각 · 저녁</t>
        </is>
      </c>
      <c r="D88" s="20" t="inlineStr">
        <is>
          <t>16:00:00</t>
        </is>
      </c>
      <c r="E88" s="19" t="inlineStr">
        <is>
          <t>TIME</t>
        </is>
      </c>
      <c r="F88" s="6" t="n"/>
      <c r="G88" s="6" t="inlineStr">
        <is>
          <t>16:00:00</t>
        </is>
      </c>
      <c r="H88" s="6" t="n"/>
      <c r="I88" s="19" t="inlineStr">
        <is>
          <t>TYPED</t>
        </is>
      </c>
      <c r="J88" s="20" t="inlineStr">
        <is>
          <t>저녁 선택지의 시각 구간이 오후 4시 아래로 내려가지 않음. 5시 40분에 답하면 「1~2시간 전」이 3:40~4:40 → 4시부터 잘라 4시 반 식사가 들어감. 점심 하한은 질문 시작 시각 12시(CFG-013)</t>
        </is>
      </c>
      <c r="K88" s="6" t="n"/>
    </row>
    <row r="89">
      <c r="A89" s="19" t="inlineStr">
        <is>
          <t>CFG-091</t>
        </is>
      </c>
      <c r="B89" s="19" t="inlineStr">
        <is>
          <t>식사 시각</t>
        </is>
      </c>
      <c r="C89" s="19" t="inlineStr">
        <is>
          <t>끼니 끝 기본값</t>
        </is>
      </c>
      <c r="D89" s="20" t="inlineStr">
        <is>
          <t>아침 10:00 · 점심 14:00 · 저녁 23:00</t>
        </is>
      </c>
      <c r="E89" s="19" t="inlineStr">
        <is>
          <t>TEXT_RULE</t>
        </is>
      </c>
      <c r="F89" s="6" t="n"/>
      <c r="G89" s="6" t="n"/>
      <c r="H89" s="6" t="n"/>
      <c r="I89" s="19" t="inlineStr">
        <is>
          <t>TYPED</t>
        </is>
      </c>
      <c r="J89" s="20" t="inlineStr">
        <is>
          <t>「…이후」처럼 끝이 없는 선택지 칸의 범위 끝. 끼니를 늦어도 먹는 시각으로 본다. 예) 오후 4:30에 점심 「1시 이후」 → 13:00~14:00 → 13:30</t>
        </is>
      </c>
      <c r="K89" s="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8EA6B8"/>
    <outlinePr summaryBelow="1" summaryRight="1"/>
    <pageSetUpPr/>
  </sheetPr>
  <dimension ref="A1:H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0.58203125" customWidth="1" min="1" max="1"/>
    <col width="41.58203125" customWidth="1" min="2" max="2"/>
    <col width="14.58203125" customWidth="1" min="3" max="4"/>
    <col width="60.58203125" customWidth="1" min="5" max="5"/>
    <col width="18.58203125" customWidth="1" min="6" max="6"/>
    <col width="16.58203125" customWidth="1" min="7" max="7"/>
    <col width="60.58203125" customWidth="1" min="8" max="8"/>
  </cols>
  <sheetData>
    <row r="1" ht="28" customHeight="1">
      <c r="A1" s="8" t="inlineStr">
        <is>
          <t>setting_id</t>
        </is>
      </c>
      <c r="B1" s="8" t="inlineStr">
        <is>
          <t>parameter_key</t>
        </is>
      </c>
      <c r="C1" s="8" t="inlineStr">
        <is>
          <t>operator_code</t>
        </is>
      </c>
      <c r="D1" s="8" t="inlineStr">
        <is>
          <t>number_value</t>
        </is>
      </c>
      <c r="E1" s="8" t="inlineStr">
        <is>
          <t>text_value</t>
        </is>
      </c>
      <c r="F1" s="8" t="inlineStr">
        <is>
          <t>unit_code</t>
        </is>
      </c>
      <c r="G1" s="8" t="inlineStr">
        <is>
          <t>parse_scope</t>
        </is>
      </c>
      <c r="H1" s="8" t="inlineStr">
        <is>
          <t>note</t>
        </is>
      </c>
    </row>
    <row r="2">
      <c r="A2" s="9" t="inlineStr">
        <is>
          <t>CFG-002</t>
        </is>
      </c>
      <c r="B2" s="9" t="inlineStr">
        <is>
          <t>BAD_RATIO</t>
        </is>
      </c>
      <c r="C2" s="9" t="inlineStr">
        <is>
          <t>GTE</t>
        </is>
      </c>
      <c r="D2" s="9" t="n">
        <v>0.5</v>
      </c>
      <c r="E2" s="10" t="n"/>
      <c r="F2" s="9" t="inlineStr">
        <is>
          <t>RATIO</t>
        </is>
      </c>
      <c r="G2" s="3" t="inlineStr">
        <is>
          <t>FULL</t>
        </is>
      </c>
      <c r="H2" s="4" t="inlineStr">
        <is>
          <t>분모와 관찰 창을 아래 행에 함께 적었다</t>
        </is>
      </c>
    </row>
    <row r="3">
      <c r="A3" s="9" t="inlineStr">
        <is>
          <t>CFG-003</t>
        </is>
      </c>
      <c r="B3" s="9" t="inlineStr">
        <is>
          <t>GOOD_RATIO</t>
        </is>
      </c>
      <c r="C3" s="9" t="inlineStr">
        <is>
          <t>GTE</t>
        </is>
      </c>
      <c r="D3" s="9" t="n">
        <v>0.6</v>
      </c>
      <c r="E3" s="10" t="n"/>
      <c r="F3" s="9" t="inlineStr">
        <is>
          <t>RATIO</t>
        </is>
      </c>
      <c r="G3" s="3" t="inlineStr">
        <is>
          <t>FULL</t>
        </is>
      </c>
      <c r="H3" s="4" t="inlineStr">
        <is>
          <t>분모와 관찰 창을 아래 행에 함께 적었다</t>
        </is>
      </c>
    </row>
    <row r="4">
      <c r="A4" s="9" t="inlineStr">
        <is>
          <t>CFG-004</t>
        </is>
      </c>
      <c r="B4" s="9" t="inlineStr">
        <is>
          <t>BAD_RATIO</t>
        </is>
      </c>
      <c r="C4" s="9" t="inlineStr">
        <is>
          <t>LT</t>
        </is>
      </c>
      <c r="D4" s="9" t="n">
        <v>0.2</v>
      </c>
      <c r="E4" s="10" t="n"/>
      <c r="F4" s="9" t="inlineStr">
        <is>
          <t>RATIO</t>
        </is>
      </c>
      <c r="G4" s="3" t="inlineStr">
        <is>
          <t>FULL</t>
        </is>
      </c>
      <c r="H4" s="4" t="inlineStr">
        <is>
          <t>분모와 관찰 창을 아래 행에 함께 적었다</t>
        </is>
      </c>
    </row>
    <row r="5">
      <c r="A5" s="9" t="inlineStr">
        <is>
          <t>CFG-018</t>
        </is>
      </c>
      <c r="B5" s="9" t="inlineStr">
        <is>
          <t>CONSECUTIVE_AXIS_DAYS</t>
        </is>
      </c>
      <c r="C5" s="9" t="inlineStr">
        <is>
          <t>EQ</t>
        </is>
      </c>
      <c r="D5" s="9" t="n">
        <v>3</v>
      </c>
      <c r="E5" s="10" t="n"/>
      <c r="F5" s="9" t="inlineStr">
        <is>
          <t>DAY</t>
        </is>
      </c>
      <c r="G5" s="9" t="inlineStr">
        <is>
          <t>SOURCE_ATOM</t>
        </is>
      </c>
      <c r="H5" s="18" t="inlineStr">
        <is>
          <t>축 재노출 제한. 질문이 나간 날 기준(답하지 않아도 센다)</t>
        </is>
      </c>
    </row>
    <row r="6">
      <c r="A6" s="9" t="inlineStr">
        <is>
          <t>CFG-020</t>
        </is>
      </c>
      <c r="B6" s="9" t="inlineStr">
        <is>
          <t>PRIMARY_DIAGNOSIS_OCCURRENCES</t>
        </is>
      </c>
      <c r="C6" s="9" t="inlineStr">
        <is>
          <t>GTE</t>
        </is>
      </c>
      <c r="D6" s="9" t="n">
        <v>2</v>
      </c>
      <c r="E6" s="10" t="n"/>
      <c r="F6" s="9" t="inlineStr">
        <is>
          <t>COUNT</t>
        </is>
      </c>
      <c r="G6" s="9" t="inlineStr">
        <is>
          <t>SOURCE_ATOM</t>
        </is>
      </c>
      <c r="H6" s="10" t="inlineStr">
        <is>
          <t>후보 조건의 한 항목</t>
        </is>
      </c>
    </row>
    <row r="7">
      <c r="A7" s="9" t="inlineStr">
        <is>
          <t>CFG-021</t>
        </is>
      </c>
      <c r="B7" s="9" t="inlineStr">
        <is>
          <t>REASK_INTERVAL</t>
        </is>
      </c>
      <c r="C7" s="9" t="inlineStr">
        <is>
          <t>EQ</t>
        </is>
      </c>
      <c r="D7" s="9" t="n">
        <v>30</v>
      </c>
      <c r="E7" s="10" t="n"/>
      <c r="F7" s="9" t="inlineStr">
        <is>
          <t>DAY</t>
        </is>
      </c>
      <c r="G7" s="9" t="inlineStr">
        <is>
          <t>SOURCE_ATOM</t>
        </is>
      </c>
      <c r="H7" s="10" t="inlineStr">
        <is>
          <t>재질문 주기</t>
        </is>
      </c>
    </row>
    <row r="8">
      <c r="A8" s="9" t="inlineStr">
        <is>
          <t>CFG-029</t>
        </is>
      </c>
      <c r="B8" s="9" t="inlineStr">
        <is>
          <t>TILE_MAX_CHARS</t>
        </is>
      </c>
      <c r="C8" s="9" t="inlineStr">
        <is>
          <t>LTE</t>
        </is>
      </c>
      <c r="D8" s="9" t="n">
        <v>22</v>
      </c>
      <c r="E8" s="10" t="n"/>
      <c r="F8" s="9" t="inlineStr">
        <is>
          <t>CHAR</t>
        </is>
      </c>
      <c r="G8" s="9" t="inlineStr">
        <is>
          <t>SOURCE_ATOM</t>
        </is>
      </c>
      <c r="H8" s="10" t="inlineStr">
        <is>
          <t>2줄 × 11자</t>
        </is>
      </c>
    </row>
    <row r="9">
      <c r="A9" s="9" t="inlineStr">
        <is>
          <t>CFG-030</t>
        </is>
      </c>
      <c r="B9" s="9" t="inlineStr">
        <is>
          <t>QUESTION_MAX_CHARS</t>
        </is>
      </c>
      <c r="C9" s="9" t="inlineStr">
        <is>
          <t>LTE</t>
        </is>
      </c>
      <c r="D9" s="9" t="n">
        <v>32</v>
      </c>
      <c r="E9" s="10" t="n"/>
      <c r="F9" s="9" t="inlineStr">
        <is>
          <t>CHAR</t>
        </is>
      </c>
      <c r="G9" s="9" t="inlineStr">
        <is>
          <t>SOURCE_ATOM</t>
        </is>
      </c>
      <c r="H9" s="10" t="inlineStr">
        <is>
          <t>2줄 × 16자</t>
        </is>
      </c>
    </row>
    <row r="10">
      <c r="A10" s="9" t="inlineStr">
        <is>
          <t>CFG-031</t>
        </is>
      </c>
      <c r="B10" s="9" t="inlineStr">
        <is>
          <t>OPTION_MAX_CHARS</t>
        </is>
      </c>
      <c r="C10" s="9" t="inlineStr">
        <is>
          <t>LTE</t>
        </is>
      </c>
      <c r="D10" s="9" t="n">
        <v>14</v>
      </c>
      <c r="E10" s="10" t="n"/>
      <c r="F10" s="9" t="inlineStr">
        <is>
          <t>CHAR</t>
        </is>
      </c>
      <c r="G10" s="9" t="inlineStr">
        <is>
          <t>SOURCE_ATOM</t>
        </is>
      </c>
      <c r="H10" s="10" t="inlineStr">
        <is>
          <t>답 버튼</t>
        </is>
      </c>
    </row>
    <row r="11">
      <c r="A11" s="9" t="inlineStr">
        <is>
          <t>CFG-033</t>
        </is>
      </c>
      <c r="B11" s="9" t="inlineStr">
        <is>
          <t>BEFORE_NOON_ENTRY_RATIO</t>
        </is>
      </c>
      <c r="C11" s="9" t="inlineStr">
        <is>
          <t>LT</t>
        </is>
      </c>
      <c r="D11" s="9" t="n">
        <v>0.4</v>
      </c>
      <c r="E11" s="10" t="n"/>
      <c r="F11" s="9" t="inlineStr">
        <is>
          <t>RATIO</t>
        </is>
      </c>
      <c r="G11" s="9" t="inlineStr">
        <is>
          <t>SOURCE_ATOM</t>
        </is>
      </c>
      <c r="H11" s="10" t="inlineStr">
        <is>
          <t>관찰 기간·분모 별도 결정</t>
        </is>
      </c>
    </row>
    <row r="12">
      <c r="A12" s="9" t="inlineStr">
        <is>
          <t>CFG-038</t>
        </is>
      </c>
      <c r="B12" s="9" t="inlineStr">
        <is>
          <t>FIXED_QUESTION_COUNT</t>
        </is>
      </c>
      <c r="C12" s="9" t="inlineStr">
        <is>
          <t>EQ</t>
        </is>
      </c>
      <c r="D12" s="9" t="n">
        <v>1</v>
      </c>
      <c r="E12" s="10" t="n"/>
      <c r="F12" s="9" t="inlineStr">
        <is>
          <t>COUNT</t>
        </is>
      </c>
      <c r="G12" s="9" t="inlineStr">
        <is>
          <t>SOURCE_ATOM</t>
        </is>
      </c>
      <c r="H12" s="10" t="inlineStr">
        <is>
          <t>고정 질문</t>
        </is>
      </c>
    </row>
    <row r="13">
      <c r="A13" s="9" t="inlineStr">
        <is>
          <t>CFG-038</t>
        </is>
      </c>
      <c r="B13" s="9" t="inlineStr">
        <is>
          <t>ROTATING_QUESTION_MAX</t>
        </is>
      </c>
      <c r="C13" s="9" t="inlineStr">
        <is>
          <t>LTE</t>
        </is>
      </c>
      <c r="D13" s="9" t="n">
        <v>1</v>
      </c>
      <c r="E13" s="10" t="n"/>
      <c r="F13" s="9" t="inlineStr">
        <is>
          <t>COUNT</t>
        </is>
      </c>
      <c r="G13" s="9" t="inlineStr">
        <is>
          <t>SOURCE_ATOM</t>
        </is>
      </c>
      <c r="H13" s="10" t="inlineStr">
        <is>
          <t>회전 질문 최대</t>
        </is>
      </c>
    </row>
    <row r="14">
      <c r="A14" s="9" t="inlineStr">
        <is>
          <t>CFG-017</t>
        </is>
      </c>
      <c r="B14" s="9" t="inlineStr">
        <is>
          <t>MORNING_ENTRY_EXCLUDE_AT_OR_AFTER</t>
        </is>
      </c>
      <c r="C14" s="9" t="inlineStr">
        <is>
          <t>GTE</t>
        </is>
      </c>
      <c r="D14" s="9" t="n"/>
      <c r="E14" s="10" t="inlineStr">
        <is>
          <t>10:00</t>
        </is>
      </c>
      <c r="F14" s="9" t="inlineStr">
        <is>
          <t>LOCAL_TIME</t>
        </is>
      </c>
      <c r="G14" s="9" t="inlineStr">
        <is>
          <t>SOURCE_ATOM</t>
        </is>
      </c>
      <c r="H14" s="10" t="inlineStr">
        <is>
          <t>사용자 시간대 기준</t>
        </is>
      </c>
    </row>
    <row r="15">
      <c r="A15" s="9" t="inlineStr">
        <is>
          <t>CFG-033</t>
        </is>
      </c>
      <c r="B15" s="9" t="inlineStr">
        <is>
          <t>ENTRY_BEFORE_TIME</t>
        </is>
      </c>
      <c r="C15" s="9" t="inlineStr">
        <is>
          <t>LT</t>
        </is>
      </c>
      <c r="D15" s="9" t="n"/>
      <c r="E15" s="10" t="inlineStr">
        <is>
          <t>10:00</t>
        </is>
      </c>
      <c r="F15" s="9" t="inlineStr">
        <is>
          <t>LOCAL_TIME</t>
        </is>
      </c>
      <c r="G15" s="9" t="inlineStr">
        <is>
          <t>PARTIAL</t>
        </is>
      </c>
      <c r="H15" s="10" t="inlineStr">
        <is>
          <t>비율의 분모·관찰 기간 별도 결정</t>
        </is>
      </c>
    </row>
    <row r="16">
      <c r="A16" s="9" t="inlineStr">
        <is>
          <t>CFG-059</t>
        </is>
      </c>
      <c r="B16" s="9" t="inlineStr">
        <is>
          <t>AXIS_SOURCE_PRIORITY</t>
        </is>
      </c>
      <c r="C16" s="9" t="inlineStr">
        <is>
          <t>EQ</t>
        </is>
      </c>
      <c r="D16" s="9" t="n">
        <v>1</v>
      </c>
      <c r="E16" s="10" t="n"/>
      <c r="F16" s="9" t="inlineStr">
        <is>
          <t>ORDER</t>
        </is>
      </c>
      <c r="G16" s="9" t="inlineStr">
        <is>
          <t>SOURCE_ATOM</t>
        </is>
      </c>
      <c r="H16" s="10" t="inlineStr">
        <is>
          <t>SELF_REPORTED. 숫자가 작을수록 먼저 적용</t>
        </is>
      </c>
    </row>
    <row r="17">
      <c r="A17" s="6" t="inlineStr">
        <is>
          <t>CFG-060</t>
        </is>
      </c>
      <c r="B17" s="6" t="inlineStr">
        <is>
          <t>AXIS_SOURCE_PRIORITY</t>
        </is>
      </c>
      <c r="C17" s="6" t="inlineStr">
        <is>
          <t>EQ</t>
        </is>
      </c>
      <c r="D17" s="6" t="n">
        <v>2</v>
      </c>
      <c r="E17" s="5" t="n"/>
      <c r="F17" s="6" t="inlineStr">
        <is>
          <t>ORDER</t>
        </is>
      </c>
      <c r="G17" s="6" t="inlineStr">
        <is>
          <t>SOURCE_ATOM</t>
        </is>
      </c>
      <c r="H17" s="5" t="inlineStr">
        <is>
          <t>CLINIC_CONFIRMED. 직접 선택과 같은 질환은 중복 제거</t>
        </is>
      </c>
    </row>
    <row r="18">
      <c r="A18" s="6" t="inlineStr">
        <is>
          <t>CFG-061</t>
        </is>
      </c>
      <c r="B18" s="6" t="inlineStr">
        <is>
          <t>AXIS_SOURCE_PRIORITY</t>
        </is>
      </c>
      <c r="C18" s="6" t="inlineStr">
        <is>
          <t>EQ</t>
        </is>
      </c>
      <c r="D18" s="6" t="n">
        <v>3</v>
      </c>
      <c r="E18" s="5" t="n"/>
      <c r="F18" s="6" t="inlineStr">
        <is>
          <t>ORDER</t>
        </is>
      </c>
      <c r="G18" s="6" t="inlineStr">
        <is>
          <t>SOURCE_ATOM</t>
        </is>
      </c>
      <c r="H18" s="5" t="inlineStr">
        <is>
          <t>SCREENING. 검진일로부터 3개월 이내 신호만 사용</t>
        </is>
      </c>
    </row>
    <row r="19">
      <c r="A19" s="6" t="inlineStr">
        <is>
          <t>CFG-062</t>
        </is>
      </c>
      <c r="B19" s="6" t="inlineStr">
        <is>
          <t>AXIS_SOURCE_PRIORITY</t>
        </is>
      </c>
      <c r="C19" s="6" t="inlineStr">
        <is>
          <t>EQ</t>
        </is>
      </c>
      <c r="D19" s="6" t="n">
        <v>4</v>
      </c>
      <c r="E19" s="5" t="n"/>
      <c r="F19" s="6" t="inlineStr">
        <is>
          <t>ORDER</t>
        </is>
      </c>
      <c r="G19" s="6" t="inlineStr">
        <is>
          <t>SOURCE_ATOM</t>
        </is>
      </c>
      <c r="H19" s="5" t="inlineStr">
        <is>
          <t>QUESTION. 앞선 출처에 통과 후보가 없을 때 사용</t>
        </is>
      </c>
    </row>
    <row r="20">
      <c r="A20" s="6" t="inlineStr">
        <is>
          <t>CFG-063</t>
        </is>
      </c>
      <c r="B20" s="6" t="inlineStr">
        <is>
          <t>SELECTION_ORDER</t>
        </is>
      </c>
      <c r="C20" s="6" t="inlineStr">
        <is>
          <t>ASC</t>
        </is>
      </c>
      <c r="D20" s="6" t="n"/>
      <c r="E20" s="5" t="n"/>
      <c r="F20" s="6" t="inlineStr">
        <is>
          <t>ORDER</t>
        </is>
      </c>
      <c r="G20" s="6" t="inlineStr">
        <is>
          <t>SOURCE_ATOM</t>
        </is>
      </c>
      <c r="H20" s="5" t="inlineStr">
        <is>
          <t>선택 순서를 그대로 보존하고 중복 순서를 거부</t>
        </is>
      </c>
    </row>
    <row r="21">
      <c r="A21" s="6" t="inlineStr">
        <is>
          <t>CFG-064</t>
        </is>
      </c>
      <c r="B21" s="6" t="inlineStr">
        <is>
          <t>CLINIC_CONFIRMATION_SECOND_SLOT</t>
        </is>
      </c>
      <c r="C21" s="6" t="inlineStr">
        <is>
          <t>EQ</t>
        </is>
      </c>
      <c r="D21" s="6" t="n"/>
      <c r="E21" s="5" t="inlineStr">
        <is>
          <t>USER_CONFIRMED=DISEASE_ROTATING;DENIED_OR_UNKNOWN=FIXED</t>
        </is>
      </c>
      <c r="F21" s="6" t="inlineStr">
        <is>
          <t>QUESTION_PLAN</t>
        </is>
      </c>
      <c r="G21" s="6" t="inlineStr">
        <is>
          <t>SOURCE_ATOM</t>
        </is>
      </c>
      <c r="H21" s="5" t="inlineStr">
        <is>
          <t>세션 전체 최대 2개. 확인 당일 공통 고정과 회전을 동시에 내지 않음</t>
        </is>
      </c>
    </row>
    <row r="22">
      <c r="A22" s="6" t="inlineStr">
        <is>
          <t>CFG-065</t>
        </is>
      </c>
      <c r="B22" s="6" t="inlineStr">
        <is>
          <t>GOAL_RECENT_WINDOW_DAYS</t>
        </is>
      </c>
      <c r="C22" s="6" t="inlineStr">
        <is>
          <t>EQ</t>
        </is>
      </c>
      <c r="D22" s="6" t="n">
        <v>30</v>
      </c>
      <c r="E22" s="5" t="n"/>
      <c r="F22" s="6" t="inlineStr">
        <is>
          <t>GOAL_SELECTION</t>
        </is>
      </c>
      <c r="G22" s="6" t="inlineStr">
        <is>
          <t>SOURCE_ATOM</t>
        </is>
      </c>
      <c r="H22" s="5" t="inlineStr">
        <is>
          <t>사용자별 최근 30일 일반·식후 목표를 최신순으로 조회</t>
        </is>
      </c>
    </row>
    <row r="23" ht="25" customHeight="1">
      <c r="A23" s="6" t="inlineStr">
        <is>
          <t>CFG-066</t>
        </is>
      </c>
      <c r="B23" s="6" t="inlineStr">
        <is>
          <t>CONFIRMATION_QUEUE_ORDER</t>
        </is>
      </c>
      <c r="C23" s="6" t="inlineStr">
        <is>
          <t>EQ</t>
        </is>
      </c>
      <c r="D23" s="6" t="n"/>
      <c r="E23" s="5" t="inlineStr">
        <is>
          <t>GROUP_BY=confirmation_label;ORDER=source_visit_date DESC,rule_id ASC;PER_DAY=1</t>
        </is>
      </c>
      <c r="F23" s="6" t="n"/>
      <c r="G23" s="6" t="inlineStr">
        <is>
          <t>QUESTION_PLAN</t>
        </is>
      </c>
      <c r="H23" s="5" t="inlineStr">
        <is>
          <t>하루 한 묶음. 표기가 같은 규칙은 한 묶음으로 본다</t>
        </is>
      </c>
    </row>
    <row r="24">
      <c r="A24" s="6" t="inlineStr">
        <is>
          <t>CFG-068</t>
        </is>
      </c>
      <c r="B24" s="6" t="inlineStr">
        <is>
          <t>STAGE_UP_REQUIRES</t>
        </is>
      </c>
      <c r="C24" s="6" t="inlineStr">
        <is>
          <t>NEQ</t>
        </is>
      </c>
      <c r="D24" s="6" t="n"/>
      <c r="E24" s="5" t="inlineStr">
        <is>
          <t>axis_state=OBSERVING</t>
        </is>
      </c>
      <c r="F24" s="6" t="n"/>
      <c r="G24" s="6" t="inlineStr">
        <is>
          <t>GOAL_STAGE</t>
        </is>
      </c>
      <c r="H24" s="5" t="inlineStr">
        <is>
          <t>관찰 중인 축은 단계를 올리지 않는다</t>
        </is>
      </c>
    </row>
    <row r="25">
      <c r="A25" s="6" t="inlineStr">
        <is>
          <t>CFG-069</t>
        </is>
      </c>
      <c r="B25" s="6" t="inlineStr">
        <is>
          <t>STAGE_CAP_WHEN_NEEDS_WORK</t>
        </is>
      </c>
      <c r="C25" s="6" t="inlineStr">
        <is>
          <t>EQ</t>
        </is>
      </c>
      <c r="D25" s="6" t="n"/>
      <c r="E25" s="5" t="inlineStr">
        <is>
          <t>BASE</t>
        </is>
      </c>
      <c r="F25" s="6" t="n"/>
      <c r="G25" s="6" t="inlineStr">
        <is>
          <t>GOAL_STAGE</t>
        </is>
      </c>
      <c r="H25" s="5" t="inlineStr">
        <is>
          <t>개선 필요인 축은 기본까지만</t>
        </is>
      </c>
    </row>
    <row r="26" ht="25" customHeight="1">
      <c r="A26" s="6" t="inlineStr">
        <is>
          <t>CFG-041</t>
        </is>
      </c>
      <c r="B26" s="6" t="inlineStr">
        <is>
          <t>ROTATING_AXIS_ORDER</t>
        </is>
      </c>
      <c r="C26" s="6" t="inlineStr">
        <is>
          <t>EQ</t>
        </is>
      </c>
      <c r="D26" s="6" t="n"/>
      <c r="E26" s="5" t="inlineStr">
        <is>
          <t>GROUP=linked_then_general_after_full_cycle; ORDER=answers_28d ASC, last_asked ASC, question_id ASC</t>
        </is>
      </c>
      <c r="F26" s="6" t="n"/>
      <c r="G26" s="6" t="inlineStr">
        <is>
          <t>QUESTION_AXIS</t>
        </is>
      </c>
      <c r="H26" s="5" t="inlineStr">
        <is>
          <t>연결 축이 없으면 전체 축을 같은 순서로 본다. 목표 축(V-39)과 따로 계산한다</t>
        </is>
      </c>
    </row>
    <row r="27">
      <c r="A27" s="6" t="inlineStr">
        <is>
          <t>CFG-002</t>
        </is>
      </c>
      <c r="B27" s="6" t="inlineStr">
        <is>
          <t>WINDOW_DAYS</t>
        </is>
      </c>
      <c r="C27" s="6" t="inlineStr">
        <is>
          <t>EQ</t>
        </is>
      </c>
      <c r="D27" s="6" t="n">
        <v>28</v>
      </c>
      <c r="E27" s="5" t="n"/>
      <c r="F27" s="6" t="inlineStr">
        <is>
          <t>DAY</t>
        </is>
      </c>
      <c r="G27" s="6" t="inlineStr">
        <is>
          <t>FULL</t>
        </is>
      </c>
      <c r="H27" s="5" t="inlineStr">
        <is>
          <t>CFG-006과 같은 28일 창에서 센다</t>
        </is>
      </c>
    </row>
    <row r="28">
      <c r="A28" s="6" t="inlineStr">
        <is>
          <t>CFG-002</t>
        </is>
      </c>
      <c r="B28" s="6" t="inlineStr">
        <is>
          <t>MIN_VALID_ANSWERS</t>
        </is>
      </c>
      <c r="C28" s="6" t="inlineStr">
        <is>
          <t>GTE</t>
        </is>
      </c>
      <c r="D28" s="6" t="n">
        <v>3</v>
      </c>
      <c r="E28" s="5" t="n"/>
      <c r="F28" s="6" t="inlineStr">
        <is>
          <t>COUNT</t>
        </is>
      </c>
      <c r="G28" s="6" t="inlineStr">
        <is>
          <t>FULL</t>
        </is>
      </c>
      <c r="H28" s="5" t="inlineStr">
        <is>
          <t>CFG-007. 이보다 적으면 관찰 중</t>
        </is>
      </c>
    </row>
    <row r="29">
      <c r="A29" s="6" t="inlineStr">
        <is>
          <t>CFG-003</t>
        </is>
      </c>
      <c r="B29" s="6" t="inlineStr">
        <is>
          <t>RECENT_ANSWERS</t>
        </is>
      </c>
      <c r="C29" s="6" t="inlineStr">
        <is>
          <t>EQ</t>
        </is>
      </c>
      <c r="D29" s="6" t="n">
        <v>7</v>
      </c>
      <c r="E29" s="5" t="n"/>
      <c r="F29" s="6" t="inlineStr">
        <is>
          <t>COUNT</t>
        </is>
      </c>
      <c r="G29" s="6" t="inlineStr">
        <is>
          <t>FULL</t>
        </is>
      </c>
      <c r="H29" s="5" t="inlineStr">
        <is>
          <t>CFG-008. 최근 유효 응답 7건이 분모</t>
        </is>
      </c>
    </row>
    <row r="30">
      <c r="A30" s="6" t="inlineStr">
        <is>
          <t>CFG-003</t>
        </is>
      </c>
      <c r="B30" s="6" t="inlineStr">
        <is>
          <t>LOOKBACK_DAYS_MAX</t>
        </is>
      </c>
      <c r="C30" s="6" t="inlineStr">
        <is>
          <t>LTE</t>
        </is>
      </c>
      <c r="D30" s="6" t="n">
        <v>84</v>
      </c>
      <c r="E30" s="5" t="n"/>
      <c r="F30" s="6" t="inlineStr">
        <is>
          <t>DAY</t>
        </is>
      </c>
      <c r="G30" s="6" t="inlineStr">
        <is>
          <t>FULL</t>
        </is>
      </c>
      <c r="H30" s="5" t="inlineStr">
        <is>
          <t>CFG-009. 7건을 못 채우면 양호 아님</t>
        </is>
      </c>
    </row>
    <row r="31">
      <c r="A31" s="6" t="inlineStr">
        <is>
          <t>CFG-004</t>
        </is>
      </c>
      <c r="B31" s="6" t="inlineStr">
        <is>
          <t>RECENT_ANSWERS</t>
        </is>
      </c>
      <c r="C31" s="6" t="inlineStr">
        <is>
          <t>EQ</t>
        </is>
      </c>
      <c r="D31" s="6" t="n">
        <v>7</v>
      </c>
      <c r="E31" s="5" t="n"/>
      <c r="F31" s="6" t="inlineStr">
        <is>
          <t>COUNT</t>
        </is>
      </c>
      <c r="G31" s="6" t="inlineStr">
        <is>
          <t>FULL</t>
        </is>
      </c>
      <c r="H31" s="5" t="inlineStr">
        <is>
          <t>CFG-008. CFG-003과 같은 분모</t>
        </is>
      </c>
    </row>
    <row r="32">
      <c r="A32" s="6" t="inlineStr">
        <is>
          <t>CFG-004</t>
        </is>
      </c>
      <c r="B32" s="6" t="inlineStr">
        <is>
          <t>LOOKBACK_DAYS_MAX</t>
        </is>
      </c>
      <c r="C32" s="6" t="inlineStr">
        <is>
          <t>LTE</t>
        </is>
      </c>
      <c r="D32" s="6" t="n">
        <v>84</v>
      </c>
      <c r="E32" s="5" t="n"/>
      <c r="F32" s="6" t="inlineStr">
        <is>
          <t>DAY</t>
        </is>
      </c>
      <c r="G32" s="6" t="inlineStr">
        <is>
          <t>FULL</t>
        </is>
      </c>
      <c r="H32" s="5" t="inlineStr">
        <is>
          <t>CFG-009. CFG-003과 같은 상한</t>
        </is>
      </c>
    </row>
    <row r="33">
      <c r="A33" s="6" t="inlineStr">
        <is>
          <t>CFG-005</t>
        </is>
      </c>
      <c r="B33" s="6" t="inlineStr">
        <is>
          <t>COMBINE_OPERATOR</t>
        </is>
      </c>
      <c r="C33" s="6" t="inlineStr">
        <is>
          <t>EQ</t>
        </is>
      </c>
      <c r="D33" s="6" t="n"/>
      <c r="E33" s="5" t="inlineStr">
        <is>
          <t>AND</t>
        </is>
      </c>
      <c r="F33" s="6" t="inlineStr">
        <is>
          <t>NONE</t>
        </is>
      </c>
      <c r="G33" s="6" t="inlineStr">
        <is>
          <t>FULL</t>
        </is>
      </c>
      <c r="H33" s="5" t="inlineStr">
        <is>
          <t>둘 다 참일 때만 양호</t>
        </is>
      </c>
    </row>
    <row r="34">
      <c r="A34" s="6" t="inlineStr">
        <is>
          <t>CFG-005</t>
        </is>
      </c>
      <c r="B34" s="6" t="inlineStr">
        <is>
          <t>COMBINE_MEMBERS</t>
        </is>
      </c>
      <c r="C34" s="6" t="inlineStr">
        <is>
          <t>EQ</t>
        </is>
      </c>
      <c r="D34" s="6" t="n"/>
      <c r="E34" s="5" t="inlineStr">
        <is>
          <t>CFG-003,CFG-004</t>
        </is>
      </c>
      <c r="F34" s="6" t="inlineStr">
        <is>
          <t>NONE</t>
        </is>
      </c>
      <c r="G34" s="6" t="inlineStr">
        <is>
          <t>FULL</t>
        </is>
      </c>
      <c r="H34" s="5" t="inlineStr">
        <is>
          <t>결합 대상 설정 ID</t>
        </is>
      </c>
    </row>
    <row r="35">
      <c r="A35" s="19" t="inlineStr">
        <is>
          <t>CFG-010</t>
        </is>
      </c>
      <c r="B35" s="19" t="inlineStr">
        <is>
          <t>STAGE_UP_RECENT_GOALS</t>
        </is>
      </c>
      <c r="C35" s="19" t="inlineStr">
        <is>
          <t>EQ</t>
        </is>
      </c>
      <c r="D35" s="19" t="n">
        <v>4</v>
      </c>
      <c r="E35" s="5" t="n"/>
      <c r="F35" s="19" t="inlineStr">
        <is>
          <t>COUNT</t>
        </is>
      </c>
      <c r="G35" s="19" t="inlineStr">
        <is>
          <t>GOAL_STAGE</t>
        </is>
      </c>
      <c r="H35" s="20" t="inlineStr">
        <is>
          <t>마지막 단계 변경 이후 그 축의 확정된 축 목표 중 최근 4건을 본다</t>
        </is>
      </c>
    </row>
    <row r="36">
      <c r="A36" s="19" t="inlineStr">
        <is>
          <t>CFG-010</t>
        </is>
      </c>
      <c r="B36" s="19" t="inlineStr">
        <is>
          <t>STAGE_UP_MIN_COMPLETED</t>
        </is>
      </c>
      <c r="C36" s="19" t="inlineStr">
        <is>
          <t>GTE</t>
        </is>
      </c>
      <c r="D36" s="19" t="n">
        <v>3</v>
      </c>
      <c r="E36" s="5" t="n"/>
      <c r="F36" s="19" t="inlineStr">
        <is>
          <t>COUNT</t>
        </is>
      </c>
      <c r="G36" s="19" t="inlineStr">
        <is>
          <t>GOAL_STAGE</t>
        </is>
      </c>
      <c r="H36" s="20" t="inlineStr">
        <is>
          <t>그 4건 중 완료가 3건 이상이면 1단계 올린다</t>
        </is>
      </c>
    </row>
    <row r="37">
      <c r="A37" s="19" t="inlineStr">
        <is>
          <t>CFG-010</t>
        </is>
      </c>
      <c r="B37" s="19" t="inlineStr">
        <is>
          <t>STAGE_UP_MIN_ENDED</t>
        </is>
      </c>
      <c r="C37" s="19" t="inlineStr">
        <is>
          <t>GTE</t>
        </is>
      </c>
      <c r="D37" s="19" t="n">
        <v>3</v>
      </c>
      <c r="E37" s="5" t="n"/>
      <c r="F37" s="19" t="inlineStr">
        <is>
          <t>COUNT</t>
        </is>
      </c>
      <c r="G37" s="19" t="inlineStr">
        <is>
          <t>GOAL_STAGE</t>
        </is>
      </c>
      <c r="H37" s="20" t="inlineStr">
        <is>
          <t>확정된 축 목표가 3건 미만이면 판단하지 않는다</t>
        </is>
      </c>
    </row>
    <row r="38">
      <c r="A38" s="19" t="inlineStr">
        <is>
          <t>CFG-011</t>
        </is>
      </c>
      <c r="B38" s="19" t="inlineStr">
        <is>
          <t>STAGE_DOWN_CONSECUTIVE_INCOMPLETE</t>
        </is>
      </c>
      <c r="C38" s="19" t="inlineStr">
        <is>
          <t>EQ</t>
        </is>
      </c>
      <c r="D38" s="19" t="n">
        <v>2</v>
      </c>
      <c r="E38" s="5" t="n"/>
      <c r="F38" s="19" t="inlineStr">
        <is>
          <t>COUNT</t>
        </is>
      </c>
      <c r="G38" s="19" t="inlineStr">
        <is>
          <t>GOAL_STAGE</t>
        </is>
      </c>
      <c r="H38" s="20" t="inlineStr">
        <is>
          <t>확정된 축 목표 최근 2건이 연속 미완료면 1단계 내린다</t>
        </is>
      </c>
    </row>
    <row r="39">
      <c r="A39" s="19" t="inlineStr">
        <is>
          <t>CFG-071</t>
        </is>
      </c>
      <c r="B39" s="19" t="inlineStr">
        <is>
          <t>STAGE_LOOKBACK_DAYS</t>
        </is>
      </c>
      <c r="C39" s="19" t="inlineStr">
        <is>
          <t>LTE</t>
        </is>
      </c>
      <c r="D39" s="19" t="n">
        <v>56</v>
      </c>
      <c r="E39" s="5" t="n"/>
      <c r="F39" s="19" t="inlineStr">
        <is>
          <t>DAY</t>
        </is>
      </c>
      <c r="G39" s="19" t="inlineStr">
        <is>
          <t>GOAL_STAGE</t>
        </is>
      </c>
      <c r="H39" s="20" t="inlineStr">
        <is>
          <t>56일보다 오래된 목표는 세지 않는다</t>
        </is>
      </c>
    </row>
    <row r="40">
      <c r="A40" s="19" t="inlineStr">
        <is>
          <t>CFG-072</t>
        </is>
      </c>
      <c r="B40" s="19" t="inlineStr">
        <is>
          <t>MEAL_TIME_STEP_MINUTES</t>
        </is>
      </c>
      <c r="C40" s="19" t="inlineStr">
        <is>
          <t>EQ</t>
        </is>
      </c>
      <c r="D40" s="19" t="n">
        <v>60</v>
      </c>
      <c r="E40" s="5" t="n"/>
      <c r="F40" s="19" t="inlineStr">
        <is>
          <t>MINUTE</t>
        </is>
      </c>
      <c r="G40" s="19" t="inlineStr">
        <is>
          <t>SOURCE_ATOM</t>
        </is>
      </c>
      <c r="H40" s="20" t="inlineStr">
        <is>
          <t>버튼 간격</t>
        </is>
      </c>
    </row>
    <row r="41">
      <c r="A41" s="19" t="inlineStr">
        <is>
          <t>CFG-073</t>
        </is>
      </c>
      <c r="B41" s="19" t="inlineStr">
        <is>
          <t>MEAL_TIME_ROUND_DOWN_MINUTES</t>
        </is>
      </c>
      <c r="C41" s="19" t="inlineStr">
        <is>
          <t>EQ</t>
        </is>
      </c>
      <c r="D41" s="19" t="n">
        <v>10</v>
      </c>
      <c r="E41" s="5" t="n"/>
      <c r="F41" s="19" t="inlineStr">
        <is>
          <t>MINUTE</t>
        </is>
      </c>
      <c r="G41" s="19" t="inlineStr">
        <is>
          <t>SOURCE_ATOM</t>
        </is>
      </c>
      <c r="H41" s="20" t="inlineStr">
        <is>
          <t>내림 단위</t>
        </is>
      </c>
    </row>
    <row r="42">
      <c r="A42" s="19" t="inlineStr">
        <is>
          <t>CFG-074</t>
        </is>
      </c>
      <c r="B42" s="19" t="inlineStr">
        <is>
          <t>MEAL_TIME_STOP_AT</t>
        </is>
      </c>
      <c r="C42" s="19" t="inlineStr">
        <is>
          <t>EQ</t>
        </is>
      </c>
      <c r="D42" s="19" t="n"/>
      <c r="E42" s="5" t="inlineStr">
        <is>
          <t>09:00</t>
        </is>
      </c>
      <c r="F42" s="19" t="inlineStr">
        <is>
          <t>LOCAL_TIME</t>
        </is>
      </c>
      <c r="G42" s="19" t="inlineStr">
        <is>
          <t>SOURCE_ATOM</t>
        </is>
      </c>
      <c r="H42" s="20" t="inlineStr">
        <is>
          <t>BREAKFAST</t>
        </is>
      </c>
    </row>
    <row r="43">
      <c r="A43" s="19" t="inlineStr">
        <is>
          <t>CFG-075</t>
        </is>
      </c>
      <c r="B43" s="19" t="inlineStr">
        <is>
          <t>MEAL_TIME_STOP_AT</t>
        </is>
      </c>
      <c r="C43" s="19" t="inlineStr">
        <is>
          <t>EQ</t>
        </is>
      </c>
      <c r="D43" s="19" t="n"/>
      <c r="E43" s="5" t="inlineStr">
        <is>
          <t>14:00</t>
        </is>
      </c>
      <c r="F43" s="19" t="inlineStr">
        <is>
          <t>LOCAL_TIME</t>
        </is>
      </c>
      <c r="G43" s="19" t="inlineStr">
        <is>
          <t>SOURCE_ATOM</t>
        </is>
      </c>
      <c r="H43" s="20" t="inlineStr">
        <is>
          <t>LUNCH</t>
        </is>
      </c>
    </row>
    <row r="44">
      <c r="A44" s="19" t="inlineStr">
        <is>
          <t>CFG-076</t>
        </is>
      </c>
      <c r="B44" s="19" t="inlineStr">
        <is>
          <t>MEAL_TIME_STOP_AT</t>
        </is>
      </c>
      <c r="C44" s="19" t="inlineStr">
        <is>
          <t>EQ</t>
        </is>
      </c>
      <c r="D44" s="19" t="n"/>
      <c r="E44" s="5" t="inlineStr">
        <is>
          <t>21:00</t>
        </is>
      </c>
      <c r="F44" s="19" t="inlineStr">
        <is>
          <t>LOCAL_TIME</t>
        </is>
      </c>
      <c r="G44" s="19" t="inlineStr">
        <is>
          <t>SOURCE_ATOM</t>
        </is>
      </c>
      <c r="H44" s="20" t="inlineStr">
        <is>
          <t>DINNER</t>
        </is>
      </c>
    </row>
    <row r="45">
      <c r="A45" s="19" t="inlineStr">
        <is>
          <t>CFG-077</t>
        </is>
      </c>
      <c r="B45" s="19" t="inlineStr">
        <is>
          <t>MEAL_START_DEFAULT</t>
        </is>
      </c>
      <c r="C45" s="19" t="inlineStr">
        <is>
          <t>EQ</t>
        </is>
      </c>
      <c r="D45" s="19" t="n"/>
      <c r="E45" s="5" t="inlineStr">
        <is>
          <t>06:00</t>
        </is>
      </c>
      <c r="F45" s="19" t="inlineStr">
        <is>
          <t>LOCAL_TIME</t>
        </is>
      </c>
      <c r="G45" s="19" t="inlineStr">
        <is>
          <t>SOURCE_ATOM</t>
        </is>
      </c>
      <c r="H45" s="20" t="inlineStr">
        <is>
          <t>BREAKFAST</t>
        </is>
      </c>
    </row>
    <row r="46">
      <c r="A46" s="19" t="inlineStr">
        <is>
          <t>CFG-077</t>
        </is>
      </c>
      <c r="B46" s="19" t="inlineStr">
        <is>
          <t>MEAL_START_DEFAULT</t>
        </is>
      </c>
      <c r="C46" s="19" t="inlineStr">
        <is>
          <t>EQ</t>
        </is>
      </c>
      <c r="D46" s="19" t="n"/>
      <c r="E46" s="5" t="inlineStr">
        <is>
          <t>11:00</t>
        </is>
      </c>
      <c r="F46" s="19" t="inlineStr">
        <is>
          <t>LOCAL_TIME</t>
        </is>
      </c>
      <c r="G46" s="19" t="inlineStr">
        <is>
          <t>SOURCE_ATOM</t>
        </is>
      </c>
      <c r="H46" s="20" t="inlineStr">
        <is>
          <t>LUNCH</t>
        </is>
      </c>
    </row>
    <row r="47">
      <c r="A47" s="19" t="inlineStr">
        <is>
          <t>CFG-077</t>
        </is>
      </c>
      <c r="B47" s="19" t="inlineStr">
        <is>
          <t>MEAL_START_DEFAULT</t>
        </is>
      </c>
      <c r="C47" s="19" t="inlineStr">
        <is>
          <t>EQ</t>
        </is>
      </c>
      <c r="D47" s="19" t="n"/>
      <c r="E47" s="5" t="inlineStr">
        <is>
          <t>16:00</t>
        </is>
      </c>
      <c r="F47" s="19" t="inlineStr">
        <is>
          <t>LOCAL_TIME</t>
        </is>
      </c>
      <c r="G47" s="19" t="inlineStr">
        <is>
          <t>SOURCE_ATOM</t>
        </is>
      </c>
      <c r="H47" s="20" t="inlineStr">
        <is>
          <t>DINNER</t>
        </is>
      </c>
    </row>
    <row r="48">
      <c r="A48" s="19" t="inlineStr">
        <is>
          <t>CFG-078</t>
        </is>
      </c>
      <c r="B48" s="19" t="inlineStr">
        <is>
          <t>BREAKFAST_BOUND</t>
        </is>
      </c>
      <c r="C48" s="19" t="inlineStr">
        <is>
          <t>EQ</t>
        </is>
      </c>
      <c r="D48" s="19" t="n"/>
      <c r="E48" s="5" t="inlineStr">
        <is>
          <t>07:00</t>
        </is>
      </c>
      <c r="F48" s="19" t="inlineStr">
        <is>
          <t>LOCAL_TIME</t>
        </is>
      </c>
      <c r="G48" s="19" t="inlineStr">
        <is>
          <t>SOURCE_ATOM</t>
        </is>
      </c>
      <c r="H48" s="20" t="inlineStr">
        <is>
          <t>첫 경계</t>
        </is>
      </c>
    </row>
    <row r="49">
      <c r="A49" s="19" t="inlineStr">
        <is>
          <t>CFG-078</t>
        </is>
      </c>
      <c r="B49" s="19" t="inlineStr">
        <is>
          <t>BREAKFAST_BOUND</t>
        </is>
      </c>
      <c r="C49" s="19" t="inlineStr">
        <is>
          <t>EQ</t>
        </is>
      </c>
      <c r="D49" s="19" t="n"/>
      <c r="E49" s="5" t="inlineStr">
        <is>
          <t>08:00</t>
        </is>
      </c>
      <c r="F49" s="19" t="inlineStr">
        <is>
          <t>LOCAL_TIME</t>
        </is>
      </c>
      <c r="G49" s="19" t="inlineStr">
        <is>
          <t>SOURCE_ATOM</t>
        </is>
      </c>
      <c r="H49" s="20" t="inlineStr">
        <is>
          <t>둘째 경계</t>
        </is>
      </c>
    </row>
    <row r="50">
      <c r="A50" s="19" t="inlineStr">
        <is>
          <t>CFG-079</t>
        </is>
      </c>
      <c r="B50" s="19" t="inlineStr">
        <is>
          <t>STEP_PAUSE_MIN_MINUTES</t>
        </is>
      </c>
      <c r="C50" s="19" t="inlineStr">
        <is>
          <t>GT</t>
        </is>
      </c>
      <c r="D50" s="19" t="n">
        <v>15</v>
      </c>
      <c r="E50" s="5" t="n"/>
      <c r="F50" s="19" t="inlineStr">
        <is>
          <t>MINUTE</t>
        </is>
      </c>
      <c r="G50" s="19" t="inlineStr">
        <is>
          <t>SOURCE_ATOM</t>
        </is>
      </c>
      <c r="H50" s="20" t="inlineStr">
        <is>
          <t>사용 안 함(1차)</t>
        </is>
      </c>
    </row>
    <row r="51">
      <c r="A51" s="19" t="inlineStr">
        <is>
          <t>CFG-080</t>
        </is>
      </c>
      <c r="B51" s="19" t="inlineStr">
        <is>
          <t>HABIT_WINDOW_DAYS</t>
        </is>
      </c>
      <c r="C51" s="19" t="inlineStr">
        <is>
          <t>EQ</t>
        </is>
      </c>
      <c r="D51" s="19" t="n">
        <v>14</v>
      </c>
      <c r="E51" s="5" t="n"/>
      <c r="F51" s="19" t="inlineStr">
        <is>
          <t>DAY</t>
        </is>
      </c>
      <c r="G51" s="19" t="inlineStr">
        <is>
          <t>SOURCE_ATOM</t>
        </is>
      </c>
      <c r="H51" s="20" t="inlineStr">
        <is>
          <t>사용 안 함(1차)</t>
        </is>
      </c>
    </row>
    <row r="52">
      <c r="A52" s="19" t="inlineStr">
        <is>
          <t>CFG-081</t>
        </is>
      </c>
      <c r="B52" s="19" t="inlineStr">
        <is>
          <t>ESTIMATE_WINDOW_MAX_MINUTES</t>
        </is>
      </c>
      <c r="C52" s="19" t="inlineStr">
        <is>
          <t>LTE</t>
        </is>
      </c>
      <c r="D52" s="19" t="n">
        <v>120</v>
      </c>
      <c r="E52" s="5" t="n"/>
      <c r="F52" s="19" t="inlineStr">
        <is>
          <t>MINUTE</t>
        </is>
      </c>
      <c r="G52" s="19" t="inlineStr">
        <is>
          <t>SOURCE_ATOM</t>
        </is>
      </c>
      <c r="H52" s="20" t="inlineStr">
        <is>
          <t>「…이후」 칸은 끼니 끝 기본값(CFG-091)까지로 보므로 보통 넘지 않음. 넘으면 2시간까지만 봄</t>
        </is>
      </c>
    </row>
    <row r="53">
      <c r="A53" s="19" t="inlineStr">
        <is>
          <t>CFG-082</t>
        </is>
      </c>
      <c r="B53" s="19" t="inlineStr">
        <is>
          <t>POST_MEAL_MINUTES</t>
        </is>
      </c>
      <c r="C53" s="19" t="inlineStr">
        <is>
          <t>EQ</t>
        </is>
      </c>
      <c r="D53" s="19" t="n">
        <v>30</v>
      </c>
      <c r="E53" s="5" t="n"/>
      <c r="F53" s="19" t="inlineStr">
        <is>
          <t>MINUTE</t>
        </is>
      </c>
      <c r="G53" s="19" t="inlineStr">
        <is>
          <t>SOURCE_ATOM</t>
        </is>
      </c>
      <c r="H53" s="20" t="inlineStr">
        <is>
          <t>식후 관찰</t>
        </is>
      </c>
    </row>
    <row r="54">
      <c r="A54" s="19" t="inlineStr">
        <is>
          <t>CFG-083</t>
        </is>
      </c>
      <c r="B54" s="19" t="inlineStr">
        <is>
          <t>MEAL_TIME_QUESTION_MAX</t>
        </is>
      </c>
      <c r="C54" s="19" t="inlineStr">
        <is>
          <t>LTE</t>
        </is>
      </c>
      <c r="D54" s="19" t="n">
        <v>1</v>
      </c>
      <c r="E54" s="5" t="n"/>
      <c r="F54" s="19" t="inlineStr">
        <is>
          <t>COUNT</t>
        </is>
      </c>
      <c r="G54" s="19" t="inlineStr">
        <is>
          <t>SOURCE_ATOM</t>
        </is>
      </c>
      <c r="H54" s="20" t="inlineStr">
        <is>
          <t>시각 단계</t>
        </is>
      </c>
    </row>
    <row r="55">
      <c r="A55" s="19" t="inlineStr">
        <is>
          <t>CFG-083</t>
        </is>
      </c>
      <c r="B55" s="19" t="inlineStr">
        <is>
          <t>DIET_QUESTION_MAX</t>
        </is>
      </c>
      <c r="C55" s="19" t="inlineStr">
        <is>
          <t>LTE</t>
        </is>
      </c>
      <c r="D55" s="19" t="n">
        <v>3</v>
      </c>
      <c r="E55" s="5" t="n"/>
      <c r="F55" s="19" t="inlineStr">
        <is>
          <t>COUNT</t>
        </is>
      </c>
      <c r="G55" s="19" t="inlineStr">
        <is>
          <t>SOURCE_ATOM</t>
        </is>
      </c>
      <c r="H55" s="20" t="inlineStr">
        <is>
          <t>고정 1 + 시각 1 + 회전 1</t>
        </is>
      </c>
    </row>
    <row r="56">
      <c r="A56" s="19" t="inlineStr">
        <is>
          <t>CFG-083</t>
        </is>
      </c>
      <c r="B56" s="19" t="inlineStr">
        <is>
          <t>DAILY_QUESTION_MAX</t>
        </is>
      </c>
      <c r="C56" s="19" t="inlineStr">
        <is>
          <t>LTE</t>
        </is>
      </c>
      <c r="D56" s="19" t="n">
        <v>6</v>
      </c>
      <c r="E56" s="5" t="n"/>
      <c r="F56" s="19" t="inlineStr">
        <is>
          <t>COUNT</t>
        </is>
      </c>
      <c r="G56" s="19" t="inlineStr">
        <is>
          <t>SOURCE_ATOM</t>
        </is>
      </c>
      <c r="H56" s="20" t="inlineStr">
        <is>
          <t>전체. 보통 5, 많으면 6</t>
        </is>
      </c>
    </row>
    <row r="57">
      <c r="A57" s="19" t="inlineStr">
        <is>
          <t>CFG-084</t>
        </is>
      </c>
      <c r="B57" s="19" t="inlineStr">
        <is>
          <t>AFTER_8_RATIO</t>
        </is>
      </c>
      <c r="C57" s="19" t="inlineStr">
        <is>
          <t>GT</t>
        </is>
      </c>
      <c r="D57" s="19" t="n">
        <v>0.3</v>
      </c>
      <c r="E57" s="5" t="n"/>
      <c r="F57" s="19" t="inlineStr">
        <is>
          <t>RATIO</t>
        </is>
      </c>
      <c r="G57" s="19" t="inlineStr">
        <is>
          <t>SOURCE_ATOM</t>
        </is>
      </c>
      <c r="H57" s="20" t="inlineStr">
        <is>
          <t>관찰 기간·분모 별도 결정</t>
        </is>
      </c>
    </row>
    <row r="58">
      <c r="A58" s="19" t="inlineStr">
        <is>
          <t>CFG-085</t>
        </is>
      </c>
      <c r="B58" s="19" t="inlineStr">
        <is>
          <t>LUNCH_EARLY_ANSWER_RATIO</t>
        </is>
      </c>
      <c r="C58" s="19" t="inlineStr">
        <is>
          <t>GT</t>
        </is>
      </c>
      <c r="D58" s="19" t="n">
        <v>0.1</v>
      </c>
      <c r="E58" s="5" t="n"/>
      <c r="F58" s="19" t="inlineStr">
        <is>
          <t>RATIO</t>
        </is>
      </c>
      <c r="G58" s="19" t="inlineStr">
        <is>
          <t>SOURCE_ATOM</t>
        </is>
      </c>
      <c r="H58" s="20" t="inlineStr">
        <is>
          <t>12:00~12:30 답 비율</t>
        </is>
      </c>
    </row>
    <row r="59">
      <c r="A59" s="19" t="inlineStr">
        <is>
          <t>CFG-086</t>
        </is>
      </c>
      <c r="B59" s="19" t="inlineStr">
        <is>
          <t>POST_MEAL_STREAK_MINUTES</t>
        </is>
      </c>
      <c r="C59" s="19" t="inlineStr">
        <is>
          <t>GT</t>
        </is>
      </c>
      <c r="D59" s="19" t="n">
        <v>5</v>
      </c>
      <c r="E59" s="5" t="n"/>
      <c r="F59" s="19" t="inlineStr">
        <is>
          <t>MINUTE</t>
        </is>
      </c>
      <c r="G59" s="19" t="inlineStr">
        <is>
          <t>SOURCE_ATOM</t>
        </is>
      </c>
      <c r="H59" s="20" t="inlineStr">
        <is>
          <t>5분을 넘어야 함</t>
        </is>
      </c>
    </row>
    <row r="60">
      <c r="A60" s="19" t="inlineStr">
        <is>
          <t>CFG-086</t>
        </is>
      </c>
      <c r="B60" s="19" t="inlineStr">
        <is>
          <t>POST_MEAL_STREAK_STEPS_PER_MINUTE</t>
        </is>
      </c>
      <c r="C60" s="19" t="inlineStr">
        <is>
          <t>GTE</t>
        </is>
      </c>
      <c r="D60" s="19" t="n">
        <v>20</v>
      </c>
      <c r="E60" s="5" t="n"/>
      <c r="F60" s="19" t="inlineStr">
        <is>
          <t>COUNT</t>
        </is>
      </c>
      <c r="G60" s="19" t="inlineStr">
        <is>
          <t>SOURCE_ATOM</t>
        </is>
      </c>
      <c r="H60" s="20" t="inlineStr">
        <is>
          <t>분당 걸음</t>
        </is>
      </c>
    </row>
    <row r="61">
      <c r="A61" s="19" t="inlineStr">
        <is>
          <t>CFG-087</t>
        </is>
      </c>
      <c r="B61" s="19" t="inlineStr">
        <is>
          <t>POST_MEAL_TOTAL_STEPS</t>
        </is>
      </c>
      <c r="C61" s="19" t="inlineStr">
        <is>
          <t>GTE</t>
        </is>
      </c>
      <c r="D61" s="19" t="n">
        <v>300</v>
      </c>
      <c r="E61" s="5" t="n"/>
      <c r="F61" s="19" t="inlineStr">
        <is>
          <t>COUNT</t>
        </is>
      </c>
      <c r="G61" s="19" t="inlineStr">
        <is>
          <t>SOURCE_ATOM</t>
        </is>
      </c>
      <c r="H61" s="20" t="inlineStr">
        <is>
          <t>관찰 시간 합계</t>
        </is>
      </c>
    </row>
    <row r="62">
      <c r="A62" s="19" t="inlineStr">
        <is>
          <t>CFG-089</t>
        </is>
      </c>
      <c r="B62" s="19" t="inlineStr">
        <is>
          <t>DINNER_FIXED_BOUND</t>
        </is>
      </c>
      <c r="C62" s="19" t="inlineStr">
        <is>
          <t>EQ</t>
        </is>
      </c>
      <c r="D62" s="19" t="n"/>
      <c r="E62" s="5" t="inlineStr">
        <is>
          <t>19:00</t>
        </is>
      </c>
      <c r="F62" s="19" t="inlineStr">
        <is>
          <t>LOCAL_TIME</t>
        </is>
      </c>
      <c r="G62" s="19" t="inlineStr">
        <is>
          <t>SOURCE_ATOM</t>
        </is>
      </c>
      <c r="H62" s="20" t="inlineStr">
        <is>
          <t>첫 경계</t>
        </is>
      </c>
    </row>
    <row r="63">
      <c r="A63" s="19" t="inlineStr">
        <is>
          <t>CFG-089</t>
        </is>
      </c>
      <c r="B63" s="19" t="inlineStr">
        <is>
          <t>DINNER_FIXED_BOUND</t>
        </is>
      </c>
      <c r="C63" s="19" t="inlineStr">
        <is>
          <t>EQ</t>
        </is>
      </c>
      <c r="D63" s="19" t="n"/>
      <c r="E63" s="5" t="inlineStr">
        <is>
          <t>21:00</t>
        </is>
      </c>
      <c r="F63" s="19" t="inlineStr">
        <is>
          <t>LOCAL_TIME</t>
        </is>
      </c>
      <c r="G63" s="19" t="inlineStr">
        <is>
          <t>SOURCE_ATOM</t>
        </is>
      </c>
      <c r="H63" s="20" t="inlineStr">
        <is>
          <t>둘째 경계</t>
        </is>
      </c>
    </row>
    <row r="64">
      <c r="A64" s="19" t="inlineStr">
        <is>
          <t>CFG-089</t>
        </is>
      </c>
      <c r="B64" s="19" t="inlineStr">
        <is>
          <t>DINNER_FIXED_END</t>
        </is>
      </c>
      <c r="C64" s="19" t="inlineStr">
        <is>
          <t>EQ</t>
        </is>
      </c>
      <c r="D64" s="19" t="n"/>
      <c r="E64" s="5" t="inlineStr">
        <is>
          <t>23:00</t>
        </is>
      </c>
      <c r="F64" s="19" t="inlineStr">
        <is>
          <t>LOCAL_TIME</t>
        </is>
      </c>
      <c r="G64" s="19" t="inlineStr">
        <is>
          <t>SOURCE_ATOM</t>
        </is>
      </c>
      <c r="H64" s="20" t="inlineStr">
        <is>
          <t>「9시 이후」 범위 끝</t>
        </is>
      </c>
    </row>
    <row r="65">
      <c r="A65" s="19" t="inlineStr">
        <is>
          <t>CFG-090</t>
        </is>
      </c>
      <c r="B65" s="19" t="inlineStr">
        <is>
          <t>MEAL_TIME_FLOOR</t>
        </is>
      </c>
      <c r="C65" s="19" t="inlineStr">
        <is>
          <t>GTE</t>
        </is>
      </c>
      <c r="D65" s="19" t="n"/>
      <c r="E65" s="5" t="inlineStr">
        <is>
          <t>16:00</t>
        </is>
      </c>
      <c r="F65" s="19" t="inlineStr">
        <is>
          <t>LOCAL_TIME</t>
        </is>
      </c>
      <c r="G65" s="19" t="inlineStr">
        <is>
          <t>SOURCE_ATOM</t>
        </is>
      </c>
      <c r="H65" s="20" t="inlineStr">
        <is>
          <t>DINNER 선택지 하한</t>
        </is>
      </c>
    </row>
    <row r="66">
      <c r="A66" s="19" t="inlineStr">
        <is>
          <t>CFG-090</t>
        </is>
      </c>
      <c r="B66" s="19" t="inlineStr">
        <is>
          <t>MEAL_TIME_FLOOR</t>
        </is>
      </c>
      <c r="C66" s="19" t="inlineStr">
        <is>
          <t>GTE</t>
        </is>
      </c>
      <c r="D66" s="19" t="n"/>
      <c r="E66" s="5" t="inlineStr">
        <is>
          <t>12:00</t>
        </is>
      </c>
      <c r="F66" s="19" t="inlineStr">
        <is>
          <t>LOCAL_TIME</t>
        </is>
      </c>
      <c r="G66" s="19" t="inlineStr">
        <is>
          <t>SOURCE_ATOM</t>
        </is>
      </c>
      <c r="H66" s="20" t="inlineStr">
        <is>
          <t>LUNCH 선택지 하한(= 질문 시작)</t>
        </is>
      </c>
    </row>
    <row r="67">
      <c r="A67" s="19" t="inlineStr">
        <is>
          <t>CFG-078</t>
        </is>
      </c>
      <c r="B67" s="19" t="inlineStr">
        <is>
          <t>BREAKFAST_END</t>
        </is>
      </c>
      <c r="C67" s="19" t="inlineStr">
        <is>
          <t>EQ</t>
        </is>
      </c>
      <c r="D67" s="19" t="n"/>
      <c r="E67" s="5" t="inlineStr">
        <is>
          <t>10:00</t>
        </is>
      </c>
      <c r="F67" s="19" t="inlineStr">
        <is>
          <t>LOCAL_TIME</t>
        </is>
      </c>
      <c r="G67" s="19" t="inlineStr">
        <is>
          <t>SOURCE_ATOM</t>
        </is>
      </c>
      <c r="H67" s="20" t="inlineStr">
        <is>
          <t>「8시 이후」 범위 끝(아침 끝 기본값)</t>
        </is>
      </c>
    </row>
    <row r="68">
      <c r="A68" s="19" t="inlineStr">
        <is>
          <t>CFG-091</t>
        </is>
      </c>
      <c r="B68" s="19" t="inlineStr">
        <is>
          <t>MEAL_END_DEFAULT</t>
        </is>
      </c>
      <c r="C68" s="19" t="inlineStr">
        <is>
          <t>EQ</t>
        </is>
      </c>
      <c r="D68" s="19" t="n"/>
      <c r="E68" s="5" t="inlineStr">
        <is>
          <t>10:00</t>
        </is>
      </c>
      <c r="F68" s="19" t="inlineStr">
        <is>
          <t>LOCAL_TIME</t>
        </is>
      </c>
      <c r="G68" s="19" t="inlineStr">
        <is>
          <t>SOURCE_ATOM</t>
        </is>
      </c>
      <c r="H68" s="20" t="inlineStr">
        <is>
          <t>BREAKFAST</t>
        </is>
      </c>
    </row>
    <row r="69">
      <c r="A69" s="19" t="inlineStr">
        <is>
          <t>CFG-091</t>
        </is>
      </c>
      <c r="B69" s="19" t="inlineStr">
        <is>
          <t>MEAL_END_DEFAULT</t>
        </is>
      </c>
      <c r="C69" s="19" t="inlineStr">
        <is>
          <t>EQ</t>
        </is>
      </c>
      <c r="D69" s="19" t="n"/>
      <c r="E69" s="5" t="inlineStr">
        <is>
          <t>14:00</t>
        </is>
      </c>
      <c r="F69" s="19" t="inlineStr">
        <is>
          <t>LOCAL_TIME</t>
        </is>
      </c>
      <c r="G69" s="19" t="inlineStr">
        <is>
          <t>SOURCE_ATOM</t>
        </is>
      </c>
      <c r="H69" s="20" t="inlineStr">
        <is>
          <t>LUNCH</t>
        </is>
      </c>
    </row>
    <row r="70">
      <c r="A70" s="19" t="inlineStr">
        <is>
          <t>CFG-091</t>
        </is>
      </c>
      <c r="B70" s="19" t="inlineStr">
        <is>
          <t>MEAL_END_DEFAULT</t>
        </is>
      </c>
      <c r="C70" s="19" t="inlineStr">
        <is>
          <t>EQ</t>
        </is>
      </c>
      <c r="D70" s="19" t="n"/>
      <c r="E70" s="5" t="inlineStr">
        <is>
          <t>23:00</t>
        </is>
      </c>
      <c r="F70" s="19" t="inlineStr">
        <is>
          <t>LOCAL_TIME</t>
        </is>
      </c>
      <c r="G70" s="19" t="inlineStr">
        <is>
          <t>SOURCE_ATOM</t>
        </is>
      </c>
      <c r="H70" s="20" t="inlineStr">
        <is>
          <t>DINNER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8EA6B8"/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8.58203125" customWidth="1" min="1" max="1"/>
    <col width="47.58203125" customWidth="1" min="2" max="2"/>
    <col width="18.58203125" customWidth="1" min="3" max="3"/>
    <col width="15.58203125" customWidth="1" min="4" max="4"/>
    <col width="60.58203125" customWidth="1" min="5" max="6"/>
  </cols>
  <sheetData>
    <row r="1" ht="28" customHeight="1">
      <c r="A1" s="8" t="inlineStr">
        <is>
          <t>source_id</t>
        </is>
      </c>
      <c r="B1" s="8" t="inlineStr">
        <is>
          <t>source_name</t>
        </is>
      </c>
      <c r="C1" s="8" t="inlineStr">
        <is>
          <t>source_kind</t>
        </is>
      </c>
      <c r="D1" s="8" t="inlineStr">
        <is>
          <t>source_version</t>
        </is>
      </c>
      <c r="E1" s="8" t="inlineStr">
        <is>
          <t>source_uri</t>
        </is>
      </c>
      <c r="F1" s="8" t="inlineStr">
        <is>
          <t>usage_scope</t>
        </is>
      </c>
    </row>
    <row r="2" ht="50" customHeight="1">
      <c r="A2" s="9" t="inlineStr">
        <is>
          <t>NHIS-2026-01</t>
        </is>
      </c>
      <c r="B2" s="9" t="inlineStr">
        <is>
          <t>건강검진 실시기준 [별표 4의 별첨] 검사항목별 판정기준</t>
        </is>
      </c>
      <c r="C2" s="9" t="inlineStr">
        <is>
          <t>PRIMARY</t>
        </is>
      </c>
      <c r="D2" s="9" t="inlineStr">
        <is>
          <t>시행 2026-01-07</t>
        </is>
      </c>
      <c r="E2" s="10" t="inlineStr">
        <is>
          <t>https://law.go.kr/LSW/flDownload.do?bylClsCd=200207&amp;flNm=%5B%EB%B3%84%EC%B2%A8+1%5D+%EA%B2%80%EC%82%AC%ED%95%AD%EB%AA%A9%EB%B3%84+%ED%8C%90%EC%A0%95%EA%B8%B0%EC%A4%80&amp;flSeq=160922929</t>
        </is>
      </c>
      <c r="F2" s="10" t="inlineStr">
        <is>
          <t>화면 배지 1차 수치 구간. 결과지 판정이 있으면 결과지 우선</t>
        </is>
      </c>
    </row>
    <row r="3">
      <c r="A3" s="9" t="inlineStr">
        <is>
          <t>MAI-REF-20260914</t>
        </is>
      </c>
      <c r="B3" s="9" t="inlineStr">
        <is>
          <t>maiReport AI검진요약 기준범위 레퍼런스</t>
        </is>
      </c>
      <c r="C3" s="9" t="inlineStr">
        <is>
          <t>SNAPSHOT</t>
        </is>
      </c>
      <c r="D3" s="9" t="inlineStr">
        <is>
          <t>2026-09-14</t>
        </is>
      </c>
      <c r="E3" s="10" t="inlineStr">
        <is>
          <t>maiReport_AI검진요약_기준범위_레퍼런스.html</t>
        </is>
      </c>
      <c r="F3" s="10" t="inlineStr">
        <is>
          <t>프로토타입 표시 범위·보조 기준·또래 등수 방법</t>
        </is>
      </c>
    </row>
    <row r="4">
      <c r="A4" s="9" t="inlineStr">
        <is>
          <t>KDIGO-2024</t>
        </is>
      </c>
      <c r="B4" s="9" t="inlineStr">
        <is>
          <t>KDIGO 2024 CKD Guideline</t>
        </is>
      </c>
      <c r="C4" s="9" t="inlineStr">
        <is>
          <t>SUPPLEMENT</t>
        </is>
      </c>
      <c r="D4" s="9" t="inlineStr">
        <is>
          <t>2024</t>
        </is>
      </c>
      <c r="E4" s="10" t="inlineStr">
        <is>
          <t>https://kdigo.org/wp-content/uploads/2024/03/KDIGO-2024-CKD-Guideline.pdf</t>
        </is>
      </c>
      <c r="F4" s="10" t="inlineStr">
        <is>
          <t>eGFR 세부 단계 참고. 공단 배지 판정 대체 금지</t>
        </is>
      </c>
    </row>
    <row r="5">
      <c r="A5" s="9" t="inlineStr">
        <is>
          <t>KSH-2022</t>
        </is>
      </c>
      <c r="B5" s="9" t="inlineStr">
        <is>
          <t>대한고혈압학회 진료지침</t>
        </is>
      </c>
      <c r="C5" s="9" t="inlineStr">
        <is>
          <t>SUPPLEMENT</t>
        </is>
      </c>
      <c r="D5" s="9" t="inlineStr">
        <is>
          <t>2022</t>
        </is>
      </c>
      <c r="E5" s="10" t="inlineStr">
        <is>
          <t>https://www.koreanhypertension.org/reference/guide?idno=10081&amp;mode=read</t>
        </is>
      </c>
      <c r="F5" s="10" t="inlineStr">
        <is>
          <t>혈압 세부 분류 문구 참고</t>
        </is>
      </c>
    </row>
    <row r="6">
      <c r="A6" s="9" t="inlineStr">
        <is>
          <t>KDA-2023</t>
        </is>
      </c>
      <c r="B6" s="9" t="inlineStr">
        <is>
          <t>대한당뇨병학회 진료지침</t>
        </is>
      </c>
      <c r="C6" s="9" t="inlineStr">
        <is>
          <t>SUPPLEMENT</t>
        </is>
      </c>
      <c r="D6" s="9" t="inlineStr">
        <is>
          <t>2023</t>
        </is>
      </c>
      <c r="E6" s="10" t="n"/>
      <c r="F6" s="10" t="inlineStr">
        <is>
          <t>혈당 진단 기준 참고. 단일 검진값은 확진 아님</t>
        </is>
      </c>
    </row>
    <row r="7" ht="25" customHeight="1">
      <c r="A7" s="9" t="inlineStr">
        <is>
          <t>KSoLA-2022</t>
        </is>
      </c>
      <c r="B7" s="9" t="inlineStr">
        <is>
          <t>한국지질·동맥경화학회 이상지질혈증 진료지침</t>
        </is>
      </c>
      <c r="C7" s="9" t="inlineStr">
        <is>
          <t>SUPPLEMENT</t>
        </is>
      </c>
      <c r="D7" s="9" t="inlineStr">
        <is>
          <t>2022</t>
        </is>
      </c>
      <c r="E7" s="10" t="inlineStr">
        <is>
          <t>https://www.lipid.or.kr/reference/guideline.php?boardid=guideline&amp;category=&amp;idx=1281&amp;mode=view&amp;offset=&amp;sk=&amp;sw=</t>
        </is>
      </c>
      <c r="F7" s="10" t="inlineStr">
        <is>
          <t>지질 세부 구간 참고. 2026판 발간 여부 별도 검토</t>
        </is>
      </c>
    </row>
    <row r="8">
      <c r="A8" s="9" t="inlineStr">
        <is>
          <t>KSSO-2022</t>
        </is>
      </c>
      <c r="B8" s="9" t="inlineStr">
        <is>
          <t>대한비만학회 비만 진료지침</t>
        </is>
      </c>
      <c r="C8" s="9" t="inlineStr">
        <is>
          <t>SUPPLEMENT</t>
        </is>
      </c>
      <c r="D8" s="9" t="inlineStr">
        <is>
          <t>2020/2022</t>
        </is>
      </c>
      <c r="E8" s="10" t="n"/>
      <c r="F8" s="10" t="inlineStr">
        <is>
          <t>BMI 세부 구간 참고</t>
        </is>
      </c>
    </row>
    <row r="9" ht="25" customHeight="1">
      <c r="A9" s="6" t="inlineStr">
        <is>
          <t>MAI-DIET-1.0.0</t>
        </is>
      </c>
      <c r="B9" s="6" t="inlineStr">
        <is>
          <t>maiReport 식이 목표 검진 연동 정책</t>
        </is>
      </c>
      <c r="C9" s="6" t="inlineStr">
        <is>
          <t>PRODUCT_POLICY</t>
        </is>
      </c>
      <c r="D9" s="6" t="inlineStr">
        <is>
          <t>v1.0.0</t>
        </is>
      </c>
      <c r="E9" s="5" t="n"/>
      <c r="F9" s="5" t="inlineStr">
        <is>
          <t>검진 신호→기존 식이 축 연결과 검진일 기준 3개월 유효기간. 검진 판정 의학 기준을 대체하지 않음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8EA6B8"/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.58203125" customWidth="1" min="1" max="1"/>
    <col width="15.58203125" customWidth="1" min="2" max="2"/>
    <col width="13.58203125" customWidth="1" min="3" max="3"/>
    <col width="12.58203125" customWidth="1" min="4" max="4"/>
    <col width="13.58203125" customWidth="1" min="5" max="5"/>
    <col width="10.58203125" customWidth="1" min="6" max="6"/>
    <col width="20.58203125" customWidth="1" min="7" max="7"/>
    <col width="46.58203125" customWidth="1" min="8" max="8"/>
  </cols>
  <sheetData>
    <row r="1" ht="28" customHeight="1">
      <c r="A1" s="8" t="inlineStr">
        <is>
          <t>metric_id</t>
        </is>
      </c>
      <c r="B1" s="8" t="inlineStr">
        <is>
          <t>metric_name</t>
        </is>
      </c>
      <c r="C1" s="8" t="inlineStr">
        <is>
          <t>unit_code</t>
        </is>
      </c>
      <c r="D1" s="8" t="inlineStr">
        <is>
          <t>value_kind</t>
        </is>
      </c>
      <c r="E1" s="8" t="inlineStr">
        <is>
          <t>sex_required</t>
        </is>
      </c>
      <c r="F1" s="8" t="inlineStr">
        <is>
          <t>diet_signal</t>
        </is>
      </c>
      <c r="G1" s="8" t="inlineStr">
        <is>
          <t>screening_source_id</t>
        </is>
      </c>
      <c r="H1" s="8" t="inlineStr">
        <is>
          <t>note</t>
        </is>
      </c>
    </row>
    <row r="2">
      <c r="A2" s="9" t="inlineStr">
        <is>
          <t>BP</t>
        </is>
      </c>
      <c r="B2" s="9" t="inlineStr">
        <is>
          <t>혈압</t>
        </is>
      </c>
      <c r="C2" s="9" t="inlineStr">
        <is>
          <t>mmHg</t>
        </is>
      </c>
      <c r="D2" s="9" t="inlineStr">
        <is>
          <t>PAIR</t>
        </is>
      </c>
      <c r="E2" s="9" t="b">
        <v>0</v>
      </c>
      <c r="F2" s="9" t="b">
        <v>1</v>
      </c>
      <c r="G2" s="9" t="inlineStr">
        <is>
          <t>NHIS-2026-01</t>
        </is>
      </c>
      <c r="H2" s="9" t="inlineStr">
        <is>
          <t>수축기와 이완기 동시 입력. 진료실/가정 측정 환경 구분</t>
        </is>
      </c>
    </row>
    <row r="3">
      <c r="A3" s="9" t="inlineStr">
        <is>
          <t>BMI</t>
        </is>
      </c>
      <c r="B3" s="9" t="inlineStr">
        <is>
          <t>체질량지수</t>
        </is>
      </c>
      <c r="C3" s="9" t="inlineStr">
        <is>
          <t>kg/m²</t>
        </is>
      </c>
      <c r="D3" s="9" t="inlineStr">
        <is>
          <t>NUMERIC</t>
        </is>
      </c>
      <c r="E3" s="9" t="b">
        <v>0</v>
      </c>
      <c r="F3" s="9" t="b">
        <v>1</v>
      </c>
      <c r="G3" s="9" t="inlineStr">
        <is>
          <t>NHIS-2026-01</t>
        </is>
      </c>
      <c r="H3" s="9" t="inlineStr">
        <is>
          <t>성인 검진용. 계산에 사용한 키·체중 출처 보존</t>
        </is>
      </c>
    </row>
    <row r="4">
      <c r="A4" s="9" t="inlineStr">
        <is>
          <t>WAIST</t>
        </is>
      </c>
      <c r="B4" s="9" t="inlineStr">
        <is>
          <t>허리둘레</t>
        </is>
      </c>
      <c r="C4" s="9" t="inlineStr">
        <is>
          <t>cm</t>
        </is>
      </c>
      <c r="D4" s="9" t="inlineStr">
        <is>
          <t>NUMERIC</t>
        </is>
      </c>
      <c r="E4" s="9" t="b">
        <v>1</v>
      </c>
      <c r="F4" s="9" t="b">
        <v>0</v>
      </c>
      <c r="G4" s="9" t="inlineStr">
        <is>
          <t>NHIS-2026-01</t>
        </is>
      </c>
      <c r="H4" s="9" t="inlineStr">
        <is>
          <t>성별별 경계</t>
        </is>
      </c>
    </row>
    <row r="5">
      <c r="A5" s="9" t="inlineStr">
        <is>
          <t>FPG</t>
        </is>
      </c>
      <c r="B5" s="9" t="inlineStr">
        <is>
          <t>공복혈당</t>
        </is>
      </c>
      <c r="C5" s="9" t="inlineStr">
        <is>
          <t>mg/dL</t>
        </is>
      </c>
      <c r="D5" s="9" t="inlineStr">
        <is>
          <t>NUMERIC</t>
        </is>
      </c>
      <c r="E5" s="9" t="b">
        <v>0</v>
      </c>
      <c r="F5" s="9" t="b">
        <v>1</v>
      </c>
      <c r="G5" s="9" t="inlineStr">
        <is>
          <t>NHIS-2026-01</t>
        </is>
      </c>
      <c r="H5" s="9" t="inlineStr">
        <is>
          <t>검진 검사실 공복값. 자가혈당·CGM 대체 불가</t>
        </is>
      </c>
    </row>
    <row r="6">
      <c r="A6" s="9" t="inlineStr">
        <is>
          <t>TC</t>
        </is>
      </c>
      <c r="B6" s="9" t="inlineStr">
        <is>
          <t>총콜레스테롤</t>
        </is>
      </c>
      <c r="C6" s="9" t="inlineStr">
        <is>
          <t>mg/dL</t>
        </is>
      </c>
      <c r="D6" s="9" t="inlineStr">
        <is>
          <t>NUMERIC</t>
        </is>
      </c>
      <c r="E6" s="9" t="b">
        <v>0</v>
      </c>
      <c r="F6" s="9" t="b">
        <v>1</v>
      </c>
      <c r="G6" s="9" t="inlineStr">
        <is>
          <t>NHIS-2026-01</t>
        </is>
      </c>
      <c r="H6" s="9" t="inlineStr">
        <is>
          <t>검진 경계 신호. LDL과 혼동 금지</t>
        </is>
      </c>
    </row>
    <row r="7">
      <c r="A7" s="9" t="inlineStr">
        <is>
          <t>HDL</t>
        </is>
      </c>
      <c r="B7" s="9" t="inlineStr">
        <is>
          <t>HDL 콜레스테롤</t>
        </is>
      </c>
      <c r="C7" s="9" t="inlineStr">
        <is>
          <t>mg/dL</t>
        </is>
      </c>
      <c r="D7" s="9" t="inlineStr">
        <is>
          <t>NUMERIC</t>
        </is>
      </c>
      <c r="E7" s="9" t="b">
        <v>0</v>
      </c>
      <c r="F7" s="9" t="b">
        <v>0</v>
      </c>
      <c r="G7" s="9" t="inlineStr">
        <is>
          <t>NHIS-2026-01</t>
        </is>
      </c>
      <c r="H7" s="9" t="inlineStr">
        <is>
          <t>높을수록 정상A인 역방향 항목</t>
        </is>
      </c>
    </row>
    <row r="8">
      <c r="A8" s="9" t="inlineStr">
        <is>
          <t>TG</t>
        </is>
      </c>
      <c r="B8" s="9" t="inlineStr">
        <is>
          <t>중성지방</t>
        </is>
      </c>
      <c r="C8" s="9" t="inlineStr">
        <is>
          <t>mg/dL</t>
        </is>
      </c>
      <c r="D8" s="9" t="inlineStr">
        <is>
          <t>NUMERIC</t>
        </is>
      </c>
      <c r="E8" s="9" t="b">
        <v>0</v>
      </c>
      <c r="F8" s="9" t="b">
        <v>0</v>
      </c>
      <c r="G8" s="9" t="inlineStr">
        <is>
          <t>NHIS-2026-01</t>
        </is>
      </c>
      <c r="H8" s="9" t="n"/>
    </row>
    <row r="9">
      <c r="A9" s="9" t="inlineStr">
        <is>
          <t>LDL</t>
        </is>
      </c>
      <c r="B9" s="9" t="inlineStr">
        <is>
          <t>LDL 콜레스테롤</t>
        </is>
      </c>
      <c r="C9" s="9" t="inlineStr">
        <is>
          <t>mg/dL</t>
        </is>
      </c>
      <c r="D9" s="9" t="inlineStr">
        <is>
          <t>NUMERIC</t>
        </is>
      </c>
      <c r="E9" s="9" t="b">
        <v>0</v>
      </c>
      <c r="F9" s="9" t="b">
        <v>0</v>
      </c>
      <c r="G9" s="9" t="inlineStr">
        <is>
          <t>NHIS-2026-01</t>
        </is>
      </c>
      <c r="H9" s="9" t="inlineStr">
        <is>
          <t>당뇨 동반 시 목표는 개별 의사 판단</t>
        </is>
      </c>
    </row>
    <row r="10">
      <c r="A10" s="9" t="inlineStr">
        <is>
          <t>AST</t>
        </is>
      </c>
      <c r="B10" s="9" t="inlineStr">
        <is>
          <t>AST(SGOT)</t>
        </is>
      </c>
      <c r="C10" s="9" t="inlineStr">
        <is>
          <t>U/L</t>
        </is>
      </c>
      <c r="D10" s="9" t="inlineStr">
        <is>
          <t>NUMERIC</t>
        </is>
      </c>
      <c r="E10" s="9" t="b">
        <v>0</v>
      </c>
      <c r="F10" s="9" t="b">
        <v>0</v>
      </c>
      <c r="G10" s="9" t="inlineStr">
        <is>
          <t>NHIS-2026-01</t>
        </is>
      </c>
      <c r="H10" s="9" t="inlineStr">
        <is>
          <t>검사기관 참고범위가 있으면 막대 눈금에 우선</t>
        </is>
      </c>
    </row>
    <row r="11">
      <c r="A11" s="9" t="inlineStr">
        <is>
          <t>ALT</t>
        </is>
      </c>
      <c r="B11" s="9" t="inlineStr">
        <is>
          <t>ALT(SGPT)</t>
        </is>
      </c>
      <c r="C11" s="9" t="inlineStr">
        <is>
          <t>U/L</t>
        </is>
      </c>
      <c r="D11" s="9" t="inlineStr">
        <is>
          <t>NUMERIC</t>
        </is>
      </c>
      <c r="E11" s="9" t="b">
        <v>0</v>
      </c>
      <c r="F11" s="9" t="b">
        <v>0</v>
      </c>
      <c r="G11" s="9" t="inlineStr">
        <is>
          <t>NHIS-2026-01</t>
        </is>
      </c>
      <c r="H11" s="9" t="inlineStr">
        <is>
          <t>공단 정상A 상한 35</t>
        </is>
      </c>
    </row>
    <row r="12">
      <c r="A12" s="9" t="inlineStr">
        <is>
          <t>GGT</t>
        </is>
      </c>
      <c r="B12" s="9" t="inlineStr">
        <is>
          <t>γ-GTP</t>
        </is>
      </c>
      <c r="C12" s="9" t="inlineStr">
        <is>
          <t>U/L</t>
        </is>
      </c>
      <c r="D12" s="9" t="inlineStr">
        <is>
          <t>NUMERIC</t>
        </is>
      </c>
      <c r="E12" s="9" t="b">
        <v>1</v>
      </c>
      <c r="F12" s="9" t="b">
        <v>0</v>
      </c>
      <c r="G12" s="9" t="inlineStr">
        <is>
          <t>NHIS-2026-01</t>
        </is>
      </c>
      <c r="H12" s="9" t="inlineStr">
        <is>
          <t>성별별 범위. 하한 미만은 공단 표에 판정 없음</t>
        </is>
      </c>
    </row>
    <row r="13">
      <c r="A13" s="9" t="inlineStr">
        <is>
          <t>URINE_PROTEIN</t>
        </is>
      </c>
      <c r="B13" s="9" t="inlineStr">
        <is>
          <t>요단백</t>
        </is>
      </c>
      <c r="C13" s="9" t="n"/>
      <c r="D13" s="9" t="inlineStr">
        <is>
          <t>CATEGORY</t>
        </is>
      </c>
      <c r="E13" s="9" t="b">
        <v>0</v>
      </c>
      <c r="F13" s="9" t="b">
        <v>0</v>
      </c>
      <c r="G13" s="9" t="inlineStr">
        <is>
          <t>NHIS-2026-01</t>
        </is>
      </c>
      <c r="H13" s="9" t="inlineStr">
        <is>
          <t>음성·약양성·양성 1+ 이상</t>
        </is>
      </c>
    </row>
    <row r="14">
      <c r="A14" s="9" t="inlineStr">
        <is>
          <t>CREATININE</t>
        </is>
      </c>
      <c r="B14" s="9" t="inlineStr">
        <is>
          <t>혈청크레아티닌</t>
        </is>
      </c>
      <c r="C14" s="9" t="inlineStr">
        <is>
          <t>mg/dL</t>
        </is>
      </c>
      <c r="D14" s="9" t="inlineStr">
        <is>
          <t>NUMERIC</t>
        </is>
      </c>
      <c r="E14" s="9" t="b">
        <v>0</v>
      </c>
      <c r="F14" s="9" t="b">
        <v>0</v>
      </c>
      <c r="G14" s="9" t="inlineStr">
        <is>
          <t>NHIS-2026-01</t>
        </is>
      </c>
      <c r="H14" s="9" t="inlineStr">
        <is>
          <t>공단 2구간</t>
        </is>
      </c>
    </row>
    <row r="15">
      <c r="A15" s="9" t="inlineStr">
        <is>
          <t>EGFR</t>
        </is>
      </c>
      <c r="B15" s="9" t="inlineStr">
        <is>
          <t>eGFR</t>
        </is>
      </c>
      <c r="C15" s="9" t="inlineStr">
        <is>
          <t>mL/min/1.73㎡</t>
        </is>
      </c>
      <c r="D15" s="9" t="inlineStr">
        <is>
          <t>NUMERIC</t>
        </is>
      </c>
      <c r="E15" s="9" t="b">
        <v>0</v>
      </c>
      <c r="F15" s="9" t="b">
        <v>0</v>
      </c>
      <c r="G15" s="9" t="inlineStr">
        <is>
          <t>NHIS-2026-01</t>
        </is>
      </c>
      <c r="H15" s="9" t="inlineStr">
        <is>
          <t>공단 배지 2구간. 60~89 참고 막대는 별도</t>
        </is>
      </c>
    </row>
    <row r="16">
      <c r="A16" s="9" t="inlineStr">
        <is>
          <t>HGB</t>
        </is>
      </c>
      <c r="B16" s="9" t="inlineStr">
        <is>
          <t>혈색소</t>
        </is>
      </c>
      <c r="C16" s="9" t="inlineStr">
        <is>
          <t>g/dL</t>
        </is>
      </c>
      <c r="D16" s="9" t="inlineStr">
        <is>
          <t>NUMERIC</t>
        </is>
      </c>
      <c r="E16" s="9" t="b">
        <v>1</v>
      </c>
      <c r="F16" s="9" t="b">
        <v>0</v>
      </c>
      <c r="G16" s="9" t="inlineStr">
        <is>
          <t>NHIS-2026-01</t>
        </is>
      </c>
      <c r="H16" s="9" t="inlineStr">
        <is>
          <t>성별별 범위. 상한 초과는 공단 표에 판정 없음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FF8EA6B8"/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.58203125" customWidth="1" min="1" max="1"/>
    <col width="17.58203125" customWidth="1" min="2" max="2"/>
    <col width="12.58203125" customWidth="1" min="3" max="3"/>
    <col width="10.58203125" customWidth="1" min="4" max="4"/>
    <col width="14.58203125" customWidth="1" min="5" max="5"/>
    <col width="45.58203125" customWidth="1" min="6" max="6"/>
  </cols>
  <sheetData>
    <row r="1" ht="28" customHeight="1">
      <c r="A1" s="8" t="inlineStr">
        <is>
          <t>metric_id</t>
        </is>
      </c>
      <c r="B1" s="8" t="inlineStr">
        <is>
          <t>component_key</t>
        </is>
      </c>
      <c r="C1" s="8" t="inlineStr">
        <is>
          <t>value_kind</t>
        </is>
      </c>
      <c r="D1" s="8" t="inlineStr">
        <is>
          <t>required</t>
        </is>
      </c>
      <c r="E1" s="8" t="inlineStr">
        <is>
          <t>expected_unit</t>
        </is>
      </c>
      <c r="F1" s="8" t="inlineStr">
        <is>
          <t>normalization_note</t>
        </is>
      </c>
    </row>
    <row r="2">
      <c r="A2" s="9" t="inlineStr">
        <is>
          <t>BP</t>
        </is>
      </c>
      <c r="B2" s="9" t="inlineStr">
        <is>
          <t>SBP</t>
        </is>
      </c>
      <c r="C2" s="9" t="inlineStr">
        <is>
          <t>NUMBER</t>
        </is>
      </c>
      <c r="D2" s="9" t="b">
        <v>1</v>
      </c>
      <c r="E2" s="9" t="inlineStr">
        <is>
          <t>mmHg</t>
        </is>
      </c>
      <c r="F2" s="9" t="inlineStr">
        <is>
          <t>원본 수치와 단위 보존</t>
        </is>
      </c>
    </row>
    <row r="3">
      <c r="A3" s="9" t="inlineStr">
        <is>
          <t>BP</t>
        </is>
      </c>
      <c r="B3" s="9" t="inlineStr">
        <is>
          <t>DBP</t>
        </is>
      </c>
      <c r="C3" s="9" t="inlineStr">
        <is>
          <t>NUMBER</t>
        </is>
      </c>
      <c r="D3" s="9" t="b">
        <v>1</v>
      </c>
      <c r="E3" s="9" t="inlineStr">
        <is>
          <t>mmHg</t>
        </is>
      </c>
      <c r="F3" s="9" t="inlineStr">
        <is>
          <t>원본 수치와 단위 보존</t>
        </is>
      </c>
    </row>
    <row r="4">
      <c r="A4" s="9" t="inlineStr">
        <is>
          <t>BMI</t>
        </is>
      </c>
      <c r="B4" s="9" t="inlineStr">
        <is>
          <t>VALUE</t>
        </is>
      </c>
      <c r="C4" s="9" t="inlineStr">
        <is>
          <t>NUMBER</t>
        </is>
      </c>
      <c r="D4" s="9" t="b">
        <v>1</v>
      </c>
      <c r="E4" s="9" t="inlineStr">
        <is>
          <t>kg/m²</t>
        </is>
      </c>
      <c r="F4" s="9" t="inlineStr">
        <is>
          <t>원본 수치와 단위 보존</t>
        </is>
      </c>
    </row>
    <row r="5">
      <c r="A5" s="9" t="inlineStr">
        <is>
          <t>WAIST</t>
        </is>
      </c>
      <c r="B5" s="9" t="inlineStr">
        <is>
          <t>VALUE</t>
        </is>
      </c>
      <c r="C5" s="9" t="inlineStr">
        <is>
          <t>NUMBER</t>
        </is>
      </c>
      <c r="D5" s="9" t="b">
        <v>1</v>
      </c>
      <c r="E5" s="9" t="inlineStr">
        <is>
          <t>cm</t>
        </is>
      </c>
      <c r="F5" s="9" t="inlineStr">
        <is>
          <t>원본 수치와 단위 보존</t>
        </is>
      </c>
    </row>
    <row r="6">
      <c r="A6" s="9" t="inlineStr">
        <is>
          <t>FPG</t>
        </is>
      </c>
      <c r="B6" s="9" t="inlineStr">
        <is>
          <t>VALUE</t>
        </is>
      </c>
      <c r="C6" s="9" t="inlineStr">
        <is>
          <t>NUMBER</t>
        </is>
      </c>
      <c r="D6" s="9" t="b">
        <v>1</v>
      </c>
      <c r="E6" s="9" t="inlineStr">
        <is>
          <t>mg/dL</t>
        </is>
      </c>
      <c r="F6" s="9" t="inlineStr">
        <is>
          <t>원본 수치와 단위 보존</t>
        </is>
      </c>
    </row>
    <row r="7">
      <c r="A7" s="9" t="inlineStr">
        <is>
          <t>TC</t>
        </is>
      </c>
      <c r="B7" s="9" t="inlineStr">
        <is>
          <t>VALUE</t>
        </is>
      </c>
      <c r="C7" s="9" t="inlineStr">
        <is>
          <t>NUMBER</t>
        </is>
      </c>
      <c r="D7" s="9" t="b">
        <v>1</v>
      </c>
      <c r="E7" s="9" t="inlineStr">
        <is>
          <t>mg/dL</t>
        </is>
      </c>
      <c r="F7" s="9" t="inlineStr">
        <is>
          <t>원본 수치와 단위 보존</t>
        </is>
      </c>
    </row>
    <row r="8">
      <c r="A8" s="9" t="inlineStr">
        <is>
          <t>HDL</t>
        </is>
      </c>
      <c r="B8" s="9" t="inlineStr">
        <is>
          <t>VALUE</t>
        </is>
      </c>
      <c r="C8" s="9" t="inlineStr">
        <is>
          <t>NUMBER</t>
        </is>
      </c>
      <c r="D8" s="9" t="b">
        <v>1</v>
      </c>
      <c r="E8" s="9" t="inlineStr">
        <is>
          <t>mg/dL</t>
        </is>
      </c>
      <c r="F8" s="9" t="inlineStr">
        <is>
          <t>원본 수치와 단위 보존</t>
        </is>
      </c>
    </row>
    <row r="9">
      <c r="A9" s="9" t="inlineStr">
        <is>
          <t>TG</t>
        </is>
      </c>
      <c r="B9" s="9" t="inlineStr">
        <is>
          <t>VALUE</t>
        </is>
      </c>
      <c r="C9" s="9" t="inlineStr">
        <is>
          <t>NUMBER</t>
        </is>
      </c>
      <c r="D9" s="9" t="b">
        <v>1</v>
      </c>
      <c r="E9" s="9" t="inlineStr">
        <is>
          <t>mg/dL</t>
        </is>
      </c>
      <c r="F9" s="9" t="inlineStr">
        <is>
          <t>원본 수치와 단위 보존</t>
        </is>
      </c>
    </row>
    <row r="10">
      <c r="A10" s="9" t="inlineStr">
        <is>
          <t>LDL</t>
        </is>
      </c>
      <c r="B10" s="9" t="inlineStr">
        <is>
          <t>VALUE</t>
        </is>
      </c>
      <c r="C10" s="9" t="inlineStr">
        <is>
          <t>NUMBER</t>
        </is>
      </c>
      <c r="D10" s="9" t="b">
        <v>1</v>
      </c>
      <c r="E10" s="9" t="inlineStr">
        <is>
          <t>mg/dL</t>
        </is>
      </c>
      <c r="F10" s="9" t="inlineStr">
        <is>
          <t>원본 수치와 단위 보존</t>
        </is>
      </c>
    </row>
    <row r="11">
      <c r="A11" s="9" t="inlineStr">
        <is>
          <t>AST</t>
        </is>
      </c>
      <c r="B11" s="9" t="inlineStr">
        <is>
          <t>VALUE</t>
        </is>
      </c>
      <c r="C11" s="9" t="inlineStr">
        <is>
          <t>NUMBER</t>
        </is>
      </c>
      <c r="D11" s="9" t="b">
        <v>1</v>
      </c>
      <c r="E11" s="9" t="inlineStr">
        <is>
          <t>U/L</t>
        </is>
      </c>
      <c r="F11" s="9" t="inlineStr">
        <is>
          <t>원본 수치와 단위 보존</t>
        </is>
      </c>
    </row>
    <row r="12">
      <c r="A12" s="9" t="inlineStr">
        <is>
          <t>ALT</t>
        </is>
      </c>
      <c r="B12" s="9" t="inlineStr">
        <is>
          <t>VALUE</t>
        </is>
      </c>
      <c r="C12" s="9" t="inlineStr">
        <is>
          <t>NUMBER</t>
        </is>
      </c>
      <c r="D12" s="9" t="b">
        <v>1</v>
      </c>
      <c r="E12" s="9" t="inlineStr">
        <is>
          <t>U/L</t>
        </is>
      </c>
      <c r="F12" s="9" t="inlineStr">
        <is>
          <t>원본 수치와 단위 보존</t>
        </is>
      </c>
    </row>
    <row r="13">
      <c r="A13" s="9" t="inlineStr">
        <is>
          <t>GGT</t>
        </is>
      </c>
      <c r="B13" s="9" t="inlineStr">
        <is>
          <t>VALUE</t>
        </is>
      </c>
      <c r="C13" s="9" t="inlineStr">
        <is>
          <t>NUMBER</t>
        </is>
      </c>
      <c r="D13" s="9" t="b">
        <v>1</v>
      </c>
      <c r="E13" s="9" t="inlineStr">
        <is>
          <t>U/L</t>
        </is>
      </c>
      <c r="F13" s="9" t="inlineStr">
        <is>
          <t>원본 수치와 단위 보존</t>
        </is>
      </c>
    </row>
    <row r="14">
      <c r="A14" s="9" t="inlineStr">
        <is>
          <t>URINE_PROTEIN</t>
        </is>
      </c>
      <c r="B14" s="9" t="inlineStr">
        <is>
          <t>PROTEIN_GRADE</t>
        </is>
      </c>
      <c r="C14" s="9" t="inlineStr">
        <is>
          <t>CATEGORY</t>
        </is>
      </c>
      <c r="D14" s="9" t="b">
        <v>1</v>
      </c>
      <c r="E14" s="9" t="n"/>
      <c r="F14" s="9" t="inlineStr">
        <is>
          <t>원본 범주 코드를 검진범주코드의 ordinal_value로 변환</t>
        </is>
      </c>
    </row>
    <row r="15">
      <c r="A15" s="9" t="inlineStr">
        <is>
          <t>CREATININE</t>
        </is>
      </c>
      <c r="B15" s="9" t="inlineStr">
        <is>
          <t>VALUE</t>
        </is>
      </c>
      <c r="C15" s="9" t="inlineStr">
        <is>
          <t>NUMBER</t>
        </is>
      </c>
      <c r="D15" s="9" t="b">
        <v>1</v>
      </c>
      <c r="E15" s="9" t="inlineStr">
        <is>
          <t>mg/dL</t>
        </is>
      </c>
      <c r="F15" s="9" t="inlineStr">
        <is>
          <t>원본 수치와 단위 보존</t>
        </is>
      </c>
    </row>
    <row r="16">
      <c r="A16" s="9" t="inlineStr">
        <is>
          <t>EGFR</t>
        </is>
      </c>
      <c r="B16" s="9" t="inlineStr">
        <is>
          <t>VALUE</t>
        </is>
      </c>
      <c r="C16" s="9" t="inlineStr">
        <is>
          <t>NUMBER</t>
        </is>
      </c>
      <c r="D16" s="9" t="b">
        <v>1</v>
      </c>
      <c r="E16" s="9" t="inlineStr">
        <is>
          <t>mL/min/1.73㎡</t>
        </is>
      </c>
      <c r="F16" s="9" t="inlineStr">
        <is>
          <t>원본 수치와 단위 보존</t>
        </is>
      </c>
    </row>
    <row r="17">
      <c r="A17" s="9" t="inlineStr">
        <is>
          <t>HGB</t>
        </is>
      </c>
      <c r="B17" s="9" t="inlineStr">
        <is>
          <t>VALUE</t>
        </is>
      </c>
      <c r="C17" s="9" t="inlineStr">
        <is>
          <t>NUMBER</t>
        </is>
      </c>
      <c r="D17" s="9" t="b">
        <v>1</v>
      </c>
      <c r="E17" s="9" t="inlineStr">
        <is>
          <t>g/dL</t>
        </is>
      </c>
      <c r="F17" s="9" t="inlineStr">
        <is>
          <t>원본 수치와 단위 보존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8EA6B8"/>
    <outlinePr summaryBelow="1" summaryRight="1"/>
    <pageSetUpPr/>
  </sheetPr>
  <dimension ref="A1:I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8.58203125" customWidth="1" min="1" max="1"/>
    <col width="16.58203125" customWidth="1" min="2" max="2"/>
    <col width="10.58203125" customWidth="1" min="3" max="5"/>
    <col width="12.58203125" customWidth="1" min="6" max="6"/>
    <col width="13.58203125" customWidth="1" min="7" max="8"/>
    <col width="14.58203125" customWidth="1" min="9" max="9"/>
  </cols>
  <sheetData>
    <row r="1" ht="28" customHeight="1">
      <c r="A1" s="8" t="inlineStr">
        <is>
          <t>rule_group_id</t>
        </is>
      </c>
      <c r="B1" s="8" t="inlineStr">
        <is>
          <t>metric_id</t>
        </is>
      </c>
      <c r="C1" s="8" t="inlineStr">
        <is>
          <t>sex_code</t>
        </is>
      </c>
      <c r="D1" s="8" t="inlineStr">
        <is>
          <t>band_code</t>
        </is>
      </c>
      <c r="E1" s="8" t="inlineStr">
        <is>
          <t>precedence</t>
        </is>
      </c>
      <c r="F1" s="8" t="inlineStr">
        <is>
          <t>group_logic</t>
        </is>
      </c>
      <c r="G1" s="8" t="inlineStr">
        <is>
          <t>source_id</t>
        </is>
      </c>
      <c r="H1" s="8" t="inlineStr">
        <is>
          <t>rule_version</t>
        </is>
      </c>
      <c r="I1" s="8" t="inlineStr">
        <is>
          <t>effective_from</t>
        </is>
      </c>
    </row>
    <row r="2">
      <c r="A2" s="9" t="inlineStr">
        <is>
          <t>BP-SUS-SYS</t>
        </is>
      </c>
      <c r="B2" s="9" t="inlineStr">
        <is>
          <t>BP</t>
        </is>
      </c>
      <c r="C2" s="9" t="inlineStr">
        <is>
          <t>ALL</t>
        </is>
      </c>
      <c r="D2" s="9" t="inlineStr">
        <is>
          <t>SUSPECT</t>
        </is>
      </c>
      <c r="E2" s="9" t="n">
        <v>1</v>
      </c>
      <c r="F2" s="9" t="inlineStr">
        <is>
          <t>AND</t>
        </is>
      </c>
      <c r="G2" s="9" t="inlineStr">
        <is>
          <t>NHIS-2026-01</t>
        </is>
      </c>
      <c r="H2" s="9" t="inlineStr">
        <is>
          <t>NHIS-2026-01</t>
        </is>
      </c>
      <c r="I2" s="33" t="n">
        <v>46029</v>
      </c>
    </row>
    <row r="3">
      <c r="A3" s="9" t="inlineStr">
        <is>
          <t>BP-SUS-DIA</t>
        </is>
      </c>
      <c r="B3" s="9" t="inlineStr">
        <is>
          <t>BP</t>
        </is>
      </c>
      <c r="C3" s="9" t="inlineStr">
        <is>
          <t>ALL</t>
        </is>
      </c>
      <c r="D3" s="9" t="inlineStr">
        <is>
          <t>SUSPECT</t>
        </is>
      </c>
      <c r="E3" s="9" t="n">
        <v>1</v>
      </c>
      <c r="F3" s="9" t="inlineStr">
        <is>
          <t>AND</t>
        </is>
      </c>
      <c r="G3" s="9" t="inlineStr">
        <is>
          <t>NHIS-2026-01</t>
        </is>
      </c>
      <c r="H3" s="9" t="inlineStr">
        <is>
          <t>NHIS-2026-01</t>
        </is>
      </c>
      <c r="I3" s="33" t="n">
        <v>46029</v>
      </c>
    </row>
    <row r="4">
      <c r="A4" s="9" t="inlineStr">
        <is>
          <t>BP-B-SYS</t>
        </is>
      </c>
      <c r="B4" s="9" t="inlineStr">
        <is>
          <t>BP</t>
        </is>
      </c>
      <c r="C4" s="9" t="inlineStr">
        <is>
          <t>ALL</t>
        </is>
      </c>
      <c r="D4" s="9" t="inlineStr">
        <is>
          <t>NORMAL_B</t>
        </is>
      </c>
      <c r="E4" s="9" t="n">
        <v>2</v>
      </c>
      <c r="F4" s="9" t="inlineStr">
        <is>
          <t>AND</t>
        </is>
      </c>
      <c r="G4" s="9" t="inlineStr">
        <is>
          <t>NHIS-2026-01</t>
        </is>
      </c>
      <c r="H4" s="9" t="inlineStr">
        <is>
          <t>NHIS-2026-01</t>
        </is>
      </c>
      <c r="I4" s="33" t="n">
        <v>46029</v>
      </c>
    </row>
    <row r="5">
      <c r="A5" s="9" t="inlineStr">
        <is>
          <t>BP-B-DIA</t>
        </is>
      </c>
      <c r="B5" s="9" t="inlineStr">
        <is>
          <t>BP</t>
        </is>
      </c>
      <c r="C5" s="9" t="inlineStr">
        <is>
          <t>ALL</t>
        </is>
      </c>
      <c r="D5" s="9" t="inlineStr">
        <is>
          <t>NORMAL_B</t>
        </is>
      </c>
      <c r="E5" s="9" t="n">
        <v>2</v>
      </c>
      <c r="F5" s="9" t="inlineStr">
        <is>
          <t>AND</t>
        </is>
      </c>
      <c r="G5" s="9" t="inlineStr">
        <is>
          <t>NHIS-2026-01</t>
        </is>
      </c>
      <c r="H5" s="9" t="inlineStr">
        <is>
          <t>NHIS-2026-01</t>
        </is>
      </c>
      <c r="I5" s="33" t="n">
        <v>46029</v>
      </c>
    </row>
    <row r="6">
      <c r="A6" s="9" t="inlineStr">
        <is>
          <t>BP-A</t>
        </is>
      </c>
      <c r="B6" s="9" t="inlineStr">
        <is>
          <t>BP</t>
        </is>
      </c>
      <c r="C6" s="9" t="inlineStr">
        <is>
          <t>ALL</t>
        </is>
      </c>
      <c r="D6" s="9" t="inlineStr">
        <is>
          <t>NORMAL_A</t>
        </is>
      </c>
      <c r="E6" s="9" t="n">
        <v>3</v>
      </c>
      <c r="F6" s="9" t="inlineStr">
        <is>
          <t>AND</t>
        </is>
      </c>
      <c r="G6" s="9" t="inlineStr">
        <is>
          <t>NHIS-2026-01</t>
        </is>
      </c>
      <c r="H6" s="9" t="inlineStr">
        <is>
          <t>NHIS-2026-01</t>
        </is>
      </c>
      <c r="I6" s="33" t="n">
        <v>46029</v>
      </c>
    </row>
    <row r="7">
      <c r="A7" s="9" t="inlineStr">
        <is>
          <t>BMI-SUS-LOW</t>
        </is>
      </c>
      <c r="B7" s="9" t="inlineStr">
        <is>
          <t>BMI</t>
        </is>
      </c>
      <c r="C7" s="9" t="inlineStr">
        <is>
          <t>ALL</t>
        </is>
      </c>
      <c r="D7" s="9" t="inlineStr">
        <is>
          <t>SUSPECT</t>
        </is>
      </c>
      <c r="E7" s="9" t="n">
        <v>1</v>
      </c>
      <c r="F7" s="9" t="inlineStr">
        <is>
          <t>AND</t>
        </is>
      </c>
      <c r="G7" s="9" t="inlineStr">
        <is>
          <t>NHIS-2026-01</t>
        </is>
      </c>
      <c r="H7" s="9" t="inlineStr">
        <is>
          <t>NHIS-2026-01</t>
        </is>
      </c>
      <c r="I7" s="33" t="n">
        <v>46029</v>
      </c>
    </row>
    <row r="8">
      <c r="A8" s="9" t="inlineStr">
        <is>
          <t>BMI-SUS-HIGH</t>
        </is>
      </c>
      <c r="B8" s="9" t="inlineStr">
        <is>
          <t>BMI</t>
        </is>
      </c>
      <c r="C8" s="9" t="inlineStr">
        <is>
          <t>ALL</t>
        </is>
      </c>
      <c r="D8" s="9" t="inlineStr">
        <is>
          <t>SUSPECT</t>
        </is>
      </c>
      <c r="E8" s="9" t="n">
        <v>1</v>
      </c>
      <c r="F8" s="9" t="inlineStr">
        <is>
          <t>AND</t>
        </is>
      </c>
      <c r="G8" s="9" t="inlineStr">
        <is>
          <t>NHIS-2026-01</t>
        </is>
      </c>
      <c r="H8" s="9" t="inlineStr">
        <is>
          <t>NHIS-2026-01</t>
        </is>
      </c>
      <c r="I8" s="33" t="n">
        <v>46029</v>
      </c>
    </row>
    <row r="9">
      <c r="A9" s="9" t="inlineStr">
        <is>
          <t>BMI-B</t>
        </is>
      </c>
      <c r="B9" s="9" t="inlineStr">
        <is>
          <t>BMI</t>
        </is>
      </c>
      <c r="C9" s="9" t="inlineStr">
        <is>
          <t>ALL</t>
        </is>
      </c>
      <c r="D9" s="9" t="inlineStr">
        <is>
          <t>NORMAL_B</t>
        </is>
      </c>
      <c r="E9" s="9" t="n">
        <v>2</v>
      </c>
      <c r="F9" s="9" t="inlineStr">
        <is>
          <t>AND</t>
        </is>
      </c>
      <c r="G9" s="9" t="inlineStr">
        <is>
          <t>NHIS-2026-01</t>
        </is>
      </c>
      <c r="H9" s="9" t="inlineStr">
        <is>
          <t>NHIS-2026-01</t>
        </is>
      </c>
      <c r="I9" s="33" t="n">
        <v>46029</v>
      </c>
    </row>
    <row r="10">
      <c r="A10" s="9" t="inlineStr">
        <is>
          <t>BMI-A</t>
        </is>
      </c>
      <c r="B10" s="9" t="inlineStr">
        <is>
          <t>BMI</t>
        </is>
      </c>
      <c r="C10" s="9" t="inlineStr">
        <is>
          <t>ALL</t>
        </is>
      </c>
      <c r="D10" s="9" t="inlineStr">
        <is>
          <t>NORMAL_A</t>
        </is>
      </c>
      <c r="E10" s="9" t="n">
        <v>3</v>
      </c>
      <c r="F10" s="9" t="inlineStr">
        <is>
          <t>AND</t>
        </is>
      </c>
      <c r="G10" s="9" t="inlineStr">
        <is>
          <t>NHIS-2026-01</t>
        </is>
      </c>
      <c r="H10" s="9" t="inlineStr">
        <is>
          <t>NHIS-2026-01</t>
        </is>
      </c>
      <c r="I10" s="33" t="n">
        <v>46029</v>
      </c>
    </row>
    <row r="11">
      <c r="A11" s="9" t="inlineStr">
        <is>
          <t>WAIST-MALE-B</t>
        </is>
      </c>
      <c r="B11" s="9" t="inlineStr">
        <is>
          <t>WAIST</t>
        </is>
      </c>
      <c r="C11" s="9" t="inlineStr">
        <is>
          <t>MALE</t>
        </is>
      </c>
      <c r="D11" s="9" t="inlineStr">
        <is>
          <t>NORMAL_B</t>
        </is>
      </c>
      <c r="E11" s="9" t="n">
        <v>2</v>
      </c>
      <c r="F11" s="9" t="inlineStr">
        <is>
          <t>AND</t>
        </is>
      </c>
      <c r="G11" s="9" t="inlineStr">
        <is>
          <t>NHIS-2026-01</t>
        </is>
      </c>
      <c r="H11" s="9" t="inlineStr">
        <is>
          <t>NHIS-2026-01</t>
        </is>
      </c>
      <c r="I11" s="33" t="n">
        <v>46029</v>
      </c>
    </row>
    <row r="12">
      <c r="A12" s="9" t="inlineStr">
        <is>
          <t>WAIST-MALE-A</t>
        </is>
      </c>
      <c r="B12" s="9" t="inlineStr">
        <is>
          <t>WAIST</t>
        </is>
      </c>
      <c r="C12" s="9" t="inlineStr">
        <is>
          <t>MALE</t>
        </is>
      </c>
      <c r="D12" s="9" t="inlineStr">
        <is>
          <t>NORMAL_A</t>
        </is>
      </c>
      <c r="E12" s="9" t="n">
        <v>3</v>
      </c>
      <c r="F12" s="9" t="inlineStr">
        <is>
          <t>AND</t>
        </is>
      </c>
      <c r="G12" s="9" t="inlineStr">
        <is>
          <t>NHIS-2026-01</t>
        </is>
      </c>
      <c r="H12" s="9" t="inlineStr">
        <is>
          <t>NHIS-2026-01</t>
        </is>
      </c>
      <c r="I12" s="33" t="n">
        <v>46029</v>
      </c>
    </row>
    <row r="13">
      <c r="A13" s="9" t="inlineStr">
        <is>
          <t>WAIST-FEMALE-B</t>
        </is>
      </c>
      <c r="B13" s="9" t="inlineStr">
        <is>
          <t>WAIST</t>
        </is>
      </c>
      <c r="C13" s="9" t="inlineStr">
        <is>
          <t>FEMALE</t>
        </is>
      </c>
      <c r="D13" s="9" t="inlineStr">
        <is>
          <t>NORMAL_B</t>
        </is>
      </c>
      <c r="E13" s="9" t="n">
        <v>2</v>
      </c>
      <c r="F13" s="9" t="inlineStr">
        <is>
          <t>AND</t>
        </is>
      </c>
      <c r="G13" s="9" t="inlineStr">
        <is>
          <t>NHIS-2026-01</t>
        </is>
      </c>
      <c r="H13" s="9" t="inlineStr">
        <is>
          <t>NHIS-2026-01</t>
        </is>
      </c>
      <c r="I13" s="33" t="n">
        <v>46029</v>
      </c>
    </row>
    <row r="14">
      <c r="A14" s="9" t="inlineStr">
        <is>
          <t>WAIST-FEMALE-A</t>
        </is>
      </c>
      <c r="B14" s="9" t="inlineStr">
        <is>
          <t>WAIST</t>
        </is>
      </c>
      <c r="C14" s="9" t="inlineStr">
        <is>
          <t>FEMALE</t>
        </is>
      </c>
      <c r="D14" s="9" t="inlineStr">
        <is>
          <t>NORMAL_A</t>
        </is>
      </c>
      <c r="E14" s="9" t="n">
        <v>3</v>
      </c>
      <c r="F14" s="9" t="inlineStr">
        <is>
          <t>AND</t>
        </is>
      </c>
      <c r="G14" s="9" t="inlineStr">
        <is>
          <t>NHIS-2026-01</t>
        </is>
      </c>
      <c r="H14" s="9" t="inlineStr">
        <is>
          <t>NHIS-2026-01</t>
        </is>
      </c>
      <c r="I14" s="33" t="n">
        <v>46029</v>
      </c>
    </row>
    <row r="15">
      <c r="A15" s="9" t="inlineStr">
        <is>
          <t>FPG-SUS</t>
        </is>
      </c>
      <c r="B15" s="9" t="inlineStr">
        <is>
          <t>FPG</t>
        </is>
      </c>
      <c r="C15" s="9" t="inlineStr">
        <is>
          <t>ALL</t>
        </is>
      </c>
      <c r="D15" s="9" t="inlineStr">
        <is>
          <t>SUSPECT</t>
        </is>
      </c>
      <c r="E15" s="9" t="n">
        <v>1</v>
      </c>
      <c r="F15" s="9" t="inlineStr">
        <is>
          <t>AND</t>
        </is>
      </c>
      <c r="G15" s="9" t="inlineStr">
        <is>
          <t>NHIS-2026-01</t>
        </is>
      </c>
      <c r="H15" s="9" t="inlineStr">
        <is>
          <t>NHIS-2026-01</t>
        </is>
      </c>
      <c r="I15" s="33" t="n">
        <v>46029</v>
      </c>
    </row>
    <row r="16">
      <c r="A16" s="9" t="inlineStr">
        <is>
          <t>FPG-B</t>
        </is>
      </c>
      <c r="B16" s="9" t="inlineStr">
        <is>
          <t>FPG</t>
        </is>
      </c>
      <c r="C16" s="9" t="inlineStr">
        <is>
          <t>ALL</t>
        </is>
      </c>
      <c r="D16" s="9" t="inlineStr">
        <is>
          <t>NORMAL_B</t>
        </is>
      </c>
      <c r="E16" s="9" t="n">
        <v>2</v>
      </c>
      <c r="F16" s="9" t="inlineStr">
        <is>
          <t>AND</t>
        </is>
      </c>
      <c r="G16" s="9" t="inlineStr">
        <is>
          <t>NHIS-2026-01</t>
        </is>
      </c>
      <c r="H16" s="9" t="inlineStr">
        <is>
          <t>NHIS-2026-01</t>
        </is>
      </c>
      <c r="I16" s="33" t="n">
        <v>46029</v>
      </c>
    </row>
    <row r="17">
      <c r="A17" s="9" t="inlineStr">
        <is>
          <t>FPG-A</t>
        </is>
      </c>
      <c r="B17" s="9" t="inlineStr">
        <is>
          <t>FPG</t>
        </is>
      </c>
      <c r="C17" s="9" t="inlineStr">
        <is>
          <t>ALL</t>
        </is>
      </c>
      <c r="D17" s="9" t="inlineStr">
        <is>
          <t>NORMAL_A</t>
        </is>
      </c>
      <c r="E17" s="9" t="n">
        <v>3</v>
      </c>
      <c r="F17" s="9" t="inlineStr">
        <is>
          <t>AND</t>
        </is>
      </c>
      <c r="G17" s="9" t="inlineStr">
        <is>
          <t>NHIS-2026-01</t>
        </is>
      </c>
      <c r="H17" s="9" t="inlineStr">
        <is>
          <t>NHIS-2026-01</t>
        </is>
      </c>
      <c r="I17" s="33" t="n">
        <v>46029</v>
      </c>
    </row>
    <row r="18">
      <c r="A18" s="9" t="inlineStr">
        <is>
          <t>TC-SUS</t>
        </is>
      </c>
      <c r="B18" s="9" t="inlineStr">
        <is>
          <t>TC</t>
        </is>
      </c>
      <c r="C18" s="9" t="inlineStr">
        <is>
          <t>ALL</t>
        </is>
      </c>
      <c r="D18" s="9" t="inlineStr">
        <is>
          <t>SUSPECT</t>
        </is>
      </c>
      <c r="E18" s="9" t="n">
        <v>1</v>
      </c>
      <c r="F18" s="9" t="inlineStr">
        <is>
          <t>AND</t>
        </is>
      </c>
      <c r="G18" s="9" t="inlineStr">
        <is>
          <t>NHIS-2026-01</t>
        </is>
      </c>
      <c r="H18" s="9" t="inlineStr">
        <is>
          <t>NHIS-2026-01</t>
        </is>
      </c>
      <c r="I18" s="33" t="n">
        <v>46029</v>
      </c>
    </row>
    <row r="19">
      <c r="A19" s="9" t="inlineStr">
        <is>
          <t>TC-B</t>
        </is>
      </c>
      <c r="B19" s="9" t="inlineStr">
        <is>
          <t>TC</t>
        </is>
      </c>
      <c r="C19" s="9" t="inlineStr">
        <is>
          <t>ALL</t>
        </is>
      </c>
      <c r="D19" s="9" t="inlineStr">
        <is>
          <t>NORMAL_B</t>
        </is>
      </c>
      <c r="E19" s="9" t="n">
        <v>2</v>
      </c>
      <c r="F19" s="9" t="inlineStr">
        <is>
          <t>AND</t>
        </is>
      </c>
      <c r="G19" s="9" t="inlineStr">
        <is>
          <t>NHIS-2026-01</t>
        </is>
      </c>
      <c r="H19" s="9" t="inlineStr">
        <is>
          <t>NHIS-2026-01</t>
        </is>
      </c>
      <c r="I19" s="33" t="n">
        <v>46029</v>
      </c>
    </row>
    <row r="20">
      <c r="A20" s="9" t="inlineStr">
        <is>
          <t>TC-A</t>
        </is>
      </c>
      <c r="B20" s="9" t="inlineStr">
        <is>
          <t>TC</t>
        </is>
      </c>
      <c r="C20" s="9" t="inlineStr">
        <is>
          <t>ALL</t>
        </is>
      </c>
      <c r="D20" s="9" t="inlineStr">
        <is>
          <t>NORMAL_A</t>
        </is>
      </c>
      <c r="E20" s="9" t="n">
        <v>3</v>
      </c>
      <c r="F20" s="9" t="inlineStr">
        <is>
          <t>AND</t>
        </is>
      </c>
      <c r="G20" s="9" t="inlineStr">
        <is>
          <t>NHIS-2026-01</t>
        </is>
      </c>
      <c r="H20" s="9" t="inlineStr">
        <is>
          <t>NHIS-2026-01</t>
        </is>
      </c>
      <c r="I20" s="33" t="n">
        <v>46029</v>
      </c>
    </row>
    <row r="21">
      <c r="A21" s="9" t="inlineStr">
        <is>
          <t>TG-SUS</t>
        </is>
      </c>
      <c r="B21" s="9" t="inlineStr">
        <is>
          <t>TG</t>
        </is>
      </c>
      <c r="C21" s="9" t="inlineStr">
        <is>
          <t>ALL</t>
        </is>
      </c>
      <c r="D21" s="9" t="inlineStr">
        <is>
          <t>SUSPECT</t>
        </is>
      </c>
      <c r="E21" s="9" t="n">
        <v>1</v>
      </c>
      <c r="F21" s="9" t="inlineStr">
        <is>
          <t>AND</t>
        </is>
      </c>
      <c r="G21" s="9" t="inlineStr">
        <is>
          <t>NHIS-2026-01</t>
        </is>
      </c>
      <c r="H21" s="9" t="inlineStr">
        <is>
          <t>NHIS-2026-01</t>
        </is>
      </c>
      <c r="I21" s="33" t="n">
        <v>46029</v>
      </c>
    </row>
    <row r="22">
      <c r="A22" s="9" t="inlineStr">
        <is>
          <t>TG-B</t>
        </is>
      </c>
      <c r="B22" s="9" t="inlineStr">
        <is>
          <t>TG</t>
        </is>
      </c>
      <c r="C22" s="9" t="inlineStr">
        <is>
          <t>ALL</t>
        </is>
      </c>
      <c r="D22" s="9" t="inlineStr">
        <is>
          <t>NORMAL_B</t>
        </is>
      </c>
      <c r="E22" s="9" t="n">
        <v>2</v>
      </c>
      <c r="F22" s="9" t="inlineStr">
        <is>
          <t>AND</t>
        </is>
      </c>
      <c r="G22" s="9" t="inlineStr">
        <is>
          <t>NHIS-2026-01</t>
        </is>
      </c>
      <c r="H22" s="9" t="inlineStr">
        <is>
          <t>NHIS-2026-01</t>
        </is>
      </c>
      <c r="I22" s="33" t="n">
        <v>46029</v>
      </c>
    </row>
    <row r="23">
      <c r="A23" s="9" t="inlineStr">
        <is>
          <t>TG-A</t>
        </is>
      </c>
      <c r="B23" s="9" t="inlineStr">
        <is>
          <t>TG</t>
        </is>
      </c>
      <c r="C23" s="9" t="inlineStr">
        <is>
          <t>ALL</t>
        </is>
      </c>
      <c r="D23" s="9" t="inlineStr">
        <is>
          <t>NORMAL_A</t>
        </is>
      </c>
      <c r="E23" s="9" t="n">
        <v>3</v>
      </c>
      <c r="F23" s="9" t="inlineStr">
        <is>
          <t>AND</t>
        </is>
      </c>
      <c r="G23" s="9" t="inlineStr">
        <is>
          <t>NHIS-2026-01</t>
        </is>
      </c>
      <c r="H23" s="9" t="inlineStr">
        <is>
          <t>NHIS-2026-01</t>
        </is>
      </c>
      <c r="I23" s="33" t="n">
        <v>46029</v>
      </c>
    </row>
    <row r="24">
      <c r="A24" s="9" t="inlineStr">
        <is>
          <t>LDL-SUS</t>
        </is>
      </c>
      <c r="B24" s="9" t="inlineStr">
        <is>
          <t>LDL</t>
        </is>
      </c>
      <c r="C24" s="9" t="inlineStr">
        <is>
          <t>ALL</t>
        </is>
      </c>
      <c r="D24" s="9" t="inlineStr">
        <is>
          <t>SUSPECT</t>
        </is>
      </c>
      <c r="E24" s="9" t="n">
        <v>1</v>
      </c>
      <c r="F24" s="9" t="inlineStr">
        <is>
          <t>AND</t>
        </is>
      </c>
      <c r="G24" s="9" t="inlineStr">
        <is>
          <t>NHIS-2026-01</t>
        </is>
      </c>
      <c r="H24" s="9" t="inlineStr">
        <is>
          <t>NHIS-2026-01</t>
        </is>
      </c>
      <c r="I24" s="33" t="n">
        <v>46029</v>
      </c>
    </row>
    <row r="25">
      <c r="A25" s="9" t="inlineStr">
        <is>
          <t>LDL-B</t>
        </is>
      </c>
      <c r="B25" s="9" t="inlineStr">
        <is>
          <t>LDL</t>
        </is>
      </c>
      <c r="C25" s="9" t="inlineStr">
        <is>
          <t>ALL</t>
        </is>
      </c>
      <c r="D25" s="9" t="inlineStr">
        <is>
          <t>NORMAL_B</t>
        </is>
      </c>
      <c r="E25" s="9" t="n">
        <v>2</v>
      </c>
      <c r="F25" s="9" t="inlineStr">
        <is>
          <t>AND</t>
        </is>
      </c>
      <c r="G25" s="9" t="inlineStr">
        <is>
          <t>NHIS-2026-01</t>
        </is>
      </c>
      <c r="H25" s="9" t="inlineStr">
        <is>
          <t>NHIS-2026-01</t>
        </is>
      </c>
      <c r="I25" s="33" t="n">
        <v>46029</v>
      </c>
    </row>
    <row r="26">
      <c r="A26" s="9" t="inlineStr">
        <is>
          <t>LDL-A</t>
        </is>
      </c>
      <c r="B26" s="9" t="inlineStr">
        <is>
          <t>LDL</t>
        </is>
      </c>
      <c r="C26" s="9" t="inlineStr">
        <is>
          <t>ALL</t>
        </is>
      </c>
      <c r="D26" s="9" t="inlineStr">
        <is>
          <t>NORMAL_A</t>
        </is>
      </c>
      <c r="E26" s="9" t="n">
        <v>3</v>
      </c>
      <c r="F26" s="9" t="inlineStr">
        <is>
          <t>AND</t>
        </is>
      </c>
      <c r="G26" s="9" t="inlineStr">
        <is>
          <t>NHIS-2026-01</t>
        </is>
      </c>
      <c r="H26" s="9" t="inlineStr">
        <is>
          <t>NHIS-2026-01</t>
        </is>
      </c>
      <c r="I26" s="33" t="n">
        <v>46029</v>
      </c>
    </row>
    <row r="27">
      <c r="A27" s="9" t="inlineStr">
        <is>
          <t>HDL-SUS</t>
        </is>
      </c>
      <c r="B27" s="9" t="inlineStr">
        <is>
          <t>HDL</t>
        </is>
      </c>
      <c r="C27" s="9" t="inlineStr">
        <is>
          <t>ALL</t>
        </is>
      </c>
      <c r="D27" s="9" t="inlineStr">
        <is>
          <t>SUSPECT</t>
        </is>
      </c>
      <c r="E27" s="9" t="n">
        <v>1</v>
      </c>
      <c r="F27" s="9" t="inlineStr">
        <is>
          <t>AND</t>
        </is>
      </c>
      <c r="G27" s="9" t="inlineStr">
        <is>
          <t>NHIS-2026-01</t>
        </is>
      </c>
      <c r="H27" s="9" t="inlineStr">
        <is>
          <t>NHIS-2026-01</t>
        </is>
      </c>
      <c r="I27" s="33" t="n">
        <v>46029</v>
      </c>
    </row>
    <row r="28">
      <c r="A28" s="9" t="inlineStr">
        <is>
          <t>HDL-B</t>
        </is>
      </c>
      <c r="B28" s="9" t="inlineStr">
        <is>
          <t>HDL</t>
        </is>
      </c>
      <c r="C28" s="9" t="inlineStr">
        <is>
          <t>ALL</t>
        </is>
      </c>
      <c r="D28" s="9" t="inlineStr">
        <is>
          <t>NORMAL_B</t>
        </is>
      </c>
      <c r="E28" s="9" t="n">
        <v>2</v>
      </c>
      <c r="F28" s="9" t="inlineStr">
        <is>
          <t>AND</t>
        </is>
      </c>
      <c r="G28" s="9" t="inlineStr">
        <is>
          <t>NHIS-2026-01</t>
        </is>
      </c>
      <c r="H28" s="9" t="inlineStr">
        <is>
          <t>NHIS-2026-01</t>
        </is>
      </c>
      <c r="I28" s="33" t="n">
        <v>46029</v>
      </c>
    </row>
    <row r="29">
      <c r="A29" s="9" t="inlineStr">
        <is>
          <t>HDL-A</t>
        </is>
      </c>
      <c r="B29" s="9" t="inlineStr">
        <is>
          <t>HDL</t>
        </is>
      </c>
      <c r="C29" s="9" t="inlineStr">
        <is>
          <t>ALL</t>
        </is>
      </c>
      <c r="D29" s="9" t="inlineStr">
        <is>
          <t>NORMAL_A</t>
        </is>
      </c>
      <c r="E29" s="9" t="n">
        <v>3</v>
      </c>
      <c r="F29" s="9" t="inlineStr">
        <is>
          <t>AND</t>
        </is>
      </c>
      <c r="G29" s="9" t="inlineStr">
        <is>
          <t>NHIS-2026-01</t>
        </is>
      </c>
      <c r="H29" s="9" t="inlineStr">
        <is>
          <t>NHIS-2026-01</t>
        </is>
      </c>
      <c r="I29" s="33" t="n">
        <v>46029</v>
      </c>
    </row>
    <row r="30">
      <c r="A30" s="9" t="inlineStr">
        <is>
          <t>AST-SUS</t>
        </is>
      </c>
      <c r="B30" s="9" t="inlineStr">
        <is>
          <t>AST</t>
        </is>
      </c>
      <c r="C30" s="9" t="inlineStr">
        <is>
          <t>ALL</t>
        </is>
      </c>
      <c r="D30" s="9" t="inlineStr">
        <is>
          <t>SUSPECT</t>
        </is>
      </c>
      <c r="E30" s="9" t="n">
        <v>1</v>
      </c>
      <c r="F30" s="9" t="inlineStr">
        <is>
          <t>AND</t>
        </is>
      </c>
      <c r="G30" s="9" t="inlineStr">
        <is>
          <t>NHIS-2026-01</t>
        </is>
      </c>
      <c r="H30" s="9" t="inlineStr">
        <is>
          <t>NHIS-2026-01</t>
        </is>
      </c>
      <c r="I30" s="33" t="n">
        <v>46029</v>
      </c>
    </row>
    <row r="31">
      <c r="A31" s="9" t="inlineStr">
        <is>
          <t>AST-B</t>
        </is>
      </c>
      <c r="B31" s="9" t="inlineStr">
        <is>
          <t>AST</t>
        </is>
      </c>
      <c r="C31" s="9" t="inlineStr">
        <is>
          <t>ALL</t>
        </is>
      </c>
      <c r="D31" s="9" t="inlineStr">
        <is>
          <t>NORMAL_B</t>
        </is>
      </c>
      <c r="E31" s="9" t="n">
        <v>2</v>
      </c>
      <c r="F31" s="9" t="inlineStr">
        <is>
          <t>AND</t>
        </is>
      </c>
      <c r="G31" s="9" t="inlineStr">
        <is>
          <t>NHIS-2026-01</t>
        </is>
      </c>
      <c r="H31" s="9" t="inlineStr">
        <is>
          <t>NHIS-2026-01</t>
        </is>
      </c>
      <c r="I31" s="33" t="n">
        <v>46029</v>
      </c>
    </row>
    <row r="32">
      <c r="A32" s="9" t="inlineStr">
        <is>
          <t>AST-A</t>
        </is>
      </c>
      <c r="B32" s="9" t="inlineStr">
        <is>
          <t>AST</t>
        </is>
      </c>
      <c r="C32" s="9" t="inlineStr">
        <is>
          <t>ALL</t>
        </is>
      </c>
      <c r="D32" s="9" t="inlineStr">
        <is>
          <t>NORMAL_A</t>
        </is>
      </c>
      <c r="E32" s="9" t="n">
        <v>3</v>
      </c>
      <c r="F32" s="9" t="inlineStr">
        <is>
          <t>AND</t>
        </is>
      </c>
      <c r="G32" s="9" t="inlineStr">
        <is>
          <t>NHIS-2026-01</t>
        </is>
      </c>
      <c r="H32" s="9" t="inlineStr">
        <is>
          <t>NHIS-2026-01</t>
        </is>
      </c>
      <c r="I32" s="33" t="n">
        <v>46029</v>
      </c>
    </row>
    <row r="33">
      <c r="A33" s="9" t="inlineStr">
        <is>
          <t>ALT-SUS</t>
        </is>
      </c>
      <c r="B33" s="9" t="inlineStr">
        <is>
          <t>ALT</t>
        </is>
      </c>
      <c r="C33" s="9" t="inlineStr">
        <is>
          <t>ALL</t>
        </is>
      </c>
      <c r="D33" s="9" t="inlineStr">
        <is>
          <t>SUSPECT</t>
        </is>
      </c>
      <c r="E33" s="9" t="n">
        <v>1</v>
      </c>
      <c r="F33" s="9" t="inlineStr">
        <is>
          <t>AND</t>
        </is>
      </c>
      <c r="G33" s="9" t="inlineStr">
        <is>
          <t>NHIS-2026-01</t>
        </is>
      </c>
      <c r="H33" s="9" t="inlineStr">
        <is>
          <t>NHIS-2026-01</t>
        </is>
      </c>
      <c r="I33" s="33" t="n">
        <v>46029</v>
      </c>
    </row>
    <row r="34">
      <c r="A34" s="9" t="inlineStr">
        <is>
          <t>ALT-B</t>
        </is>
      </c>
      <c r="B34" s="9" t="inlineStr">
        <is>
          <t>ALT</t>
        </is>
      </c>
      <c r="C34" s="9" t="inlineStr">
        <is>
          <t>ALL</t>
        </is>
      </c>
      <c r="D34" s="9" t="inlineStr">
        <is>
          <t>NORMAL_B</t>
        </is>
      </c>
      <c r="E34" s="9" t="n">
        <v>2</v>
      </c>
      <c r="F34" s="9" t="inlineStr">
        <is>
          <t>AND</t>
        </is>
      </c>
      <c r="G34" s="9" t="inlineStr">
        <is>
          <t>NHIS-2026-01</t>
        </is>
      </c>
      <c r="H34" s="9" t="inlineStr">
        <is>
          <t>NHIS-2026-01</t>
        </is>
      </c>
      <c r="I34" s="33" t="n">
        <v>46029</v>
      </c>
    </row>
    <row r="35">
      <c r="A35" s="9" t="inlineStr">
        <is>
          <t>ALT-A</t>
        </is>
      </c>
      <c r="B35" s="9" t="inlineStr">
        <is>
          <t>ALT</t>
        </is>
      </c>
      <c r="C35" s="9" t="inlineStr">
        <is>
          <t>ALL</t>
        </is>
      </c>
      <c r="D35" s="9" t="inlineStr">
        <is>
          <t>NORMAL_A</t>
        </is>
      </c>
      <c r="E35" s="9" t="n">
        <v>3</v>
      </c>
      <c r="F35" s="9" t="inlineStr">
        <is>
          <t>AND</t>
        </is>
      </c>
      <c r="G35" s="9" t="inlineStr">
        <is>
          <t>NHIS-2026-01</t>
        </is>
      </c>
      <c r="H35" s="9" t="inlineStr">
        <is>
          <t>NHIS-2026-01</t>
        </is>
      </c>
      <c r="I35" s="33" t="n">
        <v>46029</v>
      </c>
    </row>
    <row r="36">
      <c r="A36" s="9" t="inlineStr">
        <is>
          <t>GGT-MALE-SUS</t>
        </is>
      </c>
      <c r="B36" s="9" t="inlineStr">
        <is>
          <t>GGT</t>
        </is>
      </c>
      <c r="C36" s="9" t="inlineStr">
        <is>
          <t>MALE</t>
        </is>
      </c>
      <c r="D36" s="9" t="inlineStr">
        <is>
          <t>SUSPECT</t>
        </is>
      </c>
      <c r="E36" s="9" t="n">
        <v>1</v>
      </c>
      <c r="F36" s="9" t="inlineStr">
        <is>
          <t>AND</t>
        </is>
      </c>
      <c r="G36" s="9" t="inlineStr">
        <is>
          <t>NHIS-2026-01</t>
        </is>
      </c>
      <c r="H36" s="9" t="inlineStr">
        <is>
          <t>NHIS-2026-01</t>
        </is>
      </c>
      <c r="I36" s="33" t="n">
        <v>46029</v>
      </c>
    </row>
    <row r="37">
      <c r="A37" s="9" t="inlineStr">
        <is>
          <t>GGT-MALE-B</t>
        </is>
      </c>
      <c r="B37" s="9" t="inlineStr">
        <is>
          <t>GGT</t>
        </is>
      </c>
      <c r="C37" s="9" t="inlineStr">
        <is>
          <t>MALE</t>
        </is>
      </c>
      <c r="D37" s="9" t="inlineStr">
        <is>
          <t>NORMAL_B</t>
        </is>
      </c>
      <c r="E37" s="9" t="n">
        <v>2</v>
      </c>
      <c r="F37" s="9" t="inlineStr">
        <is>
          <t>AND</t>
        </is>
      </c>
      <c r="G37" s="9" t="inlineStr">
        <is>
          <t>NHIS-2026-01</t>
        </is>
      </c>
      <c r="H37" s="9" t="inlineStr">
        <is>
          <t>NHIS-2026-01</t>
        </is>
      </c>
      <c r="I37" s="33" t="n">
        <v>46029</v>
      </c>
    </row>
    <row r="38">
      <c r="A38" s="9" t="inlineStr">
        <is>
          <t>GGT-MALE-A</t>
        </is>
      </c>
      <c r="B38" s="9" t="inlineStr">
        <is>
          <t>GGT</t>
        </is>
      </c>
      <c r="C38" s="9" t="inlineStr">
        <is>
          <t>MALE</t>
        </is>
      </c>
      <c r="D38" s="9" t="inlineStr">
        <is>
          <t>NORMAL_A</t>
        </is>
      </c>
      <c r="E38" s="9" t="n">
        <v>3</v>
      </c>
      <c r="F38" s="9" t="inlineStr">
        <is>
          <t>AND</t>
        </is>
      </c>
      <c r="G38" s="9" t="inlineStr">
        <is>
          <t>NHIS-2026-01</t>
        </is>
      </c>
      <c r="H38" s="9" t="inlineStr">
        <is>
          <t>NHIS-2026-01</t>
        </is>
      </c>
      <c r="I38" s="33" t="n">
        <v>46029</v>
      </c>
    </row>
    <row r="39">
      <c r="A39" s="9" t="inlineStr">
        <is>
          <t>GGT-FEMALE-SUS</t>
        </is>
      </c>
      <c r="B39" s="9" t="inlineStr">
        <is>
          <t>GGT</t>
        </is>
      </c>
      <c r="C39" s="9" t="inlineStr">
        <is>
          <t>FEMALE</t>
        </is>
      </c>
      <c r="D39" s="9" t="inlineStr">
        <is>
          <t>SUSPECT</t>
        </is>
      </c>
      <c r="E39" s="9" t="n">
        <v>1</v>
      </c>
      <c r="F39" s="9" t="inlineStr">
        <is>
          <t>AND</t>
        </is>
      </c>
      <c r="G39" s="9" t="inlineStr">
        <is>
          <t>NHIS-2026-01</t>
        </is>
      </c>
      <c r="H39" s="9" t="inlineStr">
        <is>
          <t>NHIS-2026-01</t>
        </is>
      </c>
      <c r="I39" s="33" t="n">
        <v>46029</v>
      </c>
    </row>
    <row r="40">
      <c r="A40" s="9" t="inlineStr">
        <is>
          <t>GGT-FEMALE-B</t>
        </is>
      </c>
      <c r="B40" s="9" t="inlineStr">
        <is>
          <t>GGT</t>
        </is>
      </c>
      <c r="C40" s="9" t="inlineStr">
        <is>
          <t>FEMALE</t>
        </is>
      </c>
      <c r="D40" s="9" t="inlineStr">
        <is>
          <t>NORMAL_B</t>
        </is>
      </c>
      <c r="E40" s="9" t="n">
        <v>2</v>
      </c>
      <c r="F40" s="9" t="inlineStr">
        <is>
          <t>AND</t>
        </is>
      </c>
      <c r="G40" s="9" t="inlineStr">
        <is>
          <t>NHIS-2026-01</t>
        </is>
      </c>
      <c r="H40" s="9" t="inlineStr">
        <is>
          <t>NHIS-2026-01</t>
        </is>
      </c>
      <c r="I40" s="33" t="n">
        <v>46029</v>
      </c>
    </row>
    <row r="41">
      <c r="A41" s="9" t="inlineStr">
        <is>
          <t>GGT-FEMALE-A</t>
        </is>
      </c>
      <c r="B41" s="9" t="inlineStr">
        <is>
          <t>GGT</t>
        </is>
      </c>
      <c r="C41" s="9" t="inlineStr">
        <is>
          <t>FEMALE</t>
        </is>
      </c>
      <c r="D41" s="9" t="inlineStr">
        <is>
          <t>NORMAL_A</t>
        </is>
      </c>
      <c r="E41" s="9" t="n">
        <v>3</v>
      </c>
      <c r="F41" s="9" t="inlineStr">
        <is>
          <t>AND</t>
        </is>
      </c>
      <c r="G41" s="9" t="inlineStr">
        <is>
          <t>NHIS-2026-01</t>
        </is>
      </c>
      <c r="H41" s="9" t="inlineStr">
        <is>
          <t>NHIS-2026-01</t>
        </is>
      </c>
      <c r="I41" s="33" t="n">
        <v>46029</v>
      </c>
    </row>
    <row r="42">
      <c r="A42" s="9" t="inlineStr">
        <is>
          <t>URINE-SUS</t>
        </is>
      </c>
      <c r="B42" s="9" t="inlineStr">
        <is>
          <t>URINE_PROTEIN</t>
        </is>
      </c>
      <c r="C42" s="9" t="inlineStr">
        <is>
          <t>ALL</t>
        </is>
      </c>
      <c r="D42" s="9" t="inlineStr">
        <is>
          <t>SUSPECT</t>
        </is>
      </c>
      <c r="E42" s="9" t="n">
        <v>1</v>
      </c>
      <c r="F42" s="9" t="inlineStr">
        <is>
          <t>AND</t>
        </is>
      </c>
      <c r="G42" s="9" t="inlineStr">
        <is>
          <t>NHIS-2026-01</t>
        </is>
      </c>
      <c r="H42" s="9" t="inlineStr">
        <is>
          <t>NHIS-2026-01</t>
        </is>
      </c>
      <c r="I42" s="33" t="n">
        <v>46029</v>
      </c>
    </row>
    <row r="43">
      <c r="A43" s="9" t="inlineStr">
        <is>
          <t>URINE-B</t>
        </is>
      </c>
      <c r="B43" s="9" t="inlineStr">
        <is>
          <t>URINE_PROTEIN</t>
        </is>
      </c>
      <c r="C43" s="9" t="inlineStr">
        <is>
          <t>ALL</t>
        </is>
      </c>
      <c r="D43" s="9" t="inlineStr">
        <is>
          <t>NORMAL_B</t>
        </is>
      </c>
      <c r="E43" s="9" t="n">
        <v>2</v>
      </c>
      <c r="F43" s="9" t="inlineStr">
        <is>
          <t>AND</t>
        </is>
      </c>
      <c r="G43" s="9" t="inlineStr">
        <is>
          <t>NHIS-2026-01</t>
        </is>
      </c>
      <c r="H43" s="9" t="inlineStr">
        <is>
          <t>NHIS-2026-01</t>
        </is>
      </c>
      <c r="I43" s="33" t="n">
        <v>46029</v>
      </c>
    </row>
    <row r="44">
      <c r="A44" s="9" t="inlineStr">
        <is>
          <t>URINE-A</t>
        </is>
      </c>
      <c r="B44" s="9" t="inlineStr">
        <is>
          <t>URINE_PROTEIN</t>
        </is>
      </c>
      <c r="C44" s="9" t="inlineStr">
        <is>
          <t>ALL</t>
        </is>
      </c>
      <c r="D44" s="9" t="inlineStr">
        <is>
          <t>NORMAL_A</t>
        </is>
      </c>
      <c r="E44" s="9" t="n">
        <v>3</v>
      </c>
      <c r="F44" s="9" t="inlineStr">
        <is>
          <t>AND</t>
        </is>
      </c>
      <c r="G44" s="9" t="inlineStr">
        <is>
          <t>NHIS-2026-01</t>
        </is>
      </c>
      <c r="H44" s="9" t="inlineStr">
        <is>
          <t>NHIS-2026-01</t>
        </is>
      </c>
      <c r="I44" s="33" t="n">
        <v>46029</v>
      </c>
    </row>
    <row r="45">
      <c r="A45" s="9" t="inlineStr">
        <is>
          <t>CREA-SUS</t>
        </is>
      </c>
      <c r="B45" s="9" t="inlineStr">
        <is>
          <t>CREATININE</t>
        </is>
      </c>
      <c r="C45" s="9" t="inlineStr">
        <is>
          <t>ALL</t>
        </is>
      </c>
      <c r="D45" s="9" t="inlineStr">
        <is>
          <t>SUSPECT</t>
        </is>
      </c>
      <c r="E45" s="9" t="n">
        <v>1</v>
      </c>
      <c r="F45" s="9" t="inlineStr">
        <is>
          <t>AND</t>
        </is>
      </c>
      <c r="G45" s="9" t="inlineStr">
        <is>
          <t>NHIS-2026-01</t>
        </is>
      </c>
      <c r="H45" s="9" t="inlineStr">
        <is>
          <t>NHIS-2026-01</t>
        </is>
      </c>
      <c r="I45" s="33" t="n">
        <v>46029</v>
      </c>
    </row>
    <row r="46">
      <c r="A46" s="9" t="inlineStr">
        <is>
          <t>CREA-A</t>
        </is>
      </c>
      <c r="B46" s="9" t="inlineStr">
        <is>
          <t>CREATININE</t>
        </is>
      </c>
      <c r="C46" s="9" t="inlineStr">
        <is>
          <t>ALL</t>
        </is>
      </c>
      <c r="D46" s="9" t="inlineStr">
        <is>
          <t>NORMAL_A</t>
        </is>
      </c>
      <c r="E46" s="9" t="n">
        <v>3</v>
      </c>
      <c r="F46" s="9" t="inlineStr">
        <is>
          <t>AND</t>
        </is>
      </c>
      <c r="G46" s="9" t="inlineStr">
        <is>
          <t>NHIS-2026-01</t>
        </is>
      </c>
      <c r="H46" s="9" t="inlineStr">
        <is>
          <t>NHIS-2026-01</t>
        </is>
      </c>
      <c r="I46" s="33" t="n">
        <v>46029</v>
      </c>
    </row>
    <row r="47">
      <c r="A47" s="9" t="inlineStr">
        <is>
          <t>EGFR-SUS</t>
        </is>
      </c>
      <c r="B47" s="9" t="inlineStr">
        <is>
          <t>EGFR</t>
        </is>
      </c>
      <c r="C47" s="9" t="inlineStr">
        <is>
          <t>ALL</t>
        </is>
      </c>
      <c r="D47" s="9" t="inlineStr">
        <is>
          <t>SUSPECT</t>
        </is>
      </c>
      <c r="E47" s="9" t="n">
        <v>1</v>
      </c>
      <c r="F47" s="9" t="inlineStr">
        <is>
          <t>AND</t>
        </is>
      </c>
      <c r="G47" s="9" t="inlineStr">
        <is>
          <t>NHIS-2026-01</t>
        </is>
      </c>
      <c r="H47" s="9" t="inlineStr">
        <is>
          <t>NHIS-2026-01</t>
        </is>
      </c>
      <c r="I47" s="33" t="n">
        <v>46029</v>
      </c>
    </row>
    <row r="48">
      <c r="A48" s="9" t="inlineStr">
        <is>
          <t>EGFR-A</t>
        </is>
      </c>
      <c r="B48" s="9" t="inlineStr">
        <is>
          <t>EGFR</t>
        </is>
      </c>
      <c r="C48" s="9" t="inlineStr">
        <is>
          <t>ALL</t>
        </is>
      </c>
      <c r="D48" s="9" t="inlineStr">
        <is>
          <t>NORMAL_A</t>
        </is>
      </c>
      <c r="E48" s="9" t="n">
        <v>3</v>
      </c>
      <c r="F48" s="9" t="inlineStr">
        <is>
          <t>AND</t>
        </is>
      </c>
      <c r="G48" s="9" t="inlineStr">
        <is>
          <t>NHIS-2026-01</t>
        </is>
      </c>
      <c r="H48" s="9" t="inlineStr">
        <is>
          <t>NHIS-2026-01</t>
        </is>
      </c>
      <c r="I48" s="33" t="n">
        <v>46029</v>
      </c>
    </row>
    <row r="49">
      <c r="A49" s="9" t="inlineStr">
        <is>
          <t>HGB-MALE-SUS</t>
        </is>
      </c>
      <c r="B49" s="9" t="inlineStr">
        <is>
          <t>HGB</t>
        </is>
      </c>
      <c r="C49" s="9" t="inlineStr">
        <is>
          <t>MALE</t>
        </is>
      </c>
      <c r="D49" s="9" t="inlineStr">
        <is>
          <t>SUSPECT</t>
        </is>
      </c>
      <c r="E49" s="9" t="n">
        <v>1</v>
      </c>
      <c r="F49" s="9" t="inlineStr">
        <is>
          <t>AND</t>
        </is>
      </c>
      <c r="G49" s="9" t="inlineStr">
        <is>
          <t>NHIS-2026-01</t>
        </is>
      </c>
      <c r="H49" s="9" t="inlineStr">
        <is>
          <t>NHIS-2026-01</t>
        </is>
      </c>
      <c r="I49" s="33" t="n">
        <v>46029</v>
      </c>
    </row>
    <row r="50">
      <c r="A50" s="9" t="inlineStr">
        <is>
          <t>HGB-MALE-B</t>
        </is>
      </c>
      <c r="B50" s="9" t="inlineStr">
        <is>
          <t>HGB</t>
        </is>
      </c>
      <c r="C50" s="9" t="inlineStr">
        <is>
          <t>MALE</t>
        </is>
      </c>
      <c r="D50" s="9" t="inlineStr">
        <is>
          <t>NORMAL_B</t>
        </is>
      </c>
      <c r="E50" s="9" t="n">
        <v>2</v>
      </c>
      <c r="F50" s="9" t="inlineStr">
        <is>
          <t>AND</t>
        </is>
      </c>
      <c r="G50" s="9" t="inlineStr">
        <is>
          <t>NHIS-2026-01</t>
        </is>
      </c>
      <c r="H50" s="9" t="inlineStr">
        <is>
          <t>NHIS-2026-01</t>
        </is>
      </c>
      <c r="I50" s="33" t="n">
        <v>46029</v>
      </c>
    </row>
    <row r="51">
      <c r="A51" s="9" t="inlineStr">
        <is>
          <t>HGB-MALE-A</t>
        </is>
      </c>
      <c r="B51" s="9" t="inlineStr">
        <is>
          <t>HGB</t>
        </is>
      </c>
      <c r="C51" s="9" t="inlineStr">
        <is>
          <t>MALE</t>
        </is>
      </c>
      <c r="D51" s="9" t="inlineStr">
        <is>
          <t>NORMAL_A</t>
        </is>
      </c>
      <c r="E51" s="9" t="n">
        <v>3</v>
      </c>
      <c r="F51" s="9" t="inlineStr">
        <is>
          <t>AND</t>
        </is>
      </c>
      <c r="G51" s="9" t="inlineStr">
        <is>
          <t>NHIS-2026-01</t>
        </is>
      </c>
      <c r="H51" s="9" t="inlineStr">
        <is>
          <t>NHIS-2026-01</t>
        </is>
      </c>
      <c r="I51" s="33" t="n">
        <v>46029</v>
      </c>
    </row>
    <row r="52">
      <c r="A52" s="9" t="inlineStr">
        <is>
          <t>HGB-FEMALE-SUS</t>
        </is>
      </c>
      <c r="B52" s="9" t="inlineStr">
        <is>
          <t>HGB</t>
        </is>
      </c>
      <c r="C52" s="9" t="inlineStr">
        <is>
          <t>FEMALE</t>
        </is>
      </c>
      <c r="D52" s="9" t="inlineStr">
        <is>
          <t>SUSPECT</t>
        </is>
      </c>
      <c r="E52" s="9" t="n">
        <v>1</v>
      </c>
      <c r="F52" s="9" t="inlineStr">
        <is>
          <t>AND</t>
        </is>
      </c>
      <c r="G52" s="9" t="inlineStr">
        <is>
          <t>NHIS-2026-01</t>
        </is>
      </c>
      <c r="H52" s="9" t="inlineStr">
        <is>
          <t>NHIS-2026-01</t>
        </is>
      </c>
      <c r="I52" s="33" t="n">
        <v>46029</v>
      </c>
    </row>
    <row r="53">
      <c r="A53" s="9" t="inlineStr">
        <is>
          <t>HGB-FEMALE-B</t>
        </is>
      </c>
      <c r="B53" s="9" t="inlineStr">
        <is>
          <t>HGB</t>
        </is>
      </c>
      <c r="C53" s="9" t="inlineStr">
        <is>
          <t>FEMALE</t>
        </is>
      </c>
      <c r="D53" s="9" t="inlineStr">
        <is>
          <t>NORMAL_B</t>
        </is>
      </c>
      <c r="E53" s="9" t="n">
        <v>2</v>
      </c>
      <c r="F53" s="9" t="inlineStr">
        <is>
          <t>AND</t>
        </is>
      </c>
      <c r="G53" s="9" t="inlineStr">
        <is>
          <t>NHIS-2026-01</t>
        </is>
      </c>
      <c r="H53" s="9" t="inlineStr">
        <is>
          <t>NHIS-2026-01</t>
        </is>
      </c>
      <c r="I53" s="33" t="n">
        <v>46029</v>
      </c>
    </row>
    <row r="54">
      <c r="A54" s="9" t="inlineStr">
        <is>
          <t>HGB-FEMALE-A</t>
        </is>
      </c>
      <c r="B54" s="9" t="inlineStr">
        <is>
          <t>HGB</t>
        </is>
      </c>
      <c r="C54" s="9" t="inlineStr">
        <is>
          <t>FEMALE</t>
        </is>
      </c>
      <c r="D54" s="9" t="inlineStr">
        <is>
          <t>NORMAL_A</t>
        </is>
      </c>
      <c r="E54" s="9" t="n">
        <v>3</v>
      </c>
      <c r="F54" s="9" t="inlineStr">
        <is>
          <t>AND</t>
        </is>
      </c>
      <c r="G54" s="9" t="inlineStr">
        <is>
          <t>NHIS-2026-01</t>
        </is>
      </c>
      <c r="H54" s="9" t="inlineStr">
        <is>
          <t>NHIS-2026-01</t>
        </is>
      </c>
      <c r="I54" s="33" t="n">
        <v>46029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FF8EA6B8"/>
    <outlinePr summaryBelow="1" summaryRight="1"/>
    <pageSetUpPr/>
  </sheetPr>
  <dimension ref="A1:G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8.58203125" customWidth="1" min="1" max="1"/>
    <col width="15.58203125" customWidth="1" min="2" max="2"/>
    <col width="16.58203125" customWidth="1" min="3" max="3"/>
    <col width="17.58203125" customWidth="1" min="4" max="4"/>
    <col width="14.58203125" customWidth="1" min="5" max="5"/>
    <col width="17.58203125" customWidth="1" min="6" max="6"/>
    <col width="10.58203125" customWidth="1" min="7" max="7"/>
  </cols>
  <sheetData>
    <row r="1" ht="28" customHeight="1">
      <c r="A1" s="8" t="inlineStr">
        <is>
          <t>rule_group_id</t>
        </is>
      </c>
      <c r="B1" s="8" t="inlineStr">
        <is>
          <t>condition_order</t>
        </is>
      </c>
      <c r="C1" s="8" t="inlineStr">
        <is>
          <t>metric_id</t>
        </is>
      </c>
      <c r="D1" s="8" t="inlineStr">
        <is>
          <t>component_key</t>
        </is>
      </c>
      <c r="E1" s="8" t="inlineStr">
        <is>
          <t>operator_code</t>
        </is>
      </c>
      <c r="F1" s="8" t="inlineStr">
        <is>
          <t>threshold_number</t>
        </is>
      </c>
      <c r="G1" s="8" t="inlineStr">
        <is>
          <t>note</t>
        </is>
      </c>
    </row>
    <row r="2">
      <c r="A2" s="9" t="inlineStr">
        <is>
          <t>BP-SUS-SYS</t>
        </is>
      </c>
      <c r="B2" s="9" t="n">
        <v>1</v>
      </c>
      <c r="C2" s="9" t="inlineStr">
        <is>
          <t>BP</t>
        </is>
      </c>
      <c r="D2" s="9" t="inlineStr">
        <is>
          <t>SBP</t>
        </is>
      </c>
      <c r="E2" s="9" t="inlineStr">
        <is>
          <t>GTE</t>
        </is>
      </c>
      <c r="F2" s="9" t="n">
        <v>140</v>
      </c>
      <c r="G2" s="9" t="n"/>
    </row>
    <row r="3">
      <c r="A3" s="9" t="inlineStr">
        <is>
          <t>BP-SUS-DIA</t>
        </is>
      </c>
      <c r="B3" s="9" t="n">
        <v>1</v>
      </c>
      <c r="C3" s="9" t="inlineStr">
        <is>
          <t>BP</t>
        </is>
      </c>
      <c r="D3" s="9" t="inlineStr">
        <is>
          <t>DBP</t>
        </is>
      </c>
      <c r="E3" s="9" t="inlineStr">
        <is>
          <t>GTE</t>
        </is>
      </c>
      <c r="F3" s="9" t="n">
        <v>90</v>
      </c>
      <c r="G3" s="9" t="n"/>
    </row>
    <row r="4">
      <c r="A4" s="9" t="inlineStr">
        <is>
          <t>BP-B-SYS</t>
        </is>
      </c>
      <c r="B4" s="9" t="n">
        <v>1</v>
      </c>
      <c r="C4" s="9" t="inlineStr">
        <is>
          <t>BP</t>
        </is>
      </c>
      <c r="D4" s="9" t="inlineStr">
        <is>
          <t>SBP</t>
        </is>
      </c>
      <c r="E4" s="9" t="inlineStr">
        <is>
          <t>GTE</t>
        </is>
      </c>
      <c r="F4" s="9" t="n">
        <v>120</v>
      </c>
      <c r="G4" s="9" t="n"/>
    </row>
    <row r="5">
      <c r="A5" s="9" t="inlineStr">
        <is>
          <t>BP-B-SYS</t>
        </is>
      </c>
      <c r="B5" s="9" t="n">
        <v>2</v>
      </c>
      <c r="C5" s="9" t="inlineStr">
        <is>
          <t>BP</t>
        </is>
      </c>
      <c r="D5" s="9" t="inlineStr">
        <is>
          <t>SBP</t>
        </is>
      </c>
      <c r="E5" s="9" t="inlineStr">
        <is>
          <t>LT</t>
        </is>
      </c>
      <c r="F5" s="9" t="n">
        <v>140</v>
      </c>
      <c r="G5" s="9" t="n"/>
    </row>
    <row r="6">
      <c r="A6" s="9" t="inlineStr">
        <is>
          <t>BP-B-DIA</t>
        </is>
      </c>
      <c r="B6" s="9" t="n">
        <v>1</v>
      </c>
      <c r="C6" s="9" t="inlineStr">
        <is>
          <t>BP</t>
        </is>
      </c>
      <c r="D6" s="9" t="inlineStr">
        <is>
          <t>DBP</t>
        </is>
      </c>
      <c r="E6" s="9" t="inlineStr">
        <is>
          <t>GTE</t>
        </is>
      </c>
      <c r="F6" s="9" t="n">
        <v>80</v>
      </c>
      <c r="G6" s="9" t="n"/>
    </row>
    <row r="7">
      <c r="A7" s="9" t="inlineStr">
        <is>
          <t>BP-B-DIA</t>
        </is>
      </c>
      <c r="B7" s="9" t="n">
        <v>2</v>
      </c>
      <c r="C7" s="9" t="inlineStr">
        <is>
          <t>BP</t>
        </is>
      </c>
      <c r="D7" s="9" t="inlineStr">
        <is>
          <t>DBP</t>
        </is>
      </c>
      <c r="E7" s="9" t="inlineStr">
        <is>
          <t>LT</t>
        </is>
      </c>
      <c r="F7" s="9" t="n">
        <v>90</v>
      </c>
      <c r="G7" s="9" t="n"/>
    </row>
    <row r="8">
      <c r="A8" s="9" t="inlineStr">
        <is>
          <t>BP-A</t>
        </is>
      </c>
      <c r="B8" s="9" t="n">
        <v>1</v>
      </c>
      <c r="C8" s="9" t="inlineStr">
        <is>
          <t>BP</t>
        </is>
      </c>
      <c r="D8" s="9" t="inlineStr">
        <is>
          <t>SBP</t>
        </is>
      </c>
      <c r="E8" s="9" t="inlineStr">
        <is>
          <t>LT</t>
        </is>
      </c>
      <c r="F8" s="9" t="n">
        <v>120</v>
      </c>
      <c r="G8" s="9" t="n"/>
    </row>
    <row r="9">
      <c r="A9" s="9" t="inlineStr">
        <is>
          <t>BP-A</t>
        </is>
      </c>
      <c r="B9" s="9" t="n">
        <v>2</v>
      </c>
      <c r="C9" s="9" t="inlineStr">
        <is>
          <t>BP</t>
        </is>
      </c>
      <c r="D9" s="9" t="inlineStr">
        <is>
          <t>DBP</t>
        </is>
      </c>
      <c r="E9" s="9" t="inlineStr">
        <is>
          <t>LT</t>
        </is>
      </c>
      <c r="F9" s="9" t="n">
        <v>80</v>
      </c>
      <c r="G9" s="9" t="n"/>
    </row>
    <row r="10">
      <c r="A10" s="9" t="inlineStr">
        <is>
          <t>BMI-SUS-LOW</t>
        </is>
      </c>
      <c r="B10" s="9" t="n">
        <v>1</v>
      </c>
      <c r="C10" s="9" t="inlineStr">
        <is>
          <t>BMI</t>
        </is>
      </c>
      <c r="D10" s="9" t="inlineStr">
        <is>
          <t>VALUE</t>
        </is>
      </c>
      <c r="E10" s="9" t="inlineStr">
        <is>
          <t>LT</t>
        </is>
      </c>
      <c r="F10" s="9" t="n">
        <v>18.5</v>
      </c>
      <c r="G10" s="9" t="n"/>
    </row>
    <row r="11">
      <c r="A11" s="9" t="inlineStr">
        <is>
          <t>BMI-SUS-HIGH</t>
        </is>
      </c>
      <c r="B11" s="9" t="n">
        <v>1</v>
      </c>
      <c r="C11" s="9" t="inlineStr">
        <is>
          <t>BMI</t>
        </is>
      </c>
      <c r="D11" s="9" t="inlineStr">
        <is>
          <t>VALUE</t>
        </is>
      </c>
      <c r="E11" s="9" t="inlineStr">
        <is>
          <t>GTE</t>
        </is>
      </c>
      <c r="F11" s="9" t="n">
        <v>30</v>
      </c>
      <c r="G11" s="9" t="n"/>
    </row>
    <row r="12">
      <c r="A12" s="9" t="inlineStr">
        <is>
          <t>BMI-B</t>
        </is>
      </c>
      <c r="B12" s="9" t="n">
        <v>1</v>
      </c>
      <c r="C12" s="9" t="inlineStr">
        <is>
          <t>BMI</t>
        </is>
      </c>
      <c r="D12" s="9" t="inlineStr">
        <is>
          <t>VALUE</t>
        </is>
      </c>
      <c r="E12" s="9" t="inlineStr">
        <is>
          <t>GTE</t>
        </is>
      </c>
      <c r="F12" s="9" t="n">
        <v>25</v>
      </c>
      <c r="G12" s="9" t="n"/>
    </row>
    <row r="13">
      <c r="A13" s="9" t="inlineStr">
        <is>
          <t>BMI-B</t>
        </is>
      </c>
      <c r="B13" s="9" t="n">
        <v>2</v>
      </c>
      <c r="C13" s="9" t="inlineStr">
        <is>
          <t>BMI</t>
        </is>
      </c>
      <c r="D13" s="9" t="inlineStr">
        <is>
          <t>VALUE</t>
        </is>
      </c>
      <c r="E13" s="9" t="inlineStr">
        <is>
          <t>LT</t>
        </is>
      </c>
      <c r="F13" s="9" t="n">
        <v>30</v>
      </c>
      <c r="G13" s="9" t="n"/>
    </row>
    <row r="14">
      <c r="A14" s="9" t="inlineStr">
        <is>
          <t>BMI-A</t>
        </is>
      </c>
      <c r="B14" s="9" t="n">
        <v>1</v>
      </c>
      <c r="C14" s="9" t="inlineStr">
        <is>
          <t>BMI</t>
        </is>
      </c>
      <c r="D14" s="9" t="inlineStr">
        <is>
          <t>VALUE</t>
        </is>
      </c>
      <c r="E14" s="9" t="inlineStr">
        <is>
          <t>GTE</t>
        </is>
      </c>
      <c r="F14" s="9" t="n">
        <v>18.5</v>
      </c>
      <c r="G14" s="9" t="n"/>
    </row>
    <row r="15">
      <c r="A15" s="9" t="inlineStr">
        <is>
          <t>BMI-A</t>
        </is>
      </c>
      <c r="B15" s="9" t="n">
        <v>2</v>
      </c>
      <c r="C15" s="9" t="inlineStr">
        <is>
          <t>BMI</t>
        </is>
      </c>
      <c r="D15" s="9" t="inlineStr">
        <is>
          <t>VALUE</t>
        </is>
      </c>
      <c r="E15" s="9" t="inlineStr">
        <is>
          <t>LT</t>
        </is>
      </c>
      <c r="F15" s="9" t="n">
        <v>25</v>
      </c>
      <c r="G15" s="9" t="n"/>
    </row>
    <row r="16">
      <c r="A16" s="9" t="inlineStr">
        <is>
          <t>WAIST-MALE-B</t>
        </is>
      </c>
      <c r="B16" s="9" t="n">
        <v>1</v>
      </c>
      <c r="C16" s="9" t="inlineStr">
        <is>
          <t>WAIST</t>
        </is>
      </c>
      <c r="D16" s="9" t="inlineStr">
        <is>
          <t>VALUE</t>
        </is>
      </c>
      <c r="E16" s="9" t="inlineStr">
        <is>
          <t>GTE</t>
        </is>
      </c>
      <c r="F16" s="9" t="n">
        <v>90</v>
      </c>
      <c r="G16" s="9" t="n"/>
    </row>
    <row r="17">
      <c r="A17" s="9" t="inlineStr">
        <is>
          <t>WAIST-MALE-A</t>
        </is>
      </c>
      <c r="B17" s="9" t="n">
        <v>1</v>
      </c>
      <c r="C17" s="9" t="inlineStr">
        <is>
          <t>WAIST</t>
        </is>
      </c>
      <c r="D17" s="9" t="inlineStr">
        <is>
          <t>VALUE</t>
        </is>
      </c>
      <c r="E17" s="9" t="inlineStr">
        <is>
          <t>LT</t>
        </is>
      </c>
      <c r="F17" s="9" t="n">
        <v>90</v>
      </c>
      <c r="G17" s="9" t="n"/>
    </row>
    <row r="18">
      <c r="A18" s="9" t="inlineStr">
        <is>
          <t>WAIST-FEMALE-B</t>
        </is>
      </c>
      <c r="B18" s="9" t="n">
        <v>1</v>
      </c>
      <c r="C18" s="9" t="inlineStr">
        <is>
          <t>WAIST</t>
        </is>
      </c>
      <c r="D18" s="9" t="inlineStr">
        <is>
          <t>VALUE</t>
        </is>
      </c>
      <c r="E18" s="9" t="inlineStr">
        <is>
          <t>GTE</t>
        </is>
      </c>
      <c r="F18" s="9" t="n">
        <v>85</v>
      </c>
      <c r="G18" s="9" t="n"/>
    </row>
    <row r="19">
      <c r="A19" s="9" t="inlineStr">
        <is>
          <t>WAIST-FEMALE-A</t>
        </is>
      </c>
      <c r="B19" s="9" t="n">
        <v>1</v>
      </c>
      <c r="C19" s="9" t="inlineStr">
        <is>
          <t>WAIST</t>
        </is>
      </c>
      <c r="D19" s="9" t="inlineStr">
        <is>
          <t>VALUE</t>
        </is>
      </c>
      <c r="E19" s="9" t="inlineStr">
        <is>
          <t>LT</t>
        </is>
      </c>
      <c r="F19" s="9" t="n">
        <v>85</v>
      </c>
      <c r="G19" s="9" t="n"/>
    </row>
    <row r="20">
      <c r="A20" s="9" t="inlineStr">
        <is>
          <t>FPG-SUS</t>
        </is>
      </c>
      <c r="B20" s="9" t="n">
        <v>1</v>
      </c>
      <c r="C20" s="9" t="inlineStr">
        <is>
          <t>FPG</t>
        </is>
      </c>
      <c r="D20" s="9" t="inlineStr">
        <is>
          <t>VALUE</t>
        </is>
      </c>
      <c r="E20" s="9" t="inlineStr">
        <is>
          <t>GTE</t>
        </is>
      </c>
      <c r="F20" s="9" t="n">
        <v>126</v>
      </c>
      <c r="G20" s="9" t="n"/>
    </row>
    <row r="21">
      <c r="A21" s="9" t="inlineStr">
        <is>
          <t>FPG-B</t>
        </is>
      </c>
      <c r="B21" s="9" t="n">
        <v>1</v>
      </c>
      <c r="C21" s="9" t="inlineStr">
        <is>
          <t>FPG</t>
        </is>
      </c>
      <c r="D21" s="9" t="inlineStr">
        <is>
          <t>VALUE</t>
        </is>
      </c>
      <c r="E21" s="9" t="inlineStr">
        <is>
          <t>GTE</t>
        </is>
      </c>
      <c r="F21" s="9" t="n">
        <v>100</v>
      </c>
      <c r="G21" s="9" t="n"/>
    </row>
    <row r="22">
      <c r="A22" s="9" t="inlineStr">
        <is>
          <t>FPG-B</t>
        </is>
      </c>
      <c r="B22" s="9" t="n">
        <v>2</v>
      </c>
      <c r="C22" s="9" t="inlineStr">
        <is>
          <t>FPG</t>
        </is>
      </c>
      <c r="D22" s="9" t="inlineStr">
        <is>
          <t>VALUE</t>
        </is>
      </c>
      <c r="E22" s="9" t="inlineStr">
        <is>
          <t>LT</t>
        </is>
      </c>
      <c r="F22" s="9" t="n">
        <v>126</v>
      </c>
      <c r="G22" s="9" t="n"/>
    </row>
    <row r="23">
      <c r="A23" s="9" t="inlineStr">
        <is>
          <t>FPG-A</t>
        </is>
      </c>
      <c r="B23" s="9" t="n">
        <v>1</v>
      </c>
      <c r="C23" s="9" t="inlineStr">
        <is>
          <t>FPG</t>
        </is>
      </c>
      <c r="D23" s="9" t="inlineStr">
        <is>
          <t>VALUE</t>
        </is>
      </c>
      <c r="E23" s="9" t="inlineStr">
        <is>
          <t>LT</t>
        </is>
      </c>
      <c r="F23" s="9" t="n">
        <v>100</v>
      </c>
      <c r="G23" s="9" t="n"/>
    </row>
    <row r="24">
      <c r="A24" s="9" t="inlineStr">
        <is>
          <t>TC-SUS</t>
        </is>
      </c>
      <c r="B24" s="9" t="n">
        <v>1</v>
      </c>
      <c r="C24" s="9" t="inlineStr">
        <is>
          <t>TC</t>
        </is>
      </c>
      <c r="D24" s="9" t="inlineStr">
        <is>
          <t>VALUE</t>
        </is>
      </c>
      <c r="E24" s="9" t="inlineStr">
        <is>
          <t>GTE</t>
        </is>
      </c>
      <c r="F24" s="9" t="n">
        <v>240</v>
      </c>
      <c r="G24" s="9" t="n"/>
    </row>
    <row r="25">
      <c r="A25" s="9" t="inlineStr">
        <is>
          <t>TC-B</t>
        </is>
      </c>
      <c r="B25" s="9" t="n">
        <v>1</v>
      </c>
      <c r="C25" s="9" t="inlineStr">
        <is>
          <t>TC</t>
        </is>
      </c>
      <c r="D25" s="9" t="inlineStr">
        <is>
          <t>VALUE</t>
        </is>
      </c>
      <c r="E25" s="9" t="inlineStr">
        <is>
          <t>GTE</t>
        </is>
      </c>
      <c r="F25" s="9" t="n">
        <v>200</v>
      </c>
      <c r="G25" s="9" t="n"/>
    </row>
    <row r="26">
      <c r="A26" s="9" t="inlineStr">
        <is>
          <t>TC-B</t>
        </is>
      </c>
      <c r="B26" s="9" t="n">
        <v>2</v>
      </c>
      <c r="C26" s="9" t="inlineStr">
        <is>
          <t>TC</t>
        </is>
      </c>
      <c r="D26" s="9" t="inlineStr">
        <is>
          <t>VALUE</t>
        </is>
      </c>
      <c r="E26" s="9" t="inlineStr">
        <is>
          <t>LT</t>
        </is>
      </c>
      <c r="F26" s="9" t="n">
        <v>240</v>
      </c>
      <c r="G26" s="9" t="n"/>
    </row>
    <row r="27">
      <c r="A27" s="9" t="inlineStr">
        <is>
          <t>TC-A</t>
        </is>
      </c>
      <c r="B27" s="9" t="n">
        <v>1</v>
      </c>
      <c r="C27" s="9" t="inlineStr">
        <is>
          <t>TC</t>
        </is>
      </c>
      <c r="D27" s="9" t="inlineStr">
        <is>
          <t>VALUE</t>
        </is>
      </c>
      <c r="E27" s="9" t="inlineStr">
        <is>
          <t>LT</t>
        </is>
      </c>
      <c r="F27" s="9" t="n">
        <v>200</v>
      </c>
      <c r="G27" s="9" t="n"/>
    </row>
    <row r="28">
      <c r="A28" s="9" t="inlineStr">
        <is>
          <t>TG-SUS</t>
        </is>
      </c>
      <c r="B28" s="9" t="n">
        <v>1</v>
      </c>
      <c r="C28" s="9" t="inlineStr">
        <is>
          <t>TG</t>
        </is>
      </c>
      <c r="D28" s="9" t="inlineStr">
        <is>
          <t>VALUE</t>
        </is>
      </c>
      <c r="E28" s="9" t="inlineStr">
        <is>
          <t>GTE</t>
        </is>
      </c>
      <c r="F28" s="9" t="n">
        <v>200</v>
      </c>
      <c r="G28" s="9" t="n"/>
    </row>
    <row r="29">
      <c r="A29" s="9" t="inlineStr">
        <is>
          <t>TG-B</t>
        </is>
      </c>
      <c r="B29" s="9" t="n">
        <v>1</v>
      </c>
      <c r="C29" s="9" t="inlineStr">
        <is>
          <t>TG</t>
        </is>
      </c>
      <c r="D29" s="9" t="inlineStr">
        <is>
          <t>VALUE</t>
        </is>
      </c>
      <c r="E29" s="9" t="inlineStr">
        <is>
          <t>GTE</t>
        </is>
      </c>
      <c r="F29" s="9" t="n">
        <v>150</v>
      </c>
      <c r="G29" s="9" t="n"/>
    </row>
    <row r="30">
      <c r="A30" s="9" t="inlineStr">
        <is>
          <t>TG-B</t>
        </is>
      </c>
      <c r="B30" s="9" t="n">
        <v>2</v>
      </c>
      <c r="C30" s="9" t="inlineStr">
        <is>
          <t>TG</t>
        </is>
      </c>
      <c r="D30" s="9" t="inlineStr">
        <is>
          <t>VALUE</t>
        </is>
      </c>
      <c r="E30" s="9" t="inlineStr">
        <is>
          <t>LT</t>
        </is>
      </c>
      <c r="F30" s="9" t="n">
        <v>200</v>
      </c>
      <c r="G30" s="9" t="n"/>
    </row>
    <row r="31">
      <c r="A31" s="9" t="inlineStr">
        <is>
          <t>TG-A</t>
        </is>
      </c>
      <c r="B31" s="9" t="n">
        <v>1</v>
      </c>
      <c r="C31" s="9" t="inlineStr">
        <is>
          <t>TG</t>
        </is>
      </c>
      <c r="D31" s="9" t="inlineStr">
        <is>
          <t>VALUE</t>
        </is>
      </c>
      <c r="E31" s="9" t="inlineStr">
        <is>
          <t>LT</t>
        </is>
      </c>
      <c r="F31" s="9" t="n">
        <v>150</v>
      </c>
      <c r="G31" s="9" t="n"/>
    </row>
    <row r="32">
      <c r="A32" s="9" t="inlineStr">
        <is>
          <t>LDL-SUS</t>
        </is>
      </c>
      <c r="B32" s="9" t="n">
        <v>1</v>
      </c>
      <c r="C32" s="9" t="inlineStr">
        <is>
          <t>LDL</t>
        </is>
      </c>
      <c r="D32" s="9" t="inlineStr">
        <is>
          <t>VALUE</t>
        </is>
      </c>
      <c r="E32" s="9" t="inlineStr">
        <is>
          <t>GTE</t>
        </is>
      </c>
      <c r="F32" s="9" t="n">
        <v>160</v>
      </c>
      <c r="G32" s="9" t="n"/>
    </row>
    <row r="33">
      <c r="A33" s="9" t="inlineStr">
        <is>
          <t>LDL-B</t>
        </is>
      </c>
      <c r="B33" s="9" t="n">
        <v>1</v>
      </c>
      <c r="C33" s="9" t="inlineStr">
        <is>
          <t>LDL</t>
        </is>
      </c>
      <c r="D33" s="9" t="inlineStr">
        <is>
          <t>VALUE</t>
        </is>
      </c>
      <c r="E33" s="9" t="inlineStr">
        <is>
          <t>GTE</t>
        </is>
      </c>
      <c r="F33" s="9" t="n">
        <v>130</v>
      </c>
      <c r="G33" s="9" t="n"/>
    </row>
    <row r="34">
      <c r="A34" s="9" t="inlineStr">
        <is>
          <t>LDL-B</t>
        </is>
      </c>
      <c r="B34" s="9" t="n">
        <v>2</v>
      </c>
      <c r="C34" s="9" t="inlineStr">
        <is>
          <t>LDL</t>
        </is>
      </c>
      <c r="D34" s="9" t="inlineStr">
        <is>
          <t>VALUE</t>
        </is>
      </c>
      <c r="E34" s="9" t="inlineStr">
        <is>
          <t>LT</t>
        </is>
      </c>
      <c r="F34" s="9" t="n">
        <v>160</v>
      </c>
      <c r="G34" s="9" t="n"/>
    </row>
    <row r="35">
      <c r="A35" s="9" t="inlineStr">
        <is>
          <t>LDL-A</t>
        </is>
      </c>
      <c r="B35" s="9" t="n">
        <v>1</v>
      </c>
      <c r="C35" s="9" t="inlineStr">
        <is>
          <t>LDL</t>
        </is>
      </c>
      <c r="D35" s="9" t="inlineStr">
        <is>
          <t>VALUE</t>
        </is>
      </c>
      <c r="E35" s="9" t="inlineStr">
        <is>
          <t>LT</t>
        </is>
      </c>
      <c r="F35" s="9" t="n">
        <v>130</v>
      </c>
      <c r="G35" s="9" t="n"/>
    </row>
    <row r="36">
      <c r="A36" s="9" t="inlineStr">
        <is>
          <t>HDL-SUS</t>
        </is>
      </c>
      <c r="B36" s="9" t="n">
        <v>1</v>
      </c>
      <c r="C36" s="9" t="inlineStr">
        <is>
          <t>HDL</t>
        </is>
      </c>
      <c r="D36" s="9" t="inlineStr">
        <is>
          <t>VALUE</t>
        </is>
      </c>
      <c r="E36" s="9" t="inlineStr">
        <is>
          <t>LT</t>
        </is>
      </c>
      <c r="F36" s="9" t="n">
        <v>40</v>
      </c>
      <c r="G36" s="9" t="n"/>
    </row>
    <row r="37">
      <c r="A37" s="9" t="inlineStr">
        <is>
          <t>HDL-B</t>
        </is>
      </c>
      <c r="B37" s="9" t="n">
        <v>1</v>
      </c>
      <c r="C37" s="9" t="inlineStr">
        <is>
          <t>HDL</t>
        </is>
      </c>
      <c r="D37" s="9" t="inlineStr">
        <is>
          <t>VALUE</t>
        </is>
      </c>
      <c r="E37" s="9" t="inlineStr">
        <is>
          <t>GTE</t>
        </is>
      </c>
      <c r="F37" s="9" t="n">
        <v>40</v>
      </c>
      <c r="G37" s="9" t="n"/>
    </row>
    <row r="38">
      <c r="A38" s="9" t="inlineStr">
        <is>
          <t>HDL-B</t>
        </is>
      </c>
      <c r="B38" s="9" t="n">
        <v>2</v>
      </c>
      <c r="C38" s="9" t="inlineStr">
        <is>
          <t>HDL</t>
        </is>
      </c>
      <c r="D38" s="9" t="inlineStr">
        <is>
          <t>VALUE</t>
        </is>
      </c>
      <c r="E38" s="9" t="inlineStr">
        <is>
          <t>LT</t>
        </is>
      </c>
      <c r="F38" s="9" t="n">
        <v>60</v>
      </c>
      <c r="G38" s="9" t="n"/>
    </row>
    <row r="39">
      <c r="A39" s="9" t="inlineStr">
        <is>
          <t>HDL-A</t>
        </is>
      </c>
      <c r="B39" s="9" t="n">
        <v>1</v>
      </c>
      <c r="C39" s="9" t="inlineStr">
        <is>
          <t>HDL</t>
        </is>
      </c>
      <c r="D39" s="9" t="inlineStr">
        <is>
          <t>VALUE</t>
        </is>
      </c>
      <c r="E39" s="9" t="inlineStr">
        <is>
          <t>GTE</t>
        </is>
      </c>
      <c r="F39" s="9" t="n">
        <v>60</v>
      </c>
      <c r="G39" s="9" t="n"/>
    </row>
    <row r="40">
      <c r="A40" s="9" t="inlineStr">
        <is>
          <t>AST-SUS</t>
        </is>
      </c>
      <c r="B40" s="9" t="n">
        <v>1</v>
      </c>
      <c r="C40" s="9" t="inlineStr">
        <is>
          <t>AST</t>
        </is>
      </c>
      <c r="D40" s="9" t="inlineStr">
        <is>
          <t>VALUE</t>
        </is>
      </c>
      <c r="E40" s="9" t="inlineStr">
        <is>
          <t>GT</t>
        </is>
      </c>
      <c r="F40" s="9" t="n">
        <v>50</v>
      </c>
      <c r="G40" s="9" t="n"/>
    </row>
    <row r="41">
      <c r="A41" s="9" t="inlineStr">
        <is>
          <t>AST-B</t>
        </is>
      </c>
      <c r="B41" s="9" t="n">
        <v>1</v>
      </c>
      <c r="C41" s="9" t="inlineStr">
        <is>
          <t>AST</t>
        </is>
      </c>
      <c r="D41" s="9" t="inlineStr">
        <is>
          <t>VALUE</t>
        </is>
      </c>
      <c r="E41" s="9" t="inlineStr">
        <is>
          <t>GT</t>
        </is>
      </c>
      <c r="F41" s="9" t="n">
        <v>40</v>
      </c>
      <c r="G41" s="9" t="n"/>
    </row>
    <row r="42">
      <c r="A42" s="9" t="inlineStr">
        <is>
          <t>AST-B</t>
        </is>
      </c>
      <c r="B42" s="9" t="n">
        <v>2</v>
      </c>
      <c r="C42" s="9" t="inlineStr">
        <is>
          <t>AST</t>
        </is>
      </c>
      <c r="D42" s="9" t="inlineStr">
        <is>
          <t>VALUE</t>
        </is>
      </c>
      <c r="E42" s="9" t="inlineStr">
        <is>
          <t>LTE</t>
        </is>
      </c>
      <c r="F42" s="9" t="n">
        <v>50</v>
      </c>
      <c r="G42" s="9" t="n"/>
    </row>
    <row r="43">
      <c r="A43" s="9" t="inlineStr">
        <is>
          <t>AST-A</t>
        </is>
      </c>
      <c r="B43" s="9" t="n">
        <v>1</v>
      </c>
      <c r="C43" s="9" t="inlineStr">
        <is>
          <t>AST</t>
        </is>
      </c>
      <c r="D43" s="9" t="inlineStr">
        <is>
          <t>VALUE</t>
        </is>
      </c>
      <c r="E43" s="9" t="inlineStr">
        <is>
          <t>LTE</t>
        </is>
      </c>
      <c r="F43" s="9" t="n">
        <v>40</v>
      </c>
      <c r="G43" s="9" t="n"/>
    </row>
    <row r="44">
      <c r="A44" s="9" t="inlineStr">
        <is>
          <t>ALT-SUS</t>
        </is>
      </c>
      <c r="B44" s="9" t="n">
        <v>1</v>
      </c>
      <c r="C44" s="9" t="inlineStr">
        <is>
          <t>ALT</t>
        </is>
      </c>
      <c r="D44" s="9" t="inlineStr">
        <is>
          <t>VALUE</t>
        </is>
      </c>
      <c r="E44" s="9" t="inlineStr">
        <is>
          <t>GT</t>
        </is>
      </c>
      <c r="F44" s="9" t="n">
        <v>45</v>
      </c>
      <c r="G44" s="9" t="n"/>
    </row>
    <row r="45">
      <c r="A45" s="9" t="inlineStr">
        <is>
          <t>ALT-B</t>
        </is>
      </c>
      <c r="B45" s="9" t="n">
        <v>1</v>
      </c>
      <c r="C45" s="9" t="inlineStr">
        <is>
          <t>ALT</t>
        </is>
      </c>
      <c r="D45" s="9" t="inlineStr">
        <is>
          <t>VALUE</t>
        </is>
      </c>
      <c r="E45" s="9" t="inlineStr">
        <is>
          <t>GT</t>
        </is>
      </c>
      <c r="F45" s="9" t="n">
        <v>35</v>
      </c>
      <c r="G45" s="9" t="n"/>
    </row>
    <row r="46">
      <c r="A46" s="9" t="inlineStr">
        <is>
          <t>ALT-B</t>
        </is>
      </c>
      <c r="B46" s="9" t="n">
        <v>2</v>
      </c>
      <c r="C46" s="9" t="inlineStr">
        <is>
          <t>ALT</t>
        </is>
      </c>
      <c r="D46" s="9" t="inlineStr">
        <is>
          <t>VALUE</t>
        </is>
      </c>
      <c r="E46" s="9" t="inlineStr">
        <is>
          <t>LTE</t>
        </is>
      </c>
      <c r="F46" s="9" t="n">
        <v>45</v>
      </c>
      <c r="G46" s="9" t="n"/>
    </row>
    <row r="47">
      <c r="A47" s="9" t="inlineStr">
        <is>
          <t>ALT-A</t>
        </is>
      </c>
      <c r="B47" s="9" t="n">
        <v>1</v>
      </c>
      <c r="C47" s="9" t="inlineStr">
        <is>
          <t>ALT</t>
        </is>
      </c>
      <c r="D47" s="9" t="inlineStr">
        <is>
          <t>VALUE</t>
        </is>
      </c>
      <c r="E47" s="9" t="inlineStr">
        <is>
          <t>LTE</t>
        </is>
      </c>
      <c r="F47" s="9" t="n">
        <v>35</v>
      </c>
      <c r="G47" s="9" t="n"/>
    </row>
    <row r="48">
      <c r="A48" s="9" t="inlineStr">
        <is>
          <t>GGT-MALE-SUS</t>
        </is>
      </c>
      <c r="B48" s="9" t="n">
        <v>1</v>
      </c>
      <c r="C48" s="9" t="inlineStr">
        <is>
          <t>GGT</t>
        </is>
      </c>
      <c r="D48" s="9" t="inlineStr">
        <is>
          <t>VALUE</t>
        </is>
      </c>
      <c r="E48" s="9" t="inlineStr">
        <is>
          <t>GT</t>
        </is>
      </c>
      <c r="F48" s="9" t="n">
        <v>77</v>
      </c>
      <c r="G48" s="9" t="n"/>
    </row>
    <row r="49">
      <c r="A49" s="9" t="inlineStr">
        <is>
          <t>GGT-MALE-B</t>
        </is>
      </c>
      <c r="B49" s="9" t="n">
        <v>1</v>
      </c>
      <c r="C49" s="9" t="inlineStr">
        <is>
          <t>GGT</t>
        </is>
      </c>
      <c r="D49" s="9" t="inlineStr">
        <is>
          <t>VALUE</t>
        </is>
      </c>
      <c r="E49" s="9" t="inlineStr">
        <is>
          <t>GT</t>
        </is>
      </c>
      <c r="F49" s="9" t="n">
        <v>63</v>
      </c>
      <c r="G49" s="9" t="n"/>
    </row>
    <row r="50">
      <c r="A50" s="9" t="inlineStr">
        <is>
          <t>GGT-MALE-B</t>
        </is>
      </c>
      <c r="B50" s="9" t="n">
        <v>2</v>
      </c>
      <c r="C50" s="9" t="inlineStr">
        <is>
          <t>GGT</t>
        </is>
      </c>
      <c r="D50" s="9" t="inlineStr">
        <is>
          <t>VALUE</t>
        </is>
      </c>
      <c r="E50" s="9" t="inlineStr">
        <is>
          <t>LTE</t>
        </is>
      </c>
      <c r="F50" s="9" t="n">
        <v>77</v>
      </c>
      <c r="G50" s="9" t="n"/>
    </row>
    <row r="51">
      <c r="A51" s="9" t="inlineStr">
        <is>
          <t>GGT-MALE-A</t>
        </is>
      </c>
      <c r="B51" s="9" t="n">
        <v>1</v>
      </c>
      <c r="C51" s="9" t="inlineStr">
        <is>
          <t>GGT</t>
        </is>
      </c>
      <c r="D51" s="9" t="inlineStr">
        <is>
          <t>VALUE</t>
        </is>
      </c>
      <c r="E51" s="9" t="inlineStr">
        <is>
          <t>GTE</t>
        </is>
      </c>
      <c r="F51" s="9" t="n">
        <v>11</v>
      </c>
      <c r="G51" s="9" t="n"/>
    </row>
    <row r="52">
      <c r="A52" s="9" t="inlineStr">
        <is>
          <t>GGT-MALE-A</t>
        </is>
      </c>
      <c r="B52" s="9" t="n">
        <v>2</v>
      </c>
      <c r="C52" s="9" t="inlineStr">
        <is>
          <t>GGT</t>
        </is>
      </c>
      <c r="D52" s="9" t="inlineStr">
        <is>
          <t>VALUE</t>
        </is>
      </c>
      <c r="E52" s="9" t="inlineStr">
        <is>
          <t>LTE</t>
        </is>
      </c>
      <c r="F52" s="9" t="n">
        <v>63</v>
      </c>
      <c r="G52" s="9" t="n"/>
    </row>
    <row r="53">
      <c r="A53" s="9" t="inlineStr">
        <is>
          <t>GGT-FEMALE-SUS</t>
        </is>
      </c>
      <c r="B53" s="9" t="n">
        <v>1</v>
      </c>
      <c r="C53" s="9" t="inlineStr">
        <is>
          <t>GGT</t>
        </is>
      </c>
      <c r="D53" s="9" t="inlineStr">
        <is>
          <t>VALUE</t>
        </is>
      </c>
      <c r="E53" s="9" t="inlineStr">
        <is>
          <t>GT</t>
        </is>
      </c>
      <c r="F53" s="9" t="n">
        <v>45</v>
      </c>
      <c r="G53" s="9" t="n"/>
    </row>
    <row r="54">
      <c r="A54" s="9" t="inlineStr">
        <is>
          <t>GGT-FEMALE-B</t>
        </is>
      </c>
      <c r="B54" s="9" t="n">
        <v>1</v>
      </c>
      <c r="C54" s="9" t="inlineStr">
        <is>
          <t>GGT</t>
        </is>
      </c>
      <c r="D54" s="9" t="inlineStr">
        <is>
          <t>VALUE</t>
        </is>
      </c>
      <c r="E54" s="9" t="inlineStr">
        <is>
          <t>GT</t>
        </is>
      </c>
      <c r="F54" s="9" t="n">
        <v>35</v>
      </c>
      <c r="G54" s="9" t="n"/>
    </row>
    <row r="55">
      <c r="A55" s="9" t="inlineStr">
        <is>
          <t>GGT-FEMALE-B</t>
        </is>
      </c>
      <c r="B55" s="9" t="n">
        <v>2</v>
      </c>
      <c r="C55" s="9" t="inlineStr">
        <is>
          <t>GGT</t>
        </is>
      </c>
      <c r="D55" s="9" t="inlineStr">
        <is>
          <t>VALUE</t>
        </is>
      </c>
      <c r="E55" s="9" t="inlineStr">
        <is>
          <t>LTE</t>
        </is>
      </c>
      <c r="F55" s="9" t="n">
        <v>45</v>
      </c>
      <c r="G55" s="9" t="n"/>
    </row>
    <row r="56">
      <c r="A56" s="9" t="inlineStr">
        <is>
          <t>GGT-FEMALE-A</t>
        </is>
      </c>
      <c r="B56" s="9" t="n">
        <v>1</v>
      </c>
      <c r="C56" s="9" t="inlineStr">
        <is>
          <t>GGT</t>
        </is>
      </c>
      <c r="D56" s="9" t="inlineStr">
        <is>
          <t>VALUE</t>
        </is>
      </c>
      <c r="E56" s="9" t="inlineStr">
        <is>
          <t>GTE</t>
        </is>
      </c>
      <c r="F56" s="9" t="n">
        <v>8</v>
      </c>
      <c r="G56" s="9" t="n"/>
    </row>
    <row r="57">
      <c r="A57" s="9" t="inlineStr">
        <is>
          <t>GGT-FEMALE-A</t>
        </is>
      </c>
      <c r="B57" s="9" t="n">
        <v>2</v>
      </c>
      <c r="C57" s="9" t="inlineStr">
        <is>
          <t>GGT</t>
        </is>
      </c>
      <c r="D57" s="9" t="inlineStr">
        <is>
          <t>VALUE</t>
        </is>
      </c>
      <c r="E57" s="9" t="inlineStr">
        <is>
          <t>LTE</t>
        </is>
      </c>
      <c r="F57" s="9" t="n">
        <v>35</v>
      </c>
      <c r="G57" s="9" t="n"/>
    </row>
    <row r="58">
      <c r="A58" s="9" t="inlineStr">
        <is>
          <t>URINE-SUS</t>
        </is>
      </c>
      <c r="B58" s="9" t="n">
        <v>1</v>
      </c>
      <c r="C58" s="9" t="inlineStr">
        <is>
          <t>URINE_PROTEIN</t>
        </is>
      </c>
      <c r="D58" s="9" t="inlineStr">
        <is>
          <t>PROTEIN_GRADE</t>
        </is>
      </c>
      <c r="E58" s="9" t="inlineStr">
        <is>
          <t>GTE</t>
        </is>
      </c>
      <c r="F58" s="9" t="n">
        <v>1</v>
      </c>
      <c r="G58" s="9" t="n"/>
    </row>
    <row r="59">
      <c r="A59" s="9" t="inlineStr">
        <is>
          <t>URINE-B</t>
        </is>
      </c>
      <c r="B59" s="9" t="n">
        <v>1</v>
      </c>
      <c r="C59" s="9" t="inlineStr">
        <is>
          <t>URINE_PROTEIN</t>
        </is>
      </c>
      <c r="D59" s="9" t="inlineStr">
        <is>
          <t>PROTEIN_GRADE</t>
        </is>
      </c>
      <c r="E59" s="9" t="inlineStr">
        <is>
          <t>EQ</t>
        </is>
      </c>
      <c r="F59" s="9" t="n">
        <v>0</v>
      </c>
      <c r="G59" s="9" t="n"/>
    </row>
    <row r="60">
      <c r="A60" s="9" t="inlineStr">
        <is>
          <t>URINE-A</t>
        </is>
      </c>
      <c r="B60" s="9" t="n">
        <v>1</v>
      </c>
      <c r="C60" s="9" t="inlineStr">
        <is>
          <t>URINE_PROTEIN</t>
        </is>
      </c>
      <c r="D60" s="9" t="inlineStr">
        <is>
          <t>PROTEIN_GRADE</t>
        </is>
      </c>
      <c r="E60" s="9" t="inlineStr">
        <is>
          <t>EQ</t>
        </is>
      </c>
      <c r="F60" s="9" t="n">
        <v>-1</v>
      </c>
      <c r="G60" s="9" t="n"/>
    </row>
    <row r="61">
      <c r="A61" s="9" t="inlineStr">
        <is>
          <t>CREA-SUS</t>
        </is>
      </c>
      <c r="B61" s="9" t="n">
        <v>1</v>
      </c>
      <c r="C61" s="9" t="inlineStr">
        <is>
          <t>CREATININE</t>
        </is>
      </c>
      <c r="D61" s="9" t="inlineStr">
        <is>
          <t>VALUE</t>
        </is>
      </c>
      <c r="E61" s="9" t="inlineStr">
        <is>
          <t>GT</t>
        </is>
      </c>
      <c r="F61" s="9" t="n">
        <v>1.5</v>
      </c>
      <c r="G61" s="9" t="n"/>
    </row>
    <row r="62">
      <c r="A62" s="9" t="inlineStr">
        <is>
          <t>CREA-A</t>
        </is>
      </c>
      <c r="B62" s="9" t="n">
        <v>1</v>
      </c>
      <c r="C62" s="9" t="inlineStr">
        <is>
          <t>CREATININE</t>
        </is>
      </c>
      <c r="D62" s="9" t="inlineStr">
        <is>
          <t>VALUE</t>
        </is>
      </c>
      <c r="E62" s="9" t="inlineStr">
        <is>
          <t>LTE</t>
        </is>
      </c>
      <c r="F62" s="9" t="n">
        <v>1.5</v>
      </c>
      <c r="G62" s="9" t="n"/>
    </row>
    <row r="63">
      <c r="A63" s="9" t="inlineStr">
        <is>
          <t>EGFR-SUS</t>
        </is>
      </c>
      <c r="B63" s="9" t="n">
        <v>1</v>
      </c>
      <c r="C63" s="9" t="inlineStr">
        <is>
          <t>EGFR</t>
        </is>
      </c>
      <c r="D63" s="9" t="inlineStr">
        <is>
          <t>VALUE</t>
        </is>
      </c>
      <c r="E63" s="9" t="inlineStr">
        <is>
          <t>LT</t>
        </is>
      </c>
      <c r="F63" s="9" t="n">
        <v>60</v>
      </c>
      <c r="G63" s="9" t="n"/>
    </row>
    <row r="64">
      <c r="A64" s="9" t="inlineStr">
        <is>
          <t>EGFR-A</t>
        </is>
      </c>
      <c r="B64" s="9" t="n">
        <v>1</v>
      </c>
      <c r="C64" s="9" t="inlineStr">
        <is>
          <t>EGFR</t>
        </is>
      </c>
      <c r="D64" s="9" t="inlineStr">
        <is>
          <t>VALUE</t>
        </is>
      </c>
      <c r="E64" s="9" t="inlineStr">
        <is>
          <t>GTE</t>
        </is>
      </c>
      <c r="F64" s="9" t="n">
        <v>60</v>
      </c>
      <c r="G64" s="9" t="n"/>
    </row>
    <row r="65">
      <c r="A65" s="9" t="inlineStr">
        <is>
          <t>HGB-MALE-SUS</t>
        </is>
      </c>
      <c r="B65" s="9" t="n">
        <v>1</v>
      </c>
      <c r="C65" s="9" t="inlineStr">
        <is>
          <t>HGB</t>
        </is>
      </c>
      <c r="D65" s="9" t="inlineStr">
        <is>
          <t>VALUE</t>
        </is>
      </c>
      <c r="E65" s="9" t="inlineStr">
        <is>
          <t>LT</t>
        </is>
      </c>
      <c r="F65" s="9" t="n">
        <v>12</v>
      </c>
      <c r="G65" s="9" t="n"/>
    </row>
    <row r="66">
      <c r="A66" s="9" t="inlineStr">
        <is>
          <t>HGB-MALE-B</t>
        </is>
      </c>
      <c r="B66" s="9" t="n">
        <v>1</v>
      </c>
      <c r="C66" s="9" t="inlineStr">
        <is>
          <t>HGB</t>
        </is>
      </c>
      <c r="D66" s="9" t="inlineStr">
        <is>
          <t>VALUE</t>
        </is>
      </c>
      <c r="E66" s="9" t="inlineStr">
        <is>
          <t>GTE</t>
        </is>
      </c>
      <c r="F66" s="9" t="n">
        <v>12</v>
      </c>
      <c r="G66" s="9" t="n"/>
    </row>
    <row r="67">
      <c r="A67" s="9" t="inlineStr">
        <is>
          <t>HGB-MALE-B</t>
        </is>
      </c>
      <c r="B67" s="9" t="n">
        <v>2</v>
      </c>
      <c r="C67" s="9" t="inlineStr">
        <is>
          <t>HGB</t>
        </is>
      </c>
      <c r="D67" s="9" t="inlineStr">
        <is>
          <t>VALUE</t>
        </is>
      </c>
      <c r="E67" s="9" t="inlineStr">
        <is>
          <t>LT</t>
        </is>
      </c>
      <c r="F67" s="9" t="n">
        <v>13</v>
      </c>
      <c r="G67" s="9" t="n"/>
    </row>
    <row r="68">
      <c r="A68" s="9" t="inlineStr">
        <is>
          <t>HGB-MALE-A</t>
        </is>
      </c>
      <c r="B68" s="9" t="n">
        <v>1</v>
      </c>
      <c r="C68" s="9" t="inlineStr">
        <is>
          <t>HGB</t>
        </is>
      </c>
      <c r="D68" s="9" t="inlineStr">
        <is>
          <t>VALUE</t>
        </is>
      </c>
      <c r="E68" s="9" t="inlineStr">
        <is>
          <t>GTE</t>
        </is>
      </c>
      <c r="F68" s="9" t="n">
        <v>13</v>
      </c>
      <c r="G68" s="9" t="n"/>
    </row>
    <row r="69">
      <c r="A69" s="9" t="inlineStr">
        <is>
          <t>HGB-MALE-A</t>
        </is>
      </c>
      <c r="B69" s="9" t="n">
        <v>2</v>
      </c>
      <c r="C69" s="9" t="inlineStr">
        <is>
          <t>HGB</t>
        </is>
      </c>
      <c r="D69" s="9" t="inlineStr">
        <is>
          <t>VALUE</t>
        </is>
      </c>
      <c r="E69" s="9" t="inlineStr">
        <is>
          <t>LTE</t>
        </is>
      </c>
      <c r="F69" s="9" t="n">
        <v>16.5</v>
      </c>
      <c r="G69" s="9" t="n"/>
    </row>
    <row r="70">
      <c r="A70" s="9" t="inlineStr">
        <is>
          <t>HGB-FEMALE-SUS</t>
        </is>
      </c>
      <c r="B70" s="9" t="n">
        <v>1</v>
      </c>
      <c r="C70" s="9" t="inlineStr">
        <is>
          <t>HGB</t>
        </is>
      </c>
      <c r="D70" s="9" t="inlineStr">
        <is>
          <t>VALUE</t>
        </is>
      </c>
      <c r="E70" s="9" t="inlineStr">
        <is>
          <t>LT</t>
        </is>
      </c>
      <c r="F70" s="9" t="n">
        <v>10</v>
      </c>
      <c r="G70" s="9" t="n"/>
    </row>
    <row r="71">
      <c r="A71" s="9" t="inlineStr">
        <is>
          <t>HGB-FEMALE-B</t>
        </is>
      </c>
      <c r="B71" s="9" t="n">
        <v>1</v>
      </c>
      <c r="C71" s="9" t="inlineStr">
        <is>
          <t>HGB</t>
        </is>
      </c>
      <c r="D71" s="9" t="inlineStr">
        <is>
          <t>VALUE</t>
        </is>
      </c>
      <c r="E71" s="9" t="inlineStr">
        <is>
          <t>GTE</t>
        </is>
      </c>
      <c r="F71" s="9" t="n">
        <v>10</v>
      </c>
      <c r="G71" s="9" t="n"/>
    </row>
    <row r="72">
      <c r="A72" s="9" t="inlineStr">
        <is>
          <t>HGB-FEMALE-B</t>
        </is>
      </c>
      <c r="B72" s="9" t="n">
        <v>2</v>
      </c>
      <c r="C72" s="9" t="inlineStr">
        <is>
          <t>HGB</t>
        </is>
      </c>
      <c r="D72" s="9" t="inlineStr">
        <is>
          <t>VALUE</t>
        </is>
      </c>
      <c r="E72" s="9" t="inlineStr">
        <is>
          <t>LT</t>
        </is>
      </c>
      <c r="F72" s="9" t="n">
        <v>12</v>
      </c>
      <c r="G72" s="9" t="n"/>
    </row>
    <row r="73">
      <c r="A73" s="9" t="inlineStr">
        <is>
          <t>HGB-FEMALE-A</t>
        </is>
      </c>
      <c r="B73" s="9" t="n">
        <v>1</v>
      </c>
      <c r="C73" s="9" t="inlineStr">
        <is>
          <t>HGB</t>
        </is>
      </c>
      <c r="D73" s="9" t="inlineStr">
        <is>
          <t>VALUE</t>
        </is>
      </c>
      <c r="E73" s="9" t="inlineStr">
        <is>
          <t>GTE</t>
        </is>
      </c>
      <c r="F73" s="9" t="n">
        <v>12</v>
      </c>
      <c r="G73" s="9" t="n"/>
    </row>
    <row r="74">
      <c r="A74" s="9" t="inlineStr">
        <is>
          <t>HGB-FEMALE-A</t>
        </is>
      </c>
      <c r="B74" s="9" t="n">
        <v>2</v>
      </c>
      <c r="C74" s="9" t="inlineStr">
        <is>
          <t>HGB</t>
        </is>
      </c>
      <c r="D74" s="9" t="inlineStr">
        <is>
          <t>VALUE</t>
        </is>
      </c>
      <c r="E74" s="9" t="inlineStr">
        <is>
          <t>LTE</t>
        </is>
      </c>
      <c r="F74" s="9" t="n">
        <v>15.5</v>
      </c>
      <c r="G7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FF8EA6B8"/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.58203125" customWidth="1" min="1" max="1"/>
    <col width="13.58203125" customWidth="1" min="2" max="2"/>
    <col width="18.58203125" customWidth="1" min="3" max="3"/>
    <col width="13.58203125" customWidth="1" min="4" max="4"/>
    <col width="28.58203125" customWidth="1" min="5" max="5"/>
  </cols>
  <sheetData>
    <row r="1" ht="28" customHeight="1">
      <c r="A1" s="8" t="inlineStr">
        <is>
          <t>metric_id</t>
        </is>
      </c>
      <c r="B1" s="8" t="inlineStr">
        <is>
          <t>raw_code</t>
        </is>
      </c>
      <c r="C1" s="8" t="inlineStr">
        <is>
          <t>normalized_code</t>
        </is>
      </c>
      <c r="D1" s="8" t="inlineStr">
        <is>
          <t>ordinal_value</t>
        </is>
      </c>
      <c r="E1" s="8" t="inlineStr">
        <is>
          <t>note</t>
        </is>
      </c>
    </row>
    <row r="2">
      <c r="A2" s="9" t="inlineStr">
        <is>
          <t>URINE_PROTEIN</t>
        </is>
      </c>
      <c r="B2" s="9" t="inlineStr">
        <is>
          <t>음성(−)</t>
        </is>
      </c>
      <c r="C2" s="9" t="inlineStr">
        <is>
          <t>NEGATIVE</t>
        </is>
      </c>
      <c r="D2" s="9" t="n">
        <v>-1</v>
      </c>
      <c r="E2" s="9" t="inlineStr">
        <is>
          <t>검사 결과 원본 표기별 매핑 확인</t>
        </is>
      </c>
    </row>
    <row r="3">
      <c r="A3" s="9" t="inlineStr">
        <is>
          <t>URINE_PROTEIN</t>
        </is>
      </c>
      <c r="B3" s="9" t="inlineStr">
        <is>
          <t>약양성(±)</t>
        </is>
      </c>
      <c r="C3" s="9" t="inlineStr">
        <is>
          <t>TRACE</t>
        </is>
      </c>
      <c r="D3" s="9" t="n">
        <v>0</v>
      </c>
      <c r="E3" s="9" t="inlineStr">
        <is>
          <t>검사 결과 원본 표기별 매핑 확인</t>
        </is>
      </c>
    </row>
    <row r="4">
      <c r="A4" s="9" t="inlineStr">
        <is>
          <t>URINE_PROTEIN</t>
        </is>
      </c>
      <c r="B4" s="9" t="inlineStr">
        <is>
          <t>양성(+1) 이상</t>
        </is>
      </c>
      <c r="C4" s="9" t="inlineStr">
        <is>
          <t>POSITIVE_1_PLUS</t>
        </is>
      </c>
      <c r="D4" s="9" t="n">
        <v>1</v>
      </c>
      <c r="E4" s="9" t="inlineStr">
        <is>
          <t>+1 이상은 1 이상으로 정규화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FF8EA6B8"/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0.58203125" customWidth="1" min="1" max="1"/>
    <col width="12.58203125" customWidth="1" min="2" max="2"/>
    <col width="10.58203125" customWidth="1" min="3" max="3"/>
    <col width="60.58203125" customWidth="1" min="4" max="4"/>
    <col width="16.58203125" customWidth="1" min="5" max="5"/>
    <col width="18.58203125" customWidth="1" min="6" max="6"/>
  </cols>
  <sheetData>
    <row r="1" ht="28" customHeight="1">
      <c r="A1" s="8" t="inlineStr">
        <is>
          <t>policy_id</t>
        </is>
      </c>
      <c r="B1" s="8" t="inlineStr">
        <is>
          <t>scope_code</t>
        </is>
      </c>
      <c r="C1" s="8" t="inlineStr">
        <is>
          <t>priority</t>
        </is>
      </c>
      <c r="D1" s="8" t="inlineStr">
        <is>
          <t>policy_text</t>
        </is>
      </c>
      <c r="E1" s="8" t="inlineStr">
        <is>
          <t>execution_status</t>
        </is>
      </c>
      <c r="F1" s="8" t="inlineStr">
        <is>
          <t>source_id</t>
        </is>
      </c>
    </row>
    <row r="2">
      <c r="A2" s="9" t="inlineStr">
        <is>
          <t>SP-01</t>
        </is>
      </c>
      <c r="B2" s="9" t="inlineStr">
        <is>
          <t>BADGE</t>
        </is>
      </c>
      <c r="C2" s="9" t="n">
        <v>1</v>
      </c>
      <c r="D2" s="10" t="inlineStr">
        <is>
          <t>결과지에 검진기관 판정이 있으면 그 판정을 우선 표시한다.</t>
        </is>
      </c>
      <c r="E2" s="9" t="inlineStr">
        <is>
          <t>READY</t>
        </is>
      </c>
      <c r="F2" s="9" t="inlineStr">
        <is>
          <t>NHIS-2026-01</t>
        </is>
      </c>
    </row>
    <row r="3">
      <c r="A3" s="9" t="inlineStr">
        <is>
          <t>SP-02</t>
        </is>
      </c>
      <c r="B3" s="9" t="inlineStr">
        <is>
          <t>BADGE</t>
        </is>
      </c>
      <c r="C3" s="9" t="n">
        <v>2</v>
      </c>
      <c r="D3" s="10" t="inlineStr">
        <is>
          <t>검진기관 판정이 없고 수치·단위·성별 조건이 충족되면 공단 구간을 계산한다.</t>
        </is>
      </c>
      <c r="E3" s="9" t="inlineStr">
        <is>
          <t>READY</t>
        </is>
      </c>
      <c r="F3" s="9" t="inlineStr">
        <is>
          <t>MAI-REF-20260914</t>
        </is>
      </c>
    </row>
    <row r="4">
      <c r="A4" s="9" t="inlineStr">
        <is>
          <t>SP-03</t>
        </is>
      </c>
      <c r="B4" s="9" t="inlineStr">
        <is>
          <t>BADGE</t>
        </is>
      </c>
      <c r="C4" s="9" t="n">
        <v>3</v>
      </c>
      <c r="D4" s="10" t="inlineStr">
        <is>
          <t>공단 구간에 없는 값은 UNCLASSIFIED로 두며 정상으로 보정하지 않는다.</t>
        </is>
      </c>
      <c r="E4" s="9" t="inlineStr">
        <is>
          <t>READY</t>
        </is>
      </c>
      <c r="F4" s="9" t="inlineStr">
        <is>
          <t>MAI-REF-20260914</t>
        </is>
      </c>
    </row>
    <row r="5">
      <c r="A5" s="9" t="inlineStr">
        <is>
          <t>SP-04</t>
        </is>
      </c>
      <c r="B5" s="9" t="inlineStr">
        <is>
          <t>BAR</t>
        </is>
      </c>
      <c r="C5" s="9" t="n">
        <v>1</v>
      </c>
      <c r="D5" s="10" t="inlineStr">
        <is>
          <t>검진기관 자체 참고범위가 결과지에 있으면 막대 눈금에 우선 적용한다.</t>
        </is>
      </c>
      <c r="E5" s="9" t="inlineStr">
        <is>
          <t>READY</t>
        </is>
      </c>
      <c r="F5" s="9" t="inlineStr">
        <is>
          <t>MAI-REF-20260914</t>
        </is>
      </c>
    </row>
    <row r="6">
      <c r="A6" s="9" t="inlineStr">
        <is>
          <t>SP-05</t>
        </is>
      </c>
      <c r="B6" s="9" t="inlineStr">
        <is>
          <t>BAR</t>
        </is>
      </c>
      <c r="C6" s="9" t="n">
        <v>2</v>
      </c>
      <c r="D6" s="10" t="inlineStr">
        <is>
          <t>보조 지침의 세부 범위는 막대 참고 표기로만 쓴다. 배지는 공단 판정과 분리한다.</t>
        </is>
      </c>
      <c r="E6" s="9" t="inlineStr">
        <is>
          <t>READY</t>
        </is>
      </c>
      <c r="F6" s="9" t="inlineStr">
        <is>
          <t>MAI-REF-20260914</t>
        </is>
      </c>
    </row>
    <row r="7">
      <c r="A7" s="9" t="inlineStr">
        <is>
          <t>SP-06</t>
        </is>
      </c>
      <c r="B7" s="9" t="inlineStr">
        <is>
          <t>DIET</t>
        </is>
      </c>
      <c r="C7" s="9" t="n">
        <v>1</v>
      </c>
      <c r="D7" s="10" t="inlineStr">
        <is>
          <t>자가혈당·CGM·가정혈압을 검사실·진료실 검진 판정으로 일괄 대체하지 않는다.</t>
        </is>
      </c>
      <c r="E7" s="9" t="inlineStr">
        <is>
          <t>READY</t>
        </is>
      </c>
      <c r="F7" s="9" t="inlineStr">
        <is>
          <t>MAI-REF-20260914</t>
        </is>
      </c>
    </row>
    <row r="8">
      <c r="A8" s="9" t="inlineStr">
        <is>
          <t>SP-07</t>
        </is>
      </c>
      <c r="B8" s="9" t="inlineStr">
        <is>
          <t>PEER</t>
        </is>
      </c>
      <c r="C8" s="9" t="n">
        <v>1</v>
      </c>
      <c r="D8" s="10" t="inlineStr">
        <is>
          <t>또래 등수는 검진 판정·식이 목표 선정과 별도의 분포 기준을 사용한다.</t>
        </is>
      </c>
      <c r="E8" s="9" t="inlineStr">
        <is>
          <t>READY</t>
        </is>
      </c>
      <c r="F8" s="9" t="inlineStr">
        <is>
          <t>MAI-REF-20260914</t>
        </is>
      </c>
    </row>
    <row r="9">
      <c r="A9" s="9" t="inlineStr">
        <is>
          <t>SP-08</t>
        </is>
      </c>
      <c r="B9" s="9" t="inlineStr">
        <is>
          <t>BADGE</t>
        </is>
      </c>
      <c r="C9" s="9" t="n">
        <v>4</v>
      </c>
      <c r="D9" s="10" t="inlineStr">
        <is>
          <t>성별 분기 항목은 적용 성별 정보가 없으면 계산 판정을 보류한다.</t>
        </is>
      </c>
      <c r="E9" s="9" t="inlineStr">
        <is>
          <t>READY</t>
        </is>
      </c>
      <c r="F9" s="9" t="inlineStr">
        <is>
          <t>MAI-REF-20260914</t>
        </is>
      </c>
    </row>
    <row r="10" ht="37.5" customHeight="1">
      <c r="A10" s="6" t="inlineStr">
        <is>
          <t>SP-09</t>
        </is>
      </c>
      <c r="B10" s="6" t="inlineStr">
        <is>
          <t>DIET</t>
        </is>
      </c>
      <c r="C10" s="6" t="n">
        <v>2</v>
      </c>
      <c r="D10" s="5" t="inlineStr">
        <is>
          <t>검진 결과는 검진일로부터 3개월 뒤 같은 날짜까지 식이 목표 선정에 사용한다. 검진일 미상·미래일·만료 후에는 제외하며, 결과 기록·검진 배지에는 이 기간을 적용하지 않는다.</t>
        </is>
      </c>
      <c r="E10" s="6" t="inlineStr">
        <is>
          <t>READY</t>
        </is>
      </c>
      <c r="F10" s="6" t="inlineStr">
        <is>
          <t>MAI-DIET-1.0.0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FF8EA6B8"/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.58203125" customWidth="1" min="1" max="1"/>
    <col width="10.58203125" customWidth="1" min="2" max="3"/>
    <col width="16.58203125" customWidth="1" min="4" max="4"/>
    <col width="30.58203125" customWidth="1" min="5" max="5"/>
    <col width="18.58203125" customWidth="1" min="6" max="6"/>
    <col width="12.58203125" customWidth="1" min="7" max="7"/>
    <col width="42.58203125" customWidth="1" min="8" max="8"/>
  </cols>
  <sheetData>
    <row r="1" ht="28" customHeight="1">
      <c r="A1" s="8" t="inlineStr">
        <is>
          <t>supplemental_id</t>
        </is>
      </c>
      <c r="B1" s="8" t="inlineStr">
        <is>
          <t>metric_id</t>
        </is>
      </c>
      <c r="C1" s="8" t="inlineStr">
        <is>
          <t>sex_code</t>
        </is>
      </c>
      <c r="D1" s="8" t="inlineStr">
        <is>
          <t>label</t>
        </is>
      </c>
      <c r="E1" s="8" t="inlineStr">
        <is>
          <t>range_text</t>
        </is>
      </c>
      <c r="F1" s="8" t="inlineStr">
        <is>
          <t>use_scope</t>
        </is>
      </c>
      <c r="G1" s="8" t="inlineStr">
        <is>
          <t>source_id</t>
        </is>
      </c>
      <c r="H1" s="8" t="inlineStr">
        <is>
          <t>note</t>
        </is>
      </c>
    </row>
    <row r="2">
      <c r="A2" s="9" t="inlineStr">
        <is>
          <t>SUP-001</t>
        </is>
      </c>
      <c r="B2" s="9" t="inlineStr">
        <is>
          <t>BP</t>
        </is>
      </c>
      <c r="C2" s="9" t="inlineStr">
        <is>
          <t>ALL</t>
        </is>
      </c>
      <c r="D2" s="9" t="inlineStr">
        <is>
          <t>정상혈압</t>
        </is>
      </c>
      <c r="E2" s="9" t="inlineStr">
        <is>
          <t>수축기 &lt;120 그리고 이완기 &lt;80</t>
        </is>
      </c>
      <c r="F2" s="9" t="inlineStr">
        <is>
          <t>REFERENCE_ONLY</t>
        </is>
      </c>
      <c r="G2" s="9" t="inlineStr">
        <is>
          <t>KSH-2022</t>
        </is>
      </c>
      <c r="H2" s="9" t="n"/>
    </row>
    <row r="3">
      <c r="A3" s="9" t="inlineStr">
        <is>
          <t>SUP-002</t>
        </is>
      </c>
      <c r="B3" s="9" t="inlineStr">
        <is>
          <t>BP</t>
        </is>
      </c>
      <c r="C3" s="9" t="inlineStr">
        <is>
          <t>ALL</t>
        </is>
      </c>
      <c r="D3" s="9" t="inlineStr">
        <is>
          <t>주의혈압</t>
        </is>
      </c>
      <c r="E3" s="9" t="inlineStr">
        <is>
          <t>수축기 120~129 그리고 이완기 &lt;80</t>
        </is>
      </c>
      <c r="F3" s="9" t="inlineStr">
        <is>
          <t>REFERENCE_ONLY</t>
        </is>
      </c>
      <c r="G3" s="9" t="inlineStr">
        <is>
          <t>KSH-2022</t>
        </is>
      </c>
      <c r="H3" s="9" t="n"/>
    </row>
    <row r="4">
      <c r="A4" s="9" t="inlineStr">
        <is>
          <t>SUP-003</t>
        </is>
      </c>
      <c r="B4" s="9" t="inlineStr">
        <is>
          <t>BP</t>
        </is>
      </c>
      <c r="C4" s="9" t="inlineStr">
        <is>
          <t>ALL</t>
        </is>
      </c>
      <c r="D4" s="9" t="inlineStr">
        <is>
          <t>고혈압전단계</t>
        </is>
      </c>
      <c r="E4" s="9" t="inlineStr">
        <is>
          <t>수축기 130~139 또는 이완기 80~89</t>
        </is>
      </c>
      <c r="F4" s="9" t="inlineStr">
        <is>
          <t>REFERENCE_ONLY</t>
        </is>
      </c>
      <c r="G4" s="9" t="inlineStr">
        <is>
          <t>KSH-2022</t>
        </is>
      </c>
      <c r="H4" s="9" t="n"/>
    </row>
    <row r="5">
      <c r="A5" s="9" t="inlineStr">
        <is>
          <t>SUP-004</t>
        </is>
      </c>
      <c r="B5" s="9" t="inlineStr">
        <is>
          <t>BP</t>
        </is>
      </c>
      <c r="C5" s="9" t="inlineStr">
        <is>
          <t>ALL</t>
        </is>
      </c>
      <c r="D5" s="9" t="inlineStr">
        <is>
          <t>고혈압 1기</t>
        </is>
      </c>
      <c r="E5" s="9" t="inlineStr">
        <is>
          <t>수축기 140~159 또는 이완기 90~99</t>
        </is>
      </c>
      <c r="F5" s="9" t="inlineStr">
        <is>
          <t>REFERENCE_ONLY</t>
        </is>
      </c>
      <c r="G5" s="9" t="inlineStr">
        <is>
          <t>KSH-2022</t>
        </is>
      </c>
      <c r="H5" s="9" t="n"/>
    </row>
    <row r="6">
      <c r="A6" s="9" t="inlineStr">
        <is>
          <t>SUP-005</t>
        </is>
      </c>
      <c r="B6" s="9" t="inlineStr">
        <is>
          <t>BP</t>
        </is>
      </c>
      <c r="C6" s="9" t="inlineStr">
        <is>
          <t>ALL</t>
        </is>
      </c>
      <c r="D6" s="9" t="inlineStr">
        <is>
          <t>고혈압 2기</t>
        </is>
      </c>
      <c r="E6" s="9" t="inlineStr">
        <is>
          <t>수축기 ≥160 또는 이완기 ≥100</t>
        </is>
      </c>
      <c r="F6" s="9" t="inlineStr">
        <is>
          <t>REFERENCE_ONLY</t>
        </is>
      </c>
      <c r="G6" s="9" t="inlineStr">
        <is>
          <t>KSH-2022</t>
        </is>
      </c>
      <c r="H6" s="9" t="n"/>
    </row>
    <row r="7">
      <c r="A7" s="9" t="inlineStr">
        <is>
          <t>SUP-006</t>
        </is>
      </c>
      <c r="B7" s="9" t="inlineStr">
        <is>
          <t>BP</t>
        </is>
      </c>
      <c r="C7" s="9" t="inlineStr">
        <is>
          <t>ALL</t>
        </is>
      </c>
      <c r="D7" s="9" t="inlineStr">
        <is>
          <t>수축기단독고혈압</t>
        </is>
      </c>
      <c r="E7" s="9" t="inlineStr">
        <is>
          <t>수축기 ≥140 그리고 이완기 &lt;90</t>
        </is>
      </c>
      <c r="F7" s="9" t="inlineStr">
        <is>
          <t>REFERENCE_ONLY</t>
        </is>
      </c>
      <c r="G7" s="9" t="inlineStr">
        <is>
          <t>KSH-2022</t>
        </is>
      </c>
      <c r="H7" s="9" t="n"/>
    </row>
    <row r="8">
      <c r="A8" s="9" t="inlineStr">
        <is>
          <t>SUP-007</t>
        </is>
      </c>
      <c r="B8" s="9" t="inlineStr">
        <is>
          <t>FPG</t>
        </is>
      </c>
      <c r="C8" s="9" t="inlineStr">
        <is>
          <t>ALL</t>
        </is>
      </c>
      <c r="D8" s="9" t="inlineStr">
        <is>
          <t>공복혈당장애</t>
        </is>
      </c>
      <c r="E8" s="9" t="inlineStr">
        <is>
          <t>100~125 mg/dL</t>
        </is>
      </c>
      <c r="F8" s="9" t="inlineStr">
        <is>
          <t>REFERENCE_ONLY</t>
        </is>
      </c>
      <c r="G8" s="9" t="inlineStr">
        <is>
          <t>KDA-2023</t>
        </is>
      </c>
      <c r="H8" s="9" t="inlineStr">
        <is>
          <t>검진 수치 단독 확진 금지</t>
        </is>
      </c>
    </row>
    <row r="9">
      <c r="A9" s="9" t="inlineStr">
        <is>
          <t>SUP-008</t>
        </is>
      </c>
      <c r="B9" s="9" t="inlineStr">
        <is>
          <t>LDL</t>
        </is>
      </c>
      <c r="C9" s="9" t="inlineStr">
        <is>
          <t>ALL</t>
        </is>
      </c>
      <c r="D9" s="9" t="inlineStr">
        <is>
          <t>적정</t>
        </is>
      </c>
      <c r="E9" s="9" t="inlineStr">
        <is>
          <t>&lt;100</t>
        </is>
      </c>
      <c r="F9" s="9" t="inlineStr">
        <is>
          <t>REFERENCE_ONLY</t>
        </is>
      </c>
      <c r="G9" s="9" t="inlineStr">
        <is>
          <t>KSoLA-2022</t>
        </is>
      </c>
      <c r="H9" s="9" t="n"/>
    </row>
    <row r="10">
      <c r="A10" s="9" t="inlineStr">
        <is>
          <t>SUP-009</t>
        </is>
      </c>
      <c r="B10" s="9" t="inlineStr">
        <is>
          <t>LDL</t>
        </is>
      </c>
      <c r="C10" s="9" t="inlineStr">
        <is>
          <t>ALL</t>
        </is>
      </c>
      <c r="D10" s="9" t="inlineStr">
        <is>
          <t>정상</t>
        </is>
      </c>
      <c r="E10" s="9" t="inlineStr">
        <is>
          <t>100~129</t>
        </is>
      </c>
      <c r="F10" s="9" t="inlineStr">
        <is>
          <t>REFERENCE_ONLY</t>
        </is>
      </c>
      <c r="G10" s="9" t="inlineStr">
        <is>
          <t>KSoLA-2022</t>
        </is>
      </c>
      <c r="H10" s="9" t="n"/>
    </row>
    <row r="11">
      <c r="A11" s="9" t="inlineStr">
        <is>
          <t>SUP-010</t>
        </is>
      </c>
      <c r="B11" s="9" t="inlineStr">
        <is>
          <t>LDL</t>
        </is>
      </c>
      <c r="C11" s="9" t="inlineStr">
        <is>
          <t>ALL</t>
        </is>
      </c>
      <c r="D11" s="9" t="inlineStr">
        <is>
          <t>경계</t>
        </is>
      </c>
      <c r="E11" s="9" t="inlineStr">
        <is>
          <t>130~159</t>
        </is>
      </c>
      <c r="F11" s="9" t="inlineStr">
        <is>
          <t>REFERENCE_ONLY</t>
        </is>
      </c>
      <c r="G11" s="9" t="inlineStr">
        <is>
          <t>KSoLA-2022</t>
        </is>
      </c>
      <c r="H11" s="9" t="n"/>
    </row>
    <row r="12">
      <c r="A12" s="9" t="inlineStr">
        <is>
          <t>SUP-011</t>
        </is>
      </c>
      <c r="B12" s="9" t="inlineStr">
        <is>
          <t>LDL</t>
        </is>
      </c>
      <c r="C12" s="9" t="inlineStr">
        <is>
          <t>ALL</t>
        </is>
      </c>
      <c r="D12" s="9" t="inlineStr">
        <is>
          <t>높음</t>
        </is>
      </c>
      <c r="E12" s="9" t="inlineStr">
        <is>
          <t>160~189</t>
        </is>
      </c>
      <c r="F12" s="9" t="inlineStr">
        <is>
          <t>REFERENCE_ONLY</t>
        </is>
      </c>
      <c r="G12" s="9" t="inlineStr">
        <is>
          <t>KSoLA-2022</t>
        </is>
      </c>
      <c r="H12" s="9" t="n"/>
    </row>
    <row r="13">
      <c r="A13" s="9" t="inlineStr">
        <is>
          <t>SUP-012</t>
        </is>
      </c>
      <c r="B13" s="9" t="inlineStr">
        <is>
          <t>LDL</t>
        </is>
      </c>
      <c r="C13" s="9" t="inlineStr">
        <is>
          <t>ALL</t>
        </is>
      </c>
      <c r="D13" s="9" t="inlineStr">
        <is>
          <t>매우 높음</t>
        </is>
      </c>
      <c r="E13" s="9" t="inlineStr">
        <is>
          <t>≥190</t>
        </is>
      </c>
      <c r="F13" s="9" t="inlineStr">
        <is>
          <t>REFERENCE_ONLY</t>
        </is>
      </c>
      <c r="G13" s="9" t="inlineStr">
        <is>
          <t>KSoLA-2022</t>
        </is>
      </c>
      <c r="H13" s="9" t="n"/>
    </row>
    <row r="14">
      <c r="A14" s="9" t="inlineStr">
        <is>
          <t>SUP-013</t>
        </is>
      </c>
      <c r="B14" s="9" t="inlineStr">
        <is>
          <t>TC</t>
        </is>
      </c>
      <c r="C14" s="9" t="inlineStr">
        <is>
          <t>ALL</t>
        </is>
      </c>
      <c r="D14" s="9" t="inlineStr">
        <is>
          <t>적정</t>
        </is>
      </c>
      <c r="E14" s="9" t="inlineStr">
        <is>
          <t>&lt;200</t>
        </is>
      </c>
      <c r="F14" s="9" t="inlineStr">
        <is>
          <t>REFERENCE_ONLY</t>
        </is>
      </c>
      <c r="G14" s="9" t="inlineStr">
        <is>
          <t>KSoLA-2022</t>
        </is>
      </c>
      <c r="H14" s="9" t="n"/>
    </row>
    <row r="15">
      <c r="A15" s="9" t="inlineStr">
        <is>
          <t>SUP-014</t>
        </is>
      </c>
      <c r="B15" s="9" t="inlineStr">
        <is>
          <t>TC</t>
        </is>
      </c>
      <c r="C15" s="9" t="inlineStr">
        <is>
          <t>ALL</t>
        </is>
      </c>
      <c r="D15" s="9" t="inlineStr">
        <is>
          <t>경계</t>
        </is>
      </c>
      <c r="E15" s="9" t="inlineStr">
        <is>
          <t>200~239</t>
        </is>
      </c>
      <c r="F15" s="9" t="inlineStr">
        <is>
          <t>REFERENCE_ONLY</t>
        </is>
      </c>
      <c r="G15" s="9" t="inlineStr">
        <is>
          <t>KSoLA-2022</t>
        </is>
      </c>
      <c r="H15" s="9" t="n"/>
    </row>
    <row r="16">
      <c r="A16" s="9" t="inlineStr">
        <is>
          <t>SUP-015</t>
        </is>
      </c>
      <c r="B16" s="9" t="inlineStr">
        <is>
          <t>TC</t>
        </is>
      </c>
      <c r="C16" s="9" t="inlineStr">
        <is>
          <t>ALL</t>
        </is>
      </c>
      <c r="D16" s="9" t="inlineStr">
        <is>
          <t>매우 높음</t>
        </is>
      </c>
      <c r="E16" s="9" t="inlineStr">
        <is>
          <t>≥240</t>
        </is>
      </c>
      <c r="F16" s="9" t="inlineStr">
        <is>
          <t>REFERENCE_ONLY</t>
        </is>
      </c>
      <c r="G16" s="9" t="inlineStr">
        <is>
          <t>KSoLA-2022</t>
        </is>
      </c>
      <c r="H16" s="9" t="n"/>
    </row>
    <row r="17">
      <c r="A17" s="9" t="inlineStr">
        <is>
          <t>SUP-016</t>
        </is>
      </c>
      <c r="B17" s="9" t="inlineStr">
        <is>
          <t>TG</t>
        </is>
      </c>
      <c r="C17" s="9" t="inlineStr">
        <is>
          <t>ALL</t>
        </is>
      </c>
      <c r="D17" s="9" t="inlineStr">
        <is>
          <t>적정</t>
        </is>
      </c>
      <c r="E17" s="9" t="inlineStr">
        <is>
          <t>&lt;150</t>
        </is>
      </c>
      <c r="F17" s="9" t="inlineStr">
        <is>
          <t>REFERENCE_ONLY</t>
        </is>
      </c>
      <c r="G17" s="9" t="inlineStr">
        <is>
          <t>KSoLA-2022</t>
        </is>
      </c>
      <c r="H17" s="9" t="n"/>
    </row>
    <row r="18">
      <c r="A18" s="9" t="inlineStr">
        <is>
          <t>SUP-017</t>
        </is>
      </c>
      <c r="B18" s="9" t="inlineStr">
        <is>
          <t>TG</t>
        </is>
      </c>
      <c r="C18" s="9" t="inlineStr">
        <is>
          <t>ALL</t>
        </is>
      </c>
      <c r="D18" s="9" t="inlineStr">
        <is>
          <t>경계</t>
        </is>
      </c>
      <c r="E18" s="9" t="inlineStr">
        <is>
          <t>150~199</t>
        </is>
      </c>
      <c r="F18" s="9" t="inlineStr">
        <is>
          <t>REFERENCE_ONLY</t>
        </is>
      </c>
      <c r="G18" s="9" t="inlineStr">
        <is>
          <t>KSoLA-2022</t>
        </is>
      </c>
      <c r="H18" s="9" t="n"/>
    </row>
    <row r="19">
      <c r="A19" s="9" t="inlineStr">
        <is>
          <t>SUP-018</t>
        </is>
      </c>
      <c r="B19" s="9" t="inlineStr">
        <is>
          <t>TG</t>
        </is>
      </c>
      <c r="C19" s="9" t="inlineStr">
        <is>
          <t>ALL</t>
        </is>
      </c>
      <c r="D19" s="9" t="inlineStr">
        <is>
          <t>높음</t>
        </is>
      </c>
      <c r="E19" s="9" t="inlineStr">
        <is>
          <t>200~499</t>
        </is>
      </c>
      <c r="F19" s="9" t="inlineStr">
        <is>
          <t>REFERENCE_ONLY</t>
        </is>
      </c>
      <c r="G19" s="9" t="inlineStr">
        <is>
          <t>KSoLA-2022</t>
        </is>
      </c>
      <c r="H19" s="9" t="n"/>
    </row>
    <row r="20">
      <c r="A20" s="9" t="inlineStr">
        <is>
          <t>SUP-019</t>
        </is>
      </c>
      <c r="B20" s="9" t="inlineStr">
        <is>
          <t>TG</t>
        </is>
      </c>
      <c r="C20" s="9" t="inlineStr">
        <is>
          <t>ALL</t>
        </is>
      </c>
      <c r="D20" s="9" t="inlineStr">
        <is>
          <t>매우 높음</t>
        </is>
      </c>
      <c r="E20" s="9" t="inlineStr">
        <is>
          <t>≥500</t>
        </is>
      </c>
      <c r="F20" s="9" t="inlineStr">
        <is>
          <t>REFERENCE_ONLY</t>
        </is>
      </c>
      <c r="G20" s="9" t="inlineStr">
        <is>
          <t>KSoLA-2022</t>
        </is>
      </c>
      <c r="H20" s="9" t="n"/>
    </row>
    <row r="21">
      <c r="A21" s="9" t="inlineStr">
        <is>
          <t>SUP-020</t>
        </is>
      </c>
      <c r="B21" s="9" t="inlineStr">
        <is>
          <t>HDL</t>
        </is>
      </c>
      <c r="C21" s="9" t="inlineStr">
        <is>
          <t>ALL</t>
        </is>
      </c>
      <c r="D21" s="9" t="inlineStr">
        <is>
          <t>적정</t>
        </is>
      </c>
      <c r="E21" s="9" t="inlineStr">
        <is>
          <t>≥60</t>
        </is>
      </c>
      <c r="F21" s="9" t="inlineStr">
        <is>
          <t>REFERENCE_ONLY</t>
        </is>
      </c>
      <c r="G21" s="9" t="inlineStr">
        <is>
          <t>KSoLA-2022</t>
        </is>
      </c>
      <c r="H21" s="9" t="n"/>
    </row>
    <row r="22">
      <c r="A22" s="9" t="inlineStr">
        <is>
          <t>SUP-021</t>
        </is>
      </c>
      <c r="B22" s="9" t="inlineStr">
        <is>
          <t>HDL</t>
        </is>
      </c>
      <c r="C22" s="9" t="inlineStr">
        <is>
          <t>ALL</t>
        </is>
      </c>
      <c r="D22" s="9" t="inlineStr">
        <is>
          <t>낮음</t>
        </is>
      </c>
      <c r="E22" s="9" t="inlineStr">
        <is>
          <t>&lt;60</t>
        </is>
      </c>
      <c r="F22" s="9" t="inlineStr">
        <is>
          <t>REFERENCE_ONLY</t>
        </is>
      </c>
      <c r="G22" s="9" t="inlineStr">
        <is>
          <t>KSoLA-2022</t>
        </is>
      </c>
      <c r="H22" s="9" t="n"/>
    </row>
    <row r="23">
      <c r="A23" s="9" t="inlineStr">
        <is>
          <t>SUP-022</t>
        </is>
      </c>
      <c r="B23" s="9" t="inlineStr">
        <is>
          <t>EGFR</t>
        </is>
      </c>
      <c r="C23" s="9" t="inlineStr">
        <is>
          <t>ALL</t>
        </is>
      </c>
      <c r="D23" s="9" t="inlineStr">
        <is>
          <t>G1</t>
        </is>
      </c>
      <c r="E23" s="9" t="inlineStr">
        <is>
          <t>≥90</t>
        </is>
      </c>
      <c r="F23" s="9" t="inlineStr">
        <is>
          <t>BAR_CONTEXT</t>
        </is>
      </c>
      <c r="G23" s="9" t="inlineStr">
        <is>
          <t>KDIGO-2024</t>
        </is>
      </c>
      <c r="H23" s="9" t="inlineStr">
        <is>
          <t>G2 단독으로 CKD 확진 아님. 배지 기준은 공단 60</t>
        </is>
      </c>
    </row>
    <row r="24">
      <c r="A24" s="9" t="inlineStr">
        <is>
          <t>SUP-023</t>
        </is>
      </c>
      <c r="B24" s="9" t="inlineStr">
        <is>
          <t>EGFR</t>
        </is>
      </c>
      <c r="C24" s="9" t="inlineStr">
        <is>
          <t>ALL</t>
        </is>
      </c>
      <c r="D24" s="9" t="inlineStr">
        <is>
          <t>G2</t>
        </is>
      </c>
      <c r="E24" s="9" t="inlineStr">
        <is>
          <t>60~89</t>
        </is>
      </c>
      <c r="F24" s="9" t="inlineStr">
        <is>
          <t>BAR_CONTEXT</t>
        </is>
      </c>
      <c r="G24" s="9" t="inlineStr">
        <is>
          <t>KDIGO-2024</t>
        </is>
      </c>
      <c r="H24" s="9" t="inlineStr">
        <is>
          <t>G2 단독으로 CKD 확진 아님. 배지 기준은 공단 60</t>
        </is>
      </c>
    </row>
    <row r="25">
      <c r="A25" s="9" t="inlineStr">
        <is>
          <t>SUP-024</t>
        </is>
      </c>
      <c r="B25" s="9" t="inlineStr">
        <is>
          <t>EGFR</t>
        </is>
      </c>
      <c r="C25" s="9" t="inlineStr">
        <is>
          <t>ALL</t>
        </is>
      </c>
      <c r="D25" s="9" t="inlineStr">
        <is>
          <t>G3a</t>
        </is>
      </c>
      <c r="E25" s="9" t="inlineStr">
        <is>
          <t>45~59</t>
        </is>
      </c>
      <c r="F25" s="9" t="inlineStr">
        <is>
          <t>BAR_CONTEXT</t>
        </is>
      </c>
      <c r="G25" s="9" t="inlineStr">
        <is>
          <t>KDIGO-2024</t>
        </is>
      </c>
      <c r="H25" s="9" t="inlineStr">
        <is>
          <t>G2 단독으로 CKD 확진 아님. 배지 기준은 공단 60</t>
        </is>
      </c>
    </row>
    <row r="26">
      <c r="A26" s="9" t="inlineStr">
        <is>
          <t>SUP-025</t>
        </is>
      </c>
      <c r="B26" s="9" t="inlineStr">
        <is>
          <t>EGFR</t>
        </is>
      </c>
      <c r="C26" s="9" t="inlineStr">
        <is>
          <t>ALL</t>
        </is>
      </c>
      <c r="D26" s="9" t="inlineStr">
        <is>
          <t>G3b</t>
        </is>
      </c>
      <c r="E26" s="9" t="inlineStr">
        <is>
          <t>30~44</t>
        </is>
      </c>
      <c r="F26" s="9" t="inlineStr">
        <is>
          <t>BAR_CONTEXT</t>
        </is>
      </c>
      <c r="G26" s="9" t="inlineStr">
        <is>
          <t>KDIGO-2024</t>
        </is>
      </c>
      <c r="H26" s="9" t="inlineStr">
        <is>
          <t>G2 단독으로 CKD 확진 아님. 배지 기준은 공단 60</t>
        </is>
      </c>
    </row>
    <row r="27">
      <c r="A27" s="9" t="inlineStr">
        <is>
          <t>SUP-026</t>
        </is>
      </c>
      <c r="B27" s="9" t="inlineStr">
        <is>
          <t>EGFR</t>
        </is>
      </c>
      <c r="C27" s="9" t="inlineStr">
        <is>
          <t>ALL</t>
        </is>
      </c>
      <c r="D27" s="9" t="inlineStr">
        <is>
          <t>G4</t>
        </is>
      </c>
      <c r="E27" s="9" t="inlineStr">
        <is>
          <t>15~29</t>
        </is>
      </c>
      <c r="F27" s="9" t="inlineStr">
        <is>
          <t>BAR_CONTEXT</t>
        </is>
      </c>
      <c r="G27" s="9" t="inlineStr">
        <is>
          <t>KDIGO-2024</t>
        </is>
      </c>
      <c r="H27" s="9" t="inlineStr">
        <is>
          <t>G2 단독으로 CKD 확진 아님. 배지 기준은 공단 60</t>
        </is>
      </c>
    </row>
    <row r="28">
      <c r="A28" s="9" t="inlineStr">
        <is>
          <t>SUP-027</t>
        </is>
      </c>
      <c r="B28" s="9" t="inlineStr">
        <is>
          <t>EGFR</t>
        </is>
      </c>
      <c r="C28" s="9" t="inlineStr">
        <is>
          <t>ALL</t>
        </is>
      </c>
      <c r="D28" s="9" t="inlineStr">
        <is>
          <t>G5</t>
        </is>
      </c>
      <c r="E28" s="9" t="inlineStr">
        <is>
          <t>&lt;15</t>
        </is>
      </c>
      <c r="F28" s="9" t="inlineStr">
        <is>
          <t>BAR_CONTEXT</t>
        </is>
      </c>
      <c r="G28" s="9" t="inlineStr">
        <is>
          <t>KDIGO-2024</t>
        </is>
      </c>
      <c r="H28" s="9" t="inlineStr">
        <is>
          <t>G2 단독으로 CKD 확진 아님. 배지 기준은 공단 60</t>
        </is>
      </c>
    </row>
    <row r="29">
      <c r="A29" s="9" t="inlineStr">
        <is>
          <t>SUP-028</t>
        </is>
      </c>
      <c r="B29" s="9" t="inlineStr">
        <is>
          <t>BMI</t>
        </is>
      </c>
      <c r="C29" s="9" t="inlineStr">
        <is>
          <t>ALL</t>
        </is>
      </c>
      <c r="D29" s="9" t="inlineStr">
        <is>
          <t>저체중</t>
        </is>
      </c>
      <c r="E29" s="9" t="inlineStr">
        <is>
          <t>&lt;18.5</t>
        </is>
      </c>
      <c r="F29" s="9" t="inlineStr">
        <is>
          <t>REFERENCE_ONLY</t>
        </is>
      </c>
      <c r="G29" s="9" t="inlineStr">
        <is>
          <t>KSSO-2022</t>
        </is>
      </c>
      <c r="H29" s="9" t="n"/>
    </row>
    <row r="30">
      <c r="A30" s="9" t="inlineStr">
        <is>
          <t>SUP-029</t>
        </is>
      </c>
      <c r="B30" s="9" t="inlineStr">
        <is>
          <t>BMI</t>
        </is>
      </c>
      <c r="C30" s="9" t="inlineStr">
        <is>
          <t>ALL</t>
        </is>
      </c>
      <c r="D30" s="9" t="inlineStr">
        <is>
          <t>정상</t>
        </is>
      </c>
      <c r="E30" s="9" t="inlineStr">
        <is>
          <t>18.5~22.9</t>
        </is>
      </c>
      <c r="F30" s="9" t="inlineStr">
        <is>
          <t>REFERENCE_ONLY</t>
        </is>
      </c>
      <c r="G30" s="9" t="inlineStr">
        <is>
          <t>KSSO-2022</t>
        </is>
      </c>
      <c r="H30" s="9" t="n"/>
    </row>
    <row r="31">
      <c r="A31" s="9" t="inlineStr">
        <is>
          <t>SUP-030</t>
        </is>
      </c>
      <c r="B31" s="9" t="inlineStr">
        <is>
          <t>BMI</t>
        </is>
      </c>
      <c r="C31" s="9" t="inlineStr">
        <is>
          <t>ALL</t>
        </is>
      </c>
      <c r="D31" s="9" t="inlineStr">
        <is>
          <t>비만 전단계</t>
        </is>
      </c>
      <c r="E31" s="9" t="inlineStr">
        <is>
          <t>23~24.9</t>
        </is>
      </c>
      <c r="F31" s="9" t="inlineStr">
        <is>
          <t>REFERENCE_ONLY</t>
        </is>
      </c>
      <c r="G31" s="9" t="inlineStr">
        <is>
          <t>KSSO-2022</t>
        </is>
      </c>
      <c r="H31" s="9" t="n"/>
    </row>
    <row r="32">
      <c r="A32" s="9" t="inlineStr">
        <is>
          <t>SUP-031</t>
        </is>
      </c>
      <c r="B32" s="9" t="inlineStr">
        <is>
          <t>BMI</t>
        </is>
      </c>
      <c r="C32" s="9" t="inlineStr">
        <is>
          <t>ALL</t>
        </is>
      </c>
      <c r="D32" s="9" t="inlineStr">
        <is>
          <t>1단계 비만</t>
        </is>
      </c>
      <c r="E32" s="9" t="inlineStr">
        <is>
          <t>25~29.9</t>
        </is>
      </c>
      <c r="F32" s="9" t="inlineStr">
        <is>
          <t>REFERENCE_ONLY</t>
        </is>
      </c>
      <c r="G32" s="9" t="inlineStr">
        <is>
          <t>KSSO-2022</t>
        </is>
      </c>
      <c r="H32" s="9" t="n"/>
    </row>
    <row r="33">
      <c r="A33" s="9" t="inlineStr">
        <is>
          <t>SUP-032</t>
        </is>
      </c>
      <c r="B33" s="9" t="inlineStr">
        <is>
          <t>BMI</t>
        </is>
      </c>
      <c r="C33" s="9" t="inlineStr">
        <is>
          <t>ALL</t>
        </is>
      </c>
      <c r="D33" s="9" t="inlineStr">
        <is>
          <t>2단계 비만</t>
        </is>
      </c>
      <c r="E33" s="9" t="inlineStr">
        <is>
          <t>30~34.9</t>
        </is>
      </c>
      <c r="F33" s="9" t="inlineStr">
        <is>
          <t>REFERENCE_ONLY</t>
        </is>
      </c>
      <c r="G33" s="9" t="inlineStr">
        <is>
          <t>KSSO-2022</t>
        </is>
      </c>
      <c r="H33" s="9" t="n"/>
    </row>
    <row r="34">
      <c r="A34" s="9" t="inlineStr">
        <is>
          <t>SUP-033</t>
        </is>
      </c>
      <c r="B34" s="9" t="inlineStr">
        <is>
          <t>BMI</t>
        </is>
      </c>
      <c r="C34" s="9" t="inlineStr">
        <is>
          <t>ALL</t>
        </is>
      </c>
      <c r="D34" s="9" t="inlineStr">
        <is>
          <t>3단계 비만</t>
        </is>
      </c>
      <c r="E34" s="9" t="inlineStr">
        <is>
          <t>≥35</t>
        </is>
      </c>
      <c r="F34" s="9" t="inlineStr">
        <is>
          <t>REFERENCE_ONLY</t>
        </is>
      </c>
      <c r="G34" s="9" t="inlineStr">
        <is>
          <t>KSSO-2022</t>
        </is>
      </c>
      <c r="H3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FF8EA6B8"/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0.58203125" customWidth="1" min="1" max="1"/>
    <col width="14.58203125" customWidth="1" min="2" max="2"/>
    <col width="20.58203125" customWidth="1" min="3" max="3"/>
    <col width="16.58203125" customWidth="1" min="4" max="4"/>
    <col width="19.58203125" customWidth="1" min="5" max="5"/>
    <col width="16.58203125" customWidth="1" min="6" max="6"/>
    <col width="29.58203125" customWidth="1" min="7" max="7"/>
    <col width="60.58203125" customWidth="1" min="8" max="8"/>
    <col width="23.58203125" customWidth="1" min="9" max="9"/>
  </cols>
  <sheetData>
    <row r="1" ht="28" customHeight="1">
      <c r="A1" s="8" t="inlineStr">
        <is>
          <t>metric_id</t>
        </is>
      </c>
      <c r="B1" s="8" t="inlineStr">
        <is>
          <t>priority_group</t>
        </is>
      </c>
      <c r="C1" s="8" t="inlineStr">
        <is>
          <t>eligible_band</t>
        </is>
      </c>
      <c r="D1" s="8" t="inlineStr">
        <is>
          <t>goal_axis_status</t>
        </is>
      </c>
      <c r="E1" s="8" t="inlineStr">
        <is>
          <t>phrase_status</t>
        </is>
      </c>
      <c r="F1" s="8" t="inlineStr">
        <is>
          <t>axis_question_id</t>
        </is>
      </c>
      <c r="G1" s="8" t="inlineStr">
        <is>
          <t>selection_policy</t>
        </is>
      </c>
      <c r="H1" s="8" t="inlineStr">
        <is>
          <t>source_note</t>
        </is>
      </c>
      <c r="I1" s="7" t="inlineStr">
        <is>
          <t>minimum_value_inclusive</t>
        </is>
      </c>
    </row>
    <row r="2" ht="25" customHeight="1">
      <c r="A2" s="9" t="inlineStr">
        <is>
          <t>FPG</t>
        </is>
      </c>
      <c r="B2" s="9" t="n">
        <v>1</v>
      </c>
      <c r="C2" s="9" t="inlineStr">
        <is>
          <t>NORMAL_B,SUSPECT</t>
        </is>
      </c>
      <c r="D2" s="9" t="inlineStr">
        <is>
          <t>MAPPED</t>
        </is>
      </c>
      <c r="E2" s="9" t="inlineStr">
        <is>
          <t>REUSE_AXIS_POOL</t>
        </is>
      </c>
      <c r="F2" s="9" t="inlineStr">
        <is>
          <t>DIET-Q-01</t>
        </is>
      </c>
      <c r="G2" s="9" t="inlineStr">
        <is>
          <t>SELECT_EXISTING_AXIS_POOL</t>
        </is>
      </c>
      <c r="H2" s="10" t="inlineStr">
        <is>
          <t>혈당 신호는 채소 축에 연결. 단 음료·단 간식 축은 저혈당 처치 구분(I-08) 확정 전 제외</t>
        </is>
      </c>
      <c r="I2" s="6" t="n"/>
    </row>
    <row r="3">
      <c r="A3" s="9" t="inlineStr">
        <is>
          <t>BP</t>
        </is>
      </c>
      <c r="B3" s="9" t="n">
        <v>2</v>
      </c>
      <c r="C3" s="9" t="inlineStr">
        <is>
          <t>NORMAL_B,SUSPECT</t>
        </is>
      </c>
      <c r="D3" s="9" t="inlineStr">
        <is>
          <t>MAPPED</t>
        </is>
      </c>
      <c r="E3" s="9" t="inlineStr">
        <is>
          <t>REUSE_AXIS_POOL</t>
        </is>
      </c>
      <c r="F3" s="9" t="inlineStr">
        <is>
          <t>DIET-Q-03</t>
        </is>
      </c>
      <c r="G3" s="9" t="inlineStr">
        <is>
          <t>SELECT_EXISTING_AXIS_POOL</t>
        </is>
      </c>
      <c r="H3" s="10" t="inlineStr">
        <is>
          <t>혈압 신호는 짠맛·국물 축에 연결</t>
        </is>
      </c>
      <c r="I3" s="6" t="n"/>
    </row>
    <row r="4">
      <c r="A4" s="9" t="inlineStr">
        <is>
          <t>TC</t>
        </is>
      </c>
      <c r="B4" s="9" t="n">
        <v>3</v>
      </c>
      <c r="C4" s="9" t="inlineStr">
        <is>
          <t>NORMAL_B,SUSPECT</t>
        </is>
      </c>
      <c r="D4" s="9" t="inlineStr">
        <is>
          <t>MAPPED</t>
        </is>
      </c>
      <c r="E4" s="9" t="inlineStr">
        <is>
          <t>REUSE_AXIS_POOL</t>
        </is>
      </c>
      <c r="F4" s="9" t="inlineStr">
        <is>
          <t>DIET-Q-07</t>
        </is>
      </c>
      <c r="G4" s="9" t="inlineStr">
        <is>
          <t>SELECT_EXISTING_AXIS_POOL</t>
        </is>
      </c>
      <c r="H4" s="10" t="inlineStr">
        <is>
          <t>총콜레스테롤 신호는 기름진 음식 축에 연결</t>
        </is>
      </c>
      <c r="I4" s="6" t="n"/>
    </row>
    <row r="5">
      <c r="A5" s="9" t="inlineStr">
        <is>
          <t>BMI</t>
        </is>
      </c>
      <c r="B5" s="9" t="n">
        <v>3</v>
      </c>
      <c r="C5" s="9" t="inlineStr">
        <is>
          <t>NORMAL_B,SUSPECT</t>
        </is>
      </c>
      <c r="D5" s="9" t="inlineStr">
        <is>
          <t>MAPPED</t>
        </is>
      </c>
      <c r="E5" s="9" t="inlineStr">
        <is>
          <t>REUSE_AXIS_POOL</t>
        </is>
      </c>
      <c r="F5" s="9" t="inlineStr">
        <is>
          <t>DIET-Q-05</t>
        </is>
      </c>
      <c r="G5" s="9" t="inlineStr">
        <is>
          <t>SELECT_EXISTING_AXIS_POOL</t>
        </is>
      </c>
      <c r="H5" s="10" t="inlineStr">
        <is>
          <t>BMI 원본값 25 이상만 식사 속도·양 축에 연결. 저체중 SUSPECT는 제외</t>
        </is>
      </c>
      <c r="I5" s="6" t="n">
        <v>25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FF8EA6B8"/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0.58203125" customWidth="1" min="1" max="1"/>
    <col width="14.58203125" customWidth="1" min="2" max="2"/>
    <col width="51.58203125" customWidth="1" min="3" max="3"/>
    <col width="14.58203125" customWidth="1" min="4" max="4"/>
    <col width="18.58203125" customWidth="1" min="5" max="5"/>
    <col width="26.58203125" customWidth="1" min="6" max="6"/>
  </cols>
  <sheetData>
    <row r="1" ht="28" customHeight="1">
      <c r="A1" s="8" t="inlineStr">
        <is>
          <t>policy_id</t>
        </is>
      </c>
      <c r="B1" s="8" t="inlineStr">
        <is>
          <t>policy_name</t>
        </is>
      </c>
      <c r="C1" s="8" t="inlineStr">
        <is>
          <t>value_text</t>
        </is>
      </c>
      <c r="D1" s="8" t="inlineStr">
        <is>
          <t>number_value</t>
        </is>
      </c>
      <c r="E1" s="8" t="inlineStr">
        <is>
          <t>source_id</t>
        </is>
      </c>
      <c r="F1" s="8" t="inlineStr">
        <is>
          <t>data_status</t>
        </is>
      </c>
    </row>
    <row r="2">
      <c r="A2" s="9" t="inlineStr">
        <is>
          <t>PEER-01</t>
        </is>
      </c>
      <c r="B2" s="9" t="inlineStr">
        <is>
          <t>기준 모집단</t>
        </is>
      </c>
      <c r="C2" s="9" t="inlineStr">
        <is>
          <t>국민건강보험공단 건강검진정보 성별 × 5세 연령대 표본</t>
        </is>
      </c>
      <c r="D2" s="9" t="n"/>
      <c r="E2" s="9" t="inlineStr">
        <is>
          <t>MAI-REF-20260914</t>
        </is>
      </c>
      <c r="F2" s="9" t="inlineStr">
        <is>
          <t>NEEDS_PERCENTILE_TABLE</t>
        </is>
      </c>
    </row>
    <row r="3">
      <c r="A3" s="9" t="inlineStr">
        <is>
          <t>PEER-02</t>
        </is>
      </c>
      <c r="B3" s="9" t="inlineStr">
        <is>
          <t>표본 최소 건수</t>
        </is>
      </c>
      <c r="C3" s="9" t="inlineStr">
        <is>
          <t>500명 미만이면 인접 연령대 합산</t>
        </is>
      </c>
      <c r="D3" s="9" t="n">
        <v>500</v>
      </c>
      <c r="E3" s="9" t="inlineStr">
        <is>
          <t>MAI-REF-20260914</t>
        </is>
      </c>
      <c r="F3" s="9" t="inlineStr">
        <is>
          <t>POLICY_ONLY</t>
        </is>
      </c>
    </row>
    <row r="4">
      <c r="A4" s="9" t="inlineStr">
        <is>
          <t>PEER-03</t>
        </is>
      </c>
      <c r="B4" s="9" t="inlineStr">
        <is>
          <t>백분위</t>
        </is>
      </c>
      <c r="C4" s="9" t="inlineStr">
        <is>
          <t>P = (나보다 작은 사람 수 + 0.5 × 같은 사람 수) / N × 100</t>
        </is>
      </c>
      <c r="D4" s="9" t="n"/>
      <c r="E4" s="9" t="inlineStr">
        <is>
          <t>MAI-REF-20260914</t>
        </is>
      </c>
      <c r="F4" s="9" t="inlineStr">
        <is>
          <t>POLICY_ONLY</t>
        </is>
      </c>
    </row>
    <row r="5">
      <c r="A5" s="9" t="inlineStr">
        <is>
          <t>PEER-04</t>
        </is>
      </c>
      <c r="B5" s="9" t="inlineStr">
        <is>
          <t>등수</t>
        </is>
      </c>
      <c r="C5" s="9" t="inlineStr">
        <is>
          <t>ceil(P), 0이면 1; 범위 1~100</t>
        </is>
      </c>
      <c r="D5" s="9" t="n"/>
      <c r="E5" s="9" t="inlineStr">
        <is>
          <t>MAI-REF-20260914</t>
        </is>
      </c>
      <c r="F5" s="9" t="inlineStr">
        <is>
          <t>POLICY_ONLY</t>
        </is>
      </c>
    </row>
    <row r="6">
      <c r="A6" s="9" t="inlineStr">
        <is>
          <t>PEER-05</t>
        </is>
      </c>
      <c r="B6" s="9" t="inlineStr">
        <is>
          <t>5구간</t>
        </is>
      </c>
      <c r="C6" s="9" t="inlineStr">
        <is>
          <t>ceil(등수 / 20)</t>
        </is>
      </c>
      <c r="D6" s="9" t="n">
        <v>20</v>
      </c>
      <c r="E6" s="9" t="inlineStr">
        <is>
          <t>MAI-REF-20260914</t>
        </is>
      </c>
      <c r="F6" s="9" t="inlineStr">
        <is>
          <t>POLICY_ONLY</t>
        </is>
      </c>
    </row>
    <row r="7">
      <c r="A7" s="9" t="inlineStr">
        <is>
          <t>PEER-06</t>
        </is>
      </c>
      <c r="B7" s="9" t="inlineStr">
        <is>
          <t>갱신</t>
        </is>
      </c>
      <c r="C7" s="9" t="inlineStr">
        <is>
          <t>분포표 연 1회 갱신하고 요약 저장 시 버전 기록</t>
        </is>
      </c>
      <c r="D7" s="9" t="n">
        <v>1</v>
      </c>
      <c r="E7" s="9" t="inlineStr">
        <is>
          <t>MAI-REF-20260914</t>
        </is>
      </c>
      <c r="F7" s="9" t="inlineStr">
        <is>
          <t>POLICY_ONLY</t>
        </is>
      </c>
    </row>
    <row r="8">
      <c r="A8" s="9" t="inlineStr">
        <is>
          <t>PEER-07</t>
        </is>
      </c>
      <c r="B8" s="9" t="inlineStr">
        <is>
          <t>데이터 없음</t>
        </is>
      </c>
      <c r="C8" s="9" t="inlineStr">
        <is>
          <t>합산 후에도 표본 부족 시 또래 비교 데이터를 준비 중이에요</t>
        </is>
      </c>
      <c r="D8" s="9" t="n"/>
      <c r="E8" s="9" t="inlineStr">
        <is>
          <t>MAI-REF-20260914</t>
        </is>
      </c>
      <c r="F8" s="9" t="inlineStr">
        <is>
          <t>POLICY_ONLY</t>
        </is>
      </c>
    </row>
    <row r="9">
      <c r="A9" s="9" t="inlineStr">
        <is>
          <t>PEER-08</t>
        </is>
      </c>
      <c r="B9" s="9" t="inlineStr">
        <is>
          <t>자녀 프로필</t>
        </is>
      </c>
      <c r="C9" s="9" t="inlineStr">
        <is>
          <t>성인 검진 표본을 쓰지 않고 소아청소년 성장도표를 따로 사용</t>
        </is>
      </c>
      <c r="D9" s="9" t="n"/>
      <c r="E9" s="9" t="inlineStr">
        <is>
          <t>MAI-REF-20260914</t>
        </is>
      </c>
      <c r="F9" s="9" t="inlineStr">
        <is>
          <t>NEEDS_PERCENTILE_TABLE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FF8EA6B8"/>
    <outlinePr summaryBelow="1" summaryRight="1"/>
    <pageSetUpPr/>
  </sheetPr>
  <dimension ref="A1:D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0.58203125" customWidth="1" min="1" max="1"/>
    <col width="28.58203125" customWidth="1" min="2" max="2"/>
    <col width="60.58203125" customWidth="1" min="3" max="4"/>
  </cols>
  <sheetData>
    <row r="1">
      <c r="A1" s="8" t="inlineStr">
        <is>
          <t>규칙 ID</t>
        </is>
      </c>
      <c r="B1" s="8" t="inlineStr">
        <is>
          <t>대상</t>
        </is>
      </c>
      <c r="C1" s="8" t="inlineStr">
        <is>
          <t>검사</t>
        </is>
      </c>
      <c r="D1" s="8" t="inlineStr">
        <is>
          <t>실패 시 처리</t>
        </is>
      </c>
    </row>
    <row r="2">
      <c r="A2" s="9" t="inlineStr">
        <is>
          <t>V-01</t>
        </is>
      </c>
      <c r="B2" s="9" t="inlineStr">
        <is>
          <t>질문</t>
        </is>
      </c>
      <c r="C2" s="10" t="inlineStr">
        <is>
          <t>question_id + question_version 유일</t>
        </is>
      </c>
      <c r="D2" s="10" t="inlineStr">
        <is>
          <t>중복 질문 버전 적재 거부</t>
        </is>
      </c>
    </row>
    <row r="3">
      <c r="A3" s="9" t="inlineStr">
        <is>
          <t>V-02</t>
        </is>
      </c>
      <c r="B3" s="9" t="inlineStr">
        <is>
          <t>선택지</t>
        </is>
      </c>
      <c r="C3" s="10" t="inlineStr">
        <is>
          <t>모든 질문 ID·버전마다 선택지 정확히 3개. option_order는 1, 2, 3</t>
        </is>
      </c>
      <c r="D3" s="10" t="inlineStr">
        <is>
          <t>선택지 누락·중복과 순서 공백 적재 거부</t>
        </is>
      </c>
    </row>
    <row r="4" ht="25" customHeight="1">
      <c r="A4" s="9" t="inlineStr">
        <is>
          <t>V-03</t>
        </is>
      </c>
      <c r="B4" s="9" t="inlineStr">
        <is>
          <t>선택지</t>
        </is>
      </c>
      <c r="C4" s="10" t="inlineStr">
        <is>
          <t>unknown 선택지 코드는 사용하지 않음. 답변이 없으면 질문 상태 PENDING으로 유지하고 diet_answer 행을 만들지 않음</t>
        </is>
      </c>
      <c r="D4" s="10" t="inlineStr">
        <is>
          <t>미응답을 ANSWERED·0점·개선 필요로 치환하지 않고 목표 잠금 유지</t>
        </is>
      </c>
    </row>
    <row r="5">
      <c r="A5" s="9" t="inlineStr">
        <is>
          <t>V-04</t>
        </is>
      </c>
      <c r="B5" s="9" t="inlineStr">
        <is>
          <t>목표문구</t>
        </is>
      </c>
      <c r="C5" s="10" t="inlineStr">
        <is>
          <t>phrase_id + phrase_version 유일</t>
        </is>
      </c>
      <c r="D5" s="10" t="inlineStr">
        <is>
          <t>중복 문구 버전 적재 거부</t>
        </is>
      </c>
    </row>
    <row r="6" ht="50" customHeight="1">
      <c r="A6" s="9" t="inlineStr">
        <is>
          <t>V-05</t>
        </is>
      </c>
      <c r="B6" s="9" t="inlineStr">
        <is>
          <t>목표문구</t>
        </is>
      </c>
      <c r="C6" s="4" t="inlineStr">
        <is>
          <t>tile_text 띄어쓰기 포함 12자 이내(09-29 확정, 화면 폭 한도 22자 이하는 필수). 10-07 이전 문구 중 12자를 넘는 5개는 그대로 둠(10-13 결정); reason_text 비어 있지 않음; full_text 비어 있지 않음 · 띄어쓰기 포함 40자 이내 · 마침표로 끝남(10-13 추가)</t>
        </is>
      </c>
      <c r="D6" s="10" t="inlineStr">
        <is>
          <t>화면 문구 누락·초과 적재 거부</t>
        </is>
      </c>
    </row>
    <row r="7" ht="25" customHeight="1">
      <c r="A7" s="9" t="inlineStr">
        <is>
          <t>V-06</t>
        </is>
      </c>
      <c r="B7" s="9" t="inlineStr">
        <is>
          <t>노출조건</t>
        </is>
      </c>
      <c r="C7" s="10" t="inlineStr">
        <is>
          <t>parse_status는 READY만 사용한다. time_code와 calendar_code를 앱 진입 시각과 현지 실행 날짜로 판정한다.</t>
        </is>
      </c>
      <c r="D7" s="10" t="inlineStr">
        <is>
          <t>READY가 아니면 노출 보류. 알 수 없는 상태 코드도 적재 거부. READY여도 시간·평일/주말 조건이 맞지 않으면 후보에서 제외</t>
        </is>
      </c>
    </row>
    <row r="8">
      <c r="A8" s="9" t="inlineStr">
        <is>
          <t>V-07</t>
        </is>
      </c>
      <c r="B8" s="9" t="inlineStr">
        <is>
          <t>질환연결축</t>
        </is>
      </c>
      <c r="C8" s="10" t="inlineStr">
        <is>
          <t>question_id는 질문 테이블에 존재</t>
        </is>
      </c>
      <c r="D8" s="10" t="inlineStr">
        <is>
          <t>외래키 위반 적재 거부</t>
        </is>
      </c>
    </row>
    <row r="9">
      <c r="A9" s="9" t="inlineStr">
        <is>
          <t>V-08</t>
        </is>
      </c>
      <c r="B9" s="9" t="inlineStr">
        <is>
          <t>질환금지성격</t>
        </is>
      </c>
      <c r="C9" s="10" t="inlineStr">
        <is>
          <t>nature_code는 허용 5종</t>
        </is>
      </c>
      <c r="D9" s="10" t="inlineStr">
        <is>
          <t>알 수 없는 성격 적재 거부</t>
        </is>
      </c>
    </row>
    <row r="10">
      <c r="A10" s="9" t="inlineStr">
        <is>
          <t>V-09</t>
        </is>
      </c>
      <c r="B10" s="9" t="inlineStr">
        <is>
          <t>상병코드조건</t>
        </is>
      </c>
      <c r="C10" s="10" t="inlineStr">
        <is>
          <t>RANGE는 range_end 필수; EXACT/PREFIX는 range_end 없음</t>
        </is>
      </c>
      <c r="D10" s="10" t="inlineStr">
        <is>
          <t>매칭 조건 누락·모순 거부</t>
        </is>
      </c>
    </row>
    <row r="11">
      <c r="A11" s="9" t="inlineStr">
        <is>
          <t>V-10</t>
        </is>
      </c>
      <c r="B11" s="9" t="inlineStr">
        <is>
          <t>식이응답</t>
        </is>
      </c>
      <c r="C11" s="10" t="inlineStr">
        <is>
          <t>사용자+실제 끼니날짜+끼니+질문ID+버전의 최종 유효 응답 1건</t>
        </is>
      </c>
      <c r="D11" s="10" t="inlineStr">
        <is>
          <t>수정 이력을 보존하고 집계 중복 방지</t>
        </is>
      </c>
    </row>
    <row r="12">
      <c r="A12" s="9" t="inlineStr">
        <is>
          <t>V-11</t>
        </is>
      </c>
      <c r="B12" s="9" t="inlineStr">
        <is>
          <t>목표</t>
        </is>
      </c>
      <c r="C12" s="10" t="inlineStr">
        <is>
          <t>사용자+세션당 활성 목표 최대 1건</t>
        </is>
      </c>
      <c r="D12" s="10" t="inlineStr">
        <is>
          <t>재선정 시 리비전 증가·기존 완료 보존</t>
        </is>
      </c>
    </row>
    <row r="13">
      <c r="A13" s="9" t="inlineStr">
        <is>
          <t>V-12</t>
        </is>
      </c>
      <c r="B13" s="9" t="inlineStr">
        <is>
          <t>목표완료</t>
        </is>
      </c>
      <c r="C13" s="10" t="inlineStr">
        <is>
          <t>완료 여부는 사용자 토글만 변경</t>
        </is>
      </c>
      <c r="D13" s="10" t="inlineStr">
        <is>
          <t>질문 답변으로 자동 완료 금지</t>
        </is>
      </c>
    </row>
    <row r="14">
      <c r="A14" s="9" t="inlineStr">
        <is>
          <t>V-14</t>
        </is>
      </c>
      <c r="B14" s="9" t="inlineStr">
        <is>
          <t>후보선정</t>
        </is>
      </c>
      <c r="C14" s="10" t="inlineStr">
        <is>
          <t>금지 성격·시간·상황을 모든 대체 후보에 다시 적용</t>
        </is>
      </c>
      <c r="D14" s="10" t="inlineStr">
        <is>
          <t>하위 단계 우회 노출 방지</t>
        </is>
      </c>
    </row>
    <row r="15">
      <c r="A15" s="9" t="inlineStr">
        <is>
          <t>V-15</t>
        </is>
      </c>
      <c r="B15" s="9" t="inlineStr">
        <is>
          <t>검진판정</t>
        </is>
      </c>
      <c r="C15" s="10" t="inlineStr">
        <is>
          <t>결과지 판정이 있으면 계산 구간보다 우선</t>
        </is>
      </c>
      <c r="D15" s="10" t="inlineStr">
        <is>
          <t>검진기관 판정 덮어쓰기 금지</t>
        </is>
      </c>
    </row>
    <row r="16">
      <c r="A16" s="9" t="inlineStr">
        <is>
          <t>V-16</t>
        </is>
      </c>
      <c r="B16" s="9" t="inlineStr">
        <is>
          <t>검진판정</t>
        </is>
      </c>
      <c r="C16" s="10" t="inlineStr">
        <is>
          <t>동일 그룹 내 AND, 그룹 간 OR; 우선순위 1→2→3</t>
        </is>
      </c>
      <c r="D16" s="10" t="inlineStr">
        <is>
          <t>혈압·BMI 복합 조건 오판 방지</t>
        </is>
      </c>
    </row>
    <row r="17">
      <c r="A17" s="9" t="inlineStr">
        <is>
          <t>V-17</t>
        </is>
      </c>
      <c r="B17" s="9" t="inlineStr">
        <is>
          <t>검진판정</t>
        </is>
      </c>
      <c r="C17" s="10" t="inlineStr">
        <is>
          <t>성별 필수 항목에서 성별 미상 또는 구간 미매칭이면 UNCLASSIFIED</t>
        </is>
      </c>
      <c r="D17" s="10" t="inlineStr">
        <is>
          <t>임의 정상 보정 금지</t>
        </is>
      </c>
    </row>
    <row r="18" ht="25" customHeight="1">
      <c r="A18" s="9" t="inlineStr">
        <is>
          <t>V-18</t>
        </is>
      </c>
      <c r="B18" s="9" t="inlineStr">
        <is>
          <t>검진식이연결</t>
        </is>
      </c>
      <c r="C18" s="10" t="inlineStr">
        <is>
          <t>검진 신호의 axis_question_id는 실제 질문 축을 참조. 기존 축·단계 문구 풀에서 사용 상태·질환 금지·시간·상황 필터를 통과한 문구만 선정</t>
        </is>
      </c>
      <c r="D18" s="10" t="inlineStr">
        <is>
          <t>전용 문구 값이 공란이어도 기존 풀 재사용. 후보가 없으면 안전 안내로 종료</t>
        </is>
      </c>
    </row>
    <row r="19">
      <c r="A19" s="9" t="inlineStr">
        <is>
          <t>V-19</t>
        </is>
      </c>
      <c r="B19" s="9" t="inlineStr">
        <is>
          <t>또래등수</t>
        </is>
      </c>
      <c r="C19" s="10" t="inlineStr">
        <is>
          <t>실제 분포표 버전과 표본 수 없으면 순위 비표시</t>
        </is>
      </c>
      <c r="D19" s="10" t="inlineStr">
        <is>
          <t>공단 판정 경계값을 백분위로 오용 금지</t>
        </is>
      </c>
    </row>
    <row r="20" ht="25" customHeight="1">
      <c r="A20" s="9" t="inlineStr">
        <is>
          <t>V-20</t>
        </is>
      </c>
      <c r="B20" s="9" t="inlineStr">
        <is>
          <t>검진결과성분</t>
        </is>
      </c>
      <c r="C20" s="10" t="inlineStr">
        <is>
          <t>혈압은 SBP·DBP 각 1건; 단일 수치 항목은 VALUE 1건; 요단백은 PROTEIN_GRADE 1건</t>
        </is>
      </c>
      <c r="D20" s="10" t="inlineStr">
        <is>
          <t>성분 누락·중복 시 계산 판정 보류</t>
        </is>
      </c>
    </row>
    <row r="21" ht="25" customHeight="1">
      <c r="A21" s="9" t="inlineStr">
        <is>
          <t>V-21</t>
        </is>
      </c>
      <c r="B21" s="9" t="inlineStr">
        <is>
          <t>검진식이연결</t>
        </is>
      </c>
      <c r="C21" s="10" t="inlineStr">
        <is>
          <t>BMI 검진 연동은 원본 BMI 수치가 25 이상일 때만 실행. 수치가 없거나 25 미만이면 이 검진 신호로 자동 목표를 고르지 않음</t>
        </is>
      </c>
      <c r="D21" s="10" t="inlineStr">
        <is>
          <t>BMI 저체중 SUSPECT를 식사 속도·양 감량 목표에 연결하지 않음</t>
        </is>
      </c>
    </row>
    <row r="22" ht="25" customHeight="1">
      <c r="A22" s="9" t="inlineStr">
        <is>
          <t>V-22</t>
        </is>
      </c>
      <c r="B22" s="9" t="inlineStr">
        <is>
          <t>검진판정그룹</t>
        </is>
      </c>
      <c r="C22" s="10" t="inlineStr">
        <is>
          <t>rule_group_id 유일; 새 규칙 버전은 새 그룹 ID 사용. 조건·결과의 FK는 판정그룹 참조</t>
        </is>
      </c>
      <c r="D22" s="10" t="inlineStr">
        <is>
          <t>고아 조건·모호한 판정 근거 적재 거부</t>
        </is>
      </c>
    </row>
    <row r="23">
      <c r="A23" s="9" t="inlineStr">
        <is>
          <t>V-23</t>
        </is>
      </c>
      <c r="B23" s="9" t="inlineStr">
        <is>
          <t>검진결과성분</t>
        </is>
      </c>
      <c r="C23" s="10" t="inlineStr">
        <is>
          <t>항목별 성분규격과 키·형태 일치; 숫자와 범주 값은 정확히 한쪽만 존재</t>
        </is>
      </c>
      <c r="D23" s="10" t="inlineStr">
        <is>
          <t>혈압 성분 누락·범주 원문 미매핑 시 계산 판정 보류</t>
        </is>
      </c>
    </row>
    <row r="24">
      <c r="A24" s="9" t="inlineStr">
        <is>
          <t>V-24</t>
        </is>
      </c>
      <c r="B24" s="9" t="inlineStr">
        <is>
          <t>검진기관판정</t>
        </is>
      </c>
      <c r="C24" s="10" t="inlineStr">
        <is>
          <t>기관 판정 코드 매핑이 MAPPED일 때만 정규화 판정 우선 적용</t>
        </is>
      </c>
      <c r="D24" s="10" t="inlineStr">
        <is>
          <t>UNMAPPED 원문을 정상·질환의심으로 임의 변환 금지</t>
        </is>
      </c>
    </row>
    <row r="25" ht="25" customHeight="1">
      <c r="A25" s="9" t="inlineStr">
        <is>
          <t>V-25</t>
        </is>
      </c>
      <c r="B25" s="9" t="inlineStr">
        <is>
          <t>질환규칙</t>
        </is>
      </c>
      <c r="C25" s="10" t="inlineStr">
        <is>
          <t>금지 성격 제외를 대체 풀·하위 단계 탐색보다 먼저 적용하고, 대체 후보에도 다시 적용</t>
        </is>
      </c>
      <c r="D25" s="10" t="inlineStr">
        <is>
          <t>고위험 상태에서 다른 문구로 우회 노출 금지</t>
        </is>
      </c>
    </row>
    <row r="26" ht="25" customHeight="1">
      <c r="A26" s="9" t="inlineStr">
        <is>
          <t>V-26</t>
        </is>
      </c>
      <c r="B26" s="9" t="inlineStr">
        <is>
          <t>노출조건</t>
        </is>
      </c>
      <c r="C26" s="10" t="inlineStr">
        <is>
          <t>자동 조건은 시간대·평일·주말·명절·연휴로 제한한다. 명절·연휴는 백엔드 날짜 목록으로 판정하고 목록이 없으면 해당 문구를 제외한다.</t>
        </is>
      </c>
      <c r="D26" s="10" t="inlineStr">
        <is>
          <t>상황이나 명절을 추측하지 않는다. 00~04시에도 목표 기록의 session_date와 별도로 실제 행동 날짜의 평일·주말을 계산</t>
        </is>
      </c>
    </row>
    <row r="27" ht="25" customHeight="1">
      <c r="A27" s="9" t="inlineStr">
        <is>
          <t>V-27</t>
        </is>
      </c>
      <c r="B27" s="9" t="inlineStr">
        <is>
          <t>검진문구연결</t>
        </is>
      </c>
      <c r="C27" s="10" t="inlineStr">
        <is>
          <t>검진식이연결의 REUSE_AXIS_POOL은 정의된 axis_question_id의 기존 문구 풀 사용. HOLD_UNTIL_MAPPED는 축 연결도 없을 때만 자동 선정 금지</t>
        </is>
      </c>
      <c r="D27" s="10" t="inlineStr">
        <is>
          <t>전용 문구 ID가 비어 있다는 이유만으로 기존 축 재사용을 막지 않는다. 축 연결이나 통과 후보가 없으면 GUIDANCE_ONLY</t>
        </is>
      </c>
    </row>
    <row r="28">
      <c r="A28" s="9" t="inlineStr">
        <is>
          <t>V-28</t>
        </is>
      </c>
      <c r="B28" s="9" t="inlineStr">
        <is>
          <t>설정파라미터</t>
        </is>
      </c>
      <c r="C28" s="10" t="inlineStr">
        <is>
          <t>PARTIAL은 숫자 원소를 보존해도 원문 전체 실행 규칙으로 간주하지 않음</t>
        </is>
      </c>
      <c r="D28" s="10" t="inlineStr">
        <is>
          <t>분모·기간·예외 미정 규칙의 자동 집행 금지</t>
        </is>
      </c>
    </row>
    <row r="29" ht="37.5" customHeight="1">
      <c r="A29" s="6" t="inlineStr">
        <is>
          <t>V-29</t>
        </is>
      </c>
      <c r="B29" s="6" t="inlineStr">
        <is>
          <t>검진식이연결</t>
        </is>
      </c>
      <c r="C29" s="5" t="inlineStr">
        <is>
          <t>검진일과 목표 선정일을 한국 날짜로 비교. 검진일 &lt;= 선정일 &lt;= 검진일+3개월(달력 기준, 만료일 포함)인 결과만 사용. 검진일 미상·미래일·만료 후 결과는 제외; 유효한 결과가 여럿이면 최신 검진일 우선</t>
        </is>
      </c>
      <c r="D29" s="5" t="inlineStr">
        <is>
          <t>검진 기록·배지 보존과 별개. 만료 후 다음 날 목표부터 검진 분기 제외; 수신일·기기 측정일로 유효기간 연장 금지</t>
        </is>
      </c>
    </row>
    <row r="30" ht="62.5" customHeight="1">
      <c r="A30" s="6" t="inlineStr">
        <is>
          <t>V-30</t>
        </is>
      </c>
      <c r="B30" s="6" t="inlineStr">
        <is>
          <t>지난 끼니 판정</t>
        </is>
      </c>
      <c r="C30" s="5" t="inlineStr">
        <is>
          <t>사용자 시간대 04:00 세션 경계와 실제 달력일을 분리한다. 진입 시각별 지난 끼니: 00:00~04:00 어제 저녁 / 04:00~10:00 어제 저녁 / 10:00~12:00 오늘 아침 / 12:00~17:00 오늘 점심 / 17:00~24:00 오늘 저녁. 모든 경계 시각은 뒤 구간에 포함한다</t>
        </is>
      </c>
      <c r="D30" s="5" t="inlineStr">
        <is>
          <t>meal_date는 실제 끼니 날짜로 저장한다. 00:00~04:00의 어제 저녁은 실제 달력일의 전날 저녁이며 세션 날짜도 전날(04:00 경계)이다. 04:00 이후 새 세션에서 같은 meal_date·meal_type·question_id·question_version의 기존 유효 답이 있으면 재질문·중복 집계하지 않고 재사용한다. 재진입 시 미응답 문항만 새 진입 시각으로 갱신한다</t>
        </is>
      </c>
    </row>
    <row r="31">
      <c r="A31" s="6" t="inlineStr">
        <is>
          <t>V-31</t>
        </is>
      </c>
      <c r="B31" s="6" t="inlineStr">
        <is>
          <t>설정 출처</t>
        </is>
      </c>
      <c r="C31" s="5" t="inlineStr">
        <is>
          <t>source_row는 정수이며 setting_id가 같은 참조설정데이터의 실제 행과 일치</t>
        </is>
      </c>
      <c r="D31" s="5" t="inlineStr">
        <is>
          <t>타입 오류·잘못된 원본 행 적재 거부</t>
        </is>
      </c>
    </row>
    <row r="32" ht="25" customHeight="1">
      <c r="A32" s="6" t="inlineStr">
        <is>
          <t>V-32</t>
        </is>
      </c>
      <c r="B32" s="6" t="inlineStr">
        <is>
          <t>설정 일치</t>
        </is>
      </c>
      <c r="C32" s="5" t="inlineStr">
        <is>
          <t>설정파라미터의 시각·비율 값은 설정 본문과 일치. PARTIAL 및 NEEDS_STRUCTURING은 독립 실행 금지</t>
        </is>
      </c>
      <c r="D32" s="5" t="inlineStr">
        <is>
          <t>옛 12시·0.8 값 또는 부분 규칙의 자동 집행 거부</t>
        </is>
      </c>
    </row>
    <row r="33">
      <c r="A33" s="6" t="inlineStr">
        <is>
          <t>V-33</t>
        </is>
      </c>
      <c r="B33" s="6" t="inlineStr">
        <is>
          <t>검증규칙</t>
        </is>
      </c>
      <c r="C33" s="5" t="inlineStr">
        <is>
          <t>규칙 ID는 전체 시트에서 유일</t>
        </is>
      </c>
      <c r="D33" s="5" t="inlineStr">
        <is>
          <t>중복 규칙 ID 적재 거부</t>
        </is>
      </c>
    </row>
    <row r="34" ht="62.5" customHeight="1">
      <c r="A34" s="6" t="inlineStr">
        <is>
          <t>V-34</t>
        </is>
      </c>
      <c r="B34" s="6" t="inlineStr">
        <is>
          <t>식후 후보·상황·날짜·응답 재사용</t>
        </is>
      </c>
      <c r="C34" s="5" t="inlineStr">
        <is>
          <t>17:00~04:00 식후 목표는 after_dinner_eligible=true 및 parse_status=READY인 문구만 사용하고 질환별 금지·시간·달력·상황 필터를 모두 재적용. 평일·주말은 목표 실행 날짜, 목표·완료·목표분석 스트립은 04:00 경계 session_date, 질문 응답은 실제 meal_date 기준</t>
        </is>
      </c>
      <c r="D34" s="5" t="inlineStr">
        <is>
          <t>00~04시와 04~10시에 같은 (user_id,meal_date,meal_type,question_id,question_version)의 유효 답이 있으면 재질문·재집계하지 않는다. 각 세션의 ANSWERED 문항 상태 effective_answer_id는 그 유효 답을 참조한다. 유효 답이 없을 때만 질문; 식후 후보가 없으면 GUIDANCE_ONLY</t>
        </is>
      </c>
    </row>
    <row r="35">
      <c r="A35" s="6" t="inlineStr">
        <is>
          <t>V-35</t>
        </is>
      </c>
      <c r="B35" s="6" t="inlineStr">
        <is>
          <t>내정보질환매핑</t>
        </is>
      </c>
      <c r="C35" s="5" t="inlineStr">
        <is>
          <t>화면의 질환 코드 4개가 유일하고 각 코드의 질환규칙이 존재</t>
        </is>
      </c>
      <c r="D35" s="5" t="inlineStr">
        <is>
          <t>정의되지 않은 코드·중복 코드·없는 규칙 ID 적재 거부</t>
        </is>
      </c>
    </row>
    <row r="36" ht="25" customHeight="1">
      <c r="A36" s="6" t="inlineStr">
        <is>
          <t>V-36</t>
        </is>
      </c>
      <c r="B36" s="6" t="inlineStr">
        <is>
          <t>수동 질환 입력</t>
        </is>
      </c>
      <c r="C36" s="5" t="inlineStr">
        <is>
          <t>SELF_REPORTED는 진료정보 출처·임상 확진으로 승격하지 않음. MAPPED는 축·금지, SAFETY_ONLY는 금지만 적용</t>
        </is>
      </c>
      <c r="D36" s="5" t="inlineStr">
        <is>
          <t>만성 신장질환 직접 선택으로 새 연결 축을 만들지 않음</t>
        </is>
      </c>
    </row>
    <row r="37" ht="25" customHeight="1">
      <c r="A37" s="6" t="inlineStr">
        <is>
          <t>V-37</t>
        </is>
      </c>
      <c r="B37" s="6" t="inlineStr">
        <is>
          <t>수동 입력과 진료정보</t>
        </is>
      </c>
      <c r="C37" s="5" t="inlineStr">
        <is>
          <t>NONE은 수동 선택 0개로 저장하고 UNANSWERED와 구분. 진료정보 후보·확인·부정 원본은 별도 보존</t>
        </is>
      </c>
      <c r="D37" s="5" t="inlineStr">
        <is>
          <t>해당 없음 선택이나 수동 해제로 진료정보 상태 삭제 금지</t>
        </is>
      </c>
    </row>
    <row r="38" ht="25" customHeight="1">
      <c r="A38" s="6" t="inlineStr">
        <is>
          <t>V-38</t>
        </is>
      </c>
      <c r="B38" s="6" t="inlineStr">
        <is>
          <t>질환 변경 후 목표</t>
        </is>
      </c>
      <c r="C38" s="5" t="inlineStr">
        <is>
          <t>새 입력은 당일 미완료 목표 후보를 안전 필터로 재평가. 완료 목표와 과거 스냅샷은 보존</t>
        </is>
      </c>
      <c r="D38" s="5" t="inlineStr">
        <is>
          <t>재선정한 대체 후보에도 금지·시간·달력 조건 재적용. 후보 0개면 안내 상태</t>
        </is>
      </c>
    </row>
    <row r="39" ht="62.5" customHeight="1">
      <c r="A39" s="6" t="inlineStr">
        <is>
          <t>V-39</t>
        </is>
      </c>
      <c r="B39" s="6" t="inlineStr">
        <is>
          <t>목표 축</t>
        </is>
      </c>
      <c r="C39" s="27" t="inlineStr">
        <is>
          <t>목표 축은 그날 회전 질문으로 고른 축과 같다. 그 축에 금지·시간·상황 필터를 통과한 문구가 없을 때만 다음 축으로 내려가며, 그 순서는 직접 선택 → 사용자 확인 진료정보 → 3개월 이내 건강검진 신호 → 일반이다. 끼니 규칙 축도 일반 축에 포함한다. 같은 질환은 직접 선택 출처로 한 번만 반영. 금지 성격은 모든 출처를 합산</t>
        </is>
      </c>
      <c r="D39" s="5" t="inlineStr">
        <is>
          <t>통과 문구가 있는데도 질문과 다른 축에서 목표를 내거나, 안전 제외를 빠뜨리면 목표 생성 거부</t>
        </is>
      </c>
    </row>
    <row r="40" ht="25" customHeight="1">
      <c r="A40" s="6" t="inlineStr">
        <is>
          <t>V-40</t>
        </is>
      </c>
      <c r="B40" s="6" t="inlineStr">
        <is>
          <t>직접 선택 순서</t>
        </is>
      </c>
      <c r="C40" s="5" t="inlineStr">
        <is>
          <t>user_condition_selection.selection_order는 같은 사용자·리비전 안에서 1 이상의 정수이며 중복되지 않는다</t>
        </is>
      </c>
      <c r="D40" s="5" t="inlineStr">
        <is>
          <t>선택 순서 누락·중복·0 이하 값 적재 거부</t>
        </is>
      </c>
    </row>
    <row r="41" ht="25" customHeight="1">
      <c r="A41" s="6" t="inlineStr">
        <is>
          <t>V-41</t>
        </is>
      </c>
      <c r="B41" s="6" t="inlineStr">
        <is>
          <t>검진 신호 유효기간·대체 경로</t>
        </is>
      </c>
      <c r="C41" s="5" t="inlineStr">
        <is>
          <t>검진일이 목표 선정일보다 미래가 아니고 달력 기준 3개월 만료일 이내인 NORMAL_B·SUSPECT만 사용. 만료·후보 없음이면 일반 질문으로 이동</t>
        </is>
      </c>
      <c r="D41" s="5" t="inlineStr">
        <is>
          <t>미래·만료 검진의 목표 반영 및 다음 출처 이동 누락 시 목표 생성 거부</t>
        </is>
      </c>
    </row>
    <row r="42" ht="52" customHeight="1">
      <c r="A42" s="6" t="inlineStr">
        <is>
          <t>V-42</t>
        </is>
      </c>
      <c r="B42" s="6" t="inlineStr">
        <is>
          <t>목표 단계 변경</t>
        </is>
      </c>
      <c r="C42" s="20" t="inlineStr">
        <is>
          <t>마지막 변경 이후 56일 이내의 확정된 축 목표 최근 4건 중 3건 완료면 1단계 상승(확정된 축 목표 3건 미만이면 판단 안 함). 다만 그 축의 상태가 관찰 중이면 상승하지 않고, 개선 필요이면 기본까지만 올린다. 최근 2건 연속 미완료면 1단계 하락. 하락 우선·하루 1회·소급 완료 제외·안내만/회복/부담 줄이기 제외</t>
        </is>
      </c>
      <c r="D42" s="20" t="inlineStr">
        <is>
          <t>관찰 중인 축을 올리거나, 개선 필요인 축을 도전으로 올리거나, 소급 완료를 세거나, 확정된 축 목표 3건 미만에서 올리거나, 안내만·회복·부담 줄이기 목표를 세면 거부</t>
        </is>
      </c>
    </row>
    <row r="43" ht="25" customHeight="1">
      <c r="A43" s="6" t="inlineStr">
        <is>
          <t>V-43</t>
        </is>
      </c>
      <c r="B43" s="6" t="inlineStr">
        <is>
          <t>진료정보 질환 상태 집계</t>
        </is>
      </c>
      <c r="C43" s="5" t="inlineStr">
        <is>
          <t>같은 rule_id의 여러 진료 기록은 effective_at이 가장 최신인 상태 1건으로 집계하며 원본 기록은 보존한다. 시각이 없으면 수신 순서의 마지막 상태 사용</t>
        </is>
      </c>
      <c r="D43" s="5" t="inlineStr">
        <is>
          <t>중복 원본 삭제·오래된 상태 우선 적용 금지</t>
        </is>
      </c>
    </row>
    <row r="44" ht="37.5" customHeight="1">
      <c r="A44" s="6" t="inlineStr">
        <is>
          <t>V-44</t>
        </is>
      </c>
      <c r="B44" s="6" t="inlineStr">
        <is>
          <t>질환 확인 당일 질문 수</t>
        </is>
      </c>
      <c r="C44" s="5" t="inlineStr">
        <is>
          <t>식이 질문은 세션당 최대 2개. 미확인 진료 질환이 있으면 확인 질문을 첫째로 내고 USER_CONFIRMED이면 해당 질환 회전, DENIED·UNKNOWN이면 공통 고정을 둘째로 낸다. 다른 슬롯은 조건상 생략한다.</t>
        </is>
      </c>
      <c r="D44" s="5" t="inlineStr">
        <is>
          <t>확인+고정+회전 3개 동시 생성, 확인 당일 다른 질환 확인 추가, USER_CONFIRMED 뒤 공통 고정 생성 시 거부</t>
        </is>
      </c>
    </row>
    <row r="45" ht="37.5" customHeight="1">
      <c r="A45" s="6" t="inlineStr">
        <is>
          <t>V-45</t>
        </is>
      </c>
      <c r="B45" s="6" t="inlineStr">
        <is>
          <t>목표 문구 반복 방지</t>
        </is>
      </c>
      <c r="C45" s="5" t="inlineStr">
        <is>
          <t>일반·식후 목표 후보를 모두 필터링한 뒤 최근 30일에 노출되지 않은 문구를 phrase_id 순으로 먼저 선택한다. 모두 노출됐다면 마지막 노출이 가장 오래된 문구를 선택한다.</t>
        </is>
      </c>
      <c r="D45" s="5" t="inlineStr">
        <is>
          <t>최근 노출 이력을 조회하지 않거나 display_order·phrase_id의 고정 최솟값만 매번 선택하면 거부</t>
        </is>
      </c>
    </row>
    <row r="46" ht="25" customHeight="1">
      <c r="A46" s="6" t="inlineStr">
        <is>
          <t>V-46</t>
        </is>
      </c>
      <c r="B46" s="6" t="inlineStr">
        <is>
          <t>질환 확인 답 점수</t>
        </is>
      </c>
      <c r="C46" s="5" t="inlineStr">
        <is>
          <t>question_role이 CONFIRMATION인 질문의 선택지는 score_value가 모두 비어 있어야 하며, 그 답은 축 상태 집계와 최근 7건 계산에 넣지 않는다</t>
        </is>
      </c>
      <c r="D46" s="5" t="inlineStr">
        <is>
          <t>확인 답에 점수를 넣거나 축 관찰 건수로 세면 거부</t>
        </is>
      </c>
    </row>
    <row r="47" ht="25" customHeight="1">
      <c r="A47" s="6" t="inlineStr">
        <is>
          <t>V-47</t>
        </is>
      </c>
      <c r="B47" s="6" t="inlineStr">
        <is>
          <t>확인 질문 묶음</t>
        </is>
      </c>
      <c r="C47" s="5" t="inlineStr">
        <is>
          <t>확인 질문은 rule_id가 아니라 confirmation_label 기준으로 묶어 한 번만 낸다. 답 하나를 같은 표기를 가진 모든 rule_id의 confirmation_state에 똑같이 기록한다</t>
        </is>
      </c>
      <c r="D47" s="5" t="inlineStr">
        <is>
          <t>표기가 같은 질환을 두 번 묻거나, 한쪽 rule_id에만 상태를 기록하면 거부</t>
        </is>
      </c>
    </row>
    <row r="48" ht="25" customHeight="1">
      <c r="A48" s="6" t="inlineStr">
        <is>
          <t>V-48</t>
        </is>
      </c>
      <c r="B48" s="6" t="inlineStr">
        <is>
          <t>확인 질문 순서</t>
        </is>
      </c>
      <c r="C48" s="5" t="inlineStr">
        <is>
          <t>확인 대기 질환이 둘 이상이면 source_visit_date 내림차순으로 하루 한 묶음씩 낸다. 날짜가 같거나 없으면 rule_id 오름차순으로 가른다</t>
        </is>
      </c>
      <c r="D48" s="5" t="inlineStr">
        <is>
          <t>순서를 정하지 않아 구현마다 달라지거나, 하루에 두 묶음 이상을 내면 거부</t>
        </is>
      </c>
    </row>
    <row r="49" ht="26" customHeight="1">
      <c r="A49" s="6" t="inlineStr">
        <is>
          <t>V-49</t>
        </is>
      </c>
      <c r="B49" s="6" t="inlineStr">
        <is>
          <t>선택지 길이</t>
        </is>
      </c>
      <c r="C49" s="20" t="inlineStr">
        <is>
          <t>option_label은 띄어쓰기 포함 7자 이내(5~7자)여야 한다. 답 버튼 폭이 고정이라 그보다 길면 버튼 높이가 혼자 늘어난다</t>
        </is>
      </c>
      <c r="D49" s="20" t="inlineStr">
        <is>
          <t>7자를 넘는 선택지를 적재하면 거부</t>
        </is>
      </c>
    </row>
    <row r="50" ht="25" customHeight="1">
      <c r="A50" s="6" t="inlineStr">
        <is>
          <t>V-50</t>
        </is>
      </c>
      <c r="B50" s="6" t="inlineStr">
        <is>
          <t>질문 축과 목표 축 일치</t>
        </is>
      </c>
      <c r="C50" s="27" t="inlineStr">
        <is>
          <t>목표 축은 그날 회전 질문 축과 같아야 한다. 그 축에 통과 문구가 없어 다음 축(끼니 규칙 축 포함)으로 내려간 경우만 다를 수 있고, 그때는 내려간 사유를 남긴다</t>
        </is>
      </c>
      <c r="D50" s="5" t="inlineStr">
        <is>
          <t>통과 문구가 있는데도 두 축이 다르거나, 사유 없이 다르면 거부</t>
        </is>
      </c>
    </row>
    <row r="51" ht="39" customHeight="1">
      <c r="A51" s="19" t="inlineStr">
        <is>
          <t>V-51</t>
        </is>
      </c>
      <c r="B51" s="19" t="inlineStr">
        <is>
          <t>같은 축 연속 제한 기준</t>
        </is>
      </c>
      <c r="C51" s="20" t="inlineStr">
        <is>
          <t>CFG-018의 같은 축 연속 제한(3일)은 답한 날이 아니라 질문이 나간 날을 센다. 어제까지 3일 연속 질문이 나간 축은 오늘 회전 후보에서 뺀다. 빼면 후보가 비는 경우에만 그대로 둔다</t>
        </is>
      </c>
      <c r="D51" s="20" t="inlineStr">
        <is>
          <t>미응답을 반복해도 같은 축 질문이 4일 연속 나가면 거부</t>
        </is>
      </c>
    </row>
    <row r="52" ht="65" customHeight="1">
      <c r="A52" s="19" t="inlineStr">
        <is>
          <t>V-52</t>
        </is>
      </c>
      <c r="B52" s="19" t="inlineStr">
        <is>
          <t>회복 목표 우선</t>
        </is>
      </c>
      <c r="C52" s="20" t="inlineStr">
        <is>
          <t>시각과 관계없이 고정 질문 답이 「적게 · 몇 입만」「못 먹거나 거름」이면 회복 풀을 먼저 쓴다. 17시 이후와 새벽(00~04시)에는 식후 가능(after_dinner_eligible=true)인 회복 문구만 후보로 한다. 모든 시각에서 그날 질환 금지 성격·시간·달력 조건을 다시 적용하고, 회복 후보가 하나도 남지 않으면 다음 순서로 넘어간다(17시 이후·새벽은 식후 문구, 낮은 그날 질문 축 문구)</t>
        </is>
      </c>
      <c r="D52" s="20" t="inlineStr">
        <is>
          <t>고정 답이 회복 대상인데 후보가 있는데도 회복 목표가 나오지 않거나, 17시 이후·새벽에 식후 가능이 아닌 회복 문구가 나오면 거부</t>
        </is>
      </c>
    </row>
    <row r="53" ht="50" customHeight="1">
      <c r="A53" s="19" t="inlineStr">
        <is>
          <t>V-53</t>
        </is>
      </c>
      <c r="B53" s="19" t="inlineStr">
        <is>
          <t>영문 번역 완전성</t>
        </is>
      </c>
      <c r="C53" s="5" t="inlineStr">
        <is>
          <t>질문 13개 · 선택지 39개 · 끼니 이름 4개 · 질환 이름 4개 · 사용 중인 목표 문구 전부에 번역_en 시트의 영문(text_en)이 있다. 영문이 비어 있으면 한글을 대신 보이지 않고 배포를 막는다 10-13 추가 문구 227개(DIET-P-0274~0500)의 영문은 외주 번역·검수 뒤 채우며, 그 전까지 영문 화면 배포를 하지 않는다</t>
        </is>
      </c>
      <c r="D53" s="20" t="inlineStr">
        <is>
          <t>영문이 없는 항목이 있으면 영문 화면 배포 거부(한글 화면은 영향 없음)</t>
        </is>
      </c>
    </row>
    <row r="54" ht="37.5" customHeight="1">
      <c r="A54" s="19" t="inlineStr">
        <is>
          <t>V-54</t>
        </is>
      </c>
      <c r="B54" s="19" t="inlineStr">
        <is>
          <t>영문 길이 상한</t>
        </is>
      </c>
      <c r="C54" s="5" t="inlineStr">
        <is>
          <t>영문 목표 한 줄은 30자 권장 · 36자 이하, 질문 템플릿 56자 권장 · 64자 이하, 선택지 16자 권장 · 20자 이하. 타일은 3열 배치(약 12자씩 3줄 안에서 읽히도록)라서 단어 하나가 12자를 넘지 않게 쓴다. 한글 12자 기준(V-05)과 별개로 점검한다</t>
        </is>
      </c>
      <c r="D54" s="20" t="inlineStr">
        <is>
          <t>최대 글자 수를 넘으면 배포 거부, 권장 글자 수만 넘으면 경고</t>
        </is>
      </c>
    </row>
    <row r="55" ht="37.5" customHeight="1">
      <c r="A55" s="19" t="inlineStr">
        <is>
          <t>V-55</t>
        </is>
      </c>
      <c r="B55" s="19" t="inlineStr">
        <is>
          <t>시각 단계 노출 조건</t>
        </is>
      </c>
      <c r="C55" s="5" t="inlineStr">
        <is>
          <t>시각 단계(DIET-Q-08 · 09 · 10 · 11)는 같은 세션에서 고정 질문 답이 usual · less이고 건강 앱 식사 기록이 없을 때만 PENDING이다. 끼니가 어제 저녁이면 DIET-Q-10, 오늘 저녁을 오후 9시(10분 내림) 뒤에 답하면 DIET-Q-11, 그 밖의 점심 · 저녁은 DIET-Q-08, 아침은 DIET-Q-09. very_little_or_skipped · 건강 앱 기록은 CONDITIONAL_SKIP + skip_reason. 어젯밤 같은 끼니 답이 있으면 재사용(V-30). 세션당 최대 1개(CFG-083)</t>
        </is>
      </c>
      <c r="D55" s="20" t="inlineStr">
        <is>
          <t>조건에 맞지 않는데 시각 단계가 나가거나, 맞는데 빠지거나, 한 세션에 2개가 만들어지면 거부</t>
        </is>
      </c>
    </row>
    <row r="56" ht="37.5" customHeight="1">
      <c r="A56" s="19" t="inlineStr">
        <is>
          <t>V-56</t>
        </is>
      </c>
      <c r="B56" s="19" t="inlineStr">
        <is>
          <t>시각 단계 버튼</t>
        </is>
      </c>
      <c r="C56" s="5" t="inlineStr">
        <is>
          <t>점심 · 저녁(9시까지) 선택지의 시각 구간은 답한 시각을 10분 단위로 내린 뒤 1시간씩 거꾸로 센 3구간이다. 글자는 「1시간 이내 / 1~2시간 전 / 그보다 전」이고 상한 · 하한에 걸린 동안은 시각 글자를 보여 준다. 점심 1번 선택지의 시작은 13:00을 넘지 않고, 하한(점심 12:00 · 저녁 16:00) 아래로 내려가지 않는다. 아직 오지 않은 시각이 들어가면 안 된다. 아침은 「7시 이전 / 7시~8시 / 8시 이후」, 저녁 9시 뒤와 어제 저녁은 「7시 이전 / 7시~9시 / 9시 이후」 고정. diet_answer.option_window_start/end는 시각 단계 답에만 있고 다른 질문에는 NULL</t>
        </is>
      </c>
      <c r="D56" s="20" t="inlineStr">
        <is>
          <t>규칙과 다른 버튼 시각 · 미래 시각 · 구간 저장 누락이면 거부</t>
        </is>
      </c>
    </row>
    <row r="57" ht="37.5" customHeight="1">
      <c r="A57" s="19" t="inlineStr">
        <is>
          <t>V-57</t>
        </is>
      </c>
      <c r="B57" s="19" t="inlineStr">
        <is>
          <t>식사 시각 추정 순서</t>
        </is>
      </c>
      <c r="C57" s="5" t="inlineStr">
        <is>
          <t>diet_meal_time.estimate_method는 R-11 ⑤ 순서를 따른다: HEALTH_APP(건강 앱 식사 기록) → WINDOW_MIDPOINT(선택지 범위의 가운데 · 「9시 이후」는 21:00). 범위가 비면 UNKNOWN이고 estimated_time과 post_meal_window가 NULL이며 지표 계산에서 빠질 뿐 점수를 깎지 않는다. STEP_PAUSE · HABIT은 1차에서 만들지 않는다</t>
        </is>
      </c>
      <c r="D57" s="20" t="inlineStr">
        <is>
          <t>순서를 어기거나 UNKNOWN에 시각이 들어가면 거부</t>
        </is>
      </c>
    </row>
    <row r="58" ht="37.5" customHeight="1">
      <c r="A58" s="19" t="inlineStr">
        <is>
          <t>V-58</t>
        </is>
      </c>
      <c r="B58" s="19" t="inlineStr">
        <is>
          <t>진행 번호</t>
        </is>
      </c>
      <c r="C58" s="5" t="inlineStr">
        <is>
          <t>시각 단계도 질문 1개로 세어 「오늘의 질문 · n/N」의 N에 들어간다(식사 1/5 → 시각 2/5 → 다음 3/5). 「못 먹거나 거름」이면 시각 단계와 회전 질문이 모두 빠져 N이 줄어든다</t>
        </is>
      </c>
      <c r="D58" s="20" t="inlineStr">
        <is>
          <t>N에 시각 단계가 빠지거나 번호가 건너뛰면 거부</t>
        </is>
      </c>
    </row>
    <row r="59">
      <c r="A59" s="19" t="inlineStr">
        <is>
          <t>V-59</t>
        </is>
      </c>
      <c r="B59" s="19" t="inlineStr">
        <is>
          <t>식후 행동 판정</t>
        </is>
      </c>
      <c r="C59" s="5" t="inlineStr">
        <is>
          <t>diet_meal_time.post_meal_action은 R-12 순서를 따른다. 식사 시각이 UNKNOWN이거나 관찰 시간에 걸음 기록이 없으면 UNKNOWN. 운동 기록 시작 · 5분 초과 이어 걷기(분당 20보 이상) · 합계 300보 이상 중 하나면 COMPLETED. 그 밖에는 NOT_COMPLETED. 지표 계산기에는 세 값만 넘기고 UNKNOWN은 분모에서 뺀다</t>
        </is>
      </c>
      <c r="D59" s="20" t="inlineStr">
        <is>
          <t>순서를 어기거나, UNKNOWN을 미완료로 넘기거나, 걸음 기록 없이 NOT_COMPLETED를 만들면 거부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26.58203125" customWidth="1" min="1" max="1"/>
    <col width="14.58203125" customWidth="1" min="2" max="2"/>
    <col width="15.58203125" customWidth="1" min="3" max="3"/>
    <col width="10.58203125" customWidth="1" min="4" max="4"/>
    <col width="53.58203125" customWidth="1" min="5" max="5"/>
    <col width="39.58203125" customWidth="1" min="6" max="6"/>
  </cols>
  <sheetData>
    <row r="1">
      <c r="A1" s="14" t="inlineStr">
        <is>
          <t>condition_code</t>
        </is>
      </c>
      <c r="B1" s="14" t="inlineStr">
        <is>
          <t>display_name</t>
        </is>
      </c>
      <c r="C1" s="14" t="inlineStr">
        <is>
          <t>diet_status</t>
        </is>
      </c>
      <c r="D1" s="14" t="inlineStr">
        <is>
          <t>rule_id</t>
        </is>
      </c>
      <c r="E1" s="14" t="inlineStr">
        <is>
          <t>mapping_note</t>
        </is>
      </c>
      <c r="F1" s="14" t="inlineStr">
        <is>
          <t>source_ui</t>
        </is>
      </c>
    </row>
    <row r="2">
      <c r="A2" s="15" t="inlineStr">
        <is>
          <t>HYPERTENSION</t>
        </is>
      </c>
      <c r="B2" s="15" t="inlineStr">
        <is>
          <t>고혈압</t>
        </is>
      </c>
      <c r="C2" s="15" t="inlineStr">
        <is>
          <t>MAPPED</t>
        </is>
      </c>
      <c r="D2" s="15" t="inlineStr">
        <is>
          <t>DX-02</t>
        </is>
      </c>
      <c r="E2" s="15" t="inlineStr">
        <is>
          <t>기존 짠맛 축에 연결</t>
        </is>
      </c>
      <c r="F2" s="15" t="inlineStr">
        <is>
          <t>공개 프로토타입 &gt; 더보기 &gt; 내정보 &gt; 만성질환</t>
        </is>
      </c>
    </row>
    <row r="3">
      <c r="A3" s="15" t="inlineStr">
        <is>
          <t>DIABETES</t>
        </is>
      </c>
      <c r="B3" s="15" t="inlineStr">
        <is>
          <t>당뇨병</t>
        </is>
      </c>
      <c r="C3" s="15" t="inlineStr">
        <is>
          <t>MAPPED</t>
        </is>
      </c>
      <c r="D3" s="15" t="inlineStr">
        <is>
          <t>DX-01</t>
        </is>
      </c>
      <c r="E3" s="15" t="inlineStr">
        <is>
          <t>기존 단 음료·간식 축에 연결; 공복·감량 금지 적용</t>
        </is>
      </c>
      <c r="F3" s="15" t="inlineStr">
        <is>
          <t>공개 프로토타입 &gt; 더보기 &gt; 내정보 &gt; 만성질환</t>
        </is>
      </c>
    </row>
    <row r="4">
      <c r="A4" s="15" t="inlineStr">
        <is>
          <t>DYSLIPIDEMIA</t>
        </is>
      </c>
      <c r="B4" s="15" t="inlineStr">
        <is>
          <t>이상지질혈증</t>
        </is>
      </c>
      <c r="C4" s="15" t="inlineStr">
        <is>
          <t>MAPPED</t>
        </is>
      </c>
      <c r="D4" s="15" t="inlineStr">
        <is>
          <t>DX-03</t>
        </is>
      </c>
      <c r="E4" s="15" t="inlineStr">
        <is>
          <t>기존 기름진 음식 축에 연결; 고중성지방 세부형은 추정하지 않음</t>
        </is>
      </c>
      <c r="F4" s="15" t="inlineStr">
        <is>
          <t>공개 프로토타입 &gt; 더보기 &gt; 내정보 &gt; 만성질환</t>
        </is>
      </c>
    </row>
    <row r="5">
      <c r="A5" s="15" t="inlineStr">
        <is>
          <t>CHRONIC_KIDNEY_DISEASE</t>
        </is>
      </c>
      <c r="B5" s="15" t="inlineStr">
        <is>
          <t>만성 신장질환</t>
        </is>
      </c>
      <c r="C5" s="15" t="inlineStr">
        <is>
          <t>SAFETY_ONLY</t>
        </is>
      </c>
      <c r="D5" s="15" t="inlineStr">
        <is>
          <t>DX-05</t>
        </is>
      </c>
      <c r="E5" s="15" t="inlineStr">
        <is>
          <t>자가 선택 시 새 연결 축 없이 섭취 증감·수분 목표 금지에만 사용</t>
        </is>
      </c>
      <c r="F5" s="15" t="inlineStr">
        <is>
          <t>공개 프로토타입 &gt; 더보기 &gt; 내정보 &gt; 만성질환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4.58203125" customWidth="1" min="1" max="3"/>
    <col width="15.58203125" customWidth="1" min="4" max="4"/>
    <col width="10.58203125" customWidth="1" min="5" max="6"/>
    <col width="58" customWidth="1" min="8" max="8"/>
  </cols>
  <sheetData>
    <row r="1">
      <c r="A1" s="16" t="inlineStr">
        <is>
          <t>country_code</t>
        </is>
      </c>
      <c r="B1" s="16" t="inlineStr">
        <is>
          <t>calendar_date</t>
        </is>
      </c>
      <c r="C1" s="16" t="inlineStr">
        <is>
          <t>calendar_code</t>
        </is>
      </c>
      <c r="D1" s="16" t="inlineStr">
        <is>
          <t>calendar_name</t>
        </is>
      </c>
      <c r="E1" s="16" t="inlineStr">
        <is>
          <t>source_id</t>
        </is>
      </c>
      <c r="F1" s="16" t="inlineStr">
        <is>
          <t>updated_at</t>
        </is>
      </c>
    </row>
    <row r="2">
      <c r="A2" s="28" t="inlineStr">
        <is>
          <t>KR</t>
        </is>
      </c>
      <c r="B2" s="28" t="inlineStr">
        <is>
          <t>2026-02-16</t>
        </is>
      </c>
      <c r="C2" s="26" t="inlineStr">
        <is>
          <t>HOLIDAY</t>
        </is>
      </c>
      <c r="D2" s="26" t="inlineStr">
        <is>
          <t>설 연휴</t>
        </is>
      </c>
      <c r="E2" s="26" t="inlineStr">
        <is>
          <t>기획 확정(10-08). 공식 공고 확인 전</t>
        </is>
      </c>
      <c r="F2" s="28" t="inlineStr">
        <is>
          <t>2026-10-08</t>
        </is>
      </c>
    </row>
    <row r="3">
      <c r="A3" s="29" t="inlineStr">
        <is>
          <t>KR</t>
        </is>
      </c>
      <c r="B3" s="29" t="inlineStr">
        <is>
          <t>2026-02-17</t>
        </is>
      </c>
      <c r="C3" s="30" t="inlineStr">
        <is>
          <t>HOLIDAY</t>
        </is>
      </c>
      <c r="D3" s="30" t="inlineStr">
        <is>
          <t>설 연휴</t>
        </is>
      </c>
      <c r="E3" s="30" t="inlineStr">
        <is>
          <t>기획 확정(10-08). 공식 공고 확인 전</t>
        </is>
      </c>
      <c r="F3" s="29" t="inlineStr">
        <is>
          <t>2026-10-08</t>
        </is>
      </c>
    </row>
    <row r="4">
      <c r="A4" s="29" t="inlineStr">
        <is>
          <t>KR</t>
        </is>
      </c>
      <c r="B4" s="29" t="inlineStr">
        <is>
          <t>2026-02-18</t>
        </is>
      </c>
      <c r="C4" s="30" t="inlineStr">
        <is>
          <t>HOLIDAY</t>
        </is>
      </c>
      <c r="D4" s="30" t="inlineStr">
        <is>
          <t>설 연휴</t>
        </is>
      </c>
      <c r="E4" s="30" t="inlineStr">
        <is>
          <t>기획 확정(10-08). 공식 공고 확인 전</t>
        </is>
      </c>
      <c r="F4" s="29" t="inlineStr">
        <is>
          <t>2026-10-08</t>
        </is>
      </c>
    </row>
    <row r="5">
      <c r="A5" s="29" t="inlineStr">
        <is>
          <t>KR</t>
        </is>
      </c>
      <c r="B5" s="29" t="inlineStr">
        <is>
          <t>2026-09-24</t>
        </is>
      </c>
      <c r="C5" s="30" t="inlineStr">
        <is>
          <t>HOLIDAY</t>
        </is>
      </c>
      <c r="D5" s="30" t="inlineStr">
        <is>
          <t>추석 연휴</t>
        </is>
      </c>
      <c r="E5" s="30" t="inlineStr">
        <is>
          <t>기획 확정(10-08). 공식 공고 확인 전</t>
        </is>
      </c>
      <c r="F5" s="29" t="inlineStr">
        <is>
          <t>2026-10-08</t>
        </is>
      </c>
    </row>
    <row r="6">
      <c r="A6" s="29" t="inlineStr">
        <is>
          <t>KR</t>
        </is>
      </c>
      <c r="B6" s="29" t="inlineStr">
        <is>
          <t>2026-09-25</t>
        </is>
      </c>
      <c r="C6" s="30" t="inlineStr">
        <is>
          <t>HOLIDAY</t>
        </is>
      </c>
      <c r="D6" s="30" t="inlineStr">
        <is>
          <t>추석 연휴</t>
        </is>
      </c>
      <c r="E6" s="30" t="inlineStr">
        <is>
          <t>기획 확정(10-08). 공식 공고 확인 전</t>
        </is>
      </c>
      <c r="F6" s="29" t="inlineStr">
        <is>
          <t>2026-10-08</t>
        </is>
      </c>
    </row>
    <row r="7">
      <c r="A7" s="29" t="inlineStr">
        <is>
          <t>KR</t>
        </is>
      </c>
      <c r="B7" s="29" t="inlineStr">
        <is>
          <t>2026-09-26</t>
        </is>
      </c>
      <c r="C7" s="30" t="inlineStr">
        <is>
          <t>HOLIDAY</t>
        </is>
      </c>
      <c r="D7" s="30" t="inlineStr">
        <is>
          <t>추석 연휴</t>
        </is>
      </c>
      <c r="E7" s="30" t="inlineStr">
        <is>
          <t>기획 확정(10-08). 공식 공고 확인 전</t>
        </is>
      </c>
      <c r="F7" s="29" t="inlineStr">
        <is>
          <t>2026-10-08</t>
        </is>
      </c>
    </row>
    <row r="8">
      <c r="A8" s="29" t="inlineStr">
        <is>
          <t>KR</t>
        </is>
      </c>
      <c r="B8" s="29" t="inlineStr">
        <is>
          <t>2027-02-05</t>
        </is>
      </c>
      <c r="C8" s="30" t="inlineStr">
        <is>
          <t>HOLIDAY</t>
        </is>
      </c>
      <c r="D8" s="30" t="inlineStr">
        <is>
          <t>설 연휴</t>
        </is>
      </c>
      <c r="E8" s="30" t="inlineStr">
        <is>
          <t>기획 확정(10-08). 공식 공고 확인 전</t>
        </is>
      </c>
      <c r="F8" s="29" t="inlineStr">
        <is>
          <t>2026-10-08</t>
        </is>
      </c>
    </row>
    <row r="9">
      <c r="A9" s="29" t="inlineStr">
        <is>
          <t>KR</t>
        </is>
      </c>
      <c r="B9" s="29" t="inlineStr">
        <is>
          <t>2027-02-06</t>
        </is>
      </c>
      <c r="C9" s="30" t="inlineStr">
        <is>
          <t>HOLIDAY</t>
        </is>
      </c>
      <c r="D9" s="30" t="inlineStr">
        <is>
          <t>설 연휴</t>
        </is>
      </c>
      <c r="E9" s="30" t="inlineStr">
        <is>
          <t>기획 확정(10-08). 공식 공고 확인 전</t>
        </is>
      </c>
      <c r="F9" s="29" t="inlineStr">
        <is>
          <t>2026-10-08</t>
        </is>
      </c>
    </row>
    <row r="10">
      <c r="A10" s="29" t="inlineStr">
        <is>
          <t>KR</t>
        </is>
      </c>
      <c r="B10" s="29" t="inlineStr">
        <is>
          <t>2027-02-07</t>
        </is>
      </c>
      <c r="C10" s="30" t="inlineStr">
        <is>
          <t>HOLIDAY</t>
        </is>
      </c>
      <c r="D10" s="30" t="inlineStr">
        <is>
          <t>설 연휴</t>
        </is>
      </c>
      <c r="E10" s="30" t="inlineStr">
        <is>
          <t>기획 확정(10-08). 공식 공고 확인 전</t>
        </is>
      </c>
      <c r="F10" s="29" t="inlineStr">
        <is>
          <t>2026-10-08</t>
        </is>
      </c>
    </row>
    <row r="11">
      <c r="A11" s="29" t="inlineStr">
        <is>
          <t>KR</t>
        </is>
      </c>
      <c r="B11" s="29" t="inlineStr">
        <is>
          <t>2027-02-08</t>
        </is>
      </c>
      <c r="C11" s="30" t="inlineStr">
        <is>
          <t>HOLIDAY</t>
        </is>
      </c>
      <c r="D11" s="30" t="inlineStr">
        <is>
          <t>설 연휴</t>
        </is>
      </c>
      <c r="E11" s="30" t="inlineStr">
        <is>
          <t>기획 확정(10-08). 공식 공고 확인 전</t>
        </is>
      </c>
      <c r="F11" s="29" t="inlineStr">
        <is>
          <t>2026-10-08</t>
        </is>
      </c>
    </row>
    <row r="12">
      <c r="A12" s="29" t="inlineStr">
        <is>
          <t>KR</t>
        </is>
      </c>
      <c r="B12" s="29" t="inlineStr">
        <is>
          <t>2027-09-14</t>
        </is>
      </c>
      <c r="C12" s="30" t="inlineStr">
        <is>
          <t>HOLIDAY</t>
        </is>
      </c>
      <c r="D12" s="30" t="inlineStr">
        <is>
          <t>추석 연휴</t>
        </is>
      </c>
      <c r="E12" s="30" t="inlineStr">
        <is>
          <t>기획 확정(10-08). 공식 공고 확인 전</t>
        </is>
      </c>
      <c r="F12" s="29" t="inlineStr">
        <is>
          <t>2026-10-08</t>
        </is>
      </c>
    </row>
    <row r="13">
      <c r="A13" s="29" t="inlineStr">
        <is>
          <t>KR</t>
        </is>
      </c>
      <c r="B13" s="29" t="inlineStr">
        <is>
          <t>2027-09-15</t>
        </is>
      </c>
      <c r="C13" s="30" t="inlineStr">
        <is>
          <t>HOLIDAY</t>
        </is>
      </c>
      <c r="D13" s="30" t="inlineStr">
        <is>
          <t>추석 연휴</t>
        </is>
      </c>
      <c r="E13" s="30" t="inlineStr">
        <is>
          <t>기획 확정(10-08). 공식 공고 확인 전</t>
        </is>
      </c>
      <c r="F13" s="29" t="inlineStr">
        <is>
          <t>2026-10-08</t>
        </is>
      </c>
    </row>
    <row r="14">
      <c r="A14" s="29" t="inlineStr">
        <is>
          <t>KR</t>
        </is>
      </c>
      <c r="B14" s="29" t="inlineStr">
        <is>
          <t>2027-09-16</t>
        </is>
      </c>
      <c r="C14" s="30" t="inlineStr">
        <is>
          <t>HOLIDAY</t>
        </is>
      </c>
      <c r="D14" s="30" t="inlineStr">
        <is>
          <t>추석 연휴</t>
        </is>
      </c>
      <c r="E14" s="30" t="inlineStr">
        <is>
          <t>기획 확정(10-08). 공식 공고 확인 전</t>
        </is>
      </c>
      <c r="F14" s="29" t="inlineStr">
        <is>
          <t>2026-10-08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2.58203125" customWidth="1" min="1" max="1"/>
    <col width="15.58203125" customWidth="1" min="2" max="2"/>
    <col width="14.58203125" customWidth="1" min="3" max="4"/>
    <col width="16.58203125" customWidth="1" min="5" max="5"/>
    <col width="12.58203125" customWidth="1" min="6" max="6"/>
    <col width="24.58203125" customWidth="1" min="7" max="7"/>
    <col width="62.58203125" customWidth="1" min="8" max="8"/>
    <col width="60.58203125" customWidth="1" min="9" max="9"/>
    <col width="12.58203125" customWidth="1" min="10" max="10"/>
    <col width="15.58203125" customWidth="1" min="11" max="11"/>
    <col width="44.58203125" customWidth="1" min="12" max="12"/>
    <col width="60.58203125" customWidth="1" min="13" max="13"/>
    <col width="10.58203125" customWidth="1" min="14" max="14"/>
  </cols>
  <sheetData>
    <row r="1">
      <c r="A1" s="7" t="inlineStr">
        <is>
          <t>phrase_id</t>
        </is>
      </c>
      <c r="B1" s="7" t="inlineStr">
        <is>
          <t>phrase_version</t>
        </is>
      </c>
      <c r="C1" s="7" t="inlineStr">
        <is>
          <t>source_status</t>
        </is>
      </c>
      <c r="D1" s="7" t="inlineStr">
        <is>
          <t>pool_type</t>
        </is>
      </c>
      <c r="E1" s="7" t="inlineStr">
        <is>
          <t>axis_question_id</t>
        </is>
      </c>
      <c r="F1" s="7" t="inlineStr">
        <is>
          <t>stage_code</t>
        </is>
      </c>
      <c r="G1" s="7" t="inlineStr">
        <is>
          <t>tile_text</t>
        </is>
      </c>
      <c r="H1" s="7" t="inlineStr">
        <is>
          <t>full_text</t>
        </is>
      </c>
      <c r="I1" s="7" t="inlineStr">
        <is>
          <t>reason_text</t>
        </is>
      </c>
      <c r="J1" s="7" t="inlineStr">
        <is>
          <t>nature_code</t>
        </is>
      </c>
      <c r="K1" s="7" t="inlineStr">
        <is>
          <t>screening_only</t>
        </is>
      </c>
      <c r="L1" s="7" t="inlineStr">
        <is>
          <t>evidence_raw</t>
        </is>
      </c>
      <c r="M1" s="7" t="inlineStr">
        <is>
          <t>source_note_raw</t>
        </is>
      </c>
      <c r="N1" s="7" t="inlineStr">
        <is>
          <t>source_row</t>
        </is>
      </c>
    </row>
    <row r="2">
      <c r="A2" s="15" t="inlineStr">
        <is>
          <t>DIET-P-0001</t>
        </is>
      </c>
      <c r="B2" s="15" t="inlineStr">
        <is>
          <t>1.0.0</t>
        </is>
      </c>
      <c r="C2" s="15" t="inlineStr">
        <is>
          <t>사용</t>
        </is>
      </c>
      <c r="D2" s="15" t="inlineStr">
        <is>
          <t>AXIS_STAGE</t>
        </is>
      </c>
      <c r="E2" s="15" t="inlineStr">
        <is>
          <t>DIET-Q-00</t>
        </is>
      </c>
      <c r="F2" s="15" t="inlineStr">
        <is>
          <t>INTRO</t>
        </is>
      </c>
      <c r="G2" s="6" t="inlineStr">
        <is>
          <t>아침에 뭐라도 한 입</t>
        </is>
      </c>
      <c r="H2" s="5" t="inlineStr">
        <is>
          <t>아침을 거르지 말고, 먹을 수 있는 음식을 한 입이라도 드세요.</t>
        </is>
      </c>
      <c r="I2" s="17" t="inlineStr">
        <is>
          <t>먹을 수 있는 음식부터 식사를 시작해 보는 행동이에요.</t>
        </is>
      </c>
      <c r="J2" s="15" t="inlineStr">
        <is>
          <t>INCREASE</t>
        </is>
      </c>
      <c r="K2" s="15" t="n"/>
      <c r="L2" s="15" t="inlineStr">
        <is>
          <t>WHO-DIET</t>
        </is>
      </c>
      <c r="M2" s="17" t="inlineStr">
        <is>
          <t>근거 범위에 맞춰 이유 문장 수정</t>
        </is>
      </c>
      <c r="N2" s="15" t="n">
        <v>2</v>
      </c>
    </row>
    <row r="3">
      <c r="A3" s="15" t="inlineStr">
        <is>
          <t>DIET-P-0002</t>
        </is>
      </c>
      <c r="B3" s="15" t="inlineStr">
        <is>
          <t>1.0.0</t>
        </is>
      </c>
      <c r="C3" s="15" t="inlineStr">
        <is>
          <t>사용</t>
        </is>
      </c>
      <c r="D3" s="15" t="inlineStr">
        <is>
          <t>AXIS_STAGE</t>
        </is>
      </c>
      <c r="E3" s="15" t="inlineStr">
        <is>
          <t>DIET-Q-00</t>
        </is>
      </c>
      <c r="F3" s="15" t="inlineStr">
        <is>
          <t>BASE</t>
        </is>
      </c>
      <c r="G3" s="15" t="inlineStr">
        <is>
          <t>아침 거르지 않기</t>
        </is>
      </c>
      <c r="H3" s="17" t="inlineStr">
        <is>
          <t>오늘은 아침 식사를 거르지 말고 챙겨 드세요.</t>
        </is>
      </c>
      <c r="I3" s="17" t="inlineStr">
        <is>
          <t>아침 식사를 챙기는 행동이에요.</t>
        </is>
      </c>
      <c r="J3" s="15" t="inlineStr">
        <is>
          <t>INCREASE</t>
        </is>
      </c>
      <c r="K3" s="15" t="n"/>
      <c r="L3" s="15" t="inlineStr">
        <is>
          <t>WHO-DIET</t>
        </is>
      </c>
      <c r="M3" s="17" t="inlineStr">
        <is>
          <t>근거 범위에 맞춰 이유 문장 수정</t>
        </is>
      </c>
      <c r="N3" s="15" t="n">
        <v>3</v>
      </c>
    </row>
    <row r="4">
      <c r="A4" s="15" t="inlineStr">
        <is>
          <t>DIET-P-0003</t>
        </is>
      </c>
      <c r="B4" s="15" t="inlineStr">
        <is>
          <t>1.0.0</t>
        </is>
      </c>
      <c r="C4" s="15" t="inlineStr">
        <is>
          <t>사용</t>
        </is>
      </c>
      <c r="D4" s="15" t="inlineStr">
        <is>
          <t>AXIS_STAGE</t>
        </is>
      </c>
      <c r="E4" s="15" t="inlineStr">
        <is>
          <t>DIET-Q-00</t>
        </is>
      </c>
      <c r="F4" s="15" t="inlineStr">
        <is>
          <t>BASE</t>
        </is>
      </c>
      <c r="G4" s="6" t="inlineStr">
        <is>
          <t>점심 · 저녁 챙기기</t>
        </is>
      </c>
      <c r="H4" s="5" t="inlineStr">
        <is>
          <t>오늘은 점심과 저녁 식사를 거르지 말고 챙겨 드세요.</t>
        </is>
      </c>
      <c r="I4" s="17" t="inlineStr">
        <is>
          <t>점심과 저녁 식사를 챙기는 행동이에요.</t>
        </is>
      </c>
      <c r="J4" s="15" t="inlineStr">
        <is>
          <t>INCREASE</t>
        </is>
      </c>
      <c r="K4" s="15" t="n"/>
      <c r="L4" s="15" t="inlineStr">
        <is>
          <t>WHO-DIET</t>
        </is>
      </c>
      <c r="M4" s="17" t="inlineStr">
        <is>
          <t>근거 범위에 맞춰 이유 문장 수정</t>
        </is>
      </c>
      <c r="N4" s="15" t="n">
        <v>4</v>
      </c>
    </row>
    <row r="5">
      <c r="A5" s="15" t="inlineStr">
        <is>
          <t>DIET-P-0004</t>
        </is>
      </c>
      <c r="B5" s="15" t="inlineStr">
        <is>
          <t>1.0.0</t>
        </is>
      </c>
      <c r="C5" s="15" t="inlineStr">
        <is>
          <t>사용</t>
        </is>
      </c>
      <c r="D5" s="15" t="inlineStr">
        <is>
          <t>AXIS_STAGE</t>
        </is>
      </c>
      <c r="E5" s="15" t="inlineStr">
        <is>
          <t>DIET-Q-00</t>
        </is>
      </c>
      <c r="F5" s="15" t="inlineStr">
        <is>
          <t>CHALLENGE</t>
        </is>
      </c>
      <c r="G5" s="6" t="inlineStr">
        <is>
          <t>세 끼 제때 먹기</t>
        </is>
      </c>
      <c r="H5" s="5" t="inlineStr">
        <is>
          <t>오늘도 아침·점심·저녁 세 끼를 제때 드세요.</t>
        </is>
      </c>
      <c r="I5" s="17" t="inlineStr">
        <is>
          <t>세 끼를 제때 먹도록 계획해 보는 행동이에요.</t>
        </is>
      </c>
      <c r="J5" s="15" t="n"/>
      <c r="K5" s="15" t="n"/>
      <c r="L5" s="15" t="inlineStr">
        <is>
          <t>WHO-DIET</t>
        </is>
      </c>
      <c r="M5" s="17" t="inlineStr">
        <is>
          <t>근거 범위에 맞춰 이유 문장 수정 · 10-19 특정 음식 이름을 음식 종류로</t>
        </is>
      </c>
      <c r="N5" s="15" t="n">
        <v>5</v>
      </c>
    </row>
    <row r="6">
      <c r="A6" s="15" t="inlineStr">
        <is>
          <t>DIET-P-0005</t>
        </is>
      </c>
      <c r="B6" s="15" t="inlineStr">
        <is>
          <t>1.0.0</t>
        </is>
      </c>
      <c r="C6" s="15" t="inlineStr">
        <is>
          <t>사용</t>
        </is>
      </c>
      <c r="D6" s="15" t="inlineStr">
        <is>
          <t>AXIS_STAGE</t>
        </is>
      </c>
      <c r="E6" s="15" t="inlineStr">
        <is>
          <t>DIET-Q-01</t>
        </is>
      </c>
      <c r="F6" s="15" t="inlineStr">
        <is>
          <t>INTRO</t>
        </is>
      </c>
      <c r="G6" s="6" t="inlineStr">
        <is>
          <t>한 끼에 채소 하나</t>
        </is>
      </c>
      <c r="H6" s="5" t="inlineStr">
        <is>
          <t>오늘 한 끼는 채소 반찬을 한 가지 이상 곁들여 드세요.</t>
        </is>
      </c>
      <c r="I6" s="17" t="inlineStr">
        <is>
          <t>한 끼에 채소 반찬을 포함하는 행동이에요.</t>
        </is>
      </c>
      <c r="J6" s="15" t="inlineStr">
        <is>
          <t>INCREASE</t>
        </is>
      </c>
      <c r="K6" s="15" t="n"/>
      <c r="L6" s="15" t="inlineStr">
        <is>
          <t>WHO-DIET; NIDDK-CKD</t>
        </is>
      </c>
      <c r="M6" s="17" t="inlineStr">
        <is>
          <t>근거 범위에 맞춰 이유 문장 수정</t>
        </is>
      </c>
      <c r="N6" s="15" t="n">
        <v>6</v>
      </c>
    </row>
    <row r="7">
      <c r="A7" s="15" t="inlineStr">
        <is>
          <t>DIET-P-0006</t>
        </is>
      </c>
      <c r="B7" s="15" t="inlineStr">
        <is>
          <t>1.0.0</t>
        </is>
      </c>
      <c r="C7" s="15" t="inlineStr">
        <is>
          <t>사용</t>
        </is>
      </c>
      <c r="D7" s="15" t="inlineStr">
        <is>
          <t>AXIS_STAGE</t>
        </is>
      </c>
      <c r="E7" s="15" t="inlineStr">
        <is>
          <t>DIET-Q-01</t>
        </is>
      </c>
      <c r="F7" s="15" t="inlineStr">
        <is>
          <t>BASE</t>
        </is>
      </c>
      <c r="G7" s="6" t="inlineStr">
        <is>
          <t>채소 반찬 하나 더</t>
        </is>
      </c>
      <c r="H7" s="5" t="inlineStr">
        <is>
          <t>오늘 식사에 평소보다 채소 반찬을 한 가지 더 올려 보세요.</t>
        </is>
      </c>
      <c r="I7" s="17" t="inlineStr">
        <is>
          <t>채소 반찬을 한 가지 더 준비해 보는 행동이에요.</t>
        </is>
      </c>
      <c r="J7" s="15" t="inlineStr">
        <is>
          <t>INCREASE</t>
        </is>
      </c>
      <c r="K7" s="15" t="n"/>
      <c r="L7" s="15" t="inlineStr">
        <is>
          <t>WHO-DIET; NIDDK-CKD</t>
        </is>
      </c>
      <c r="M7" s="17" t="inlineStr">
        <is>
          <t>근거 범위에 맞춰 이유 문장 수정</t>
        </is>
      </c>
      <c r="N7" s="15" t="n">
        <v>7</v>
      </c>
    </row>
    <row r="8">
      <c r="A8" s="15" t="inlineStr">
        <is>
          <t>DIET-P-0007</t>
        </is>
      </c>
      <c r="B8" s="15" t="inlineStr">
        <is>
          <t>1.0.0</t>
        </is>
      </c>
      <c r="C8" s="15" t="inlineStr">
        <is>
          <t>사용</t>
        </is>
      </c>
      <c r="D8" s="15" t="inlineStr">
        <is>
          <t>AXIS_STAGE</t>
        </is>
      </c>
      <c r="E8" s="15" t="inlineStr">
        <is>
          <t>DIET-Q-01</t>
        </is>
      </c>
      <c r="F8" s="15" t="inlineStr">
        <is>
          <t>BASE</t>
        </is>
      </c>
      <c r="G8" s="6" t="inlineStr">
        <is>
          <t>저녁은 채소부터 먹기</t>
        </is>
      </c>
      <c r="H8" s="5" t="inlineStr">
        <is>
          <t>저녁을 먹을 때 밥이나 고기보다 채소 반찬을 먼저 드세요.</t>
        </is>
      </c>
      <c r="I8" s="17" t="inlineStr">
        <is>
          <t>채소 반찬부터 먹어 보는 행동이에요.</t>
        </is>
      </c>
      <c r="J8" s="15" t="n"/>
      <c r="K8" s="15" t="n"/>
      <c r="L8" s="15" t="inlineStr">
        <is>
          <t>WHO-DIET; NIDDK-CKD</t>
        </is>
      </c>
      <c r="M8" s="17" t="inlineStr">
        <is>
          <t>근거 범위에 맞춰 이유 문장 수정</t>
        </is>
      </c>
      <c r="N8" s="15" t="n">
        <v>8</v>
      </c>
    </row>
    <row r="9">
      <c r="A9" s="15" t="inlineStr">
        <is>
          <t>DIET-P-0008</t>
        </is>
      </c>
      <c r="B9" s="15" t="inlineStr">
        <is>
          <t>1.0.0</t>
        </is>
      </c>
      <c r="C9" s="15" t="inlineStr">
        <is>
          <t>사용</t>
        </is>
      </c>
      <c r="D9" s="15" t="inlineStr">
        <is>
          <t>AXIS_STAGE</t>
        </is>
      </c>
      <c r="E9" s="15" t="inlineStr">
        <is>
          <t>DIET-Q-01</t>
        </is>
      </c>
      <c r="F9" s="15" t="inlineStr">
        <is>
          <t>CHALLENGE</t>
        </is>
      </c>
      <c r="G9" s="6" t="inlineStr">
        <is>
          <t>끼니마다 채소부터 먹기</t>
        </is>
      </c>
      <c r="H9" s="5" t="inlineStr">
        <is>
          <t>오늘은 끼니마다 밥이나 고기보다 채소 반찬을 먼저 드세요.</t>
        </is>
      </c>
      <c r="I9" s="17" t="inlineStr">
        <is>
          <t>각 끼니에서 채소를 먼저 먹어 보는 행동이에요.</t>
        </is>
      </c>
      <c r="J9" s="15" t="n"/>
      <c r="K9" s="15" t="n"/>
      <c r="L9" s="15" t="inlineStr">
        <is>
          <t>WHO-DIET; NIDDK-CKD</t>
        </is>
      </c>
      <c r="M9" s="17" t="inlineStr">
        <is>
          <t>근거 범위에 맞춰 이유 문장 수정</t>
        </is>
      </c>
      <c r="N9" s="15" t="n">
        <v>9</v>
      </c>
    </row>
    <row r="10">
      <c r="A10" s="15" t="inlineStr">
        <is>
          <t>DIET-P-0009</t>
        </is>
      </c>
      <c r="B10" s="15" t="inlineStr">
        <is>
          <t>1.0.0</t>
        </is>
      </c>
      <c r="C10" s="15" t="inlineStr">
        <is>
          <t>사용</t>
        </is>
      </c>
      <c r="D10" s="15" t="inlineStr">
        <is>
          <t>AXIS_STAGE</t>
        </is>
      </c>
      <c r="E10" s="15" t="inlineStr">
        <is>
          <t>DIET-Q-02</t>
        </is>
      </c>
      <c r="F10" s="15" t="inlineStr">
        <is>
          <t>INTRO</t>
        </is>
      </c>
      <c r="G10" s="6" t="inlineStr">
        <is>
          <t>한 잔은 물로 바꾸기</t>
        </is>
      </c>
      <c r="H10" s="5" t="inlineStr">
        <is>
          <t>오늘 마실 단 음료 중 한 잔은 물로 바꿔 보세요.</t>
        </is>
      </c>
      <c r="I10" s="17" t="inlineStr">
        <is>
          <t>단 음료 한 번을 물로 바꾸는 행동이에요.</t>
        </is>
      </c>
      <c r="J10" s="15" t="inlineStr">
        <is>
          <t>FLUID</t>
        </is>
      </c>
      <c r="K10" s="15" t="n"/>
      <c r="L10" s="15" t="inlineStr">
        <is>
          <t>WHO-DIET; AHA-HF</t>
        </is>
      </c>
      <c r="M10" s="17" t="inlineStr">
        <is>
          <t>근거 범위에 맞춰 이유 문장 수정</t>
        </is>
      </c>
      <c r="N10" s="15" t="n">
        <v>10</v>
      </c>
    </row>
    <row r="11">
      <c r="A11" s="15" t="inlineStr">
        <is>
          <t>DIET-P-0010</t>
        </is>
      </c>
      <c r="B11" s="15" t="inlineStr">
        <is>
          <t>1.0.0</t>
        </is>
      </c>
      <c r="C11" s="15" t="inlineStr">
        <is>
          <t>사용</t>
        </is>
      </c>
      <c r="D11" s="15" t="inlineStr">
        <is>
          <t>AXIS_STAGE</t>
        </is>
      </c>
      <c r="E11" s="15" t="inlineStr">
        <is>
          <t>DIET-Q-02</t>
        </is>
      </c>
      <c r="F11" s="15" t="inlineStr">
        <is>
          <t>BASE</t>
        </is>
      </c>
      <c r="G11" s="6" t="inlineStr">
        <is>
          <t>단 음료는 물로 바꾸기</t>
        </is>
      </c>
      <c r="H11" s="5" t="inlineStr">
        <is>
          <t>단 음료가 생각나면 물이나 설탕 없는 음료로 바꿔 드세요.</t>
        </is>
      </c>
      <c r="I11" s="17" t="inlineStr">
        <is>
          <t>설탕을 넣지 않은 음료로 바꾸는 행동이에요.</t>
        </is>
      </c>
      <c r="J11" s="15" t="inlineStr">
        <is>
          <t>FLUID</t>
        </is>
      </c>
      <c r="K11" s="15" t="n"/>
      <c r="L11" s="15" t="inlineStr">
        <is>
          <t>WHO-DIET; AHA-HF; NIDDK-HYPO</t>
        </is>
      </c>
      <c r="M11" s="17" t="inlineStr">
        <is>
          <t>근거 범위에 맞춰 이유 문장 수정</t>
        </is>
      </c>
      <c r="N11" s="15" t="n">
        <v>11</v>
      </c>
    </row>
    <row r="12">
      <c r="A12" s="15" t="inlineStr">
        <is>
          <t>DIET-P-0011</t>
        </is>
      </c>
      <c r="B12" s="15" t="inlineStr">
        <is>
          <t>1.0.0</t>
        </is>
      </c>
      <c r="C12" s="15" t="inlineStr">
        <is>
          <t>사용</t>
        </is>
      </c>
      <c r="D12" s="15" t="inlineStr">
        <is>
          <t>AXIS_STAGE</t>
        </is>
      </c>
      <c r="E12" s="15" t="inlineStr">
        <is>
          <t>DIET-Q-02</t>
        </is>
      </c>
      <c r="F12" s="15" t="inlineStr">
        <is>
          <t>BASE</t>
        </is>
      </c>
      <c r="G12" s="6" t="inlineStr">
        <is>
          <t>저녁 디저트 건너뛰기</t>
        </is>
      </c>
      <c r="H12" s="5" t="inlineStr">
        <is>
          <t>저녁 식사 뒤 디저트나 단 간식은 오늘 하루 건너뛰어 보세요.</t>
        </is>
      </c>
      <c r="I12" s="17" t="inlineStr">
        <is>
          <t>추가 디저트를 먹을지 살펴보는 행동이에요.</t>
        </is>
      </c>
      <c r="J12" s="15" t="inlineStr">
        <is>
          <t>FAST</t>
        </is>
      </c>
      <c r="K12" s="15" t="n"/>
      <c r="L12" s="15" t="inlineStr">
        <is>
          <t>WHO-DIET; NIDDK-HYPO</t>
        </is>
      </c>
      <c r="M12" s="17" t="inlineStr">
        <is>
          <t>근거 범위에 맞춰 이유 문장 수정</t>
        </is>
      </c>
      <c r="N12" s="15" t="n">
        <v>12</v>
      </c>
    </row>
    <row r="13">
      <c r="A13" s="15" t="inlineStr">
        <is>
          <t>DIET-P-0012</t>
        </is>
      </c>
      <c r="B13" s="15" t="inlineStr">
        <is>
          <t>1.0.0</t>
        </is>
      </c>
      <c r="C13" s="15" t="inlineStr">
        <is>
          <t>사용</t>
        </is>
      </c>
      <c r="D13" s="15" t="inlineStr">
        <is>
          <t>AXIS_STAGE</t>
        </is>
      </c>
      <c r="E13" s="15" t="inlineStr">
        <is>
          <t>DIET-Q-02</t>
        </is>
      </c>
      <c r="F13" s="15" t="inlineStr">
        <is>
          <t>CHALLENGE</t>
        </is>
      </c>
      <c r="G13" s="6" t="inlineStr">
        <is>
          <t>오늘은 단 음료 없이</t>
        </is>
      </c>
      <c r="H13" s="5" t="inlineStr">
        <is>
          <t>오늘 하루는 평소 마시던 단 음료를 마시지 않고 지내 보세요.</t>
        </is>
      </c>
      <c r="I13" s="17" t="inlineStr">
        <is>
          <t>평소 마시던 단 음료를 쉬어 보는 행동이에요.</t>
        </is>
      </c>
      <c r="J13" s="15" t="inlineStr">
        <is>
          <t>FAST</t>
        </is>
      </c>
      <c r="K13" s="15" t="n"/>
      <c r="L13" s="15" t="inlineStr">
        <is>
          <t>WHO-DIET; AHA-HF; NIDDK-HYPO</t>
        </is>
      </c>
      <c r="M13" s="17" t="inlineStr">
        <is>
          <t>근거 범위에 맞춰 이유 문장 수정</t>
        </is>
      </c>
      <c r="N13" s="15" t="n">
        <v>13</v>
      </c>
    </row>
    <row r="14">
      <c r="A14" s="15" t="inlineStr">
        <is>
          <t>DIET-P-0014</t>
        </is>
      </c>
      <c r="B14" s="15" t="inlineStr">
        <is>
          <t>1.0.0</t>
        </is>
      </c>
      <c r="C14" s="15" t="inlineStr">
        <is>
          <t>사용</t>
        </is>
      </c>
      <c r="D14" s="15" t="inlineStr">
        <is>
          <t>AXIS_STAGE</t>
        </is>
      </c>
      <c r="E14" s="15" t="inlineStr">
        <is>
          <t>DIET-Q-03</t>
        </is>
      </c>
      <c r="F14" s="15" t="inlineStr">
        <is>
          <t>INTRO</t>
        </is>
      </c>
      <c r="G14" s="15" t="inlineStr">
        <is>
          <t>한 끼는 국물 반만</t>
        </is>
      </c>
      <c r="H14" s="17" t="inlineStr">
        <is>
          <t>오늘 한 끼는 국이나 찌개 국물을 평소의 절반만 드세요.</t>
        </is>
      </c>
      <c r="I14" s="17" t="inlineStr">
        <is>
          <t>국물을 덜 먹으면 그 국물에 든 나트륨 섭취도 줄어요.</t>
        </is>
      </c>
      <c r="J14" s="15" t="inlineStr">
        <is>
          <t>REDUCE</t>
        </is>
      </c>
      <c r="K14" s="15" t="n"/>
      <c r="L14" s="15" t="inlineStr">
        <is>
          <t>WHO-DIET; AHA-HF; NIDDK-HYPO</t>
        </is>
      </c>
      <c r="M14" s="17" t="inlineStr">
        <is>
          <t>근거 범위에 맞춰 이유 문장 수정</t>
        </is>
      </c>
      <c r="N14" s="15" t="n">
        <v>14</v>
      </c>
    </row>
    <row r="15">
      <c r="A15" s="15" t="inlineStr">
        <is>
          <t>DIET-P-0015</t>
        </is>
      </c>
      <c r="B15" s="15" t="inlineStr">
        <is>
          <t>1.0.0</t>
        </is>
      </c>
      <c r="C15" s="15" t="inlineStr">
        <is>
          <t>사용</t>
        </is>
      </c>
      <c r="D15" s="15" t="inlineStr">
        <is>
          <t>AXIS_STAGE</t>
        </is>
      </c>
      <c r="E15" s="15" t="inlineStr">
        <is>
          <t>DIET-Q-03</t>
        </is>
      </c>
      <c r="F15" s="15" t="inlineStr">
        <is>
          <t>BASE</t>
        </is>
      </c>
      <c r="G15" s="15" t="inlineStr">
        <is>
          <t>국물은 건더기 위주로</t>
        </is>
      </c>
      <c r="H15" s="17" t="inlineStr">
        <is>
          <t>국이나 찌개를 먹을 때 국물보다 건더기 위주로 드세요.</t>
        </is>
      </c>
      <c r="I15" s="17" t="inlineStr">
        <is>
          <t>국물 섭취량을 줄이는 행동이에요.</t>
        </is>
      </c>
      <c r="J15" s="15" t="n"/>
      <c r="K15" s="15" t="n"/>
      <c r="L15" s="15" t="inlineStr">
        <is>
          <t>WHO-DIET; AHA-HF</t>
        </is>
      </c>
      <c r="M15" s="17" t="inlineStr">
        <is>
          <t>근거 범위에 맞춰 이유 문장 수정</t>
        </is>
      </c>
      <c r="N15" s="15" t="n">
        <v>15</v>
      </c>
    </row>
    <row r="16">
      <c r="A16" s="15" t="inlineStr">
        <is>
          <t>DIET-P-0016</t>
        </is>
      </c>
      <c r="B16" s="15" t="inlineStr">
        <is>
          <t>1.0.0</t>
        </is>
      </c>
      <c r="C16" s="15" t="inlineStr">
        <is>
          <t>사용</t>
        </is>
      </c>
      <c r="D16" s="15" t="inlineStr">
        <is>
          <t>AXIS_STAGE</t>
        </is>
      </c>
      <c r="E16" s="15" t="inlineStr">
        <is>
          <t>DIET-Q-03</t>
        </is>
      </c>
      <c r="F16" s="15" t="inlineStr">
        <is>
          <t>BASE</t>
        </is>
      </c>
      <c r="G16" s="6" t="inlineStr">
        <is>
          <t>한 끼는 싱겁게 먹기</t>
        </is>
      </c>
      <c r="H16" s="5" t="inlineStr">
        <is>
          <t>오늘 한 끼는 소금이나 간장을 더 넣지 말고 싱겁게 드세요.</t>
        </is>
      </c>
      <c r="I16" s="17" t="inlineStr">
        <is>
          <t>추가하는 소금과 장의 양을 줄이는 행동이에요.</t>
        </is>
      </c>
      <c r="J16" s="15" t="n"/>
      <c r="K16" s="15" t="n"/>
      <c r="L16" s="15" t="inlineStr">
        <is>
          <t>WHO-DIET; NIDDK-HYPO</t>
        </is>
      </c>
      <c r="M16" s="17" t="inlineStr">
        <is>
          <t>근거 범위에 맞춰 이유 문장 수정</t>
        </is>
      </c>
      <c r="N16" s="15" t="n">
        <v>16</v>
      </c>
    </row>
    <row r="17">
      <c r="A17" s="15" t="inlineStr">
        <is>
          <t>DIET-P-0017</t>
        </is>
      </c>
      <c r="B17" s="15" t="inlineStr">
        <is>
          <t>1.0.0</t>
        </is>
      </c>
      <c r="C17" s="15" t="inlineStr">
        <is>
          <t>사용</t>
        </is>
      </c>
      <c r="D17" s="15" t="inlineStr">
        <is>
          <t>AXIS_STAGE</t>
        </is>
      </c>
      <c r="E17" s="15" t="inlineStr">
        <is>
          <t>DIET-Q-03</t>
        </is>
      </c>
      <c r="F17" s="15" t="inlineStr">
        <is>
          <t>CHALLENGE</t>
        </is>
      </c>
      <c r="G17" s="6" t="inlineStr">
        <is>
          <t>나트륨 표시 보기</t>
        </is>
      </c>
      <c r="H17" s="5" t="inlineStr">
        <is>
          <t>가공식품을 살 때 포장의 나트륨 표시를 보고 덜 짠 것을 고르세요.</t>
        </is>
      </c>
      <c r="I17" s="17" t="inlineStr">
        <is>
          <t>제품의 나트륨 표시를 비교해 고르는 행동이에요.</t>
        </is>
      </c>
      <c r="J17" s="15" t="n"/>
      <c r="K17" s="15" t="n"/>
      <c r="L17" s="15" t="inlineStr">
        <is>
          <t>WHO-DIET</t>
        </is>
      </c>
      <c r="M17" s="17" t="inlineStr">
        <is>
          <t>행동 문구 수정; 근거 범위에 맞춰 이유 문장 수정</t>
        </is>
      </c>
      <c r="N17" s="15" t="n">
        <v>17</v>
      </c>
    </row>
    <row r="18">
      <c r="A18" s="15" t="inlineStr">
        <is>
          <t>DIET-P-0022</t>
        </is>
      </c>
      <c r="B18" s="15" t="inlineStr">
        <is>
          <t>1.0.0</t>
        </is>
      </c>
      <c r="C18" s="15" t="inlineStr">
        <is>
          <t>사용</t>
        </is>
      </c>
      <c r="D18" s="15" t="inlineStr">
        <is>
          <t>AXIS_STAGE</t>
        </is>
      </c>
      <c r="E18" s="15" t="inlineStr">
        <is>
          <t>DIET-Q-05</t>
        </is>
      </c>
      <c r="F18" s="15" t="inlineStr">
        <is>
          <t>INTRO</t>
        </is>
      </c>
      <c r="G18" s="6" t="inlineStr">
        <is>
          <t>식사 중 수저 내려놓기</t>
        </is>
      </c>
      <c r="H18" s="5" t="inlineStr">
        <is>
          <t>식사 중간에 수저를 잠깐 내려놓고 먹는 속도를 살펴보세요.</t>
        </is>
      </c>
      <c r="I18" s="17" t="inlineStr">
        <is>
          <t>식사 중 잠깐 멈춰 먹는 속도를 살펴봐요.</t>
        </is>
      </c>
      <c r="J18" s="15" t="n"/>
      <c r="K18" s="15" t="n"/>
      <c r="L18" s="15" t="inlineStr">
        <is>
          <t>WHO-DIET; NICE-ED</t>
        </is>
      </c>
      <c r="M18" s="17" t="inlineStr">
        <is>
          <t>근거 범위에 맞춰 이유 문장 수정</t>
        </is>
      </c>
      <c r="N18" s="15" t="n">
        <v>18</v>
      </c>
    </row>
    <row r="19">
      <c r="A19" s="15" t="inlineStr">
        <is>
          <t>DIET-P-0023</t>
        </is>
      </c>
      <c r="B19" s="15" t="inlineStr">
        <is>
          <t>1.0.0</t>
        </is>
      </c>
      <c r="C19" s="15" t="inlineStr">
        <is>
          <t>사용</t>
        </is>
      </c>
      <c r="D19" s="15" t="inlineStr">
        <is>
          <t>AXIS_STAGE</t>
        </is>
      </c>
      <c r="E19" s="15" t="inlineStr">
        <is>
          <t>DIET-Q-05</t>
        </is>
      </c>
      <c r="F19" s="15" t="inlineStr">
        <is>
          <t>BASE</t>
        </is>
      </c>
      <c r="G19" s="6" t="inlineStr">
        <is>
          <t>한 끼는 천천히 먹기</t>
        </is>
      </c>
      <c r="H19" s="5" t="inlineStr">
        <is>
          <t>오늘 한 끼는 서두르지 말고 시간을 들여 천천히 드세요.</t>
        </is>
      </c>
      <c r="I19" s="17" t="inlineStr">
        <is>
          <t>식사를 서두르지 않고 먹어 보는 행동이에요.</t>
        </is>
      </c>
      <c r="J19" s="15" t="n"/>
      <c r="K19" s="15" t="n"/>
      <c r="L19" s="15" t="inlineStr">
        <is>
          <t>WHO-DIET; NICE-ED</t>
        </is>
      </c>
      <c r="M19" s="17" t="inlineStr">
        <is>
          <t>행동 문구 수정; 근거 범위에 맞춰 이유 문장 수정</t>
        </is>
      </c>
      <c r="N19" s="15" t="n">
        <v>19</v>
      </c>
    </row>
    <row r="20">
      <c r="A20" s="15" t="inlineStr">
        <is>
          <t>DIET-P-0025</t>
        </is>
      </c>
      <c r="B20" s="15" t="inlineStr">
        <is>
          <t>1.0.0</t>
        </is>
      </c>
      <c r="C20" s="15" t="inlineStr">
        <is>
          <t>사용</t>
        </is>
      </c>
      <c r="D20" s="15" t="inlineStr">
        <is>
          <t>AXIS_STAGE</t>
        </is>
      </c>
      <c r="E20" s="15" t="inlineStr">
        <is>
          <t>DIET-Q-05</t>
        </is>
      </c>
      <c r="F20" s="15" t="inlineStr">
        <is>
          <t>CHALLENGE</t>
        </is>
      </c>
      <c r="G20" s="6" t="inlineStr">
        <is>
          <t>먹으면서 배부름 살피기</t>
        </is>
      </c>
      <c r="H20" s="5" t="inlineStr">
        <is>
          <t>식사하는 중간중간 배가 얼마나 부른지 스스로 살펴보세요.</t>
        </is>
      </c>
      <c r="I20" s="17" t="inlineStr">
        <is>
          <t>식사 중 배부른 정도를 살펴보는 행동이에요.</t>
        </is>
      </c>
      <c r="J20" s="15" t="inlineStr">
        <is>
          <t>REDUCE</t>
        </is>
      </c>
      <c r="K20" s="15" t="n"/>
      <c r="L20" s="15" t="inlineStr">
        <is>
          <t>WHO-DIET; NICE-ED</t>
        </is>
      </c>
      <c r="M20" s="17" t="inlineStr">
        <is>
          <t>행동 문구 수정; 근거 범위에 맞춰 이유 문장 수정</t>
        </is>
      </c>
      <c r="N20" s="15" t="n">
        <v>20</v>
      </c>
    </row>
    <row r="21">
      <c r="A21" s="15" t="inlineStr">
        <is>
          <t>DIET-P-0027</t>
        </is>
      </c>
      <c r="B21" s="15" t="inlineStr">
        <is>
          <t>1.0.0</t>
        </is>
      </c>
      <c r="C21" s="15" t="inlineStr">
        <is>
          <t>사용</t>
        </is>
      </c>
      <c r="D21" s="15" t="inlineStr">
        <is>
          <t>AXIS_STAGE</t>
        </is>
      </c>
      <c r="E21" s="15" t="inlineStr">
        <is>
          <t>DIET-Q-06</t>
        </is>
      </c>
      <c r="F21" s="15" t="inlineStr">
        <is>
          <t>INTRO</t>
        </is>
      </c>
      <c r="G21" s="6" t="inlineStr">
        <is>
          <t>조금이라도 단백질 먹기</t>
        </is>
      </c>
      <c r="H21" s="5" t="inlineStr">
        <is>
          <t>오늘 식사에 고기·생선·달걀·두부 중 하나를 조금이라도 드세요.</t>
        </is>
      </c>
      <c r="I21" s="17" t="inlineStr">
        <is>
          <t>단백질이 든 식품을 식사에 포함하는 행동이에요.</t>
        </is>
      </c>
      <c r="J21" s="15" t="inlineStr">
        <is>
          <t>INCREASE</t>
        </is>
      </c>
      <c r="K21" s="15" t="n"/>
      <c r="L21" s="15" t="inlineStr">
        <is>
          <t>WHO-DIET; NIDDK-CKD</t>
        </is>
      </c>
      <c r="M21" s="17" t="inlineStr">
        <is>
          <t>근거 범위에 맞춰 이유 문장 수정</t>
        </is>
      </c>
      <c r="N21" s="15" t="n">
        <v>21</v>
      </c>
    </row>
    <row r="22">
      <c r="A22" s="15" t="inlineStr">
        <is>
          <t>DIET-P-0028</t>
        </is>
      </c>
      <c r="B22" s="15" t="inlineStr">
        <is>
          <t>1.0.0</t>
        </is>
      </c>
      <c r="C22" s="15" t="inlineStr">
        <is>
          <t>사용</t>
        </is>
      </c>
      <c r="D22" s="15" t="inlineStr">
        <is>
          <t>AXIS_STAGE</t>
        </is>
      </c>
      <c r="E22" s="15" t="inlineStr">
        <is>
          <t>DIET-Q-06</t>
        </is>
      </c>
      <c r="F22" s="15" t="inlineStr">
        <is>
          <t>BASE</t>
        </is>
      </c>
      <c r="G22" s="6" t="inlineStr">
        <is>
          <t>반찬 하나는 단백질로</t>
        </is>
      </c>
      <c r="H22" s="5" t="inlineStr">
        <is>
          <t>반찬 중 한 가지는 고기·생선·달걀·두부 같은 단백질 반찬으로 드세요.</t>
        </is>
      </c>
      <c r="I22" s="17" t="inlineStr">
        <is>
          <t>식사에 단백질 반찬이 있는지 살펴봐요.</t>
        </is>
      </c>
      <c r="J22" s="15" t="inlineStr">
        <is>
          <t>INCREASE</t>
        </is>
      </c>
      <c r="K22" s="15" t="n"/>
      <c r="L22" s="15" t="inlineStr">
        <is>
          <t>WHO-DIET; NIDDK-CKD</t>
        </is>
      </c>
      <c r="M22" s="17" t="inlineStr">
        <is>
          <t>근거 범위에 맞춰 이유 문장 수정</t>
        </is>
      </c>
      <c r="N22" s="15" t="n">
        <v>22</v>
      </c>
    </row>
    <row r="23">
      <c r="A23" s="15" t="inlineStr">
        <is>
          <t>DIET-P-0029</t>
        </is>
      </c>
      <c r="B23" s="15" t="inlineStr">
        <is>
          <t>1.0.0</t>
        </is>
      </c>
      <c r="C23" s="15" t="inlineStr">
        <is>
          <t>사용</t>
        </is>
      </c>
      <c r="D23" s="15" t="inlineStr">
        <is>
          <t>AXIS_STAGE</t>
        </is>
      </c>
      <c r="E23" s="15" t="inlineStr">
        <is>
          <t>DIET-Q-06</t>
        </is>
      </c>
      <c r="F23" s="15" t="inlineStr">
        <is>
          <t>CHALLENGE</t>
        </is>
      </c>
      <c r="G23" s="6" t="inlineStr">
        <is>
          <t>끼니마다 단백질 챙기기</t>
        </is>
      </c>
      <c r="H23" s="5" t="inlineStr">
        <is>
          <t>오늘은 아침·점심·저녁 끼니마다 단백질 반찬을 한 가지씩 드세요.</t>
        </is>
      </c>
      <c r="I23" s="17" t="inlineStr">
        <is>
          <t>각 끼니의 단백질 식품 구성을 살펴봐요.</t>
        </is>
      </c>
      <c r="J23" s="15" t="inlineStr">
        <is>
          <t>INCREASE</t>
        </is>
      </c>
      <c r="K23" s="15" t="n"/>
      <c r="L23" s="15" t="inlineStr">
        <is>
          <t>WHO-DIET; NIDDK-CKD</t>
        </is>
      </c>
      <c r="M23" s="17" t="inlineStr">
        <is>
          <t>근거 범위에 맞춰 이유 문장 수정</t>
        </is>
      </c>
      <c r="N23" s="15" t="n">
        <v>23</v>
      </c>
    </row>
    <row r="24">
      <c r="A24" s="15" t="inlineStr">
        <is>
          <t>DIET-P-0030</t>
        </is>
      </c>
      <c r="B24" s="15" t="inlineStr">
        <is>
          <t>1.0.0</t>
        </is>
      </c>
      <c r="C24" s="15" t="inlineStr">
        <is>
          <t>사용</t>
        </is>
      </c>
      <c r="D24" s="15" t="inlineStr">
        <is>
          <t>AXIS_STAGE</t>
        </is>
      </c>
      <c r="E24" s="15" t="inlineStr">
        <is>
          <t>DIET-Q-07</t>
        </is>
      </c>
      <c r="F24" s="15" t="inlineStr">
        <is>
          <t>INTRO</t>
        </is>
      </c>
      <c r="G24" s="6" t="inlineStr">
        <is>
          <t>튀긴 반찬은 하나만</t>
        </is>
      </c>
      <c r="H24" s="5" t="inlineStr">
        <is>
          <t>한 끼에 튀긴 반찬은 한 가지만 골라 조금만 드세요.</t>
        </is>
      </c>
      <c r="I24" s="17" t="inlineStr">
        <is>
          <t>튀긴 반찬의 종류와 먹는 양을 살펴봐요.</t>
        </is>
      </c>
      <c r="J24" s="15" t="inlineStr">
        <is>
          <t>REDUCE</t>
        </is>
      </c>
      <c r="K24" s="15" t="n"/>
      <c r="L24" s="15" t="inlineStr">
        <is>
          <t>WHO-DIET</t>
        </is>
      </c>
      <c r="M24" s="17" t="inlineStr">
        <is>
          <t>근거 범위에 맞춰 이유 문장 수정</t>
        </is>
      </c>
      <c r="N24" s="15" t="n">
        <v>24</v>
      </c>
    </row>
    <row r="25">
      <c r="A25" s="15" t="inlineStr">
        <is>
          <t>DIET-P-0031</t>
        </is>
      </c>
      <c r="B25" s="15" t="inlineStr">
        <is>
          <t>1.0.0</t>
        </is>
      </c>
      <c r="C25" s="15" t="inlineStr">
        <is>
          <t>사용</t>
        </is>
      </c>
      <c r="D25" s="15" t="inlineStr">
        <is>
          <t>AXIS_STAGE</t>
        </is>
      </c>
      <c r="E25" s="15" t="inlineStr">
        <is>
          <t>DIET-Q-07</t>
        </is>
      </c>
      <c r="F25" s="15" t="inlineStr">
        <is>
          <t>BASE</t>
        </is>
      </c>
      <c r="G25" s="6" t="inlineStr">
        <is>
          <t>간식은 견과류로</t>
        </is>
      </c>
      <c r="H25" s="5" t="inlineStr">
        <is>
          <t>출출할 때 과자 같은 간식 대신 견과류를 조금 드세요.</t>
        </is>
      </c>
      <c r="I25" s="17" t="inlineStr">
        <is>
          <t>간식 종류를 바꿔 보는 행동이에요.</t>
        </is>
      </c>
      <c r="J25" s="15" t="inlineStr">
        <is>
          <t>TEXTURE</t>
        </is>
      </c>
      <c r="K25" s="15" t="n"/>
      <c r="L25" s="15" t="inlineStr">
        <is>
          <t>WHO-DIET; NIDDK-CKD</t>
        </is>
      </c>
      <c r="M25" s="17" t="inlineStr">
        <is>
          <t>근거 범위에 맞춰 이유 문장 수정</t>
        </is>
      </c>
      <c r="N25" s="15" t="n">
        <v>25</v>
      </c>
    </row>
    <row r="26">
      <c r="A26" s="15" t="inlineStr">
        <is>
          <t>DIET-P-0032</t>
        </is>
      </c>
      <c r="B26" s="15" t="inlineStr">
        <is>
          <t>1.0.0</t>
        </is>
      </c>
      <c r="C26" s="15" t="inlineStr">
        <is>
          <t>사용</t>
        </is>
      </c>
      <c r="D26" s="15" t="inlineStr">
        <is>
          <t>AXIS_STAGE</t>
        </is>
      </c>
      <c r="E26" s="15" t="inlineStr">
        <is>
          <t>DIET-Q-07</t>
        </is>
      </c>
      <c r="F26" s="15" t="inlineStr">
        <is>
          <t>CHALLENGE</t>
        </is>
      </c>
      <c r="G26" s="6" t="inlineStr">
        <is>
          <t>고기 대신 생선으로</t>
        </is>
      </c>
      <c r="H26" s="5" t="inlineStr">
        <is>
          <t>오늘 한 끼는 고기 반찬 대신 생선 반찬으로 바꿔 드세요.</t>
        </is>
      </c>
      <c r="I26" s="17" t="inlineStr">
        <is>
          <t>단백질 식품의 종류를 바꿔 보는 행동이에요.</t>
        </is>
      </c>
      <c r="J26" s="15" t="n"/>
      <c r="K26" s="15" t="n"/>
      <c r="L26" s="15" t="inlineStr">
        <is>
          <t>WHO-DIET; NIDDK-CKD; NIDDK-HYPO</t>
        </is>
      </c>
      <c r="M26" s="17" t="inlineStr">
        <is>
          <t>근거 범위에 맞춰 이유 문장 수정</t>
        </is>
      </c>
      <c r="N26" s="15" t="n">
        <v>26</v>
      </c>
    </row>
    <row r="27">
      <c r="A27" s="15" t="inlineStr">
        <is>
          <t>DIET-P-0033</t>
        </is>
      </c>
      <c r="B27" s="15" t="inlineStr">
        <is>
          <t>1.0.0</t>
        </is>
      </c>
      <c r="C27" s="15" t="inlineStr">
        <is>
          <t>사용</t>
        </is>
      </c>
      <c r="D27" s="15" t="inlineStr">
        <is>
          <t>RECOVERY</t>
        </is>
      </c>
      <c r="E27" s="15" t="n"/>
      <c r="F27" s="15" t="n"/>
      <c r="G27" s="6" t="inlineStr">
        <is>
          <t>다음 끼니 잘 챙기기</t>
        </is>
      </c>
      <c r="H27" s="5" t="inlineStr">
        <is>
          <t>이번 끼니를 거르거나 적게 먹었다면, 다음 끼니는 꼭 챙겨 드세요.</t>
        </is>
      </c>
      <c r="I27" s="17" t="inlineStr">
        <is>
          <t>부족했던 섭취를 고려해 다음 식사를 챙겨요.</t>
        </is>
      </c>
      <c r="J27" s="15" t="inlineStr">
        <is>
          <t>INCREASE</t>
        </is>
      </c>
      <c r="K27" s="15" t="n"/>
      <c r="L27" s="15" t="inlineStr">
        <is>
          <t>WHO-DIET</t>
        </is>
      </c>
      <c r="M27" s="17" t="inlineStr">
        <is>
          <t>행동 문구 수정; 근거 범위에 맞춰 이유 문장 수정 · 10-19 특정 음식 이름을 음식 종류로</t>
        </is>
      </c>
      <c r="N27" s="15" t="n">
        <v>27</v>
      </c>
    </row>
    <row r="28">
      <c r="A28" s="15" t="inlineStr">
        <is>
          <t>DIET-P-0034</t>
        </is>
      </c>
      <c r="B28" s="15" t="inlineStr">
        <is>
          <t>1.0.0</t>
        </is>
      </c>
      <c r="C28" s="15" t="inlineStr">
        <is>
          <t>사용</t>
        </is>
      </c>
      <c r="D28" s="15" t="inlineStr">
        <is>
          <t>RECOVERY</t>
        </is>
      </c>
      <c r="E28" s="15" t="n"/>
      <c r="F28" s="15" t="n"/>
      <c r="G28" s="6" t="inlineStr">
        <is>
          <t>단백질 한 입 먹기</t>
        </is>
      </c>
      <c r="H28" s="5" t="inlineStr">
        <is>
          <t>다음 식사 때 달걀·두부·생선 같은 단백질 반찬을 한 입이라도 드세요.</t>
        </is>
      </c>
      <c r="I28" s="17" t="inlineStr">
        <is>
          <t>단백질 식품만으로 한 끼가 충분하다고 판단하지 않아요.</t>
        </is>
      </c>
      <c r="J28" s="15" t="inlineStr">
        <is>
          <t>INCREASE</t>
        </is>
      </c>
      <c r="K28" s="15" t="n"/>
      <c r="L28" s="15" t="inlineStr">
        <is>
          <t>WHO-DIET</t>
        </is>
      </c>
      <c r="M28" s="17" t="inlineStr">
        <is>
          <t>근거 범위에 맞춰 이유 문장 수정</t>
        </is>
      </c>
      <c r="N28" s="15" t="n">
        <v>28</v>
      </c>
    </row>
    <row r="29">
      <c r="A29" s="15" t="inlineStr">
        <is>
          <t>DIET-P-0035</t>
        </is>
      </c>
      <c r="B29" s="15" t="inlineStr">
        <is>
          <t>1.0.0</t>
        </is>
      </c>
      <c r="C29" s="15" t="inlineStr">
        <is>
          <t>사용</t>
        </is>
      </c>
      <c r="D29" s="15" t="inlineStr">
        <is>
          <t>RECOVERY</t>
        </is>
      </c>
      <c r="E29" s="15" t="n"/>
      <c r="F29" s="15" t="n"/>
      <c r="G29" s="6" t="inlineStr">
        <is>
          <t>간식이라도 챙겨 먹기</t>
        </is>
      </c>
      <c r="H29" s="5" t="inlineStr">
        <is>
          <t>끼니를 적게 먹었다면 먹을 수 있는 간식이라도 조금 챙겨 드세요.</t>
        </is>
      </c>
      <c r="I29" s="17" t="inlineStr">
        <is>
          <t>끼니를 적게 먹었다면 먹을 수 있는 간식을 살펴봐요.</t>
        </is>
      </c>
      <c r="J29" s="15" t="inlineStr">
        <is>
          <t>INCREASE</t>
        </is>
      </c>
      <c r="K29" s="15" t="n"/>
      <c r="L29" s="15" t="inlineStr">
        <is>
          <t>WHO-DIET</t>
        </is>
      </c>
      <c r="M29" s="17" t="inlineStr">
        <is>
          <t>근거 범위에 맞춰 이유 문장 수정</t>
        </is>
      </c>
      <c r="N29" s="15" t="n">
        <v>29</v>
      </c>
    </row>
    <row r="30">
      <c r="A30" s="15" t="inlineStr">
        <is>
          <t>DIET-P-0036</t>
        </is>
      </c>
      <c r="B30" s="15" t="inlineStr">
        <is>
          <t>1.0.0</t>
        </is>
      </c>
      <c r="C30" s="15" t="inlineStr">
        <is>
          <t>사용</t>
        </is>
      </c>
      <c r="D30" s="15" t="inlineStr">
        <is>
          <t>LOW_BURDEN</t>
        </is>
      </c>
      <c r="E30" s="15" t="n"/>
      <c r="F30" s="15" t="n"/>
      <c r="G30" s="6" t="inlineStr">
        <is>
          <t>늦은 시간, 카페인 줄이기</t>
        </is>
      </c>
      <c r="H30" s="5" t="inlineStr">
        <is>
          <t>늦은 오후부터는 커피·녹차 같은 카페인 음료를 줄여 보세요.</t>
        </is>
      </c>
      <c r="I30" s="17" t="inlineStr">
        <is>
          <t>카페인에 민감하다면 늦은 시간 섭취를 줄여 볼 수 있어요.</t>
        </is>
      </c>
      <c r="J30" s="15" t="n"/>
      <c r="K30" s="15" t="n"/>
      <c r="L30" s="15" t="inlineStr">
        <is>
          <t>WHO-DIET; NIDDK-HYPO</t>
        </is>
      </c>
      <c r="M30" s="17" t="inlineStr">
        <is>
          <t>행동 문구 수정; 근거 범위에 맞춰 이유 문장 수정</t>
        </is>
      </c>
      <c r="N30" s="15" t="n">
        <v>30</v>
      </c>
    </row>
    <row r="31">
      <c r="A31" s="15" t="inlineStr">
        <is>
          <t>DIET-P-0037</t>
        </is>
      </c>
      <c r="B31" s="15" t="inlineStr">
        <is>
          <t>1.0.0</t>
        </is>
      </c>
      <c r="C31" s="15" t="inlineStr">
        <is>
          <t>사용</t>
        </is>
      </c>
      <c r="D31" s="15" t="inlineStr">
        <is>
          <t>LOW_BURDEN</t>
        </is>
      </c>
      <c r="E31" s="15" t="n"/>
      <c r="F31" s="15" t="n"/>
      <c r="G31" s="6" t="inlineStr">
        <is>
          <t>부담 없는 저녁 차리기</t>
        </is>
      </c>
      <c r="H31" s="5" t="inlineStr">
        <is>
          <t>피곤한 날엔 손이 덜 가고 먹기 편한 음식으로 저녁을 차려 보세요.</t>
        </is>
      </c>
      <c r="I31" s="17" t="inlineStr">
        <is>
          <t>피곤한 날 먹을 수 있는 식사를 준비해요.</t>
        </is>
      </c>
      <c r="J31" s="15" t="n"/>
      <c r="K31" s="15" t="n"/>
      <c r="L31" s="15" t="inlineStr">
        <is>
          <t>WHO-DIET</t>
        </is>
      </c>
      <c r="M31" s="17" t="inlineStr">
        <is>
          <t>행동 문구 수정; 근거 범위에 맞춰 이유 문장 수정</t>
        </is>
      </c>
      <c r="N31" s="15" t="n">
        <v>31</v>
      </c>
    </row>
    <row r="32">
      <c r="A32" s="15" t="inlineStr">
        <is>
          <t>DIET-P-0039</t>
        </is>
      </c>
      <c r="B32" s="15" t="inlineStr">
        <is>
          <t>1.0.0</t>
        </is>
      </c>
      <c r="C32" s="15" t="inlineStr">
        <is>
          <t>사용</t>
        </is>
      </c>
      <c r="D32" s="15" t="inlineStr">
        <is>
          <t>LOW_BURDEN</t>
        </is>
      </c>
      <c r="E32" s="15" t="n"/>
      <c r="F32" s="15" t="n"/>
      <c r="G32" s="6" t="inlineStr">
        <is>
          <t>점심은 평소 양으로</t>
        </is>
      </c>
      <c r="H32" s="5" t="inlineStr">
        <is>
          <t>점심은 거르거나 줄이지 말고 평소 먹던 양만큼 드세요.</t>
        </is>
      </c>
      <c r="I32" s="17" t="inlineStr">
        <is>
          <t>평소 식사 계획에 맞춰 점심을 챙겨요.</t>
        </is>
      </c>
      <c r="J32" s="15" t="n"/>
      <c r="K32" s="15" t="n"/>
      <c r="L32" s="15" t="inlineStr">
        <is>
          <t>WHO-DIET; NIDDK-HYPO</t>
        </is>
      </c>
      <c r="M32" s="17" t="inlineStr">
        <is>
          <t>근거 범위에 맞춰 이유 문장 수정</t>
        </is>
      </c>
      <c r="N32" s="15" t="n">
        <v>32</v>
      </c>
    </row>
    <row r="33">
      <c r="A33" s="15" t="inlineStr">
        <is>
          <t>DIET-P-0040</t>
        </is>
      </c>
      <c r="B33" s="15" t="inlineStr">
        <is>
          <t>1.0.0</t>
        </is>
      </c>
      <c r="C33" s="15" t="inlineStr">
        <is>
          <t>사용</t>
        </is>
      </c>
      <c r="D33" s="15" t="inlineStr">
        <is>
          <t>AXIS_STAGE</t>
        </is>
      </c>
      <c r="E33" s="15" t="inlineStr">
        <is>
          <t>DIET-Q-00</t>
        </is>
      </c>
      <c r="F33" s="15" t="inlineStr">
        <is>
          <t>INTRO</t>
        </is>
      </c>
      <c r="G33" s="6" t="inlineStr">
        <is>
          <t>아침에 우유 곁들이기</t>
        </is>
      </c>
      <c r="H33" s="5" t="inlineStr">
        <is>
          <t>아침 식사에 우유를 한 잔 곁들여 드세요.</t>
        </is>
      </c>
      <c r="I33" s="17" t="inlineStr">
        <is>
          <t>마실 것을 식사의 일부로 준비하는 행동이에요.</t>
        </is>
      </c>
      <c r="J33" s="15" t="inlineStr">
        <is>
          <t>INCREASE</t>
        </is>
      </c>
      <c r="K33" s="15" t="n"/>
      <c r="L33" s="15" t="inlineStr">
        <is>
          <t>WHO-DIET; NIDDK-CKD; AHA-HF</t>
        </is>
      </c>
      <c r="M33" s="17" t="inlineStr">
        <is>
          <t>행동 문구 수정; 근거 범위에 맞춰 이유 문장 수정</t>
        </is>
      </c>
      <c r="N33" s="15" t="n">
        <v>33</v>
      </c>
    </row>
    <row r="34">
      <c r="A34" s="15" t="inlineStr">
        <is>
          <t>DIET-P-0041</t>
        </is>
      </c>
      <c r="B34" s="15" t="inlineStr">
        <is>
          <t>1.0.0</t>
        </is>
      </c>
      <c r="C34" s="15" t="inlineStr">
        <is>
          <t>사용</t>
        </is>
      </c>
      <c r="D34" s="15" t="inlineStr">
        <is>
          <t>AXIS_STAGE</t>
        </is>
      </c>
      <c r="E34" s="15" t="inlineStr">
        <is>
          <t>DIET-Q-00</t>
        </is>
      </c>
      <c r="F34" s="15" t="inlineStr">
        <is>
          <t>BASE</t>
        </is>
      </c>
      <c r="G34" s="6" t="inlineStr">
        <is>
          <t>점심 늦지 않게 먹기</t>
        </is>
      </c>
      <c r="H34" s="5" t="inlineStr">
        <is>
          <t>바쁘더라도 점심 먹을 시간을 미리 비워 두고 늦지 않게 드세요.</t>
        </is>
      </c>
      <c r="I34" s="17" t="inlineStr">
        <is>
          <t>일정에 맞춰 점심 먹을 시간을 확보해요.</t>
        </is>
      </c>
      <c r="J34" s="15" t="n"/>
      <c r="K34" s="15" t="n"/>
      <c r="L34" s="15" t="inlineStr">
        <is>
          <t>WHO-DIET</t>
        </is>
      </c>
      <c r="M34" s="17" t="inlineStr">
        <is>
          <t>근거 범위에 맞춰 이유 문장 수정</t>
        </is>
      </c>
      <c r="N34" s="15" t="n">
        <v>34</v>
      </c>
    </row>
    <row r="35">
      <c r="A35" s="15" t="inlineStr">
        <is>
          <t>DIET-P-0042</t>
        </is>
      </c>
      <c r="B35" s="15" t="inlineStr">
        <is>
          <t>1.0.0</t>
        </is>
      </c>
      <c r="C35" s="15" t="inlineStr">
        <is>
          <t>사용</t>
        </is>
      </c>
      <c r="D35" s="15" t="inlineStr">
        <is>
          <t>AXIS_STAGE</t>
        </is>
      </c>
      <c r="E35" s="15" t="inlineStr">
        <is>
          <t>DIET-Q-00</t>
        </is>
      </c>
      <c r="F35" s="15" t="inlineStr">
        <is>
          <t>CHALLENGE</t>
        </is>
      </c>
      <c r="G35" s="6" t="inlineStr">
        <is>
          <t>오늘 세 끼 챙기기</t>
        </is>
      </c>
      <c r="H35" s="5" t="inlineStr">
        <is>
          <t>오늘은 아침·점심·저녁 세 끼를 거르지 않고 모두 드세요.</t>
        </is>
      </c>
      <c r="I35" s="17" t="inlineStr">
        <is>
          <t>개인 식사 계획에 맞춰 끼니를 챙겨요.</t>
        </is>
      </c>
      <c r="J35" s="15" t="inlineStr">
        <is>
          <t>INCREASE</t>
        </is>
      </c>
      <c r="K35" s="15" t="n"/>
      <c r="L35" s="15" t="inlineStr">
        <is>
          <t>WHO-DIET</t>
        </is>
      </c>
      <c r="M35" s="17" t="inlineStr">
        <is>
          <t>근거 범위에 맞춰 이유 문장 수정</t>
        </is>
      </c>
      <c r="N35" s="15" t="n">
        <v>35</v>
      </c>
    </row>
    <row r="36">
      <c r="A36" s="15" t="inlineStr">
        <is>
          <t>DIET-P-0044</t>
        </is>
      </c>
      <c r="B36" s="15" t="inlineStr">
        <is>
          <t>1.0.0</t>
        </is>
      </c>
      <c r="C36" s="15" t="inlineStr">
        <is>
          <t>사용</t>
        </is>
      </c>
      <c r="D36" s="15" t="inlineStr">
        <is>
          <t>AXIS_STAGE</t>
        </is>
      </c>
      <c r="E36" s="15" t="inlineStr">
        <is>
          <t>DIET-Q-01</t>
        </is>
      </c>
      <c r="F36" s="15" t="inlineStr">
        <is>
          <t>INTRO</t>
        </is>
      </c>
      <c r="G36" s="6" t="inlineStr">
        <is>
          <t>국 대신 나물 반찬</t>
        </is>
      </c>
      <c r="H36" s="5" t="inlineStr">
        <is>
          <t>오늘 한 끼는 국 대신 나물 같은 채소 반찬을 골라 드세요.</t>
        </is>
      </c>
      <c r="I36" s="17" t="inlineStr">
        <is>
          <t>국 대신 채소 반찬을 고르는 행동이에요.</t>
        </is>
      </c>
      <c r="J36" s="15" t="n"/>
      <c r="K36" s="15" t="n"/>
      <c r="L36" s="15" t="inlineStr">
        <is>
          <t>WHO-DIET; AHA-HF; NIDDK-HYPO</t>
        </is>
      </c>
      <c r="M36" s="17" t="inlineStr">
        <is>
          <t>근거 범위에 맞춰 이유 문장 수정</t>
        </is>
      </c>
      <c r="N36" s="15" t="n">
        <v>37</v>
      </c>
    </row>
    <row r="37">
      <c r="A37" s="15" t="inlineStr">
        <is>
          <t>DIET-P-0045</t>
        </is>
      </c>
      <c r="B37" s="15" t="inlineStr">
        <is>
          <t>1.0.0</t>
        </is>
      </c>
      <c r="C37" s="15" t="inlineStr">
        <is>
          <t>사용</t>
        </is>
      </c>
      <c r="D37" s="15" t="inlineStr">
        <is>
          <t>AXIS_STAGE</t>
        </is>
      </c>
      <c r="E37" s="15" t="inlineStr">
        <is>
          <t>DIET-Q-01</t>
        </is>
      </c>
      <c r="F37" s="15" t="inlineStr">
        <is>
          <t>INTRO</t>
        </is>
      </c>
      <c r="G37" s="6" t="inlineStr">
        <is>
          <t>고기와 쌈 채소 먹기</t>
        </is>
      </c>
      <c r="H37" s="5" t="inlineStr">
        <is>
          <t>고기를 먹을 때 상추·깻잎 같은 쌈 채소에 싸서 드세요.</t>
        </is>
      </c>
      <c r="I37" s="17" t="inlineStr">
        <is>
          <t>쌈 채소는 가장 쉽게 채소를 더하는 방법이에요.</t>
        </is>
      </c>
      <c r="J37" s="15" t="inlineStr">
        <is>
          <t>INCREASE</t>
        </is>
      </c>
      <c r="K37" s="15" t="n"/>
      <c r="L37" s="15" t="inlineStr">
        <is>
          <t>WHO-DIET; NIDDK-CKD</t>
        </is>
      </c>
      <c r="M37" s="17" t="inlineStr">
        <is>
          <t>효과 단정 없이 행동 설명으로 유지. 개인별 적합성·문구 적합성 검토 필요</t>
        </is>
      </c>
      <c r="N37" s="15" t="n">
        <v>38</v>
      </c>
    </row>
    <row r="38">
      <c r="A38" s="15" t="inlineStr">
        <is>
          <t>DIET-P-0046</t>
        </is>
      </c>
      <c r="B38" s="15" t="inlineStr">
        <is>
          <t>1.0.0</t>
        </is>
      </c>
      <c r="C38" s="15" t="inlineStr">
        <is>
          <t>사용</t>
        </is>
      </c>
      <c r="D38" s="15" t="inlineStr">
        <is>
          <t>AXIS_STAGE</t>
        </is>
      </c>
      <c r="E38" s="15" t="inlineStr">
        <is>
          <t>DIET-Q-01</t>
        </is>
      </c>
      <c r="F38" s="15" t="inlineStr">
        <is>
          <t>BASE</t>
        </is>
      </c>
      <c r="G38" s="6" t="inlineStr">
        <is>
          <t>외식에도 채소 하나 더</t>
        </is>
      </c>
      <c r="H38" s="5" t="inlineStr">
        <is>
          <t>밖에서 먹을 때도 채소가 들어간 메뉴나 반찬을 하나 더 골라 보세요.</t>
        </is>
      </c>
      <c r="I38" s="17" t="inlineStr">
        <is>
          <t>외식할 때 채소 메뉴가 있는지 살펴봐요.</t>
        </is>
      </c>
      <c r="J38" s="15" t="inlineStr">
        <is>
          <t>INCREASE</t>
        </is>
      </c>
      <c r="K38" s="15" t="n"/>
      <c r="L38" s="15" t="inlineStr">
        <is>
          <t>WHO-DIET; NIDDK-CKD</t>
        </is>
      </c>
      <c r="M38" s="17" t="inlineStr">
        <is>
          <t>근거 범위에 맞춰 이유 문장 수정</t>
        </is>
      </c>
      <c r="N38" s="15" t="n">
        <v>39</v>
      </c>
    </row>
    <row r="39">
      <c r="A39" s="15" t="inlineStr">
        <is>
          <t>DIET-P-0047</t>
        </is>
      </c>
      <c r="B39" s="15" t="inlineStr">
        <is>
          <t>1.0.0</t>
        </is>
      </c>
      <c r="C39" s="15" t="inlineStr">
        <is>
          <t>사용</t>
        </is>
      </c>
      <c r="D39" s="15" t="inlineStr">
        <is>
          <t>AXIS_STAGE</t>
        </is>
      </c>
      <c r="E39" s="15" t="inlineStr">
        <is>
          <t>DIET-Q-01</t>
        </is>
      </c>
      <c r="F39" s="15" t="inlineStr">
        <is>
          <t>CHALLENGE</t>
        </is>
      </c>
      <c r="G39" s="6" t="inlineStr">
        <is>
          <t>끼니마다 채소 두 가지</t>
        </is>
      </c>
      <c r="H39" s="5" t="inlineStr">
        <is>
          <t>오늘은 끼니마다 서로 다른 채소 반찬을 두 가지씩 드세요.</t>
        </is>
      </c>
      <c r="I39" s="17" t="inlineStr">
        <is>
          <t>끼니마다 채소 종류를 다양하게 골라 봐요.</t>
        </is>
      </c>
      <c r="J39" s="15" t="inlineStr">
        <is>
          <t>INCREASE</t>
        </is>
      </c>
      <c r="K39" s="15" t="n"/>
      <c r="L39" s="15" t="inlineStr">
        <is>
          <t>WHO-DIET; NIDDK-CKD</t>
        </is>
      </c>
      <c r="M39" s="17" t="inlineStr">
        <is>
          <t>근거 범위에 맞춰 이유 문장 수정</t>
        </is>
      </c>
      <c r="N39" s="15" t="n">
        <v>40</v>
      </c>
    </row>
    <row r="40">
      <c r="A40" s="15" t="inlineStr">
        <is>
          <t>DIET-P-0048</t>
        </is>
      </c>
      <c r="B40" s="15" t="inlineStr">
        <is>
          <t>1.0.0</t>
        </is>
      </c>
      <c r="C40" s="15" t="inlineStr">
        <is>
          <t>사용</t>
        </is>
      </c>
      <c r="D40" s="15" t="inlineStr">
        <is>
          <t>AXIS_STAGE</t>
        </is>
      </c>
      <c r="E40" s="15" t="inlineStr">
        <is>
          <t>DIET-Q-01</t>
        </is>
      </c>
      <c r="F40" s="15" t="inlineStr">
        <is>
          <t>CHALLENGE</t>
        </is>
      </c>
      <c r="G40" s="6" t="inlineStr">
        <is>
          <t>점심도 채소부터 먹기</t>
        </is>
      </c>
      <c r="H40" s="5" t="inlineStr">
        <is>
          <t>저녁처럼 점심에도 채소 반찬을 가장 먼저 드세요.</t>
        </is>
      </c>
      <c r="I40" s="17" t="inlineStr">
        <is>
          <t>저녁뿐 아니라 점심에도 순서를 바꿔 보는 단계예요.</t>
        </is>
      </c>
      <c r="J40" s="15" t="n"/>
      <c r="K40" s="15" t="n"/>
      <c r="L40" s="15" t="inlineStr">
        <is>
          <t>WHO-DIET; NIDDK-CKD</t>
        </is>
      </c>
      <c r="M40" s="17" t="inlineStr">
        <is>
          <t>효과 단정 없이 행동 설명으로 유지. 개인별 적합성·문구 적합성 검토 필요</t>
        </is>
      </c>
      <c r="N40" s="15" t="n">
        <v>41</v>
      </c>
    </row>
    <row r="41">
      <c r="A41" s="15" t="inlineStr">
        <is>
          <t>DIET-P-0049</t>
        </is>
      </c>
      <c r="B41" s="15" t="inlineStr">
        <is>
          <t>1.0.0</t>
        </is>
      </c>
      <c r="C41" s="15" t="inlineStr">
        <is>
          <t>사용</t>
        </is>
      </c>
      <c r="D41" s="15" t="inlineStr">
        <is>
          <t>AXIS_STAGE</t>
        </is>
      </c>
      <c r="E41" s="15" t="inlineStr">
        <is>
          <t>DIET-Q-02</t>
        </is>
      </c>
      <c r="F41" s="15" t="inlineStr">
        <is>
          <t>INTRO</t>
        </is>
      </c>
      <c r="G41" s="6" t="inlineStr">
        <is>
          <t>시럽 · 크림 빼기</t>
        </is>
      </c>
      <c r="H41" s="5" t="inlineStr">
        <is>
          <t>커피를 주문할 때 시럽과 휘핑크림은 빼 달라고 해 보세요.</t>
        </is>
      </c>
      <c r="I41" s="17" t="inlineStr">
        <is>
          <t>커피에 추가하는 시럽과 크림을 살펴봐요.</t>
        </is>
      </c>
      <c r="J41" s="15" t="n"/>
      <c r="K41" s="15" t="n"/>
      <c r="L41" s="15" t="inlineStr">
        <is>
          <t>WHO-DIET; AHA-HF; NIDDK-HYPO</t>
        </is>
      </c>
      <c r="M41" s="17" t="inlineStr">
        <is>
          <t>근거 범위에 맞춰 이유 문장 수정</t>
        </is>
      </c>
      <c r="N41" s="15" t="n">
        <v>42</v>
      </c>
    </row>
    <row r="42">
      <c r="A42" s="15" t="inlineStr">
        <is>
          <t>DIET-P-0050</t>
        </is>
      </c>
      <c r="B42" s="15" t="inlineStr">
        <is>
          <t>1.0.0</t>
        </is>
      </c>
      <c r="C42" s="15" t="inlineStr">
        <is>
          <t>사용</t>
        </is>
      </c>
      <c r="D42" s="15" t="inlineStr">
        <is>
          <t>AXIS_STAGE</t>
        </is>
      </c>
      <c r="E42" s="15" t="inlineStr">
        <is>
          <t>DIET-Q-02</t>
        </is>
      </c>
      <c r="F42" s="15" t="inlineStr">
        <is>
          <t>INTRO</t>
        </is>
      </c>
      <c r="G42" s="15" t="inlineStr">
        <is>
          <t>탄산음료 대신 탄산수</t>
        </is>
      </c>
      <c r="H42" s="17" t="inlineStr">
        <is>
          <t>탄산음료가 생각나면 단맛 없는 탄산수로 바꿔 드세요.</t>
        </is>
      </c>
      <c r="I42" s="17" t="inlineStr">
        <is>
          <t>무가당 탄산수로 바꾸면 음료에 첨가된 당을 줄일 수 있어요.</t>
        </is>
      </c>
      <c r="J42" s="15" t="inlineStr">
        <is>
          <t>FLUID</t>
        </is>
      </c>
      <c r="K42" s="15" t="n"/>
      <c r="L42" s="15" t="inlineStr">
        <is>
          <t>WHO-DIET; AHA-HF; NIDDK-HYPO</t>
        </is>
      </c>
      <c r="M42" s="17" t="inlineStr">
        <is>
          <t>근거 범위에 맞춰 이유 문장 수정</t>
        </is>
      </c>
      <c r="N42" s="15" t="n">
        <v>43</v>
      </c>
    </row>
    <row r="43">
      <c r="A43" s="15" t="inlineStr">
        <is>
          <t>DIET-P-0051</t>
        </is>
      </c>
      <c r="B43" s="15" t="inlineStr">
        <is>
          <t>1.0.0</t>
        </is>
      </c>
      <c r="C43" s="15" t="inlineStr">
        <is>
          <t>사용</t>
        </is>
      </c>
      <c r="D43" s="15" t="inlineStr">
        <is>
          <t>AXIS_STAGE</t>
        </is>
      </c>
      <c r="E43" s="15" t="inlineStr">
        <is>
          <t>DIET-Q-02</t>
        </is>
      </c>
      <c r="F43" s="15" t="inlineStr">
        <is>
          <t>BASE</t>
        </is>
      </c>
      <c r="G43" s="15" t="inlineStr">
        <is>
          <t>요구르트는 무가당으로</t>
        </is>
      </c>
      <c r="H43" s="17" t="inlineStr">
        <is>
          <t>요구르트를 고를 때 포장을 보고 설탕 없는 무가당 제품을 고르세요.</t>
        </is>
      </c>
      <c r="I43" s="17" t="inlineStr">
        <is>
          <t>제품 표시를 보고 첨가당을 확인해요.</t>
        </is>
      </c>
      <c r="J43" s="15" t="n"/>
      <c r="K43" s="15" t="n"/>
      <c r="L43" s="15" t="inlineStr">
        <is>
          <t>WHO-DIET</t>
        </is>
      </c>
      <c r="M43" s="17" t="inlineStr">
        <is>
          <t>근거 범위에 맞춰 이유 문장 수정</t>
        </is>
      </c>
      <c r="N43" s="15" t="n">
        <v>44</v>
      </c>
    </row>
    <row r="44">
      <c r="A44" s="15" t="inlineStr">
        <is>
          <t>DIET-P-0053</t>
        </is>
      </c>
      <c r="B44" s="15" t="inlineStr">
        <is>
          <t>1.0.0</t>
        </is>
      </c>
      <c r="C44" s="15" t="inlineStr">
        <is>
          <t>사용</t>
        </is>
      </c>
      <c r="D44" s="15" t="inlineStr">
        <is>
          <t>AXIS_STAGE</t>
        </is>
      </c>
      <c r="E44" s="15" t="inlineStr">
        <is>
          <t>DIET-Q-02</t>
        </is>
      </c>
      <c r="F44" s="15" t="inlineStr">
        <is>
          <t>CHALLENGE</t>
        </is>
      </c>
      <c r="G44" s="6" t="inlineStr">
        <is>
          <t>오늘은 단 간식 없이</t>
        </is>
      </c>
      <c r="H44" s="5" t="inlineStr">
        <is>
          <t>오늘 하루는 과자·초콜릿 같은 단 간식을 먹지 않고 지내 보세요.</t>
        </is>
      </c>
      <c r="I44" s="17" t="inlineStr">
        <is>
          <t>추가 간식 여부는 개인 식사 계획에 맞춰요.</t>
        </is>
      </c>
      <c r="J44" s="15" t="inlineStr">
        <is>
          <t>FAST</t>
        </is>
      </c>
      <c r="K44" s="15" t="n"/>
      <c r="L44" s="15" t="inlineStr">
        <is>
          <t>WHO-DIET; NIDDK-HYPO</t>
        </is>
      </c>
      <c r="M44" s="17" t="inlineStr">
        <is>
          <t>근거 범위에 맞춰 이유 문장 수정</t>
        </is>
      </c>
      <c r="N44" s="15" t="n">
        <v>45</v>
      </c>
    </row>
    <row r="45">
      <c r="A45" s="15" t="inlineStr">
        <is>
          <t>DIET-P-0054</t>
        </is>
      </c>
      <c r="B45" s="15" t="inlineStr">
        <is>
          <t>1.0.0</t>
        </is>
      </c>
      <c r="C45" s="15" t="inlineStr">
        <is>
          <t>사용</t>
        </is>
      </c>
      <c r="D45" s="15" t="inlineStr">
        <is>
          <t>AXIS_STAGE</t>
        </is>
      </c>
      <c r="E45" s="15" t="inlineStr">
        <is>
          <t>DIET-Q-03</t>
        </is>
      </c>
      <c r="F45" s="15" t="inlineStr">
        <is>
          <t>INTRO</t>
        </is>
      </c>
      <c r="G45" s="15" t="inlineStr">
        <is>
          <t>국물 음식은 국물 남기기</t>
        </is>
      </c>
      <c r="H45" s="17" t="inlineStr">
        <is>
          <t>국이나 면 같은 국물 음식은 건더기만 먹고 국물은 남기세요.</t>
        </is>
      </c>
      <c r="I45" s="17" t="inlineStr">
        <is>
          <t>국물을 남겨 국물 섭취를 줄여요.</t>
        </is>
      </c>
      <c r="J45" s="15" t="inlineStr">
        <is>
          <t>REDUCE</t>
        </is>
      </c>
      <c r="K45" s="15" t="n"/>
      <c r="L45" s="15" t="inlineStr">
        <is>
          <t>WHO-DIET; AHA-HF; NIDDK-HYPO</t>
        </is>
      </c>
      <c r="M45" s="17" t="inlineStr">
        <is>
          <t>근거 범위에 맞춰 이유 문장 수정 · 10-19 특정 음식 이름을 음식 종류로</t>
        </is>
      </c>
      <c r="N45" s="15" t="n">
        <v>46</v>
      </c>
    </row>
    <row r="46">
      <c r="A46" s="15" t="inlineStr">
        <is>
          <t>DIET-P-0055</t>
        </is>
      </c>
      <c r="B46" s="15" t="inlineStr">
        <is>
          <t>1.0.0</t>
        </is>
      </c>
      <c r="C46" s="15" t="inlineStr">
        <is>
          <t>사용</t>
        </is>
      </c>
      <c r="D46" s="15" t="inlineStr">
        <is>
          <t>AXIS_STAGE</t>
        </is>
      </c>
      <c r="E46" s="15" t="inlineStr">
        <is>
          <t>DIET-Q-03</t>
        </is>
      </c>
      <c r="F46" s="15" t="inlineStr">
        <is>
          <t>INTRO</t>
        </is>
      </c>
      <c r="G46" s="6" t="inlineStr">
        <is>
          <t>소스 없이 먹어보기</t>
        </is>
      </c>
      <c r="H46" s="5" t="inlineStr">
        <is>
          <t>오늘 한 끼는 소스나 양념장을 더 찍지 말고 그대로 드세요.</t>
        </is>
      </c>
      <c r="I46" s="17" t="inlineStr">
        <is>
          <t>추가 소스 사용을 줄여 보는 행동이에요.</t>
        </is>
      </c>
      <c r="J46" s="15" t="n"/>
      <c r="K46" s="15" t="n"/>
      <c r="L46" s="15" t="inlineStr">
        <is>
          <t>WHO-DIET</t>
        </is>
      </c>
      <c r="M46" s="17" t="inlineStr">
        <is>
          <t>근거 범위에 맞춰 이유 문장 수정</t>
        </is>
      </c>
      <c r="N46" s="15" t="n">
        <v>47</v>
      </c>
    </row>
    <row r="47">
      <c r="A47" s="15" t="inlineStr">
        <is>
          <t>DIET-P-0056</t>
        </is>
      </c>
      <c r="B47" s="15" t="inlineStr">
        <is>
          <t>1.0.0</t>
        </is>
      </c>
      <c r="C47" s="15" t="inlineStr">
        <is>
          <t>사용</t>
        </is>
      </c>
      <c r="D47" s="15" t="inlineStr">
        <is>
          <t>AXIS_STAGE</t>
        </is>
      </c>
      <c r="E47" s="15" t="inlineStr">
        <is>
          <t>DIET-Q-03</t>
        </is>
      </c>
      <c r="F47" s="15" t="inlineStr">
        <is>
          <t>BASE</t>
        </is>
      </c>
      <c r="G47" s="6" t="inlineStr">
        <is>
          <t>절임 반찬은 먹을 만큼만</t>
        </is>
      </c>
      <c r="H47" s="5" t="inlineStr">
        <is>
          <t>김치·장아찌 같은 절임 반찬은 먹을 만큼만 조금 덜어서 드세요.</t>
        </is>
      </c>
      <c r="I47" s="17" t="inlineStr">
        <is>
          <t>절임 반찬의 양과 다른 짠 반찬을 함께 살펴봐요.</t>
        </is>
      </c>
      <c r="J47" s="15" t="inlineStr">
        <is>
          <t>REDUCE</t>
        </is>
      </c>
      <c r="K47" s="15" t="n"/>
      <c r="L47" s="15" t="inlineStr">
        <is>
          <t>WHO-DIET; NIDDK-HYPO</t>
        </is>
      </c>
      <c r="M47" s="17" t="inlineStr">
        <is>
          <t>행동 문구 수정; 근거 범위에 맞춰 이유 문장 수정 · 10-19 특정 음식 이름을 음식 종류로</t>
        </is>
      </c>
      <c r="N47" s="15" t="n">
        <v>48</v>
      </c>
    </row>
    <row r="48">
      <c r="A48" s="15" t="inlineStr">
        <is>
          <t>DIET-P-0057</t>
        </is>
      </c>
      <c r="B48" s="15" t="inlineStr">
        <is>
          <t>1.0.0</t>
        </is>
      </c>
      <c r="C48" s="15" t="inlineStr">
        <is>
          <t>사용</t>
        </is>
      </c>
      <c r="D48" s="15" t="inlineStr">
        <is>
          <t>AXIS_STAGE</t>
        </is>
      </c>
      <c r="E48" s="15" t="inlineStr">
        <is>
          <t>DIET-Q-03</t>
        </is>
      </c>
      <c r="F48" s="15" t="inlineStr">
        <is>
          <t>BASE</t>
        </is>
      </c>
      <c r="G48" s="6" t="inlineStr">
        <is>
          <t>젓갈 · 장아찌 빼기</t>
        </is>
      </c>
      <c r="H48" s="5" t="inlineStr">
        <is>
          <t>오늘 식사에서 젓갈과 장아찌는 빼고 다른 반찬을 드세요.</t>
        </is>
      </c>
      <c r="I48" s="17" t="inlineStr">
        <is>
          <t>짠 절임 반찬을 다른 반찬으로 바꿔 봐요.</t>
        </is>
      </c>
      <c r="J48" s="15" t="inlineStr">
        <is>
          <t>FAST</t>
        </is>
      </c>
      <c r="K48" s="15" t="n"/>
      <c r="L48" s="15" t="inlineStr">
        <is>
          <t>WHO-DIET; NIDDK-HYPO</t>
        </is>
      </c>
      <c r="M48" s="17" t="inlineStr">
        <is>
          <t>근거 범위에 맞춰 이유 문장 수정</t>
        </is>
      </c>
      <c r="N48" s="15" t="n">
        <v>49</v>
      </c>
    </row>
    <row r="49">
      <c r="A49" s="15" t="inlineStr">
        <is>
          <t>DIET-P-0058</t>
        </is>
      </c>
      <c r="B49" s="15" t="inlineStr">
        <is>
          <t>1.0.0</t>
        </is>
      </c>
      <c r="C49" s="15" t="inlineStr">
        <is>
          <t>사용</t>
        </is>
      </c>
      <c r="D49" s="15" t="inlineStr">
        <is>
          <t>AXIS_STAGE</t>
        </is>
      </c>
      <c r="E49" s="15" t="inlineStr">
        <is>
          <t>DIET-Q-03</t>
        </is>
      </c>
      <c r="F49" s="15" t="inlineStr">
        <is>
          <t>CHALLENGE</t>
        </is>
      </c>
      <c r="G49" s="6" t="inlineStr">
        <is>
          <t>소스는 따로 받기</t>
        </is>
      </c>
      <c r="H49" s="5" t="inlineStr">
        <is>
          <t>외식할 때 소스를 따로 달라고 해서 필요한 만큼만 찍어 드세요.</t>
        </is>
      </c>
      <c r="I49" s="17" t="inlineStr">
        <is>
          <t>따로 받으면 양을 내가 정할 수 있어요.</t>
        </is>
      </c>
      <c r="J49" s="15" t="n"/>
      <c r="K49" s="15" t="n"/>
      <c r="L49" s="15" t="inlineStr">
        <is>
          <t>WHO-DIET</t>
        </is>
      </c>
      <c r="M49" s="17" t="inlineStr">
        <is>
          <t>효과 단정 없이 행동 설명으로 유지. 개인별 적합성·문구 적합성 검토 필요</t>
        </is>
      </c>
      <c r="N49" s="15" t="n">
        <v>50</v>
      </c>
    </row>
    <row r="50">
      <c r="A50" s="15" t="inlineStr">
        <is>
          <t>DIET-P-0059</t>
        </is>
      </c>
      <c r="B50" s="15" t="inlineStr">
        <is>
          <t>1.0.0</t>
        </is>
      </c>
      <c r="C50" s="15" t="inlineStr">
        <is>
          <t>사용</t>
        </is>
      </c>
      <c r="D50" s="15" t="inlineStr">
        <is>
          <t>AXIS_STAGE</t>
        </is>
      </c>
      <c r="E50" s="15" t="inlineStr">
        <is>
          <t>DIET-Q-03</t>
        </is>
      </c>
      <c r="F50" s="15" t="inlineStr">
        <is>
          <t>CHALLENGE</t>
        </is>
      </c>
      <c r="G50" s="6" t="inlineStr">
        <is>
          <t>오늘은 국물 없이 먹기</t>
        </is>
      </c>
      <c r="H50" s="5" t="inlineStr">
        <is>
          <t>오늘은 국이나 찌개 국물을 마시지 않고 식사해 보세요.</t>
        </is>
      </c>
      <c r="I50" s="17" t="inlineStr">
        <is>
          <t>국물 섭취를 줄여 보는 행동이에요.</t>
        </is>
      </c>
      <c r="J50" s="15" t="inlineStr">
        <is>
          <t>FAST</t>
        </is>
      </c>
      <c r="K50" s="15" t="n"/>
      <c r="L50" s="15" t="inlineStr">
        <is>
          <t>WHO-DIET; AHA-HF; NIDDK-HYPO</t>
        </is>
      </c>
      <c r="M50" s="17" t="inlineStr">
        <is>
          <t>근거 범위에 맞춰 이유 문장 수정</t>
        </is>
      </c>
      <c r="N50" s="15" t="n">
        <v>51</v>
      </c>
    </row>
    <row r="51">
      <c r="A51" s="15" t="inlineStr">
        <is>
          <t>DIET-P-0066</t>
        </is>
      </c>
      <c r="B51" s="15" t="inlineStr">
        <is>
          <t>1.0.0</t>
        </is>
      </c>
      <c r="C51" s="15" t="inlineStr">
        <is>
          <t>사용</t>
        </is>
      </c>
      <c r="D51" s="15" t="inlineStr">
        <is>
          <t>AXIS_STAGE</t>
        </is>
      </c>
      <c r="E51" s="15" t="inlineStr">
        <is>
          <t>DIET-Q-05</t>
        </is>
      </c>
      <c r="F51" s="15" t="inlineStr">
        <is>
          <t>INTRO</t>
        </is>
      </c>
      <c r="G51" s="6" t="inlineStr">
        <is>
          <t>휴대폰 끄고 식사</t>
        </is>
      </c>
      <c r="H51" s="5" t="inlineStr">
        <is>
          <t>밥 먹는 동안에는 휴대폰 화면을 끄고 식사에만 집중해 보세요.</t>
        </is>
      </c>
      <c r="I51" s="17" t="inlineStr">
        <is>
          <t>식사에 집중할 수 있도록 화면을 잠시 꺼요.</t>
        </is>
      </c>
      <c r="J51" s="15" t="n"/>
      <c r="K51" s="15" t="n"/>
      <c r="L51" s="15" t="inlineStr">
        <is>
          <t>WHO-DIET; NICE-ED</t>
        </is>
      </c>
      <c r="M51" s="17" t="inlineStr">
        <is>
          <t>근거 범위에 맞춰 이유 문장 수정</t>
        </is>
      </c>
      <c r="N51" s="15" t="n">
        <v>52</v>
      </c>
    </row>
    <row r="52">
      <c r="A52" s="15" t="inlineStr">
        <is>
          <t>DIET-P-0070</t>
        </is>
      </c>
      <c r="B52" s="15" t="inlineStr">
        <is>
          <t>1.0.0</t>
        </is>
      </c>
      <c r="C52" s="15" t="inlineStr">
        <is>
          <t>사용</t>
        </is>
      </c>
      <c r="D52" s="15" t="inlineStr">
        <is>
          <t>AXIS_STAGE</t>
        </is>
      </c>
      <c r="E52" s="15" t="inlineStr">
        <is>
          <t>DIET-Q-06</t>
        </is>
      </c>
      <c r="F52" s="15" t="inlineStr">
        <is>
          <t>INTRO</t>
        </is>
      </c>
      <c r="G52" s="15" t="inlineStr">
        <is>
          <t>아침에 달걀 하나</t>
        </is>
      </c>
      <c r="H52" s="17" t="inlineStr">
        <is>
          <t>아침 식사에 달걀 하나를 곁들여 드세요.</t>
        </is>
      </c>
      <c r="I52" s="17" t="inlineStr">
        <is>
          <t>달걀을 아침 식사의 일부로 포함해 봐요.</t>
        </is>
      </c>
      <c r="J52" s="15" t="inlineStr">
        <is>
          <t>INCREASE</t>
        </is>
      </c>
      <c r="K52" s="15" t="n"/>
      <c r="L52" s="15" t="inlineStr">
        <is>
          <t>WHO-DIET; NIDDK-CKD</t>
        </is>
      </c>
      <c r="M52" s="17" t="inlineStr">
        <is>
          <t>근거 범위에 맞춰 이유 문장 수정</t>
        </is>
      </c>
      <c r="N52" s="15" t="n">
        <v>53</v>
      </c>
    </row>
    <row r="53">
      <c r="A53" s="15" t="inlineStr">
        <is>
          <t>DIET-P-0071</t>
        </is>
      </c>
      <c r="B53" s="15" t="inlineStr">
        <is>
          <t>1.0.0</t>
        </is>
      </c>
      <c r="C53" s="15" t="inlineStr">
        <is>
          <t>사용</t>
        </is>
      </c>
      <c r="D53" s="15" t="inlineStr">
        <is>
          <t>AXIS_STAGE</t>
        </is>
      </c>
      <c r="E53" s="15" t="inlineStr">
        <is>
          <t>DIET-Q-06</t>
        </is>
      </c>
      <c r="F53" s="15" t="inlineStr">
        <is>
          <t>INTRO</t>
        </is>
      </c>
      <c r="G53" s="6" t="inlineStr">
        <is>
          <t>우유 · 두유 한 잔</t>
        </is>
      </c>
      <c r="H53" s="5" t="inlineStr">
        <is>
          <t>오늘 우유나 두유를 한 잔 드세요.</t>
        </is>
      </c>
      <c r="I53" s="17" t="inlineStr">
        <is>
          <t>마시는 단백질은 반찬이 없어도 챙길 수 있어요.</t>
        </is>
      </c>
      <c r="J53" s="15" t="inlineStr">
        <is>
          <t>INCREASE</t>
        </is>
      </c>
      <c r="K53" s="15" t="n"/>
      <c r="L53" s="15" t="inlineStr">
        <is>
          <t>WHO-DIET; NIDDK-CKD; AHA-HF</t>
        </is>
      </c>
      <c r="M53" s="17" t="inlineStr">
        <is>
          <t>효과 단정 없이 행동 설명으로 유지. 개인별 적합성·문구 적합성 검토 필요</t>
        </is>
      </c>
      <c r="N53" s="15" t="n">
        <v>54</v>
      </c>
    </row>
    <row r="54">
      <c r="A54" s="15" t="inlineStr">
        <is>
          <t>DIET-P-0072</t>
        </is>
      </c>
      <c r="B54" s="15" t="inlineStr">
        <is>
          <t>1.0.0</t>
        </is>
      </c>
      <c r="C54" s="15" t="inlineStr">
        <is>
          <t>사용</t>
        </is>
      </c>
      <c r="D54" s="15" t="inlineStr">
        <is>
          <t>AXIS_STAGE</t>
        </is>
      </c>
      <c r="E54" s="15" t="inlineStr">
        <is>
          <t>DIET-Q-06</t>
        </is>
      </c>
      <c r="F54" s="15" t="inlineStr">
        <is>
          <t>BASE</t>
        </is>
      </c>
      <c r="G54" s="15" t="inlineStr">
        <is>
          <t>생선 반찬 한 끼</t>
        </is>
      </c>
      <c r="H54" s="17" t="inlineStr">
        <is>
          <t>오늘 한 끼는 생선 반찬을 곁들여 드세요.</t>
        </is>
      </c>
      <c r="I54" s="17" t="inlineStr">
        <is>
          <t>생선은 단백질과 좋은 지방을 함께 줘요.</t>
        </is>
      </c>
      <c r="J54" s="15" t="n"/>
      <c r="K54" s="15" t="n"/>
      <c r="L54" s="15" t="inlineStr">
        <is>
          <t>WHO-DIET; NIDDK-CKD</t>
        </is>
      </c>
      <c r="M54" s="17" t="inlineStr">
        <is>
          <t>효과 단정 없이 행동 설명으로 유지. 개인별 적합성·문구 적합성 검토 필요</t>
        </is>
      </c>
      <c r="N54" s="15" t="n">
        <v>55</v>
      </c>
    </row>
    <row r="55">
      <c r="A55" s="15" t="inlineStr">
        <is>
          <t>DIET-P-0073</t>
        </is>
      </c>
      <c r="B55" s="15" t="inlineStr">
        <is>
          <t>1.0.0</t>
        </is>
      </c>
      <c r="C55" s="15" t="inlineStr">
        <is>
          <t>사용</t>
        </is>
      </c>
      <c r="D55" s="15" t="inlineStr">
        <is>
          <t>AXIS_STAGE</t>
        </is>
      </c>
      <c r="E55" s="15" t="inlineStr">
        <is>
          <t>DIET-Q-06</t>
        </is>
      </c>
      <c r="F55" s="15" t="inlineStr">
        <is>
          <t>BASE</t>
        </is>
      </c>
      <c r="G55" s="6" t="inlineStr">
        <is>
          <t>두부 반찬 준비하기</t>
        </is>
      </c>
      <c r="H55" s="5" t="inlineStr">
        <is>
          <t>오늘 식사에 두부 반찬을 한 가지 준비해 드세요.</t>
        </is>
      </c>
      <c r="I55" s="17" t="inlineStr">
        <is>
          <t>두부를 식사의 일부로 준비하는 행동이에요.</t>
        </is>
      </c>
      <c r="J55" s="15" t="inlineStr">
        <is>
          <t>INCREASE</t>
        </is>
      </c>
      <c r="K55" s="15" t="n"/>
      <c r="L55" s="15" t="inlineStr">
        <is>
          <t>WHO-DIET; NIDDK-CKD</t>
        </is>
      </c>
      <c r="M55" s="17" t="inlineStr">
        <is>
          <t>행동 문구 수정; 근거 범위에 맞춰 이유 문장 수정</t>
        </is>
      </c>
      <c r="N55" s="15" t="n">
        <v>56</v>
      </c>
    </row>
    <row r="56">
      <c r="A56" s="15" t="inlineStr">
        <is>
          <t>DIET-P-0074</t>
        </is>
      </c>
      <c r="B56" s="15" t="inlineStr">
        <is>
          <t>1.0.0</t>
        </is>
      </c>
      <c r="C56" s="15" t="inlineStr">
        <is>
          <t>사용</t>
        </is>
      </c>
      <c r="D56" s="15" t="inlineStr">
        <is>
          <t>AXIS_STAGE</t>
        </is>
      </c>
      <c r="E56" s="15" t="inlineStr">
        <is>
          <t>DIET-Q-06</t>
        </is>
      </c>
      <c r="F56" s="15" t="inlineStr">
        <is>
          <t>CHALLENGE</t>
        </is>
      </c>
      <c r="G56" s="6" t="inlineStr">
        <is>
          <t>끼니마다 단백질 바꾸기</t>
        </is>
      </c>
      <c r="H56" s="5" t="inlineStr">
        <is>
          <t>끼니마다 고기·생선·달걀·두부를 번갈아 골라 드세요.</t>
        </is>
      </c>
      <c r="I56" s="17" t="inlineStr">
        <is>
          <t>단백질 식품을 다양하게 고르는 행동이에요.</t>
        </is>
      </c>
      <c r="J56" s="15" t="n"/>
      <c r="K56" s="15" t="n"/>
      <c r="L56" s="15" t="inlineStr">
        <is>
          <t>WHO-DIET; NIDDK-CKD</t>
        </is>
      </c>
      <c r="M56" s="17" t="inlineStr">
        <is>
          <t>근거 범위에 맞춰 이유 문장 수정</t>
        </is>
      </c>
      <c r="N56" s="15" t="n">
        <v>57</v>
      </c>
    </row>
    <row r="57">
      <c r="A57" s="15" t="inlineStr">
        <is>
          <t>DIET-P-0075</t>
        </is>
      </c>
      <c r="B57" s="15" t="inlineStr">
        <is>
          <t>1.0.0</t>
        </is>
      </c>
      <c r="C57" s="15" t="inlineStr">
        <is>
          <t>사용</t>
        </is>
      </c>
      <c r="D57" s="15" t="inlineStr">
        <is>
          <t>AXIS_STAGE</t>
        </is>
      </c>
      <c r="E57" s="15" t="inlineStr">
        <is>
          <t>DIET-Q-07</t>
        </is>
      </c>
      <c r="F57" s="15" t="inlineStr">
        <is>
          <t>INTRO</t>
        </is>
      </c>
      <c r="G57" s="6" t="inlineStr">
        <is>
          <t>튀김 대신 구이 · 찜</t>
        </is>
      </c>
      <c r="H57" s="5" t="inlineStr">
        <is>
          <t>튀긴 음식 대신 구이나 찜으로 만든 음식을 골라 드세요.</t>
        </is>
      </c>
      <c r="I57" s="17" t="inlineStr">
        <is>
          <t>튀김 대신 구이·찜을 선택해 보는 행동이에요.</t>
        </is>
      </c>
      <c r="J57" s="15" t="inlineStr">
        <is>
          <t>TEXTURE</t>
        </is>
      </c>
      <c r="K57" s="15" t="n"/>
      <c r="L57" s="15" t="inlineStr">
        <is>
          <t>WHO-DIET; NIDDK-HYPO</t>
        </is>
      </c>
      <c r="M57" s="17" t="inlineStr">
        <is>
          <t>근거 범위에 맞춰 이유 문장 수정</t>
        </is>
      </c>
      <c r="N57" s="15" t="n">
        <v>58</v>
      </c>
    </row>
    <row r="58">
      <c r="A58" s="15" t="inlineStr">
        <is>
          <t>DIET-P-0076</t>
        </is>
      </c>
      <c r="B58" s="15" t="inlineStr">
        <is>
          <t>1.0.0</t>
        </is>
      </c>
      <c r="C58" s="15" t="inlineStr">
        <is>
          <t>사용</t>
        </is>
      </c>
      <c r="D58" s="15" t="inlineStr">
        <is>
          <t>AXIS_STAGE</t>
        </is>
      </c>
      <c r="E58" s="15" t="inlineStr">
        <is>
          <t>DIET-Q-07</t>
        </is>
      </c>
      <c r="F58" s="15" t="inlineStr">
        <is>
          <t>INTRO</t>
        </is>
      </c>
      <c r="G58" s="6" t="inlineStr">
        <is>
          <t>기름 적은 부위로 먹기</t>
        </is>
      </c>
      <c r="H58" s="5" t="inlineStr">
        <is>
          <t>고기는 기름이 적은 부위로 고르고, 보이는 비계는 떼고 드세요.</t>
        </is>
      </c>
      <c r="I58" s="17" t="inlineStr">
        <is>
          <t>고기의 부위와 눈에 보이는 지방을 살펴봐요.</t>
        </is>
      </c>
      <c r="J58" s="15" t="inlineStr">
        <is>
          <t>TEXTURE</t>
        </is>
      </c>
      <c r="K58" s="15" t="n"/>
      <c r="L58" s="15" t="inlineStr">
        <is>
          <t>WHO-DIET; NIDDK-HYPO</t>
        </is>
      </c>
      <c r="M58" s="17" t="inlineStr">
        <is>
          <t>근거 범위에 맞춰 이유 문장 수정</t>
        </is>
      </c>
      <c r="N58" s="15" t="n">
        <v>59</v>
      </c>
    </row>
    <row r="59">
      <c r="A59" s="15" t="inlineStr">
        <is>
          <t>DIET-P-0077</t>
        </is>
      </c>
      <c r="B59" s="15" t="inlineStr">
        <is>
          <t>1.0.0</t>
        </is>
      </c>
      <c r="C59" s="15" t="inlineStr">
        <is>
          <t>사용</t>
        </is>
      </c>
      <c r="D59" s="15" t="inlineStr">
        <is>
          <t>AXIS_STAGE</t>
        </is>
      </c>
      <c r="E59" s="15" t="inlineStr">
        <is>
          <t>DIET-Q-07</t>
        </is>
      </c>
      <c r="F59" s="15" t="inlineStr">
        <is>
          <t>BASE</t>
        </is>
      </c>
      <c r="G59" s="6" t="inlineStr">
        <is>
          <t>드레싱은 반만</t>
        </is>
      </c>
      <c r="H59" s="5" t="inlineStr">
        <is>
          <t>샐러드 드레싱은 평소의 절반만 뿌려 드세요.</t>
        </is>
      </c>
      <c r="I59" s="17" t="inlineStr">
        <is>
          <t>드레싱 양과 영양표시를 확인해요.</t>
        </is>
      </c>
      <c r="J59" s="15" t="inlineStr">
        <is>
          <t>REDUCE</t>
        </is>
      </c>
      <c r="K59" s="15" t="n"/>
      <c r="L59" s="15" t="inlineStr">
        <is>
          <t>WHO-DIET; NIDDK-HYPO</t>
        </is>
      </c>
      <c r="M59" s="17" t="inlineStr">
        <is>
          <t>근거 범위에 맞춰 이유 문장 수정</t>
        </is>
      </c>
      <c r="N59" s="15" t="n">
        <v>60</v>
      </c>
    </row>
    <row r="60">
      <c r="A60" s="15" t="inlineStr">
        <is>
          <t>DIET-P-0078</t>
        </is>
      </c>
      <c r="B60" s="15" t="inlineStr">
        <is>
          <t>1.0.0</t>
        </is>
      </c>
      <c r="C60" s="15" t="inlineStr">
        <is>
          <t>사용</t>
        </is>
      </c>
      <c r="D60" s="15" t="inlineStr">
        <is>
          <t>AXIS_STAGE</t>
        </is>
      </c>
      <c r="E60" s="15" t="inlineStr">
        <is>
          <t>DIET-Q-07</t>
        </is>
      </c>
      <c r="F60" s="15" t="inlineStr">
        <is>
          <t>BASE</t>
        </is>
      </c>
      <c r="G60" s="6" t="inlineStr">
        <is>
          <t>튀긴 면 대신 국수 · 밥</t>
        </is>
      </c>
      <c r="H60" s="5" t="inlineStr">
        <is>
          <t>기름에 튀긴 면이 당길 때 튀기지 않은 국수나 밥으로 바꿔 드세요.</t>
        </is>
      </c>
      <c r="I60" s="17" t="inlineStr">
        <is>
          <t>면이나 밥의 조리법과 전체 식사 구성을 함께 살펴봐요.</t>
        </is>
      </c>
      <c r="J60" s="15" t="n"/>
      <c r="K60" s="15" t="n"/>
      <c r="L60" s="15" t="inlineStr">
        <is>
          <t>WHO-DIET; NIDDK-HYPO</t>
        </is>
      </c>
      <c r="M60" s="17" t="inlineStr">
        <is>
          <t>근거 범위에 맞춰 이유 문장 수정 · 10-19 특정 음식 이름을 음식 종류로</t>
        </is>
      </c>
      <c r="N60" s="15" t="n">
        <v>61</v>
      </c>
    </row>
    <row r="61">
      <c r="A61" s="15" t="inlineStr">
        <is>
          <t>DIET-P-0079</t>
        </is>
      </c>
      <c r="B61" s="15" t="inlineStr">
        <is>
          <t>1.0.0</t>
        </is>
      </c>
      <c r="C61" s="15" t="inlineStr">
        <is>
          <t>사용</t>
        </is>
      </c>
      <c r="D61" s="15" t="inlineStr">
        <is>
          <t>AXIS_STAGE</t>
        </is>
      </c>
      <c r="E61" s="15" t="inlineStr">
        <is>
          <t>DIET-Q-07</t>
        </is>
      </c>
      <c r="F61" s="15" t="inlineStr">
        <is>
          <t>CHALLENGE</t>
        </is>
      </c>
      <c r="G61" s="15" t="inlineStr">
        <is>
          <t>튀김 없는 하루</t>
        </is>
      </c>
      <c r="H61" s="17" t="inlineStr">
        <is>
          <t>오늘 하루는 튀긴 음식 없이 구이·찜·무침 같은 음식으로 드세요.</t>
        </is>
      </c>
      <c r="I61" s="17" t="inlineStr">
        <is>
          <t>튀김 대신 다른 조리법을 선택해 봐요.</t>
        </is>
      </c>
      <c r="J61" s="15" t="inlineStr">
        <is>
          <t>FAST</t>
        </is>
      </c>
      <c r="K61" s="15" t="n"/>
      <c r="L61" s="15" t="inlineStr">
        <is>
          <t>WHO-DIET</t>
        </is>
      </c>
      <c r="M61" s="17" t="inlineStr">
        <is>
          <t>근거 범위에 맞춰 이유 문장 수정</t>
        </is>
      </c>
      <c r="N61" s="15" t="n">
        <v>62</v>
      </c>
    </row>
    <row r="62">
      <c r="A62" s="15" t="inlineStr">
        <is>
          <t>DIET-P-0082</t>
        </is>
      </c>
      <c r="B62" s="15" t="inlineStr">
        <is>
          <t>1.0.0</t>
        </is>
      </c>
      <c r="C62" s="15" t="inlineStr">
        <is>
          <t>사용</t>
        </is>
      </c>
      <c r="D62" s="15" t="inlineStr">
        <is>
          <t>RECOVERY</t>
        </is>
      </c>
      <c r="E62" s="15" t="n"/>
      <c r="F62" s="15" t="n"/>
      <c r="G62" s="6" t="inlineStr">
        <is>
          <t>식사에 우유 한 잔</t>
        </is>
      </c>
      <c r="H62" s="5" t="inlineStr">
        <is>
          <t>식사할 때 우유나 두유를 한 잔 곁들여 드세요.</t>
        </is>
      </c>
      <c r="I62" s="17" t="inlineStr">
        <is>
          <t>우유나 두유는 식사의 일부이며 한 끼 전체를 대신하지 않아요.</t>
        </is>
      </c>
      <c r="J62" s="15" t="inlineStr">
        <is>
          <t>INCREASE</t>
        </is>
      </c>
      <c r="K62" s="15" t="n"/>
      <c r="L62" s="15" t="inlineStr">
        <is>
          <t>WHO-DIET; NIDDK-CKD; AHA-HF</t>
        </is>
      </c>
      <c r="M62" s="17" t="inlineStr">
        <is>
          <t>행동 문구 수정; 근거 범위에 맞춰 이유 문장 수정</t>
        </is>
      </c>
      <c r="N62" s="15" t="n">
        <v>63</v>
      </c>
    </row>
    <row r="63">
      <c r="A63" s="15" t="inlineStr">
        <is>
          <t>DIET-P-0083</t>
        </is>
      </c>
      <c r="B63" s="15" t="inlineStr">
        <is>
          <t>1.0.0</t>
        </is>
      </c>
      <c r="C63" s="15" t="inlineStr">
        <is>
          <t>사용</t>
        </is>
      </c>
      <c r="D63" s="15" t="inlineStr">
        <is>
          <t>LOW_BURDEN</t>
        </is>
      </c>
      <c r="E63" s="15" t="n"/>
      <c r="F63" s="15" t="n"/>
      <c r="G63" s="6" t="inlineStr">
        <is>
          <t>커피 대신 무카페인 차</t>
        </is>
      </c>
      <c r="H63" s="5" t="inlineStr">
        <is>
          <t>커피 대신 카페인이 없는 차를 마셔 보세요.</t>
        </is>
      </c>
      <c r="I63" s="17" t="inlineStr">
        <is>
          <t>카페인이 없는지 표시를 확인해요.</t>
        </is>
      </c>
      <c r="J63" s="15" t="inlineStr">
        <is>
          <t>FLUID</t>
        </is>
      </c>
      <c r="K63" s="15" t="n"/>
      <c r="L63" s="15" t="inlineStr">
        <is>
          <t>WHO-DIET; AHA-HF; NIDDK-HYPO</t>
        </is>
      </c>
      <c r="M63" s="17" t="inlineStr">
        <is>
          <t>행동 문구 수정; 근거 범위에 맞춰 이유 문장 수정</t>
        </is>
      </c>
      <c r="N63" s="15" t="n">
        <v>64</v>
      </c>
    </row>
    <row r="64">
      <c r="A64" s="15" t="inlineStr">
        <is>
          <t>DIET-P-0087</t>
        </is>
      </c>
      <c r="B64" s="15" t="inlineStr">
        <is>
          <t>1.0.0</t>
        </is>
      </c>
      <c r="C64" s="15" t="inlineStr">
        <is>
          <t>사용</t>
        </is>
      </c>
      <c r="D64" s="15" t="inlineStr">
        <is>
          <t>AXIS_STAGE</t>
        </is>
      </c>
      <c r="E64" s="15" t="inlineStr">
        <is>
          <t>DIET-Q-00</t>
        </is>
      </c>
      <c r="F64" s="15" t="inlineStr">
        <is>
          <t>BASE</t>
        </is>
      </c>
      <c r="G64" s="6" t="inlineStr">
        <is>
          <t>저녁은 가볍게 먹기</t>
        </is>
      </c>
      <c r="H64" s="5" t="inlineStr">
        <is>
          <t>저녁은 배가 부르지 않을 만큼 가볍게 드세요.</t>
        </is>
      </c>
      <c r="I64" s="17" t="inlineStr">
        <is>
          <t>늦은 시간에도 개인 식사 계획에 맞게 먹어요.</t>
        </is>
      </c>
      <c r="J64" s="15" t="inlineStr">
        <is>
          <t>INCREASE</t>
        </is>
      </c>
      <c r="K64" s="15" t="n"/>
      <c r="L64" s="15" t="inlineStr">
        <is>
          <t>WHO-DIET</t>
        </is>
      </c>
      <c r="M64" s="17" t="inlineStr">
        <is>
          <t>근거 범위에 맞춰 이유 문장 수정</t>
        </is>
      </c>
      <c r="N64" s="15" t="n">
        <v>66</v>
      </c>
    </row>
    <row r="65">
      <c r="A65" s="15" t="inlineStr">
        <is>
          <t>DIET-P-0088</t>
        </is>
      </c>
      <c r="B65" s="15" t="inlineStr">
        <is>
          <t>1.0.0</t>
        </is>
      </c>
      <c r="C65" s="15" t="inlineStr">
        <is>
          <t>사용</t>
        </is>
      </c>
      <c r="D65" s="15" t="inlineStr">
        <is>
          <t>AXIS_STAGE</t>
        </is>
      </c>
      <c r="E65" s="19" t="inlineStr">
        <is>
          <t>DIET-Q-04</t>
        </is>
      </c>
      <c r="F65" s="19" t="inlineStr">
        <is>
          <t>INTRO</t>
        </is>
      </c>
      <c r="G65" s="6" t="inlineStr">
        <is>
          <t>출근길에 아침 챙기기</t>
        </is>
      </c>
      <c r="H65" s="5" t="inlineStr">
        <is>
          <t>집에서 아침을 못 먹었다면 출근길에 간단히라도 챙겨 드세요.</t>
        </is>
      </c>
      <c r="I65" s="17" t="inlineStr">
        <is>
          <t>집에서 못 먹었어도 아침은 챙길 수 있어요.</t>
        </is>
      </c>
      <c r="J65" s="15" t="inlineStr">
        <is>
          <t>INCREASE</t>
        </is>
      </c>
      <c r="K65" s="15" t="n"/>
      <c r="L65" s="15" t="inlineStr">
        <is>
          <t>WHO-DIET</t>
        </is>
      </c>
      <c r="M65" s="17" t="inlineStr">
        <is>
          <t>효과 단정 없이 행동 설명으로 유지. 개인별 적합성·문구 적합성 검토 필요</t>
        </is>
      </c>
      <c r="N65" s="15" t="n">
        <v>67</v>
      </c>
    </row>
    <row r="66">
      <c r="A66" s="15" t="inlineStr">
        <is>
          <t>DIET-P-0089</t>
        </is>
      </c>
      <c r="B66" s="15" t="inlineStr">
        <is>
          <t>1.0.0</t>
        </is>
      </c>
      <c r="C66" s="15" t="inlineStr">
        <is>
          <t>사용</t>
        </is>
      </c>
      <c r="D66" s="15" t="inlineStr">
        <is>
          <t>AXIS_STAGE</t>
        </is>
      </c>
      <c r="E66" s="15" t="inlineStr">
        <is>
          <t>DIET-Q-00</t>
        </is>
      </c>
      <c r="F66" s="15" t="inlineStr">
        <is>
          <t>CHALLENGE</t>
        </is>
      </c>
      <c r="G66" s="6" t="inlineStr">
        <is>
          <t>세 끼 평소대로 먹기</t>
        </is>
      </c>
      <c r="H66" s="5" t="inlineStr">
        <is>
          <t>오늘도 평소 먹던 시간에 맞춰 세 끼를 드세요.</t>
        </is>
      </c>
      <c r="I66" s="17" t="inlineStr">
        <is>
          <t>생활 일정에 맞춰 식사 시간을 계획해요.</t>
        </is>
      </c>
      <c r="J66" s="15" t="n"/>
      <c r="K66" s="15" t="n"/>
      <c r="L66" s="15" t="inlineStr">
        <is>
          <t>WHO-DIET</t>
        </is>
      </c>
      <c r="M66" s="17" t="inlineStr">
        <is>
          <t>근거 범위에 맞춰 이유 문장 수정</t>
        </is>
      </c>
      <c r="N66" s="15" t="n">
        <v>68</v>
      </c>
    </row>
    <row r="67">
      <c r="A67" s="15" t="inlineStr">
        <is>
          <t>DIET-P-0093</t>
        </is>
      </c>
      <c r="B67" s="15" t="inlineStr">
        <is>
          <t>1.0.0</t>
        </is>
      </c>
      <c r="C67" s="15" t="inlineStr">
        <is>
          <t>사용</t>
        </is>
      </c>
      <c r="D67" s="15" t="inlineStr">
        <is>
          <t>AXIS_STAGE</t>
        </is>
      </c>
      <c r="E67" s="15" t="inlineStr">
        <is>
          <t>DIET-Q-01</t>
        </is>
      </c>
      <c r="F67" s="15" t="inlineStr">
        <is>
          <t>BASE</t>
        </is>
      </c>
      <c r="G67" s="6" t="inlineStr">
        <is>
          <t>국에 채소 한 줌</t>
        </is>
      </c>
      <c r="H67" s="5" t="inlineStr">
        <is>
          <t>국을 끓일 때 채소를 한 줌 더 넣어 드세요.</t>
        </is>
      </c>
      <c r="I67" s="17" t="inlineStr">
        <is>
          <t>국에 채소를 넣어도 총 나트륨 양이 저절로 줄지는 않아요.</t>
        </is>
      </c>
      <c r="J67" s="15" t="inlineStr">
        <is>
          <t>INCREASE</t>
        </is>
      </c>
      <c r="K67" s="15" t="n"/>
      <c r="L67" s="15" t="inlineStr">
        <is>
          <t>WHO-DIET; NIDDK-CKD</t>
        </is>
      </c>
      <c r="M67" s="17" t="inlineStr">
        <is>
          <t>근거 범위에 맞춰 이유 문장 수정</t>
        </is>
      </c>
      <c r="N67" s="15" t="n">
        <v>72</v>
      </c>
    </row>
    <row r="68">
      <c r="A68" s="15" t="inlineStr">
        <is>
          <t>DIET-P-0094</t>
        </is>
      </c>
      <c r="B68" s="15" t="inlineStr">
        <is>
          <t>1.0.0</t>
        </is>
      </c>
      <c r="C68" s="15" t="inlineStr">
        <is>
          <t>사용</t>
        </is>
      </c>
      <c r="D68" s="15" t="inlineStr">
        <is>
          <t>AXIS_STAGE</t>
        </is>
      </c>
      <c r="E68" s="15" t="inlineStr">
        <is>
          <t>DIET-Q-01</t>
        </is>
      </c>
      <c r="F68" s="15" t="inlineStr">
        <is>
          <t>CHALLENGE</t>
        </is>
      </c>
      <c r="G68" s="6" t="inlineStr">
        <is>
          <t>모든 끼니에 채소 넣기</t>
        </is>
      </c>
      <c r="H68" s="5" t="inlineStr">
        <is>
          <t>오늘은 아침·점심·저녁 모든 끼니에 채소를 한 가지 이상 넣어 드세요.</t>
        </is>
      </c>
      <c r="I68" s="17" t="inlineStr">
        <is>
          <t>각 끼니에 채소를 포함해 봐요. 총섭취량은 별도로 봐야 해요.</t>
        </is>
      </c>
      <c r="J68" s="15" t="inlineStr">
        <is>
          <t>INCREASE</t>
        </is>
      </c>
      <c r="K68" s="15" t="n"/>
      <c r="L68" s="15" t="inlineStr">
        <is>
          <t>WHO-DIET; NIDDK-CKD; NIDDK-HYPO</t>
        </is>
      </c>
      <c r="M68" s="17" t="inlineStr">
        <is>
          <t>근거 범위에 맞춰 이유 문장 수정</t>
        </is>
      </c>
      <c r="N68" s="15" t="n">
        <v>73</v>
      </c>
    </row>
    <row r="69">
      <c r="A69" s="15" t="inlineStr">
        <is>
          <t>DIET-P-0095</t>
        </is>
      </c>
      <c r="B69" s="15" t="inlineStr">
        <is>
          <t>1.0.0</t>
        </is>
      </c>
      <c r="C69" s="15" t="inlineStr">
        <is>
          <t>사용</t>
        </is>
      </c>
      <c r="D69" s="15" t="inlineStr">
        <is>
          <t>AXIS_STAGE</t>
        </is>
      </c>
      <c r="E69" s="15" t="inlineStr">
        <is>
          <t>DIET-Q-01</t>
        </is>
      </c>
      <c r="F69" s="15" t="inlineStr">
        <is>
          <t>CHALLENGE</t>
        </is>
      </c>
      <c r="G69" s="6" t="inlineStr">
        <is>
          <t>저녁엔 채소 반찬 많이</t>
        </is>
      </c>
      <c r="H69" s="5" t="inlineStr">
        <is>
          <t>저녁 접시에 채소 반찬을 넉넉히 담아 드세요.</t>
        </is>
      </c>
      <c r="I69" s="17" t="inlineStr">
        <is>
          <t>접시에 채소를 함께 담는 행동이에요.</t>
        </is>
      </c>
      <c r="J69" s="15" t="n"/>
      <c r="K69" s="15" t="n"/>
      <c r="L69" s="15" t="inlineStr">
        <is>
          <t>WHO-DIET; NIDDK-CKD</t>
        </is>
      </c>
      <c r="M69" s="17" t="inlineStr">
        <is>
          <t>근거 범위에 맞춰 이유 문장 수정</t>
        </is>
      </c>
      <c r="N69" s="15" t="n">
        <v>74</v>
      </c>
    </row>
    <row r="70">
      <c r="A70" s="15" t="inlineStr">
        <is>
          <t>DIET-P-0100</t>
        </is>
      </c>
      <c r="B70" s="15" t="inlineStr">
        <is>
          <t>1.0.0</t>
        </is>
      </c>
      <c r="C70" s="15" t="inlineStr">
        <is>
          <t>사용</t>
        </is>
      </c>
      <c r="D70" s="15" t="inlineStr">
        <is>
          <t>AXIS_STAGE</t>
        </is>
      </c>
      <c r="E70" s="15" t="inlineStr">
        <is>
          <t>DIET-Q-02</t>
        </is>
      </c>
      <c r="F70" s="15" t="inlineStr">
        <is>
          <t>CHALLENGE</t>
        </is>
      </c>
      <c r="G70" s="15" t="inlineStr">
        <is>
          <t>디저트는 나눠 먹기</t>
        </is>
      </c>
      <c r="H70" s="17" t="inlineStr">
        <is>
          <t>디저트를 먹을 땐 혼자 다 먹지 말고 다른 사람과 나눠 드세요.</t>
        </is>
      </c>
      <c r="I70" s="17" t="inlineStr">
        <is>
          <t>디저트를 나눠 먹으며 섭취량을 살펴봐요.</t>
        </is>
      </c>
      <c r="J70" s="15" t="inlineStr">
        <is>
          <t>REDUCE</t>
        </is>
      </c>
      <c r="K70" s="15" t="n"/>
      <c r="L70" s="15" t="inlineStr">
        <is>
          <t>WHO-DIET; NIDDK-HYPO</t>
        </is>
      </c>
      <c r="M70" s="17" t="inlineStr">
        <is>
          <t>근거 범위에 맞춰 이유 문장 수정</t>
        </is>
      </c>
      <c r="N70" s="15" t="n">
        <v>78</v>
      </c>
    </row>
    <row r="71">
      <c r="A71" s="15" t="inlineStr">
        <is>
          <t>DIET-P-0102</t>
        </is>
      </c>
      <c r="B71" s="15" t="inlineStr">
        <is>
          <t>1.0.0</t>
        </is>
      </c>
      <c r="C71" s="15" t="inlineStr">
        <is>
          <t>사용</t>
        </is>
      </c>
      <c r="D71" s="15" t="inlineStr">
        <is>
          <t>AXIS_STAGE</t>
        </is>
      </c>
      <c r="E71" s="15" t="inlineStr">
        <is>
          <t>DIET-Q-03</t>
        </is>
      </c>
      <c r="F71" s="15" t="inlineStr">
        <is>
          <t>INTRO</t>
        </is>
      </c>
      <c r="G71" s="6" t="inlineStr">
        <is>
          <t>찌개는 건더기만</t>
        </is>
      </c>
      <c r="H71" s="5" t="inlineStr">
        <is>
          <t>찌개는 건더기만 앞접시에 덜어 드시고 국물은 남기세요.</t>
        </is>
      </c>
      <c r="I71" s="17" t="inlineStr">
        <is>
          <t>앞접시로 옮기면 국물을 자연히 덜 먹게 돼요.</t>
        </is>
      </c>
      <c r="J71" s="15" t="inlineStr">
        <is>
          <t>REDUCE</t>
        </is>
      </c>
      <c r="K71" s="15" t="n"/>
      <c r="L71" s="15" t="inlineStr">
        <is>
          <t>WHO-DIET</t>
        </is>
      </c>
      <c r="M71" s="17" t="inlineStr">
        <is>
          <t>효과 단정 없이 행동 설명으로 유지. 개인별 적합성·문구 적합성 검토 필요</t>
        </is>
      </c>
      <c r="N71" s="15" t="n">
        <v>79</v>
      </c>
    </row>
    <row r="72">
      <c r="A72" s="15" t="inlineStr">
        <is>
          <t>DIET-P-0103</t>
        </is>
      </c>
      <c r="B72" s="15" t="inlineStr">
        <is>
          <t>1.0.0</t>
        </is>
      </c>
      <c r="C72" s="15" t="inlineStr">
        <is>
          <t>사용</t>
        </is>
      </c>
      <c r="D72" s="15" t="inlineStr">
        <is>
          <t>AXIS_STAGE</t>
        </is>
      </c>
      <c r="E72" s="15" t="inlineStr">
        <is>
          <t>DIET-Q-03</t>
        </is>
      </c>
      <c r="F72" s="15" t="inlineStr">
        <is>
          <t>INTRO</t>
        </is>
      </c>
      <c r="G72" s="15" t="inlineStr">
        <is>
          <t>국은 반 그릇만 담기</t>
        </is>
      </c>
      <c r="H72" s="17" t="inlineStr">
        <is>
          <t>국을 그릇에 담을 때 처음부터 반 그릇만 담으세요.</t>
        </is>
      </c>
      <c r="I72" s="17" t="inlineStr">
        <is>
          <t>담는 양을 줄이는 게 남기는 것보다 쉬워요.</t>
        </is>
      </c>
      <c r="J72" s="15" t="inlineStr">
        <is>
          <t>REDUCE</t>
        </is>
      </c>
      <c r="K72" s="15" t="n"/>
      <c r="L72" s="15" t="inlineStr">
        <is>
          <t>WHO-DIET</t>
        </is>
      </c>
      <c r="M72" s="17" t="inlineStr">
        <is>
          <t>효과 단정 없이 행동 설명으로 유지. 개인별 적합성·문구 적합성 검토 필요</t>
        </is>
      </c>
      <c r="N72" s="15" t="n">
        <v>80</v>
      </c>
    </row>
    <row r="73">
      <c r="A73" s="15" t="inlineStr">
        <is>
          <t>DIET-P-0104</t>
        </is>
      </c>
      <c r="B73" s="15" t="inlineStr">
        <is>
          <t>1.0.0</t>
        </is>
      </c>
      <c r="C73" s="15" t="inlineStr">
        <is>
          <t>사용</t>
        </is>
      </c>
      <c r="D73" s="15" t="inlineStr">
        <is>
          <t>AXIS_STAGE</t>
        </is>
      </c>
      <c r="E73" s="15" t="inlineStr">
        <is>
          <t>DIET-Q-03</t>
        </is>
      </c>
      <c r="F73" s="15" t="inlineStr">
        <is>
          <t>BASE</t>
        </is>
      </c>
      <c r="G73" s="6" t="inlineStr">
        <is>
          <t>짠 반찬은 한 가지만</t>
        </is>
      </c>
      <c r="H73" s="5" t="inlineStr">
        <is>
          <t>한 끼에 김치·젓갈·장아찌 같은 짠 반찬은 한 가지만 드세요.</t>
        </is>
      </c>
      <c r="I73" s="17" t="inlineStr">
        <is>
          <t>한 끼에 짠 반찬이 겹치는지 살펴봐요.</t>
        </is>
      </c>
      <c r="J73" s="15" t="inlineStr">
        <is>
          <t>REDUCE</t>
        </is>
      </c>
      <c r="K73" s="15" t="n"/>
      <c r="L73" s="15" t="inlineStr">
        <is>
          <t>WHO-DIET</t>
        </is>
      </c>
      <c r="M73" s="17" t="inlineStr">
        <is>
          <t>근거 범위에 맞춰 이유 문장 수정</t>
        </is>
      </c>
      <c r="N73" s="15" t="n">
        <v>81</v>
      </c>
    </row>
    <row r="74">
      <c r="A74" s="15" t="inlineStr">
        <is>
          <t>DIET-P-0105</t>
        </is>
      </c>
      <c r="B74" s="15" t="inlineStr">
        <is>
          <t>1.0.0</t>
        </is>
      </c>
      <c r="C74" s="15" t="inlineStr">
        <is>
          <t>사용</t>
        </is>
      </c>
      <c r="D74" s="15" t="inlineStr">
        <is>
          <t>AXIS_STAGE</t>
        </is>
      </c>
      <c r="E74" s="15" t="inlineStr">
        <is>
          <t>DIET-Q-03</t>
        </is>
      </c>
      <c r="F74" s="15" t="inlineStr">
        <is>
          <t>BASE</t>
        </is>
      </c>
      <c r="G74" s="6" t="inlineStr">
        <is>
          <t>볶음밥 대신 흰밥</t>
        </is>
      </c>
      <c r="H74" s="5" t="inlineStr">
        <is>
          <t>볶음밥 대신 흰밥에 반찬을 곁들여 드세요.</t>
        </is>
      </c>
      <c r="I74" s="17" t="inlineStr">
        <is>
          <t>밥과 반찬의 간을 각각 살펴봐요.</t>
        </is>
      </c>
      <c r="J74" s="15" t="n"/>
      <c r="K74" s="15" t="n"/>
      <c r="L74" s="15" t="inlineStr">
        <is>
          <t>WHO-DIET; NIDDK-HYPO</t>
        </is>
      </c>
      <c r="M74" s="17" t="inlineStr">
        <is>
          <t>근거 범위에 맞춰 이유 문장 수정</t>
        </is>
      </c>
      <c r="N74" s="15" t="n">
        <v>82</v>
      </c>
    </row>
    <row r="75">
      <c r="A75" s="15" t="inlineStr">
        <is>
          <t>DIET-P-0107</t>
        </is>
      </c>
      <c r="B75" s="15" t="inlineStr">
        <is>
          <t>1.0.0</t>
        </is>
      </c>
      <c r="C75" s="15" t="inlineStr">
        <is>
          <t>사용</t>
        </is>
      </c>
      <c r="D75" s="15" t="inlineStr">
        <is>
          <t>AXIS_STAGE</t>
        </is>
      </c>
      <c r="E75" s="15" t="inlineStr">
        <is>
          <t>DIET-Q-03</t>
        </is>
      </c>
      <c r="F75" s="15" t="inlineStr">
        <is>
          <t>CHALLENGE</t>
        </is>
      </c>
      <c r="G75" s="6" t="inlineStr">
        <is>
          <t>절임 반찬은 접시에 덜기</t>
        </is>
      </c>
      <c r="H75" s="5" t="inlineStr">
        <is>
          <t>김치 같은 절임 반찬은 통째로 두지 말고 먹을 만큼 앞접시에 덜어 드세요.</t>
        </is>
      </c>
      <c r="I75" s="17" t="inlineStr">
        <is>
          <t>절임 반찬의 실제 양과 전체 식사의 간을 함께 봐요.</t>
        </is>
      </c>
      <c r="J75" s="15" t="inlineStr">
        <is>
          <t>REDUCE</t>
        </is>
      </c>
      <c r="K75" s="15" t="n"/>
      <c r="L75" s="15" t="inlineStr">
        <is>
          <t>WHO-DIET; NIDDK-HYPO</t>
        </is>
      </c>
      <c r="M75" s="17" t="inlineStr">
        <is>
          <t>행동 문구 수정; 근거 범위에 맞춰 이유 문장 수정 · 10-19 특정 음식 이름을 음식 종류로</t>
        </is>
      </c>
      <c r="N75" s="15" t="n">
        <v>84</v>
      </c>
    </row>
    <row r="76">
      <c r="A76" s="15" t="inlineStr">
        <is>
          <t>DIET-P-0110</t>
        </is>
      </c>
      <c r="B76" s="15" t="inlineStr">
        <is>
          <t>1.0.0</t>
        </is>
      </c>
      <c r="C76" s="15" t="inlineStr">
        <is>
          <t>사용</t>
        </is>
      </c>
      <c r="D76" s="15" t="inlineStr">
        <is>
          <t>AXIS_STAGE</t>
        </is>
      </c>
      <c r="E76" s="15" t="inlineStr">
        <is>
          <t>DIET-Q-04</t>
        </is>
      </c>
      <c r="F76" s="15" t="inlineStr">
        <is>
          <t>BASE</t>
        </is>
      </c>
      <c r="G76" s="6" t="inlineStr">
        <is>
          <t>저녁은 제때 먹기</t>
        </is>
      </c>
      <c r="H76" s="5" t="inlineStr">
        <is>
          <t>오늘 저녁도 제때 드세요.</t>
        </is>
      </c>
      <c r="I76" s="17" t="inlineStr">
        <is>
          <t>저녁을 제때 먹도록 계획해요.</t>
        </is>
      </c>
      <c r="J76" s="15" t="n"/>
      <c r="K76" s="15" t="n"/>
      <c r="L76" s="15" t="inlineStr">
        <is>
          <t>WHO-DIET; NICE-ED</t>
        </is>
      </c>
      <c r="M76" s="17" t="inlineStr">
        <is>
          <t>근거 범위에 맞춰 이유 문장 수정 · 10-19 특정 음식 이름을 음식 종류로</t>
        </is>
      </c>
      <c r="N76" s="15" t="n">
        <v>85</v>
      </c>
    </row>
    <row r="77">
      <c r="A77" s="15" t="inlineStr">
        <is>
          <t>DIET-P-0114</t>
        </is>
      </c>
      <c r="B77" s="15" t="inlineStr">
        <is>
          <t>1.0.0</t>
        </is>
      </c>
      <c r="C77" s="15" t="inlineStr">
        <is>
          <t>사용</t>
        </is>
      </c>
      <c r="D77" s="15" t="inlineStr">
        <is>
          <t>AXIS_STAGE</t>
        </is>
      </c>
      <c r="E77" s="15" t="inlineStr">
        <is>
          <t>DIET-Q-05</t>
        </is>
      </c>
      <c r="F77" s="15" t="inlineStr">
        <is>
          <t>INTRO</t>
        </is>
      </c>
      <c r="G77" s="15" t="inlineStr">
        <is>
          <t>한 숟갈 양, 절반만</t>
        </is>
      </c>
      <c r="H77" s="17" t="inlineStr">
        <is>
          <t>한 번에 뜨는 양을 평소의 절반으로 줄여 드세요.</t>
        </is>
      </c>
      <c r="I77" s="17" t="inlineStr">
        <is>
          <t>한 입의 양은 편하게 씹고 삼킬 수 있게 정해요.</t>
        </is>
      </c>
      <c r="J77" s="15" t="inlineStr">
        <is>
          <t>REDUCE</t>
        </is>
      </c>
      <c r="K77" s="15" t="n"/>
      <c r="L77" s="15" t="inlineStr">
        <is>
          <t>WHO-DIET; NIDDK-HYPO; NICE-ED</t>
        </is>
      </c>
      <c r="M77" s="17" t="inlineStr">
        <is>
          <t>근거 범위에 맞춰 이유 문장 수정 · 10-19 특정 음식 이름을 음식 종류로</t>
        </is>
      </c>
      <c r="N77" s="15" t="n">
        <v>87</v>
      </c>
    </row>
    <row r="78">
      <c r="A78" s="15" t="inlineStr">
        <is>
          <t>DIET-P-0115</t>
        </is>
      </c>
      <c r="B78" s="15" t="inlineStr">
        <is>
          <t>1.0.0</t>
        </is>
      </c>
      <c r="C78" s="15" t="inlineStr">
        <is>
          <t>사용</t>
        </is>
      </c>
      <c r="D78" s="15" t="inlineStr">
        <is>
          <t>AXIS_STAGE</t>
        </is>
      </c>
      <c r="E78" s="15" t="inlineStr">
        <is>
          <t>DIET-Q-05</t>
        </is>
      </c>
      <c r="F78" s="15" t="inlineStr">
        <is>
          <t>BASE</t>
        </is>
      </c>
      <c r="G78" s="6" t="inlineStr">
        <is>
          <t>중간에 한 번 멈추기</t>
        </is>
      </c>
      <c r="H78" s="5" t="inlineStr">
        <is>
          <t>식사 중간에 한 번 수저를 놓고 배가 부른지 살펴보세요.</t>
        </is>
      </c>
      <c r="I78" s="17" t="inlineStr">
        <is>
          <t>중간에 멈추면 배부른지 확인할 틈이 생겨요.</t>
        </is>
      </c>
      <c r="J78" s="15" t="inlineStr">
        <is>
          <t>REDUCE</t>
        </is>
      </c>
      <c r="K78" s="15" t="n"/>
      <c r="L78" s="15" t="inlineStr">
        <is>
          <t>WHO-DIET; NIDDK-HYPO; NICE-ED</t>
        </is>
      </c>
      <c r="M78" s="17" t="inlineStr">
        <is>
          <t>효과 단정 없이 행동 설명으로 유지. 개인별 적합성·문구 적합성 검토 필요</t>
        </is>
      </c>
      <c r="N78" s="15" t="n">
        <v>88</v>
      </c>
    </row>
    <row r="79">
      <c r="A79" s="15" t="inlineStr">
        <is>
          <t>DIET-P-0118</t>
        </is>
      </c>
      <c r="B79" s="15" t="inlineStr">
        <is>
          <t>1.0.0</t>
        </is>
      </c>
      <c r="C79" s="15" t="inlineStr">
        <is>
          <t>사용</t>
        </is>
      </c>
      <c r="D79" s="15" t="inlineStr">
        <is>
          <t>AXIS_STAGE</t>
        </is>
      </c>
      <c r="E79" s="15" t="inlineStr">
        <is>
          <t>DIET-Q-05</t>
        </is>
      </c>
      <c r="F79" s="15" t="inlineStr">
        <is>
          <t>CHALLENGE</t>
        </is>
      </c>
      <c r="G79" s="6" t="inlineStr">
        <is>
          <t>배부르면 잠깐 멈추기</t>
        </is>
      </c>
      <c r="H79" s="5" t="inlineStr">
        <is>
          <t>먹다가 배가 부르다고 느끼면 잠깐 수저를 내려놓으세요.</t>
        </is>
      </c>
      <c r="I79" s="17" t="inlineStr">
        <is>
          <t>먹는 중 배부른 정도를 확인해요.</t>
        </is>
      </c>
      <c r="J79" s="15" t="inlineStr">
        <is>
          <t>REDUCE</t>
        </is>
      </c>
      <c r="K79" s="15" t="n"/>
      <c r="L79" s="15" t="inlineStr">
        <is>
          <t>WHO-DIET; NICE-ED</t>
        </is>
      </c>
      <c r="M79" s="17" t="inlineStr">
        <is>
          <t>행동 문구 수정; 근거 범위에 맞춰 이유 문장 수정</t>
        </is>
      </c>
      <c r="N79" s="15" t="n">
        <v>90</v>
      </c>
    </row>
    <row r="80">
      <c r="A80" s="15" t="inlineStr">
        <is>
          <t>DIET-P-0119</t>
        </is>
      </c>
      <c r="B80" s="15" t="inlineStr">
        <is>
          <t>1.0.0</t>
        </is>
      </c>
      <c r="C80" s="15" t="inlineStr">
        <is>
          <t>사용</t>
        </is>
      </c>
      <c r="D80" s="15" t="inlineStr">
        <is>
          <t>AXIS_STAGE</t>
        </is>
      </c>
      <c r="E80" s="15" t="inlineStr">
        <is>
          <t>DIET-Q-06</t>
        </is>
      </c>
      <c r="F80" s="15" t="inlineStr">
        <is>
          <t>INTRO</t>
        </is>
      </c>
      <c r="G80" s="6" t="inlineStr">
        <is>
          <t>간식은 삶은 달걀</t>
        </is>
      </c>
      <c r="H80" s="5" t="inlineStr">
        <is>
          <t>출출할 때 간식으로 삶은 달걀을 드세요.</t>
        </is>
      </c>
      <c r="I80" s="17" t="inlineStr">
        <is>
          <t>달걀을 간식으로 선택해 보는 행동이에요.</t>
        </is>
      </c>
      <c r="J80" s="15" t="inlineStr">
        <is>
          <t>INCREASE</t>
        </is>
      </c>
      <c r="K80" s="15" t="n"/>
      <c r="L80" s="15" t="inlineStr">
        <is>
          <t>WHO-DIET; NIDDK-CKD</t>
        </is>
      </c>
      <c r="M80" s="17" t="inlineStr">
        <is>
          <t>근거 범위에 맞춰 이유 문장 수정</t>
        </is>
      </c>
      <c r="N80" s="15" t="n">
        <v>91</v>
      </c>
    </row>
    <row r="81">
      <c r="A81" s="15" t="inlineStr">
        <is>
          <t>DIET-P-0121</t>
        </is>
      </c>
      <c r="B81" s="15" t="inlineStr">
        <is>
          <t>1.0.0</t>
        </is>
      </c>
      <c r="C81" s="15" t="inlineStr">
        <is>
          <t>사용</t>
        </is>
      </c>
      <c r="D81" s="15" t="inlineStr">
        <is>
          <t>AXIS_STAGE</t>
        </is>
      </c>
      <c r="E81" s="15" t="inlineStr">
        <is>
          <t>DIET-Q-06</t>
        </is>
      </c>
      <c r="F81" s="15" t="inlineStr">
        <is>
          <t>BASE</t>
        </is>
      </c>
      <c r="G81" s="6" t="inlineStr">
        <is>
          <t>닭가슴살 · 살코기</t>
        </is>
      </c>
      <c r="H81" s="5" t="inlineStr">
        <is>
          <t>고기는 닭가슴살이나 기름 적은 살코기로 골라 드세요.</t>
        </is>
      </c>
      <c r="I81" s="17" t="inlineStr">
        <is>
          <t>단백질 식품을 고를 때 부위와 조리법을 살펴봐요.</t>
        </is>
      </c>
      <c r="J81" s="15" t="inlineStr">
        <is>
          <t>TEXTURE</t>
        </is>
      </c>
      <c r="K81" s="15" t="n"/>
      <c r="L81" s="15" t="inlineStr">
        <is>
          <t>WHO-DIET; NIDDK-CKD</t>
        </is>
      </c>
      <c r="M81" s="17" t="inlineStr">
        <is>
          <t>근거 범위에 맞춰 이유 문장 수정</t>
        </is>
      </c>
      <c r="N81" s="15" t="n">
        <v>93</v>
      </c>
    </row>
    <row r="82">
      <c r="A82" s="15" t="inlineStr">
        <is>
          <t>DIET-P-0122</t>
        </is>
      </c>
      <c r="B82" s="15" t="inlineStr">
        <is>
          <t>1.0.0</t>
        </is>
      </c>
      <c r="C82" s="15" t="inlineStr">
        <is>
          <t>사용</t>
        </is>
      </c>
      <c r="D82" s="15" t="inlineStr">
        <is>
          <t>AXIS_STAGE</t>
        </is>
      </c>
      <c r="E82" s="15" t="inlineStr">
        <is>
          <t>DIET-Q-06</t>
        </is>
      </c>
      <c r="F82" s="15" t="inlineStr">
        <is>
          <t>BASE</t>
        </is>
      </c>
      <c r="G82" s="6" t="inlineStr">
        <is>
          <t>콩 반찬 하나 챙기기</t>
        </is>
      </c>
      <c r="H82" s="5" t="inlineStr">
        <is>
          <t>오늘 식사에 콩이 들어간 반찬을 한 가지 곁들여 드세요.</t>
        </is>
      </c>
      <c r="I82" s="17" t="inlineStr">
        <is>
          <t>콩은 고기 없이도 단백질을 채워요.</t>
        </is>
      </c>
      <c r="J82" s="15" t="inlineStr">
        <is>
          <t>INCREASE</t>
        </is>
      </c>
      <c r="K82" s="15" t="n"/>
      <c r="L82" s="15" t="inlineStr">
        <is>
          <t>WHO-DIET; NIDDK-CKD</t>
        </is>
      </c>
      <c r="M82" s="17" t="inlineStr">
        <is>
          <t>효과 단정 없이 행동 설명으로 유지. 개인별 적합성·문구 적합성 검토 필요</t>
        </is>
      </c>
      <c r="N82" s="15" t="n">
        <v>94</v>
      </c>
    </row>
    <row r="83">
      <c r="A83" s="15" t="inlineStr">
        <is>
          <t>DIET-P-0124</t>
        </is>
      </c>
      <c r="B83" s="15" t="inlineStr">
        <is>
          <t>1.0.0</t>
        </is>
      </c>
      <c r="C83" s="15" t="inlineStr">
        <is>
          <t>사용</t>
        </is>
      </c>
      <c r="D83" s="15" t="inlineStr">
        <is>
          <t>AXIS_STAGE</t>
        </is>
      </c>
      <c r="E83" s="15" t="inlineStr">
        <is>
          <t>DIET-Q-06</t>
        </is>
      </c>
      <c r="F83" s="15" t="inlineStr">
        <is>
          <t>CHALLENGE</t>
        </is>
      </c>
      <c r="G83" s="6" t="inlineStr">
        <is>
          <t>저녁은 생선 · 두부로</t>
        </is>
      </c>
      <c r="H83" s="5" t="inlineStr">
        <is>
          <t>오늘 저녁 단백질 반찬은 생선이나 두부로 골라 드세요.</t>
        </is>
      </c>
      <c r="I83" s="17" t="inlineStr">
        <is>
          <t>생선·두부를 단백질 식품으로 선택해 봐요.</t>
        </is>
      </c>
      <c r="J83" s="15" t="n"/>
      <c r="K83" s="15" t="n"/>
      <c r="L83" s="15" t="inlineStr">
        <is>
          <t>WHO-DIET; NIDDK-CKD</t>
        </is>
      </c>
      <c r="M83" s="17" t="inlineStr">
        <is>
          <t>근거 범위에 맞춰 이유 문장 수정</t>
        </is>
      </c>
      <c r="N83" s="15" t="n">
        <v>95</v>
      </c>
    </row>
    <row r="84">
      <c r="A84" s="15" t="inlineStr">
        <is>
          <t>DIET-P-0126</t>
        </is>
      </c>
      <c r="B84" s="15" t="inlineStr">
        <is>
          <t>1.0.0</t>
        </is>
      </c>
      <c r="C84" s="15" t="inlineStr">
        <is>
          <t>사용</t>
        </is>
      </c>
      <c r="D84" s="15" t="inlineStr">
        <is>
          <t>AXIS_STAGE</t>
        </is>
      </c>
      <c r="E84" s="15" t="inlineStr">
        <is>
          <t>DIET-Q-07</t>
        </is>
      </c>
      <c r="F84" s="15" t="inlineStr">
        <is>
          <t>INTRO</t>
        </is>
      </c>
      <c r="G84" s="6" t="inlineStr">
        <is>
          <t>볶음 대신 데친 반찬</t>
        </is>
      </c>
      <c r="H84" s="5" t="inlineStr">
        <is>
          <t>기름에 볶은 반찬 대신 물에 데친 반찬을 골라 드세요.</t>
        </is>
      </c>
      <c r="I84" s="17" t="inlineStr">
        <is>
          <t>데치면 기름이 거의 들어가지 않아요.</t>
        </is>
      </c>
      <c r="J84" s="15" t="n"/>
      <c r="K84" s="15" t="n"/>
      <c r="L84" s="15" t="inlineStr">
        <is>
          <t>WHO-DIET; NIDDK-HYPO</t>
        </is>
      </c>
      <c r="M84" s="17" t="inlineStr">
        <is>
          <t>효과 단정 없이 행동 설명으로 유지. 개인별 적합성·문구 적합성 검토 필요</t>
        </is>
      </c>
      <c r="N84" s="15" t="n">
        <v>97</v>
      </c>
    </row>
    <row r="85">
      <c r="A85" s="15" t="inlineStr">
        <is>
          <t>DIET-P-0131</t>
        </is>
      </c>
      <c r="B85" s="15" t="inlineStr">
        <is>
          <t>1.0.0</t>
        </is>
      </c>
      <c r="C85" s="15" t="inlineStr">
        <is>
          <t>사용</t>
        </is>
      </c>
      <c r="D85" s="15" t="inlineStr">
        <is>
          <t>AXIS_STAGE</t>
        </is>
      </c>
      <c r="E85" s="15" t="inlineStr">
        <is>
          <t>DIET-Q-00</t>
        </is>
      </c>
      <c r="F85" s="15" t="inlineStr">
        <is>
          <t>INTRO</t>
        </is>
      </c>
      <c r="G85" s="6" t="inlineStr">
        <is>
          <t>아침거리 꺼내 두기</t>
        </is>
      </c>
      <c r="H85" s="5" t="inlineStr">
        <is>
          <t>내일 아침에 먹을 음식을 자기 전에 잘 보이는 곳에 꺼내 두세요.</t>
        </is>
      </c>
      <c r="I85" s="17" t="inlineStr">
        <is>
          <t>아침에 고민할 일이 없으면 덜 거르게 돼요.</t>
        </is>
      </c>
      <c r="J85" s="15" t="n"/>
      <c r="K85" s="15" t="n"/>
      <c r="L85" s="15" t="inlineStr">
        <is>
          <t>WHO-DIET</t>
        </is>
      </c>
      <c r="M85" s="17" t="inlineStr">
        <is>
          <t>효과 단정 없이 행동 설명으로 유지. 개인별 적합성·문구 적합성 검토 필요</t>
        </is>
      </c>
      <c r="N85" s="15" t="n">
        <v>98</v>
      </c>
    </row>
    <row r="86">
      <c r="A86" s="15" t="inlineStr">
        <is>
          <t>DIET-P-0136</t>
        </is>
      </c>
      <c r="B86" s="15" t="inlineStr">
        <is>
          <t>1.0.0</t>
        </is>
      </c>
      <c r="C86" s="15" t="inlineStr">
        <is>
          <t>사용</t>
        </is>
      </c>
      <c r="D86" s="15" t="inlineStr">
        <is>
          <t>AXIS_STAGE</t>
        </is>
      </c>
      <c r="E86" s="15" t="inlineStr">
        <is>
          <t>DIET-Q-00</t>
        </is>
      </c>
      <c r="F86" s="15" t="inlineStr">
        <is>
          <t>CHALLENGE</t>
        </is>
      </c>
      <c r="G86" s="6" t="inlineStr">
        <is>
          <t>연휴에도 제때 먹기</t>
        </is>
      </c>
      <c r="H86" s="5" t="inlineStr">
        <is>
          <t>연휴에도 평소처럼 제시간에 끼니를 챙겨 드세요.</t>
        </is>
      </c>
      <c r="I86" s="17" t="inlineStr">
        <is>
          <t>연휴 일정에 맞춰 식사 시간을 계획해요.</t>
        </is>
      </c>
      <c r="J86" s="15" t="n"/>
      <c r="K86" s="15" t="n"/>
      <c r="L86" s="15" t="inlineStr">
        <is>
          <t>WHO-DIET</t>
        </is>
      </c>
      <c r="M86" s="17" t="inlineStr">
        <is>
          <t>근거 범위에 맞춰 이유 문장 수정</t>
        </is>
      </c>
      <c r="N86" s="15" t="n">
        <v>103</v>
      </c>
    </row>
    <row r="87">
      <c r="A87" s="15" t="inlineStr">
        <is>
          <t>DIET-P-0139</t>
        </is>
      </c>
      <c r="B87" s="15" t="inlineStr">
        <is>
          <t>1.0.0</t>
        </is>
      </c>
      <c r="C87" s="15" t="inlineStr">
        <is>
          <t>사용</t>
        </is>
      </c>
      <c r="D87" s="15" t="inlineStr">
        <is>
          <t>AXIS_STAGE</t>
        </is>
      </c>
      <c r="E87" s="15" t="inlineStr">
        <is>
          <t>DIET-Q-01</t>
        </is>
      </c>
      <c r="F87" s="15" t="inlineStr">
        <is>
          <t>BASE</t>
        </is>
      </c>
      <c r="G87" s="15" t="inlineStr">
        <is>
          <t>아침에도 채소 한 가지</t>
        </is>
      </c>
      <c r="H87" s="17" t="inlineStr">
        <is>
          <t>아침 식사에도 채소 반찬을 한 가지 곁들여 드세요.</t>
        </is>
      </c>
      <c r="I87" s="17" t="inlineStr">
        <is>
          <t>아침 식사에 채소를 포함해 봐요.</t>
        </is>
      </c>
      <c r="J87" s="15" t="inlineStr">
        <is>
          <t>INCREASE</t>
        </is>
      </c>
      <c r="K87" s="15" t="n"/>
      <c r="L87" s="15" t="inlineStr">
        <is>
          <t>WHO-DIET; NIDDK-CKD</t>
        </is>
      </c>
      <c r="M87" s="17" t="inlineStr">
        <is>
          <t>근거 범위에 맞춰 이유 문장 수정</t>
        </is>
      </c>
      <c r="N87" s="15" t="n">
        <v>106</v>
      </c>
    </row>
    <row r="88">
      <c r="A88" s="15" t="inlineStr">
        <is>
          <t>DIET-P-0141</t>
        </is>
      </c>
      <c r="B88" s="15" t="inlineStr">
        <is>
          <t>1.0.0</t>
        </is>
      </c>
      <c r="C88" s="15" t="inlineStr">
        <is>
          <t>사용</t>
        </is>
      </c>
      <c r="D88" s="15" t="inlineStr">
        <is>
          <t>AXIS_STAGE</t>
        </is>
      </c>
      <c r="E88" s="15" t="inlineStr">
        <is>
          <t>DIET-Q-01</t>
        </is>
      </c>
      <c r="F88" s="15" t="inlineStr">
        <is>
          <t>CHALLENGE</t>
        </is>
      </c>
      <c r="G88" s="6" t="inlineStr">
        <is>
          <t>명절상 나물부터 먹기</t>
        </is>
      </c>
      <c r="H88" s="5" t="inlineStr">
        <is>
          <t>명절 상에서는 나물 반찬부터 먼저 드세요.</t>
        </is>
      </c>
      <c r="I88" s="17" t="inlineStr">
        <is>
          <t>명절 상엔 나물이 있으니 순서만 바꾸면 돼요.</t>
        </is>
      </c>
      <c r="J88" s="15" t="n"/>
      <c r="K88" s="15" t="n"/>
      <c r="L88" s="15" t="inlineStr">
        <is>
          <t>WHO-DIET; AHA-HF</t>
        </is>
      </c>
      <c r="M88" s="17" t="inlineStr">
        <is>
          <t>효과 단정 없이 행동 설명으로 유지. 개인별 적합성·문구 적합성 검토 필요</t>
        </is>
      </c>
      <c r="N88" s="15" t="n">
        <v>108</v>
      </c>
    </row>
    <row r="89">
      <c r="A89" s="15" t="inlineStr">
        <is>
          <t>DIET-P-0146</t>
        </is>
      </c>
      <c r="B89" s="15" t="inlineStr">
        <is>
          <t>1.0.0</t>
        </is>
      </c>
      <c r="C89" s="15" t="inlineStr">
        <is>
          <t>사용</t>
        </is>
      </c>
      <c r="D89" s="15" t="inlineStr">
        <is>
          <t>AXIS_STAGE</t>
        </is>
      </c>
      <c r="E89" s="15" t="inlineStr">
        <is>
          <t>DIET-Q-02</t>
        </is>
      </c>
      <c r="F89" s="15" t="inlineStr">
        <is>
          <t>BASE</t>
        </is>
      </c>
      <c r="G89" s="6" t="inlineStr">
        <is>
          <t>명절 음료는 무가당으로</t>
        </is>
      </c>
      <c r="H89" s="5" t="inlineStr">
        <is>
          <t>명절에는 식혜·주스 대신 물이나 단맛 없는 음료를 드세요.</t>
        </is>
      </c>
      <c r="I89" s="17" t="inlineStr">
        <is>
          <t>명절에는 당이 든 음료 대신 물이나 무가당 음료를 선택해요.</t>
        </is>
      </c>
      <c r="J89" s="15" t="inlineStr">
        <is>
          <t>FLUID</t>
        </is>
      </c>
      <c r="K89" s="15" t="n"/>
      <c r="L89" s="15" t="inlineStr">
        <is>
          <t>WHO-DIET; AHA-HF</t>
        </is>
      </c>
      <c r="M89" s="17" t="inlineStr">
        <is>
          <t>대한민국 명절 캘린더 날짜에만 자동 후보로 사용</t>
        </is>
      </c>
      <c r="N89" s="15" t="n">
        <v>112</v>
      </c>
    </row>
    <row r="90">
      <c r="A90" s="15" t="inlineStr">
        <is>
          <t>DIET-P-0147</t>
        </is>
      </c>
      <c r="B90" s="15" t="inlineStr">
        <is>
          <t>1.0.0</t>
        </is>
      </c>
      <c r="C90" s="15" t="inlineStr">
        <is>
          <t>사용</t>
        </is>
      </c>
      <c r="D90" s="15" t="inlineStr">
        <is>
          <t>AXIS_STAGE</t>
        </is>
      </c>
      <c r="E90" s="15" t="inlineStr">
        <is>
          <t>DIET-Q-02</t>
        </is>
      </c>
      <c r="F90" s="15" t="inlineStr">
        <is>
          <t>CHALLENGE</t>
        </is>
      </c>
      <c r="G90" s="6" t="inlineStr">
        <is>
          <t>달달한 커피 쉬기</t>
        </is>
      </c>
      <c r="H90" s="5" t="inlineStr">
        <is>
          <t>매일 마시던 달달한 커피를 오늘 하루는 쉬어 보세요.</t>
        </is>
      </c>
      <c r="I90" s="17" t="inlineStr">
        <is>
          <t>매일 마시던 한 잔을 하루 빼 보는 단계예요.</t>
        </is>
      </c>
      <c r="J90" s="15" t="inlineStr">
        <is>
          <t>FAST</t>
        </is>
      </c>
      <c r="K90" s="15" t="n"/>
      <c r="L90" s="15" t="inlineStr">
        <is>
          <t>WHO-DIET; AHA-HF; NIDDK-HYPO</t>
        </is>
      </c>
      <c r="M90" s="17" t="inlineStr">
        <is>
          <t>효과 단정 없이 행동 설명으로 유지. 개인별 적합성·문구 적합성 검토 필요</t>
        </is>
      </c>
      <c r="N90" s="15" t="n">
        <v>113</v>
      </c>
    </row>
    <row r="91">
      <c r="A91" s="15" t="inlineStr">
        <is>
          <t>DIET-P-0148</t>
        </is>
      </c>
      <c r="B91" s="15" t="inlineStr">
        <is>
          <t>1.0.0</t>
        </is>
      </c>
      <c r="C91" s="15" t="inlineStr">
        <is>
          <t>사용</t>
        </is>
      </c>
      <c r="D91" s="15" t="inlineStr">
        <is>
          <t>AXIS_STAGE</t>
        </is>
      </c>
      <c r="E91" s="15" t="inlineStr">
        <is>
          <t>DIET-Q-02</t>
        </is>
      </c>
      <c r="F91" s="15" t="inlineStr">
        <is>
          <t>CHALLENGE</t>
        </is>
      </c>
      <c r="G91" s="6" t="inlineStr">
        <is>
          <t>후식 없이 식사 마치기</t>
        </is>
      </c>
      <c r="H91" s="5" t="inlineStr">
        <is>
          <t>오늘은 식사 뒤 디저트 없이 식사를 마쳐 보세요.</t>
        </is>
      </c>
      <c r="I91" s="17" t="inlineStr">
        <is>
          <t>디저트 여부는 개인 식사 계획에 맞춰요.</t>
        </is>
      </c>
      <c r="J91" s="15" t="inlineStr">
        <is>
          <t>FAST</t>
        </is>
      </c>
      <c r="K91" s="15" t="n"/>
      <c r="L91" s="15" t="inlineStr">
        <is>
          <t>WHO-DIET; NIDDK-HYPO</t>
        </is>
      </c>
      <c r="M91" s="17" t="inlineStr">
        <is>
          <t>근거 범위에 맞춰 이유 문장 수정</t>
        </is>
      </c>
      <c r="N91" s="15" t="n">
        <v>114</v>
      </c>
    </row>
    <row r="92">
      <c r="A92" s="15" t="inlineStr">
        <is>
          <t>DIET-P-0149</t>
        </is>
      </c>
      <c r="B92" s="15" t="inlineStr">
        <is>
          <t>1.0.0</t>
        </is>
      </c>
      <c r="C92" s="15" t="inlineStr">
        <is>
          <t>사용</t>
        </is>
      </c>
      <c r="D92" s="15" t="inlineStr">
        <is>
          <t>AXIS_STAGE</t>
        </is>
      </c>
      <c r="E92" s="15" t="inlineStr">
        <is>
          <t>DIET-Q-03</t>
        </is>
      </c>
      <c r="F92" s="15" t="inlineStr">
        <is>
          <t>INTRO</t>
        </is>
      </c>
      <c r="G92" s="6" t="inlineStr">
        <is>
          <t>식탁에 소금 안 두기</t>
        </is>
      </c>
      <c r="H92" s="5" t="inlineStr">
        <is>
          <t>식탁 위에 소금통을 두지 말고 치워 두세요.</t>
        </is>
      </c>
      <c r="I92" s="17" t="inlineStr">
        <is>
          <t>손이 닿지 않으면 더 넣지 않게 돼요.</t>
        </is>
      </c>
      <c r="J92" s="15" t="n"/>
      <c r="K92" s="15" t="n"/>
      <c r="L92" s="15" t="inlineStr">
        <is>
          <t>WHO-DIET</t>
        </is>
      </c>
      <c r="M92" s="17" t="inlineStr">
        <is>
          <t>효과 단정 없이 행동 설명으로 유지. 개인별 적합성·문구 적합성 검토 필요</t>
        </is>
      </c>
      <c r="N92" s="15" t="n">
        <v>115</v>
      </c>
    </row>
    <row r="93">
      <c r="A93" s="15" t="inlineStr">
        <is>
          <t>DIET-P-0150</t>
        </is>
      </c>
      <c r="B93" s="15" t="inlineStr">
        <is>
          <t>1.0.0</t>
        </is>
      </c>
      <c r="C93" s="15" t="inlineStr">
        <is>
          <t>사용</t>
        </is>
      </c>
      <c r="D93" s="15" t="inlineStr">
        <is>
          <t>AXIS_STAGE</t>
        </is>
      </c>
      <c r="E93" s="15" t="inlineStr">
        <is>
          <t>DIET-Q-03</t>
        </is>
      </c>
      <c r="F93" s="15" t="inlineStr">
        <is>
          <t>INTRO</t>
        </is>
      </c>
      <c r="G93" s="15" t="inlineStr">
        <is>
          <t>국은 마지막에 간하기</t>
        </is>
      </c>
      <c r="H93" s="17" t="inlineStr">
        <is>
          <t>국을 끓일 때 간은 마지막에 맛을 보고 조금만 하세요.</t>
        </is>
      </c>
      <c r="I93" s="17" t="inlineStr">
        <is>
          <t>조리 마지막에 간을 확인해 추가 양을 조절해요.</t>
        </is>
      </c>
      <c r="J93" s="15" t="n"/>
      <c r="K93" s="15" t="n"/>
      <c r="L93" s="15" t="inlineStr">
        <is>
          <t>WHO-DIET</t>
        </is>
      </c>
      <c r="M93" s="17" t="inlineStr">
        <is>
          <t>근거 범위에 맞춰 이유 문장 수정</t>
        </is>
      </c>
      <c r="N93" s="15" t="n">
        <v>116</v>
      </c>
    </row>
    <row r="94">
      <c r="A94" s="15" t="inlineStr">
        <is>
          <t>DIET-P-0153</t>
        </is>
      </c>
      <c r="B94" s="15" t="inlineStr">
        <is>
          <t>1.0.0</t>
        </is>
      </c>
      <c r="C94" s="15" t="inlineStr">
        <is>
          <t>사용</t>
        </is>
      </c>
      <c r="D94" s="15" t="inlineStr">
        <is>
          <t>AXIS_STAGE</t>
        </is>
      </c>
      <c r="E94" s="15" t="inlineStr">
        <is>
          <t>DIET-Q-03</t>
        </is>
      </c>
      <c r="F94" s="15" t="inlineStr">
        <is>
          <t>CHALLENGE</t>
        </is>
      </c>
      <c r="G94" s="6" t="inlineStr">
        <is>
          <t>즉석식품 오늘은 쉬기</t>
        </is>
      </c>
      <c r="H94" s="5" t="inlineStr">
        <is>
          <t>오늘 하루는 컵라면·레토르트 같은 즉석식품을 쉬어 보세요.</t>
        </is>
      </c>
      <c r="I94" s="17" t="inlineStr">
        <is>
          <t>즉석식품의 영양표시와 실제 먹는 양을 살펴봐요.</t>
        </is>
      </c>
      <c r="J94" s="15" t="inlineStr">
        <is>
          <t>FAST</t>
        </is>
      </c>
      <c r="K94" s="15" t="n"/>
      <c r="L94" s="15" t="inlineStr">
        <is>
          <t>WHO-DIET; NIDDK-HYPO</t>
        </is>
      </c>
      <c r="M94" s="17" t="inlineStr">
        <is>
          <t>근거 범위에 맞춰 이유 문장 수정</t>
        </is>
      </c>
      <c r="N94" s="15" t="n">
        <v>119</v>
      </c>
    </row>
    <row r="95">
      <c r="A95" s="15" t="inlineStr">
        <is>
          <t>DIET-P-0154</t>
        </is>
      </c>
      <c r="B95" s="15" t="inlineStr">
        <is>
          <t>1.0.0</t>
        </is>
      </c>
      <c r="C95" s="15" t="inlineStr">
        <is>
          <t>사용</t>
        </is>
      </c>
      <c r="D95" s="15" t="inlineStr">
        <is>
          <t>AXIS_STAGE</t>
        </is>
      </c>
      <c r="E95" s="15" t="inlineStr">
        <is>
          <t>DIET-Q-03</t>
        </is>
      </c>
      <c r="F95" s="15" t="inlineStr">
        <is>
          <t>CHALLENGE</t>
        </is>
      </c>
      <c r="G95" s="6" t="inlineStr">
        <is>
          <t>명절엔 국물 덜 먹기</t>
        </is>
      </c>
      <c r="H95" s="5" t="inlineStr">
        <is>
          <t>명절 음식을 먹을 때도 국물은 조금만 드세요.</t>
        </is>
      </c>
      <c r="I95" s="17" t="inlineStr">
        <is>
          <t>명절 식사에서도 국물 섭취량을 살펴봐요.</t>
        </is>
      </c>
      <c r="J95" s="15" t="inlineStr">
        <is>
          <t>FAST</t>
        </is>
      </c>
      <c r="K95" s="15" t="n"/>
      <c r="L95" s="15" t="inlineStr">
        <is>
          <t>WHO-DIET; AHA-HF; NIDDK-HYPO</t>
        </is>
      </c>
      <c r="M95" s="17" t="inlineStr">
        <is>
          <t>근거 범위에 맞춰 이유 문장 수정</t>
        </is>
      </c>
      <c r="N95" s="15" t="n">
        <v>120</v>
      </c>
    </row>
    <row r="96">
      <c r="A96" s="15" t="inlineStr">
        <is>
          <t>DIET-P-0156</t>
        </is>
      </c>
      <c r="B96" s="15" t="inlineStr">
        <is>
          <t>1.0.0</t>
        </is>
      </c>
      <c r="C96" s="15" t="inlineStr">
        <is>
          <t>사용</t>
        </is>
      </c>
      <c r="D96" s="15" t="inlineStr">
        <is>
          <t>AXIS_STAGE</t>
        </is>
      </c>
      <c r="E96" s="15" t="inlineStr">
        <is>
          <t>DIET-Q-04</t>
        </is>
      </c>
      <c r="F96" s="15" t="inlineStr">
        <is>
          <t>INTRO</t>
        </is>
      </c>
      <c r="G96" s="6" t="inlineStr">
        <is>
          <t>저녁 후 부엌 정리</t>
        </is>
      </c>
      <c r="H96" s="5" t="inlineStr">
        <is>
          <t>저녁을 다 먹으면 바로 부엌을 정리하고 남은 음식은 넣어 두세요.</t>
        </is>
      </c>
      <c r="I96" s="17" t="inlineStr">
        <is>
          <t>정리해 두면 다시 꺼내 먹기 번거로워져요.</t>
        </is>
      </c>
      <c r="J96" s="15" t="n"/>
      <c r="K96" s="15" t="n"/>
      <c r="L96" s="15" t="inlineStr">
        <is>
          <t>WHO-DIET; NICE-ED</t>
        </is>
      </c>
      <c r="M96" s="17" t="inlineStr">
        <is>
          <t>효과 단정 없이 행동 설명으로 유지. 개인별 적합성·문구 적합성 검토 필요</t>
        </is>
      </c>
      <c r="N96" s="15" t="n">
        <v>122</v>
      </c>
    </row>
    <row r="97">
      <c r="A97" s="15" t="inlineStr">
        <is>
          <t>DIET-P-0157</t>
        </is>
      </c>
      <c r="B97" s="15" t="inlineStr">
        <is>
          <t>1.0.0</t>
        </is>
      </c>
      <c r="C97" s="19" t="inlineStr">
        <is>
          <t>사용</t>
        </is>
      </c>
      <c r="D97" s="15" t="inlineStr">
        <is>
          <t>AXIS_STAGE</t>
        </is>
      </c>
      <c r="E97" s="15" t="inlineStr">
        <is>
          <t>DIET-Q-04</t>
        </is>
      </c>
      <c r="F97" s="15" t="inlineStr">
        <is>
          <t>BASE</t>
        </is>
      </c>
      <c r="G97" s="6" t="inlineStr">
        <is>
          <t>주말 저녁도 제때 먹기</t>
        </is>
      </c>
      <c r="H97" s="5" t="inlineStr">
        <is>
          <t>주말에도 평일처럼 제시간에 저녁을 드세요.</t>
        </is>
      </c>
      <c r="I97" s="17" t="inlineStr">
        <is>
          <t>주말 일정에 맞춰 저녁 식사 시각을 계획해요.</t>
        </is>
      </c>
      <c r="J97" s="15" t="n"/>
      <c r="K97" s="15" t="n"/>
      <c r="L97" s="15" t="inlineStr">
        <is>
          <t>WHO-DIET; NICE-ED</t>
        </is>
      </c>
      <c r="M97" s="20" t="inlineStr">
        <is>
          <t>근거 범위에 맞춰 이유 문장 수정</t>
        </is>
      </c>
      <c r="N97" s="15" t="n">
        <v>123</v>
      </c>
    </row>
    <row r="98">
      <c r="A98" s="15" t="inlineStr">
        <is>
          <t>DIET-P-0161</t>
        </is>
      </c>
      <c r="B98" s="15" t="inlineStr">
        <is>
          <t>1.0.0</t>
        </is>
      </c>
      <c r="C98" s="15" t="inlineStr">
        <is>
          <t>사용</t>
        </is>
      </c>
      <c r="D98" s="15" t="inlineStr">
        <is>
          <t>AXIS_STAGE</t>
        </is>
      </c>
      <c r="E98" s="15" t="inlineStr">
        <is>
          <t>DIET-Q-05</t>
        </is>
      </c>
      <c r="F98" s="15" t="inlineStr">
        <is>
          <t>INTRO</t>
        </is>
      </c>
      <c r="G98" s="6" t="inlineStr">
        <is>
          <t>명절 음식 먹을 만큼만</t>
        </is>
      </c>
      <c r="H98" s="5" t="inlineStr">
        <is>
          <t>명절 음식은 먹을 만큼만 접시에 먼저 덜어서 드세요.</t>
        </is>
      </c>
      <c r="I98" s="17" t="inlineStr">
        <is>
          <t>명절 음식도 먼저 먹을 만큼 덜어 두면 실제 먹는 양을 확인하기 쉬워요.</t>
        </is>
      </c>
      <c r="J98" s="15" t="inlineStr">
        <is>
          <t>REDUCE</t>
        </is>
      </c>
      <c r="K98" s="15" t="n"/>
      <c r="L98" s="15" t="inlineStr">
        <is>
          <t>WHO-DIET; NIDDK-HYPO; NICE-ED</t>
        </is>
      </c>
      <c r="M98" s="17" t="inlineStr">
        <is>
          <t>대한민국 명절 캘린더 날짜에만 자동 후보로 사용</t>
        </is>
      </c>
      <c r="N98" s="15" t="n">
        <v>125</v>
      </c>
    </row>
    <row r="99">
      <c r="A99" s="15" t="inlineStr">
        <is>
          <t>DIET-P-0165</t>
        </is>
      </c>
      <c r="B99" s="15" t="inlineStr">
        <is>
          <t>1.0.0</t>
        </is>
      </c>
      <c r="C99" s="15" t="inlineStr">
        <is>
          <t>사용</t>
        </is>
      </c>
      <c r="D99" s="15" t="inlineStr">
        <is>
          <t>AXIS_STAGE</t>
        </is>
      </c>
      <c r="E99" s="15" t="inlineStr">
        <is>
          <t>DIET-Q-06</t>
        </is>
      </c>
      <c r="F99" s="15" t="inlineStr">
        <is>
          <t>INTRO</t>
        </is>
      </c>
      <c r="G99" s="15" t="inlineStr">
        <is>
          <t>저녁에 두부 한 가지</t>
        </is>
      </c>
      <c r="H99" s="17" t="inlineStr">
        <is>
          <t>오늘 저녁에 두부 반찬을 한 가지 곁들여 드세요.</t>
        </is>
      </c>
      <c r="I99" s="17" t="inlineStr">
        <is>
          <t>데우기만 하면 되는 단백질 반찬이에요.</t>
        </is>
      </c>
      <c r="J99" s="15" t="inlineStr">
        <is>
          <t>INCREASE</t>
        </is>
      </c>
      <c r="K99" s="15" t="n"/>
      <c r="L99" s="15" t="inlineStr">
        <is>
          <t>WHO-DIET; NIDDK-CKD</t>
        </is>
      </c>
      <c r="M99" s="17" t="inlineStr">
        <is>
          <t>효과 단정 없이 행동 설명으로 유지. 개인별 적합성·문구 적합성 검토 필요</t>
        </is>
      </c>
      <c r="N99" s="15" t="n">
        <v>127</v>
      </c>
    </row>
    <row r="100">
      <c r="A100" s="15" t="inlineStr">
        <is>
          <t>DIET-P-0169</t>
        </is>
      </c>
      <c r="B100" s="15" t="inlineStr">
        <is>
          <t>1.0.0</t>
        </is>
      </c>
      <c r="C100" s="15" t="inlineStr">
        <is>
          <t>사용</t>
        </is>
      </c>
      <c r="D100" s="15" t="inlineStr">
        <is>
          <t>AXIS_STAGE</t>
        </is>
      </c>
      <c r="E100" s="15" t="inlineStr">
        <is>
          <t>DIET-Q-06</t>
        </is>
      </c>
      <c r="F100" s="15" t="inlineStr">
        <is>
          <t>CHALLENGE</t>
        </is>
      </c>
      <c r="G100" s="15" t="inlineStr">
        <is>
          <t>아침 단백질까지 챙기기</t>
        </is>
      </c>
      <c r="H100" s="17" t="inlineStr">
        <is>
          <t>아침에도 달걀·두부·우유 같은 단백질 식품을 함께 드세요.</t>
        </is>
      </c>
      <c r="I100" s="17" t="inlineStr">
        <is>
          <t>아침 식사의 단백질 식품 구성을 살펴봐요.</t>
        </is>
      </c>
      <c r="J100" s="15" t="inlineStr">
        <is>
          <t>INCREASE</t>
        </is>
      </c>
      <c r="K100" s="15" t="n"/>
      <c r="L100" s="15" t="inlineStr">
        <is>
          <t>WHO-DIET; NIDDK-CKD</t>
        </is>
      </c>
      <c r="M100" s="17" t="inlineStr">
        <is>
          <t>근거 범위에 맞춰 이유 문장 수정</t>
        </is>
      </c>
      <c r="N100" s="15" t="n">
        <v>131</v>
      </c>
    </row>
    <row r="101">
      <c r="A101" s="15" t="inlineStr">
        <is>
          <t>DIET-P-0172</t>
        </is>
      </c>
      <c r="B101" s="15" t="inlineStr">
        <is>
          <t>1.0.0</t>
        </is>
      </c>
      <c r="C101" s="15" t="inlineStr">
        <is>
          <t>사용</t>
        </is>
      </c>
      <c r="D101" s="15" t="inlineStr">
        <is>
          <t>AXIS_STAGE</t>
        </is>
      </c>
      <c r="E101" s="15" t="inlineStr">
        <is>
          <t>DIET-Q-07</t>
        </is>
      </c>
      <c r="F101" s="15" t="inlineStr">
        <is>
          <t>BASE</t>
        </is>
      </c>
      <c r="G101" s="6" t="inlineStr">
        <is>
          <t>기름 없이 굽기</t>
        </is>
      </c>
      <c r="H101" s="5" t="inlineStr">
        <is>
          <t>굽는 요리를 할 때 기름을 두르지 않거나 아주 조금만 쓰세요.</t>
        </is>
      </c>
      <c r="I101" s="17" t="inlineStr">
        <is>
          <t>조리 중 추가하는 기름 양을 살펴봐요.</t>
        </is>
      </c>
      <c r="J101" s="15" t="n"/>
      <c r="K101" s="15" t="n"/>
      <c r="L101" s="15" t="inlineStr">
        <is>
          <t>WHO-DIET</t>
        </is>
      </c>
      <c r="M101" s="17" t="inlineStr">
        <is>
          <t>근거 범위에 맞춰 이유 문장 수정</t>
        </is>
      </c>
      <c r="N101" s="15" t="n">
        <v>134</v>
      </c>
    </row>
    <row r="102">
      <c r="A102" s="15" t="inlineStr">
        <is>
          <t>DIET-P-0173</t>
        </is>
      </c>
      <c r="B102" s="15" t="inlineStr">
        <is>
          <t>1.0.0</t>
        </is>
      </c>
      <c r="C102" s="15" t="inlineStr">
        <is>
          <t>사용</t>
        </is>
      </c>
      <c r="D102" s="15" t="inlineStr">
        <is>
          <t>AXIS_STAGE</t>
        </is>
      </c>
      <c r="E102" s="15" t="inlineStr">
        <is>
          <t>DIET-Q-07</t>
        </is>
      </c>
      <c r="F102" s="15" t="inlineStr">
        <is>
          <t>BASE</t>
        </is>
      </c>
      <c r="G102" s="6" t="inlineStr">
        <is>
          <t>전 · 튀김은 한 접시</t>
        </is>
      </c>
      <c r="H102" s="5" t="inlineStr">
        <is>
          <t>명절에 전이나 튀김은 한 접시만 덜어 드세요.</t>
        </is>
      </c>
      <c r="I102" s="17" t="inlineStr">
        <is>
          <t>명절 음식의 양과 조리법을 살펴봐요.</t>
        </is>
      </c>
      <c r="J102" s="15" t="inlineStr">
        <is>
          <t>REDUCE</t>
        </is>
      </c>
      <c r="K102" s="15" t="n"/>
      <c r="L102" s="15" t="inlineStr">
        <is>
          <t>WHO-DIET</t>
        </is>
      </c>
      <c r="M102" s="17" t="inlineStr">
        <is>
          <t>근거 범위에 맞춰 이유 문장 수정</t>
        </is>
      </c>
      <c r="N102" s="15" t="n">
        <v>135</v>
      </c>
    </row>
    <row r="103">
      <c r="A103" s="15" t="inlineStr">
        <is>
          <t>DIET-P-0180</t>
        </is>
      </c>
      <c r="B103" s="15" t="inlineStr">
        <is>
          <t>1.0.0</t>
        </is>
      </c>
      <c r="C103" s="15" t="inlineStr">
        <is>
          <t>사용</t>
        </is>
      </c>
      <c r="D103" s="15" t="inlineStr">
        <is>
          <t>RECOVERY</t>
        </is>
      </c>
      <c r="E103" s="15" t="n"/>
      <c r="F103" s="15" t="n"/>
      <c r="G103" s="6" t="inlineStr">
        <is>
          <t>편한 음식으로 한 끼</t>
        </is>
      </c>
      <c r="H103" s="5" t="inlineStr">
        <is>
          <t>오늘은 먹기 편한 음식으로 한 끼를 드시되, 너무 짜지 않게 드세요.</t>
        </is>
      </c>
      <c r="I103" s="17" t="inlineStr">
        <is>
          <t>먹기 편한 음식을 고르되 염분과 전체 식사 구성을 함께 봐요.</t>
        </is>
      </c>
      <c r="J103" s="15" t="inlineStr">
        <is>
          <t>INCREASE</t>
        </is>
      </c>
      <c r="K103" s="15" t="n"/>
      <c r="L103" s="15" t="inlineStr">
        <is>
          <t>WHO-DIET</t>
        </is>
      </c>
      <c r="M103" s="17" t="inlineStr">
        <is>
          <t>행동 문구 수정; 근거 범위에 맞춰 이유 문장 수정</t>
        </is>
      </c>
      <c r="N103" s="15" t="n">
        <v>137</v>
      </c>
    </row>
    <row r="104">
      <c r="A104" s="15" t="inlineStr">
        <is>
          <t>DIET-P-0181</t>
        </is>
      </c>
      <c r="B104" s="15" t="inlineStr">
        <is>
          <t>1.0.0</t>
        </is>
      </c>
      <c r="C104" s="15" t="inlineStr">
        <is>
          <t>사용</t>
        </is>
      </c>
      <c r="D104" s="15" t="inlineStr">
        <is>
          <t>RECOVERY</t>
        </is>
      </c>
      <c r="E104" s="15" t="n"/>
      <c r="F104" s="15" t="n"/>
      <c r="G104" s="6" t="inlineStr">
        <is>
          <t>먹을 수 있는 것 먹기</t>
        </is>
      </c>
      <c r="H104" s="5" t="inlineStr">
        <is>
          <t>입맛이 없더라도 먹을 수 있는 음식부터 조금씩 드세요.</t>
        </is>
      </c>
      <c r="I104" s="17" t="inlineStr">
        <is>
          <t>먹을 수 있는 음식부터 식사를 시작해 봐요.</t>
        </is>
      </c>
      <c r="J104" s="15" t="inlineStr">
        <is>
          <t>INCREASE</t>
        </is>
      </c>
      <c r="K104" s="15" t="n"/>
      <c r="L104" s="15" t="inlineStr">
        <is>
          <t>WHO-DIET</t>
        </is>
      </c>
      <c r="M104" s="17" t="inlineStr">
        <is>
          <t>행동 문구 수정; 근거 범위에 맞춰 이유 문장 수정</t>
        </is>
      </c>
      <c r="N104" s="15" t="n">
        <v>138</v>
      </c>
    </row>
    <row r="105">
      <c r="A105" s="15" t="inlineStr">
        <is>
          <t>DIET-P-0182</t>
        </is>
      </c>
      <c r="B105" s="15" t="inlineStr">
        <is>
          <t>1.0.0</t>
        </is>
      </c>
      <c r="C105" s="15" t="inlineStr">
        <is>
          <t>사용</t>
        </is>
      </c>
      <c r="D105" s="15" t="inlineStr">
        <is>
          <t>LOW_BURDEN</t>
        </is>
      </c>
      <c r="E105" s="15" t="n"/>
      <c r="F105" s="15" t="n"/>
      <c r="G105" s="6" t="inlineStr">
        <is>
          <t>저녁에 익힌 채소 하나</t>
        </is>
      </c>
      <c r="H105" s="5" t="inlineStr">
        <is>
          <t>저녁에 데치거나 익힌 채소 반찬을 한 가지 곁들여 드세요.</t>
        </is>
      </c>
      <c r="I105" s="17" t="inlineStr">
        <is>
          <t>채소만으로 한 끼가 충분하다고 판단하지 않아요.</t>
        </is>
      </c>
      <c r="J105" s="15" t="inlineStr">
        <is>
          <t>INCREASE</t>
        </is>
      </c>
      <c r="K105" s="15" t="n"/>
      <c r="L105" s="15" t="inlineStr">
        <is>
          <t>WHO-DIET; NIDDK-CKD</t>
        </is>
      </c>
      <c r="M105" s="17" t="inlineStr">
        <is>
          <t>행동 문구 수정; 근거 범위에 맞춰 이유 문장 수정</t>
        </is>
      </c>
      <c r="N105" s="15" t="n">
        <v>139</v>
      </c>
    </row>
    <row r="106">
      <c r="A106" s="15" t="inlineStr">
        <is>
          <t>DIET-P-0183</t>
        </is>
      </c>
      <c r="B106" s="15" t="inlineStr">
        <is>
          <t>1.0.0</t>
        </is>
      </c>
      <c r="C106" s="15" t="inlineStr">
        <is>
          <t>사용</t>
        </is>
      </c>
      <c r="D106" s="15" t="inlineStr">
        <is>
          <t>LOW_BURDEN</t>
        </is>
      </c>
      <c r="E106" s="15" t="n"/>
      <c r="F106" s="15" t="n"/>
      <c r="G106" s="6" t="inlineStr">
        <is>
          <t>늦은 저녁 국물 줄이기</t>
        </is>
      </c>
      <c r="H106" s="5" t="inlineStr">
        <is>
          <t>저녁을 늦게 먹는다면 국이나 찌개 국물은 조금만 드세요.</t>
        </is>
      </c>
      <c r="I106" s="17" t="inlineStr">
        <is>
          <t>늦은 식사의 국물 양을 살펴봐요. 증상 개선을 보장하지 않아요.</t>
        </is>
      </c>
      <c r="J106" s="15" t="inlineStr">
        <is>
          <t>REDUCE</t>
        </is>
      </c>
      <c r="K106" s="15" t="n"/>
      <c r="L106" s="15" t="inlineStr">
        <is>
          <t>WHO-DIET; AHA-HF; NIDDK-HYPO</t>
        </is>
      </c>
      <c r="M106" s="17" t="inlineStr">
        <is>
          <t>근거 범위에 맞춰 이유 문장 수정</t>
        </is>
      </c>
      <c r="N106" s="15" t="n">
        <v>140</v>
      </c>
    </row>
    <row r="107">
      <c r="A107" s="15" t="inlineStr">
        <is>
          <t>DIET-P-0198</t>
        </is>
      </c>
      <c r="B107" s="15" t="inlineStr">
        <is>
          <t>1.0.0</t>
        </is>
      </c>
      <c r="C107" s="15" t="inlineStr">
        <is>
          <t>사용</t>
        </is>
      </c>
      <c r="D107" s="15" t="inlineStr">
        <is>
          <t>AXIS_STAGE</t>
        </is>
      </c>
      <c r="E107" s="15" t="inlineStr">
        <is>
          <t>DIET-Q-04</t>
        </is>
      </c>
      <c r="F107" s="15" t="inlineStr">
        <is>
          <t>CHALLENGE</t>
        </is>
      </c>
      <c r="G107" s="6" t="inlineStr">
        <is>
          <t>저녁 30분 당기기</t>
        </is>
      </c>
      <c r="H107" s="5" t="inlineStr">
        <is>
          <t>오늘 저녁은 평소보다 30분 일찍 드세요.</t>
        </is>
      </c>
      <c r="I107" s="17" t="inlineStr">
        <is>
          <t>조금씩 당기면 무리 없이 바뀌어요.</t>
        </is>
      </c>
      <c r="J107" s="15" t="inlineStr">
        <is>
          <t>FAST</t>
        </is>
      </c>
      <c r="K107" s="15" t="n"/>
      <c r="L107" s="15" t="inlineStr">
        <is>
          <t>WHO-DIET; NICE-ED</t>
        </is>
      </c>
      <c r="M107" s="17" t="inlineStr">
        <is>
          <t>효과 단정 없이 행동 설명으로 유지. 개인별 적합성·문구 적합성 검토 필요</t>
        </is>
      </c>
      <c r="N107" s="15" t="n">
        <v>141</v>
      </c>
    </row>
    <row r="108">
      <c r="A108" s="15" t="inlineStr">
        <is>
          <t>DIET-P-0199</t>
        </is>
      </c>
      <c r="B108" s="15" t="inlineStr">
        <is>
          <t>1.0.0</t>
        </is>
      </c>
      <c r="C108" s="15" t="inlineStr">
        <is>
          <t>사용</t>
        </is>
      </c>
      <c r="D108" s="15" t="inlineStr">
        <is>
          <t>AXIS_STAGE</t>
        </is>
      </c>
      <c r="E108" s="15" t="inlineStr">
        <is>
          <t>DIET-Q-04</t>
        </is>
      </c>
      <c r="F108" s="15" t="inlineStr">
        <is>
          <t>CHALLENGE</t>
        </is>
      </c>
      <c r="G108" s="6" t="inlineStr">
        <is>
          <t>약속 날도 제때 먹기</t>
        </is>
      </c>
      <c r="H108" s="5" t="inlineStr">
        <is>
          <t>약속이 있는 날에도 끼니를 거르거나 너무 늦어지지 않게 드세요.</t>
        </is>
      </c>
      <c r="I108" s="17" t="inlineStr">
        <is>
          <t>약속이 있는 날이 가장 어려운 날이에요.</t>
        </is>
      </c>
      <c r="J108" s="15" t="n"/>
      <c r="K108" s="15" t="n"/>
      <c r="L108" s="15" t="inlineStr">
        <is>
          <t>WHO-DIET; NICE-ED</t>
        </is>
      </c>
      <c r="M108" s="17" t="inlineStr">
        <is>
          <t>효과 단정 없이 행동 설명으로 유지. 개인별 적합성·문구 적합성 검토 필요</t>
        </is>
      </c>
      <c r="N108" s="15" t="n">
        <v>142</v>
      </c>
    </row>
    <row r="109">
      <c r="A109" s="15" t="inlineStr">
        <is>
          <t>DIET-P-0200</t>
        </is>
      </c>
      <c r="B109" s="15" t="inlineStr">
        <is>
          <t>1.0.0</t>
        </is>
      </c>
      <c r="C109" s="15" t="inlineStr">
        <is>
          <t>사용</t>
        </is>
      </c>
      <c r="D109" s="15" t="inlineStr">
        <is>
          <t>AXIS_STAGE</t>
        </is>
      </c>
      <c r="E109" s="15" t="inlineStr">
        <is>
          <t>DIET-Q-06</t>
        </is>
      </c>
      <c r="F109" s="15" t="inlineStr">
        <is>
          <t>CHALLENGE</t>
        </is>
      </c>
      <c r="G109" s="15" t="inlineStr">
        <is>
          <t>간식도 단백질로 챙기기</t>
        </is>
      </c>
      <c r="H109" s="17" t="inlineStr">
        <is>
          <t>간식을 먹을 땐 달걀·우유·두유처럼 단백질이 든 것으로 고르세요.</t>
        </is>
      </c>
      <c r="I109" s="17" t="inlineStr">
        <is>
          <t>간식의 단백질 식품 구성을 살펴봐요.</t>
        </is>
      </c>
      <c r="J109" s="15" t="inlineStr">
        <is>
          <t>INCREASE</t>
        </is>
      </c>
      <c r="K109" s="15" t="n"/>
      <c r="L109" s="15" t="inlineStr">
        <is>
          <t>WHO-DIET; NIDDK-CKD</t>
        </is>
      </c>
      <c r="M109" s="17" t="inlineStr">
        <is>
          <t>근거 범위에 맞춰 이유 문장 수정</t>
        </is>
      </c>
      <c r="N109" s="15" t="n">
        <v>143</v>
      </c>
    </row>
    <row r="110">
      <c r="A110" s="15" t="inlineStr">
        <is>
          <t>DIET-P-0201</t>
        </is>
      </c>
      <c r="B110" s="15" t="inlineStr">
        <is>
          <t>1.0.0</t>
        </is>
      </c>
      <c r="C110" s="15" t="inlineStr">
        <is>
          <t>사용</t>
        </is>
      </c>
      <c r="D110" s="15" t="inlineStr">
        <is>
          <t>AXIS_STAGE</t>
        </is>
      </c>
      <c r="E110" s="15" t="inlineStr">
        <is>
          <t>DIET-Q-06</t>
        </is>
      </c>
      <c r="F110" s="15" t="inlineStr">
        <is>
          <t>CHALLENGE</t>
        </is>
      </c>
      <c r="G110" s="15" t="inlineStr">
        <is>
          <t>붉은 고기 없는 하루</t>
        </is>
      </c>
      <c r="H110" s="17" t="inlineStr">
        <is>
          <t>오늘은 소고기·돼지고기 대신 생선·닭고기·두부로 단백질을 드세요.</t>
        </is>
      </c>
      <c r="I110" s="17" t="inlineStr">
        <is>
          <t>다양한 단백질 식품을 고르되 개인 영양 필요를 고려해요.</t>
        </is>
      </c>
      <c r="J110" s="15" t="inlineStr">
        <is>
          <t>FAST</t>
        </is>
      </c>
      <c r="K110" s="15" t="n"/>
      <c r="L110" s="15" t="inlineStr">
        <is>
          <t>WHO-DIET; NIDDK-CKD</t>
        </is>
      </c>
      <c r="M110" s="17" t="inlineStr">
        <is>
          <t>근거 범위에 맞춰 이유 문장 수정</t>
        </is>
      </c>
      <c r="N110" s="15" t="n">
        <v>144</v>
      </c>
    </row>
    <row r="111">
      <c r="A111" s="15" t="inlineStr">
        <is>
          <t>DIET-P-0202</t>
        </is>
      </c>
      <c r="B111" s="15" t="inlineStr">
        <is>
          <t>1.0.0</t>
        </is>
      </c>
      <c r="C111" s="15" t="inlineStr">
        <is>
          <t>사용</t>
        </is>
      </c>
      <c r="D111" s="15" t="inlineStr">
        <is>
          <t>AXIS_STAGE</t>
        </is>
      </c>
      <c r="E111" s="15" t="inlineStr">
        <is>
          <t>DIET-Q-07</t>
        </is>
      </c>
      <c r="F111" s="15" t="inlineStr">
        <is>
          <t>CHALLENGE</t>
        </is>
      </c>
      <c r="G111" s="6" t="inlineStr">
        <is>
          <t>튀김 대신 굽거나 찌기</t>
        </is>
      </c>
      <c r="H111" s="5" t="inlineStr">
        <is>
          <t>음식을 튀기는 대신 굽거나 쪄서 드세요.</t>
        </is>
      </c>
      <c r="I111" s="17" t="inlineStr">
        <is>
          <t>조리법만 바꿔도 기름이 크게 줄어요.</t>
        </is>
      </c>
      <c r="J111" s="15" t="inlineStr">
        <is>
          <t>TEXTURE</t>
        </is>
      </c>
      <c r="K111" s="15" t="n"/>
      <c r="L111" s="15" t="inlineStr">
        <is>
          <t>WHO-DIET</t>
        </is>
      </c>
      <c r="M111" s="17" t="inlineStr">
        <is>
          <t>효과 단정 없이 행동 설명으로 유지. 개인별 적합성·문구 적합성 검토 필요</t>
        </is>
      </c>
      <c r="N111" s="15" t="n">
        <v>145</v>
      </c>
    </row>
    <row r="112">
      <c r="A112" s="15" t="inlineStr">
        <is>
          <t>DIET-P-0204</t>
        </is>
      </c>
      <c r="B112" s="15" t="inlineStr">
        <is>
          <t>1.0.0</t>
        </is>
      </c>
      <c r="C112" s="15" t="inlineStr">
        <is>
          <t>사용</t>
        </is>
      </c>
      <c r="D112" s="15" t="inlineStr">
        <is>
          <t>AXIS_STAGE</t>
        </is>
      </c>
      <c r="E112" s="15" t="inlineStr">
        <is>
          <t>DIET-Q-00</t>
        </is>
      </c>
      <c r="F112" s="15" t="inlineStr">
        <is>
          <t>INTRO</t>
        </is>
      </c>
      <c r="G112" s="6" t="inlineStr">
        <is>
          <t>혼자여도 상 차려 먹기</t>
        </is>
      </c>
      <c r="H112" s="5" t="inlineStr">
        <is>
          <t>혼자 먹더라도 대충 때우지 말고 상을 차려서 드세요.</t>
        </is>
      </c>
      <c r="I112" s="17" t="inlineStr">
        <is>
          <t>식사를 준비해 먹는 행동이에요.</t>
        </is>
      </c>
      <c r="J112" s="15" t="n"/>
      <c r="K112" s="15" t="n"/>
      <c r="L112" s="15" t="inlineStr">
        <is>
          <t>WHO-DIET; AHA-HF</t>
        </is>
      </c>
      <c r="M112" s="17" t="inlineStr">
        <is>
          <t>근거 범위에 맞춰 이유 문장 수정</t>
        </is>
      </c>
      <c r="N112" s="15" t="n">
        <v>146</v>
      </c>
    </row>
    <row r="113">
      <c r="A113" s="15" t="inlineStr">
        <is>
          <t>DIET-P-0205</t>
        </is>
      </c>
      <c r="B113" s="15" t="inlineStr">
        <is>
          <t>1.0.0</t>
        </is>
      </c>
      <c r="C113" s="15" t="inlineStr">
        <is>
          <t>사용</t>
        </is>
      </c>
      <c r="D113" s="15" t="inlineStr">
        <is>
          <t>AXIS_STAGE</t>
        </is>
      </c>
      <c r="E113" s="15" t="inlineStr">
        <is>
          <t>DIET-Q-05</t>
        </is>
      </c>
      <c r="F113" s="15" t="inlineStr">
        <is>
          <t>INTRO</t>
        </is>
      </c>
      <c r="G113" s="6" t="inlineStr">
        <is>
          <t>혼밥도 그릇에 덜기</t>
        </is>
      </c>
      <c r="H113" s="5" t="inlineStr">
        <is>
          <t>혼자 먹을 때도 봉지째 먹지 말고 그릇에 덜어 드세요.</t>
        </is>
      </c>
      <c r="I113" s="17" t="inlineStr">
        <is>
          <t>봉지째 먹으면 양을 놓쳐요.</t>
        </is>
      </c>
      <c r="J113" s="15" t="inlineStr">
        <is>
          <t>REDUCE</t>
        </is>
      </c>
      <c r="K113" s="15" t="n"/>
      <c r="L113" s="15" t="inlineStr">
        <is>
          <t>WHO-DIET; NIDDK-HYPO; NICE-ED</t>
        </is>
      </c>
      <c r="M113" s="17" t="inlineStr">
        <is>
          <t>효과 단정 없이 행동 설명으로 유지. 개인별 적합성·문구 적합성 검토 필요</t>
        </is>
      </c>
      <c r="N113" s="15" t="n">
        <v>147</v>
      </c>
    </row>
    <row r="114">
      <c r="A114" s="15" t="inlineStr">
        <is>
          <t>DIET-P-0206</t>
        </is>
      </c>
      <c r="B114" s="15" t="inlineStr">
        <is>
          <t>1.0.0</t>
        </is>
      </c>
      <c r="C114" s="15" t="inlineStr">
        <is>
          <t>사용</t>
        </is>
      </c>
      <c r="D114" s="15" t="inlineStr">
        <is>
          <t>AXIS_STAGE</t>
        </is>
      </c>
      <c r="E114" s="15" t="inlineStr">
        <is>
          <t>DIET-Q-01</t>
        </is>
      </c>
      <c r="F114" s="15" t="inlineStr">
        <is>
          <t>INTRO</t>
        </is>
      </c>
      <c r="G114" s="15" t="inlineStr">
        <is>
          <t>혼밥에도 채소 한 가지</t>
        </is>
      </c>
      <c r="H114" s="17" t="inlineStr">
        <is>
          <t>혼자 먹을 때도 채소 반찬을 한 가지 곁들여 드세요.</t>
        </is>
      </c>
      <c r="I114" s="17" t="inlineStr">
        <is>
          <t>혼자 먹을 때도 채소 반찬을 준비해 봐요.</t>
        </is>
      </c>
      <c r="J114" s="15" t="inlineStr">
        <is>
          <t>INCREASE</t>
        </is>
      </c>
      <c r="K114" s="15" t="n"/>
      <c r="L114" s="15" t="inlineStr">
        <is>
          <t>WHO-DIET; NIDDK-CKD</t>
        </is>
      </c>
      <c r="M114" s="17" t="inlineStr">
        <is>
          <t>근거 범위에 맞춰 이유 문장 수정</t>
        </is>
      </c>
      <c r="N114" s="15" t="n">
        <v>148</v>
      </c>
    </row>
    <row r="115">
      <c r="A115" s="15" t="inlineStr">
        <is>
          <t>DIET-P-0207</t>
        </is>
      </c>
      <c r="B115" s="15" t="inlineStr">
        <is>
          <t>1.0.0</t>
        </is>
      </c>
      <c r="C115" s="15" t="inlineStr">
        <is>
          <t>사용</t>
        </is>
      </c>
      <c r="D115" s="15" t="inlineStr">
        <is>
          <t>AXIS_STAGE</t>
        </is>
      </c>
      <c r="E115" s="15" t="inlineStr">
        <is>
          <t>DIET-Q-06</t>
        </is>
      </c>
      <c r="F115" s="15" t="inlineStr">
        <is>
          <t>INTRO</t>
        </is>
      </c>
      <c r="G115" s="6" t="inlineStr">
        <is>
          <t>혼밥에도 단백질 챙기기</t>
        </is>
      </c>
      <c r="H115" s="5" t="inlineStr">
        <is>
          <t>혼자 간단히 먹을 때도 달걀·두부 같은 단백질 식품을 곁들이세요.</t>
        </is>
      </c>
      <c r="I115" s="17" t="inlineStr">
        <is>
          <t>간단한 식사에도 단백질 식품이 있는지 확인해요.</t>
        </is>
      </c>
      <c r="J115" s="15" t="inlineStr">
        <is>
          <t>INCREASE</t>
        </is>
      </c>
      <c r="K115" s="15" t="n"/>
      <c r="L115" s="15" t="inlineStr">
        <is>
          <t>WHO-DIET; NIDDK-CKD</t>
        </is>
      </c>
      <c r="M115" s="17" t="inlineStr">
        <is>
          <t>근거 범위에 맞춰 이유 문장 수정</t>
        </is>
      </c>
      <c r="N115" s="15" t="n">
        <v>149</v>
      </c>
    </row>
    <row r="116">
      <c r="A116" s="15" t="inlineStr">
        <is>
          <t>DIET-P-0208</t>
        </is>
      </c>
      <c r="B116" s="15" t="inlineStr">
        <is>
          <t>1.0.0</t>
        </is>
      </c>
      <c r="C116" s="15" t="inlineStr">
        <is>
          <t>사용</t>
        </is>
      </c>
      <c r="D116" s="15" t="inlineStr">
        <is>
          <t>AXIS_STAGE</t>
        </is>
      </c>
      <c r="E116" s="15" t="inlineStr">
        <is>
          <t>DIET-Q-01</t>
        </is>
      </c>
      <c r="F116" s="15" t="inlineStr">
        <is>
          <t>INTRO</t>
        </is>
      </c>
      <c r="G116" s="15" t="inlineStr">
        <is>
          <t>도시락에 채소 한 칸</t>
        </is>
      </c>
      <c r="H116" s="17" t="inlineStr">
        <is>
          <t>도시락을 쌀 때 한 칸은 채소 반찬으로 채우세요.</t>
        </is>
      </c>
      <c r="I116" s="17" t="inlineStr">
        <is>
          <t>미리 담아 두면 그날 채소가 확보돼요.</t>
        </is>
      </c>
      <c r="J116" s="15" t="inlineStr">
        <is>
          <t>INCREASE</t>
        </is>
      </c>
      <c r="K116" s="15" t="n"/>
      <c r="L116" s="15" t="inlineStr">
        <is>
          <t>WHO-DIET; NIDDK-CKD</t>
        </is>
      </c>
      <c r="M116" s="17" t="inlineStr">
        <is>
          <t>효과 단정 없이 행동 설명으로 유지. 개인별 적합성·문구 적합성 검토 필요</t>
        </is>
      </c>
      <c r="N116" s="15" t="n">
        <v>150</v>
      </c>
    </row>
    <row r="117">
      <c r="A117" s="15" t="inlineStr">
        <is>
          <t>DIET-P-0209</t>
        </is>
      </c>
      <c r="B117" s="15" t="inlineStr">
        <is>
          <t>1.0.0</t>
        </is>
      </c>
      <c r="C117" s="15" t="inlineStr">
        <is>
          <t>사용</t>
        </is>
      </c>
      <c r="D117" s="15" t="inlineStr">
        <is>
          <t>AXIS_STAGE</t>
        </is>
      </c>
      <c r="E117" s="15" t="inlineStr">
        <is>
          <t>DIET-Q-06</t>
        </is>
      </c>
      <c r="F117" s="15" t="inlineStr">
        <is>
          <t>INTRO</t>
        </is>
      </c>
      <c r="G117" s="15" t="inlineStr">
        <is>
          <t>도시락에 달걀 하나</t>
        </is>
      </c>
      <c r="H117" s="17" t="inlineStr">
        <is>
          <t>도시락에 달걀 반찬을 하나 넣어 가세요.</t>
        </is>
      </c>
      <c r="I117" s="17" t="inlineStr">
        <is>
          <t>가장 손쉬운 단백질 한 가지예요.</t>
        </is>
      </c>
      <c r="J117" s="15" t="inlineStr">
        <is>
          <t>INCREASE</t>
        </is>
      </c>
      <c r="K117" s="15" t="n"/>
      <c r="L117" s="15" t="inlineStr">
        <is>
          <t>WHO-DIET; NIDDK-CKD</t>
        </is>
      </c>
      <c r="M117" s="17" t="inlineStr">
        <is>
          <t>효과 단정 없이 행동 설명으로 유지. 개인별 적합성·문구 적합성 검토 필요</t>
        </is>
      </c>
      <c r="N117" s="15" t="n">
        <v>151</v>
      </c>
    </row>
    <row r="118">
      <c r="A118" s="15" t="inlineStr">
        <is>
          <t>DIET-P-0210</t>
        </is>
      </c>
      <c r="B118" s="15" t="inlineStr">
        <is>
          <t>1.0.0</t>
        </is>
      </c>
      <c r="C118" s="15" t="inlineStr">
        <is>
          <t>사용</t>
        </is>
      </c>
      <c r="D118" s="15" t="inlineStr">
        <is>
          <t>AXIS_STAGE</t>
        </is>
      </c>
      <c r="E118" s="15" t="inlineStr">
        <is>
          <t>DIET-Q-03</t>
        </is>
      </c>
      <c r="F118" s="15" t="inlineStr">
        <is>
          <t>BASE</t>
        </is>
      </c>
      <c r="G118" s="15" t="inlineStr">
        <is>
          <t>도시락 국물은 빼기</t>
        </is>
      </c>
      <c r="H118" s="17" t="inlineStr">
        <is>
          <t>도시락을 쌀 때 국이나 국물 반찬은 빼고 싸세요.</t>
        </is>
      </c>
      <c r="I118" s="17" t="inlineStr">
        <is>
          <t>국물 섭취량을 줄여 보는 행동이에요.</t>
        </is>
      </c>
      <c r="J118" s="15" t="inlineStr">
        <is>
          <t>FAST</t>
        </is>
      </c>
      <c r="K118" s="15" t="n"/>
      <c r="L118" s="15" t="inlineStr">
        <is>
          <t>WHO-DIET; AHA-HF; NIDDK-HYPO</t>
        </is>
      </c>
      <c r="M118" s="17" t="inlineStr">
        <is>
          <t>근거 범위에 맞춰 이유 문장 수정</t>
        </is>
      </c>
      <c r="N118" s="15" t="n">
        <v>152</v>
      </c>
    </row>
    <row r="119">
      <c r="A119" s="15" t="inlineStr">
        <is>
          <t>DIET-P-0211</t>
        </is>
      </c>
      <c r="B119" s="15" t="inlineStr">
        <is>
          <t>1.0.0</t>
        </is>
      </c>
      <c r="C119" s="15" t="inlineStr">
        <is>
          <t>사용</t>
        </is>
      </c>
      <c r="D119" s="15" t="inlineStr">
        <is>
          <t>AXIS_STAGE</t>
        </is>
      </c>
      <c r="E119" s="15" t="inlineStr">
        <is>
          <t>DIET-Q-07</t>
        </is>
      </c>
      <c r="F119" s="15" t="inlineStr">
        <is>
          <t>BASE</t>
        </is>
      </c>
      <c r="G119" s="15" t="inlineStr">
        <is>
          <t>도시락 반찬은 구이로</t>
        </is>
      </c>
      <c r="H119" s="17" t="inlineStr">
        <is>
          <t>도시락 반찬은 튀김 대신 구이로 만들어 담으세요.</t>
        </is>
      </c>
      <c r="I119" s="17" t="inlineStr">
        <is>
          <t>도시락 반찬의 조리법을 바꿔 보는 행동이에요.</t>
        </is>
      </c>
      <c r="J119" s="15" t="inlineStr">
        <is>
          <t>TEXTURE</t>
        </is>
      </c>
      <c r="K119" s="15" t="n"/>
      <c r="L119" s="15" t="inlineStr">
        <is>
          <t>WHO-DIET</t>
        </is>
      </c>
      <c r="M119" s="17" t="inlineStr">
        <is>
          <t>근거 범위에 맞춰 이유 문장 수정</t>
        </is>
      </c>
      <c r="N119" s="15" t="n">
        <v>153</v>
      </c>
    </row>
    <row r="120">
      <c r="A120" s="15" t="inlineStr">
        <is>
          <t>DIET-P-0212</t>
        </is>
      </c>
      <c r="B120" s="15" t="inlineStr">
        <is>
          <t>1.0.0</t>
        </is>
      </c>
      <c r="C120" s="15" t="inlineStr">
        <is>
          <t>사용</t>
        </is>
      </c>
      <c r="D120" s="15" t="inlineStr">
        <is>
          <t>AXIS_STAGE</t>
        </is>
      </c>
      <c r="E120" s="15" t="inlineStr">
        <is>
          <t>DIET-Q-01</t>
        </is>
      </c>
      <c r="F120" s="15" t="inlineStr">
        <is>
          <t>BASE</t>
        </is>
      </c>
      <c r="G120" s="6" t="inlineStr">
        <is>
          <t>가족 반찬에 채소 하나</t>
        </is>
      </c>
      <c r="H120" s="5" t="inlineStr">
        <is>
          <t>가족과 함께 먹는 상에 채소 반찬을 한 가지 더 올려 보세요.</t>
        </is>
      </c>
      <c r="I120" s="17" t="inlineStr">
        <is>
          <t>함께 먹는 반찬이 늘면 나도 늘어요.</t>
        </is>
      </c>
      <c r="J120" s="15" t="inlineStr">
        <is>
          <t>INCREASE</t>
        </is>
      </c>
      <c r="K120" s="15" t="n"/>
      <c r="L120" s="15" t="inlineStr">
        <is>
          <t>WHO-DIET; NIDDK-CKD</t>
        </is>
      </c>
      <c r="M120" s="17" t="inlineStr">
        <is>
          <t>효과 단정 없이 행동 설명으로 유지. 개인별 적합성·문구 적합성 검토 필요</t>
        </is>
      </c>
      <c r="N120" s="15" t="n">
        <v>154</v>
      </c>
    </row>
    <row r="121">
      <c r="A121" s="15" t="inlineStr">
        <is>
          <t>DIET-P-0213</t>
        </is>
      </c>
      <c r="B121" s="15" t="inlineStr">
        <is>
          <t>1.0.0</t>
        </is>
      </c>
      <c r="C121" s="15" t="inlineStr">
        <is>
          <t>사용</t>
        </is>
      </c>
      <c r="D121" s="15" t="inlineStr">
        <is>
          <t>AXIS_STAGE</t>
        </is>
      </c>
      <c r="E121" s="15" t="inlineStr">
        <is>
          <t>DIET-Q-03</t>
        </is>
      </c>
      <c r="F121" s="15" t="inlineStr">
        <is>
          <t>BASE</t>
        </is>
      </c>
      <c r="G121" s="15" t="inlineStr">
        <is>
          <t>국은 각자 그릇에 덜기</t>
        </is>
      </c>
      <c r="H121" s="17" t="inlineStr">
        <is>
          <t>국은 냄비째 떠먹지 말고 각자 그릇에 덜어 드세요.</t>
        </is>
      </c>
      <c r="I121" s="17" t="inlineStr">
        <is>
          <t>각자 덜어 실제 먹는 양을 살펴봐요.</t>
        </is>
      </c>
      <c r="J121" s="15" t="inlineStr">
        <is>
          <t>REDUCE</t>
        </is>
      </c>
      <c r="K121" s="15" t="n"/>
      <c r="L121" s="15" t="inlineStr">
        <is>
          <t>WHO-DIET; NIDDK-HYPO</t>
        </is>
      </c>
      <c r="M121" s="17" t="inlineStr">
        <is>
          <t>근거 범위에 맞춰 이유 문장 수정</t>
        </is>
      </c>
      <c r="N121" s="15" t="n">
        <v>155</v>
      </c>
    </row>
    <row r="122">
      <c r="A122" s="15" t="inlineStr">
        <is>
          <t>DIET-P-0214</t>
        </is>
      </c>
      <c r="B122" s="15" t="inlineStr">
        <is>
          <t>1.0.0</t>
        </is>
      </c>
      <c r="C122" s="15" t="inlineStr">
        <is>
          <t>사용</t>
        </is>
      </c>
      <c r="D122" s="15" t="inlineStr">
        <is>
          <t>AXIS_STAGE</t>
        </is>
      </c>
      <c r="E122" s="15" t="inlineStr">
        <is>
          <t>DIET-Q-05</t>
        </is>
      </c>
      <c r="F122" s="15" t="inlineStr">
        <is>
          <t>BASE</t>
        </is>
      </c>
      <c r="G122" s="6" t="inlineStr">
        <is>
          <t>내 속도에 맞춰 먹기</t>
        </is>
      </c>
      <c r="H122" s="5" t="inlineStr">
        <is>
          <t>함께 먹더라도 남의 속도 말고 내가 편하게 씹고 삼키는 속도로 드세요.</t>
        </is>
      </c>
      <c r="I122" s="17" t="inlineStr">
        <is>
          <t>다른 사람보다 자신의 씹기·삼키기 속도에 맞춰요.</t>
        </is>
      </c>
      <c r="J122" s="15" t="n"/>
      <c r="K122" s="15" t="n"/>
      <c r="L122" s="15" t="inlineStr">
        <is>
          <t>WHO-DIET; NICE-ED</t>
        </is>
      </c>
      <c r="M122" s="17" t="inlineStr">
        <is>
          <t>행동 문구 수정; 근거 범위에 맞춰 이유 문장 수정</t>
        </is>
      </c>
      <c r="N122" s="15" t="n">
        <v>156</v>
      </c>
    </row>
    <row r="123">
      <c r="A123" s="15" t="inlineStr">
        <is>
          <t>DIET-P-0215</t>
        </is>
      </c>
      <c r="B123" s="15" t="inlineStr">
        <is>
          <t>1.0.0</t>
        </is>
      </c>
      <c r="C123" s="15" t="inlineStr">
        <is>
          <t>사용</t>
        </is>
      </c>
      <c r="D123" s="15" t="inlineStr">
        <is>
          <t>AXIS_STAGE</t>
        </is>
      </c>
      <c r="E123" s="15" t="inlineStr">
        <is>
          <t>DIET-Q-03</t>
        </is>
      </c>
      <c r="F123" s="15" t="inlineStr">
        <is>
          <t>INTRO</t>
        </is>
      </c>
      <c r="G123" s="15" t="inlineStr">
        <is>
          <t>면 국물은 반만</t>
        </is>
      </c>
      <c r="H123" s="17" t="inlineStr">
        <is>
          <t>면 요리를 먹을 때 국물은 절반만 드세요.</t>
        </is>
      </c>
      <c r="I123" s="17" t="inlineStr">
        <is>
          <t>면 국물의 섭취량을 줄여 봐요.</t>
        </is>
      </c>
      <c r="J123" s="15" t="inlineStr">
        <is>
          <t>REDUCE</t>
        </is>
      </c>
      <c r="K123" s="15" t="n"/>
      <c r="L123" s="15" t="inlineStr">
        <is>
          <t>WHO-DIET; AHA-HF; NIDDK-HYPO</t>
        </is>
      </c>
      <c r="M123" s="17" t="inlineStr">
        <is>
          <t>근거 범위에 맞춰 이유 문장 수정 · 10-19 특정 음식 이름을 음식 종류로</t>
        </is>
      </c>
      <c r="N123" s="15" t="n">
        <v>157</v>
      </c>
    </row>
    <row r="124">
      <c r="A124" s="15" t="inlineStr">
        <is>
          <t>DIET-P-0217</t>
        </is>
      </c>
      <c r="B124" s="15" t="inlineStr">
        <is>
          <t>1.0.0</t>
        </is>
      </c>
      <c r="C124" s="15" t="inlineStr">
        <is>
          <t>사용</t>
        </is>
      </c>
      <c r="D124" s="15" t="inlineStr">
        <is>
          <t>AXIS_STAGE</t>
        </is>
      </c>
      <c r="E124" s="15" t="inlineStr">
        <is>
          <t>DIET-Q-07</t>
        </is>
      </c>
      <c r="F124" s="15" t="inlineStr">
        <is>
          <t>INTRO</t>
        </is>
      </c>
      <c r="G124" s="6" t="inlineStr">
        <is>
          <t>국물 기름 걷어내기</t>
        </is>
      </c>
      <c r="H124" s="5" t="inlineStr">
        <is>
          <t>국이나 찌개 위에 뜬 기름을 숟가락으로 걷어 내고 드세요.</t>
        </is>
      </c>
      <c r="I124" s="17" t="inlineStr">
        <is>
          <t>떠 있는 기름만 걷어도 달라져요.</t>
        </is>
      </c>
      <c r="J124" s="15" t="n"/>
      <c r="K124" s="15" t="n"/>
      <c r="L124" s="15" t="inlineStr">
        <is>
          <t>WHO-DIET; AHA-HF</t>
        </is>
      </c>
      <c r="M124" s="17" t="inlineStr">
        <is>
          <t>효과 단정 없이 행동 설명으로 유지. 개인별 적합성·문구 적합성 검토 필요</t>
        </is>
      </c>
      <c r="N124" s="15" t="n">
        <v>158</v>
      </c>
    </row>
    <row r="125">
      <c r="A125" s="15" t="inlineStr">
        <is>
          <t>DIET-P-0218</t>
        </is>
      </c>
      <c r="B125" s="15" t="inlineStr">
        <is>
          <t>1.0.0</t>
        </is>
      </c>
      <c r="C125" s="15" t="inlineStr">
        <is>
          <t>사용</t>
        </is>
      </c>
      <c r="D125" s="15" t="inlineStr">
        <is>
          <t>AXIS_STAGE</t>
        </is>
      </c>
      <c r="E125" s="15" t="inlineStr">
        <is>
          <t>DIET-Q-02</t>
        </is>
      </c>
      <c r="F125" s="15" t="inlineStr">
        <is>
          <t>INTRO</t>
        </is>
      </c>
      <c r="G125" s="6" t="inlineStr">
        <is>
          <t>더운 날 물부터 마시기</t>
        </is>
      </c>
      <c r="H125" s="5" t="inlineStr">
        <is>
          <t>더운 날 목이 마르면 단 음료보다 물부터 마시세요.</t>
        </is>
      </c>
      <c r="I125" s="17" t="inlineStr">
        <is>
          <t>갈증이 있을 때 개인 수분 계획에 맞춰 마셔요.</t>
        </is>
      </c>
      <c r="J125" s="15" t="inlineStr">
        <is>
          <t>FLUID</t>
        </is>
      </c>
      <c r="K125" s="15" t="n"/>
      <c r="L125" s="15" t="inlineStr">
        <is>
          <t>WHO-DIET; AHA-HF</t>
        </is>
      </c>
      <c r="M125" s="17" t="inlineStr">
        <is>
          <t>근거 범위에 맞춰 이유 문장 수정</t>
        </is>
      </c>
      <c r="N125" s="15" t="n">
        <v>159</v>
      </c>
    </row>
    <row r="126">
      <c r="A126" s="15" t="inlineStr">
        <is>
          <t>DIET-P-0219</t>
        </is>
      </c>
      <c r="B126" s="15" t="inlineStr">
        <is>
          <t>1.0.0</t>
        </is>
      </c>
      <c r="C126" s="15" t="inlineStr">
        <is>
          <t>사용</t>
        </is>
      </c>
      <c r="D126" s="15" t="inlineStr">
        <is>
          <t>AXIS_STAGE</t>
        </is>
      </c>
      <c r="E126" s="15" t="inlineStr">
        <is>
          <t>DIET-Q-02</t>
        </is>
      </c>
      <c r="F126" s="15" t="inlineStr">
        <is>
          <t>INTRO</t>
        </is>
      </c>
      <c r="G126" s="15" t="inlineStr">
        <is>
          <t>식후 커피는 무가당으로</t>
        </is>
      </c>
      <c r="H126" s="17" t="inlineStr">
        <is>
          <t>식사 뒤 커피는 설탕이나 시럽을 넣지 않고 드세요.</t>
        </is>
      </c>
      <c r="I126" s="17" t="inlineStr">
        <is>
          <t>식후 음료에 첨가한 당을 확인해요.</t>
        </is>
      </c>
      <c r="J126" s="15" t="n"/>
      <c r="K126" s="15" t="n"/>
      <c r="L126" s="15" t="inlineStr">
        <is>
          <t>WHO-DIET; AHA-HF</t>
        </is>
      </c>
      <c r="M126" s="17" t="inlineStr">
        <is>
          <t>근거 범위에 맞춰 이유 문장 수정</t>
        </is>
      </c>
      <c r="N126" s="15" t="n">
        <v>160</v>
      </c>
    </row>
    <row r="127">
      <c r="A127" s="15" t="inlineStr">
        <is>
          <t>DIET-P-0220</t>
        </is>
      </c>
      <c r="B127" s="15" t="inlineStr">
        <is>
          <t>1.0.0</t>
        </is>
      </c>
      <c r="C127" s="15" t="inlineStr">
        <is>
          <t>사용</t>
        </is>
      </c>
      <c r="D127" s="15" t="inlineStr">
        <is>
          <t>AXIS_STAGE</t>
        </is>
      </c>
      <c r="E127" s="15" t="inlineStr">
        <is>
          <t>DIET-Q-02</t>
        </is>
      </c>
      <c r="F127" s="15" t="inlineStr">
        <is>
          <t>INTRO</t>
        </is>
      </c>
      <c r="G127" s="6" t="inlineStr">
        <is>
          <t>목마르면 물부터 마시기</t>
        </is>
      </c>
      <c r="H127" s="5" t="inlineStr">
        <is>
          <t>목이 마를 때는 단 음료 대신 물부터 마시세요.</t>
        </is>
      </c>
      <c r="I127" s="17" t="inlineStr">
        <is>
          <t>갈증과 배고픔을 같은 신호로 단정하지 않아요.</t>
        </is>
      </c>
      <c r="J127" s="15" t="inlineStr">
        <is>
          <t>FLUID</t>
        </is>
      </c>
      <c r="K127" s="15" t="n"/>
      <c r="L127" s="15" t="inlineStr">
        <is>
          <t>WHO-DIET; AHA-HF</t>
        </is>
      </c>
      <c r="M127" s="17" t="inlineStr">
        <is>
          <t>근거 범위에 맞춰 이유 문장 수정</t>
        </is>
      </c>
      <c r="N127" s="15" t="n">
        <v>161</v>
      </c>
    </row>
    <row r="128">
      <c r="A128" s="15" t="inlineStr">
        <is>
          <t>DIET-P-0222</t>
        </is>
      </c>
      <c r="B128" s="15" t="inlineStr">
        <is>
          <t>1.0.0</t>
        </is>
      </c>
      <c r="C128" s="15" t="inlineStr">
        <is>
          <t>사용</t>
        </is>
      </c>
      <c r="D128" s="15" t="inlineStr">
        <is>
          <t>RECOVERY</t>
        </is>
      </c>
      <c r="E128" s="15" t="n"/>
      <c r="F128" s="15" t="n"/>
      <c r="G128" s="15" t="inlineStr">
        <is>
          <t>조금씩 자주 나눠 먹기</t>
        </is>
      </c>
      <c r="H128" s="17" t="inlineStr">
        <is>
          <t>한 번에 많이 먹기 어렵다면 하루 식사를 조금씩 여러 번 나눠 드세요.</t>
        </is>
      </c>
      <c r="I128" s="17" t="inlineStr">
        <is>
          <t>적은 양도 먹기 어렵거나 섭취 부족이 이어지면 의료진과 상의해요.</t>
        </is>
      </c>
      <c r="J128" s="15" t="inlineStr">
        <is>
          <t>INCREASE</t>
        </is>
      </c>
      <c r="K128" s="15" t="n"/>
      <c r="L128" s="15" t="inlineStr">
        <is>
          <t>WHO-DIET; NIDDK-HYPO</t>
        </is>
      </c>
      <c r="M128" s="17" t="inlineStr">
        <is>
          <t>근거 범위에 맞춰 이유 문장 수정</t>
        </is>
      </c>
      <c r="N128" s="15" t="n">
        <v>162</v>
      </c>
    </row>
    <row r="129">
      <c r="A129" s="15" t="inlineStr">
        <is>
          <t>DIET-P-0224</t>
        </is>
      </c>
      <c r="B129" s="15" t="inlineStr">
        <is>
          <t>1.0.0</t>
        </is>
      </c>
      <c r="C129" s="15" t="inlineStr">
        <is>
          <t>사용</t>
        </is>
      </c>
      <c r="D129" s="15" t="inlineStr">
        <is>
          <t>LOW_BURDEN</t>
        </is>
      </c>
      <c r="E129" s="15" t="n"/>
      <c r="F129" s="15" t="n"/>
      <c r="G129" s="15" t="inlineStr">
        <is>
          <t>저녁은 익숙한 음식으로</t>
        </is>
      </c>
      <c r="H129" s="17" t="inlineStr">
        <is>
          <t>오늘 저녁은 평소 즐겨 먹던 익숙한 음식으로 드세요.</t>
        </is>
      </c>
      <c r="I129" s="17" t="inlineStr">
        <is>
          <t>먹을 수 있는 익숙한 식사를 준비해요.</t>
        </is>
      </c>
      <c r="J129" s="15" t="n"/>
      <c r="K129" s="15" t="n"/>
      <c r="L129" s="15" t="inlineStr">
        <is>
          <t>WHO-DIET</t>
        </is>
      </c>
      <c r="M129" s="17" t="inlineStr">
        <is>
          <t>근거 범위에 맞춰 이유 문장 수정</t>
        </is>
      </c>
      <c r="N129" s="15" t="n">
        <v>163</v>
      </c>
    </row>
    <row r="130">
      <c r="A130" s="15" t="inlineStr">
        <is>
          <t>DIET-P-0225</t>
        </is>
      </c>
      <c r="B130" s="15" t="inlineStr">
        <is>
          <t>1.0.0</t>
        </is>
      </c>
      <c r="C130" s="15" t="inlineStr">
        <is>
          <t>사용</t>
        </is>
      </c>
      <c r="D130" s="15" t="inlineStr">
        <is>
          <t>LOW_BURDEN</t>
        </is>
      </c>
      <c r="E130" s="15" t="n"/>
      <c r="F130" s="15" t="n"/>
      <c r="G130" s="6" t="inlineStr">
        <is>
          <t>저녁은 간단한 것으로</t>
        </is>
      </c>
      <c r="H130" s="5" t="inlineStr">
        <is>
          <t>오늘 저녁은 차리기 쉬운 간단한 음식으로 드세요.</t>
        </is>
      </c>
      <c r="I130" s="17" t="inlineStr">
        <is>
          <t>차리는 수고를 줄이는 것도 방법이에요.</t>
        </is>
      </c>
      <c r="J130" s="15" t="n"/>
      <c r="K130" s="15" t="n"/>
      <c r="L130" s="15" t="inlineStr">
        <is>
          <t>WHO-DIET; AHA-HF</t>
        </is>
      </c>
      <c r="M130" s="17" t="inlineStr">
        <is>
          <t>효과 단정 없이 행동 설명으로 유지. 개인별 적합성·문구 적합성 검토 필요</t>
        </is>
      </c>
      <c r="N130" s="15" t="n">
        <v>164</v>
      </c>
    </row>
    <row r="131" ht="25" customHeight="1">
      <c r="A131" s="15" t="inlineStr">
        <is>
          <t>DIET-P-0234</t>
        </is>
      </c>
      <c r="B131" s="15" t="inlineStr">
        <is>
          <t>1.0.0</t>
        </is>
      </c>
      <c r="C131" s="15" t="inlineStr">
        <is>
          <t>사용</t>
        </is>
      </c>
      <c r="D131" s="15" t="inlineStr">
        <is>
          <t>AXIS_STAGE</t>
        </is>
      </c>
      <c r="E131" s="15" t="inlineStr">
        <is>
          <t>DIET-Q-02</t>
        </is>
      </c>
      <c r="F131" s="15" t="inlineStr">
        <is>
          <t>CHALLENGE</t>
        </is>
      </c>
      <c r="G131" s="6" t="inlineStr">
        <is>
          <t>마신 음료 적어 보기</t>
        </is>
      </c>
      <c r="H131" s="5" t="inlineStr">
        <is>
          <t>오늘 마신 음료의 종류와 양을 적어 보세요.</t>
        </is>
      </c>
      <c r="I131" s="17" t="inlineStr">
        <is>
          <t>오늘 무엇을 얼마나 마셨는지 적어 두면 다음에 고를 때 눈에 들어와요.</t>
        </is>
      </c>
      <c r="J131" s="15" t="n"/>
      <c r="K131" s="15" t="n"/>
      <c r="L131" s="15" t="inlineStr">
        <is>
          <t>WHO 당류 지침 · 식생활지침 수칙 2</t>
        </is>
      </c>
      <c r="M131" s="17" t="inlineStr">
        <is>
          <t>감량·공복·증량 금지가 걸린 사용자에게 도전 단계 후보가 0이 되던 칸을 채우려고 추가. 성격은 비워 둔다</t>
        </is>
      </c>
      <c r="N131" s="15" t="n">
        <v>173</v>
      </c>
    </row>
    <row r="132" ht="25" customHeight="1">
      <c r="A132" s="15" t="inlineStr">
        <is>
          <t>DIET-P-0235</t>
        </is>
      </c>
      <c r="B132" s="15" t="inlineStr">
        <is>
          <t>1.0.0</t>
        </is>
      </c>
      <c r="C132" s="15" t="inlineStr">
        <is>
          <t>사용</t>
        </is>
      </c>
      <c r="D132" s="15" t="inlineStr">
        <is>
          <t>AXIS_STAGE</t>
        </is>
      </c>
      <c r="E132" s="15" t="inlineStr">
        <is>
          <t>DIET-Q-02</t>
        </is>
      </c>
      <c r="F132" s="15" t="inlineStr">
        <is>
          <t>CHALLENGE</t>
        </is>
      </c>
      <c r="G132" s="6" t="inlineStr">
        <is>
          <t>음료는 당류 표시 보기</t>
        </is>
      </c>
      <c r="H132" s="5" t="inlineStr">
        <is>
          <t>음료를 살 때 포장의 당류 표시를 보고 덜 단 것을 고르세요.</t>
        </is>
      </c>
      <c r="I132" s="17" t="inlineStr">
        <is>
          <t>같은 종류라도 제품마다 당이 크게 달라요.</t>
        </is>
      </c>
      <c r="J132" s="15" t="n"/>
      <c r="K132" s="15" t="n"/>
      <c r="L132" s="15" t="inlineStr">
        <is>
          <t>WHO 당류 지침 · 식생활지침 수칙 2</t>
        </is>
      </c>
      <c r="M132" s="17" t="inlineStr">
        <is>
          <t>감량·공복·증량 금지가 걸린 사용자에게 도전 단계 후보가 0이 되던 칸을 채우려고 추가. 성격은 비워 둔다</t>
        </is>
      </c>
      <c r="N132" s="15" t="n">
        <v>174</v>
      </c>
    </row>
    <row r="133" ht="25" customHeight="1">
      <c r="A133" s="15" t="inlineStr">
        <is>
          <t>DIET-P-0236</t>
        </is>
      </c>
      <c r="B133" s="15" t="inlineStr">
        <is>
          <t>1.0.0</t>
        </is>
      </c>
      <c r="C133" s="15" t="inlineStr">
        <is>
          <t>사용</t>
        </is>
      </c>
      <c r="D133" s="15" t="inlineStr">
        <is>
          <t>AXIS_STAGE</t>
        </is>
      </c>
      <c r="E133" s="15" t="inlineStr">
        <is>
          <t>DIET-Q-02</t>
        </is>
      </c>
      <c r="F133" s="15" t="inlineStr">
        <is>
          <t>CHALLENGE</t>
        </is>
      </c>
      <c r="G133" s="6" t="inlineStr">
        <is>
          <t>마실 것 미리 정하기</t>
        </is>
      </c>
      <c r="H133" s="5" t="inlineStr">
        <is>
          <t>카페나 편의점에 가기 전에 무엇을 마실지 미리 정해 두세요.</t>
        </is>
      </c>
      <c r="I133" s="17" t="inlineStr">
        <is>
          <t>미리 정해 두면 고르는 순간에 헤매지 않아요.</t>
        </is>
      </c>
      <c r="J133" s="15" t="n"/>
      <c r="K133" s="15" t="n"/>
      <c r="L133" s="15" t="inlineStr">
        <is>
          <t>WHO 당류 지침 · 식생활지침 수칙 2</t>
        </is>
      </c>
      <c r="M133" s="17" t="inlineStr">
        <is>
          <t>감량·공복·증량 금지가 걸린 사용자에게 도전 단계 후보가 0이 되던 칸을 채우려고 추가. 성격은 비워 둔다</t>
        </is>
      </c>
      <c r="N133" s="15" t="n">
        <v>175</v>
      </c>
    </row>
    <row r="134" ht="25" customHeight="1">
      <c r="A134" s="15" t="inlineStr">
        <is>
          <t>DIET-P-0237</t>
        </is>
      </c>
      <c r="B134" s="15" t="inlineStr">
        <is>
          <t>1.0.0</t>
        </is>
      </c>
      <c r="C134" s="15" t="inlineStr">
        <is>
          <t>사용</t>
        </is>
      </c>
      <c r="D134" s="15" t="inlineStr">
        <is>
          <t>AXIS_STAGE</t>
        </is>
      </c>
      <c r="E134" s="15" t="inlineStr">
        <is>
          <t>DIET-Q-05</t>
        </is>
      </c>
      <c r="F134" s="15" t="inlineStr">
        <is>
          <t>CHALLENGE</t>
        </is>
      </c>
      <c r="G134" s="6" t="inlineStr">
        <is>
          <t>한 입마다 수저 놓기</t>
        </is>
      </c>
      <c r="H134" s="5" t="inlineStr">
        <is>
          <t>한 입 먹을 때마다 수저를 내려놓고, 다 삼킨 뒤 다시 드세요.</t>
        </is>
      </c>
      <c r="I134" s="17" t="inlineStr">
        <is>
          <t>입문 단계의 한 번을 매 입으로 늘린 것이에요.</t>
        </is>
      </c>
      <c r="J134" s="15" t="n"/>
      <c r="K134" s="15" t="n"/>
      <c r="L134" s="15" t="inlineStr">
        <is>
          <t>식생활지침 수칙 4 · 식사 속도 메타분석(2014, 22건)</t>
        </is>
      </c>
      <c r="M134" s="17" t="inlineStr">
        <is>
          <t>감량·공복·증량 금지가 걸린 사용자에게 도전 단계 후보가 0이 되던 칸을 채우려고 추가. 성격은 비워 둔다</t>
        </is>
      </c>
      <c r="N134" s="15" t="n">
        <v>176</v>
      </c>
    </row>
    <row r="135" ht="25" customHeight="1">
      <c r="A135" s="15" t="inlineStr">
        <is>
          <t>DIET-P-0238</t>
        </is>
      </c>
      <c r="B135" s="15" t="inlineStr">
        <is>
          <t>1.0.0</t>
        </is>
      </c>
      <c r="C135" s="15" t="inlineStr">
        <is>
          <t>사용</t>
        </is>
      </c>
      <c r="D135" s="15" t="inlineStr">
        <is>
          <t>AXIS_STAGE</t>
        </is>
      </c>
      <c r="E135" s="15" t="inlineStr">
        <is>
          <t>DIET-Q-05</t>
        </is>
      </c>
      <c r="F135" s="15" t="inlineStr">
        <is>
          <t>CHALLENGE</t>
        </is>
      </c>
      <c r="G135" s="6" t="inlineStr">
        <is>
          <t>세 끼 천천히 먹기</t>
        </is>
      </c>
      <c r="H135" s="5" t="inlineStr">
        <is>
          <t>오늘은 세 끼 모두 서두르지 말고 천천히 드세요.</t>
        </is>
      </c>
      <c r="I135" s="17" t="inlineStr">
        <is>
          <t>한 끼에서 세 끼로 넓히는 단계예요.</t>
        </is>
      </c>
      <c r="J135" s="15" t="n"/>
      <c r="K135" s="15" t="n"/>
      <c r="L135" s="15" t="inlineStr">
        <is>
          <t>식생활지침 수칙 4 · 식사 속도 메타분석(2014, 22건)</t>
        </is>
      </c>
      <c r="M135" s="17" t="inlineStr">
        <is>
          <t>감량·공복·증량 금지가 걸린 사용자에게 도전 단계 후보가 0이 되던 칸을 채우려고 추가. 성격은 비워 둔다</t>
        </is>
      </c>
      <c r="N135" s="15" t="n">
        <v>177</v>
      </c>
    </row>
    <row r="136">
      <c r="A136" s="15" t="inlineStr">
        <is>
          <t>DIET-P-0226</t>
        </is>
      </c>
      <c r="B136" s="15" t="inlineStr">
        <is>
          <t>1.0.0</t>
        </is>
      </c>
      <c r="C136" s="15" t="inlineStr">
        <is>
          <t>사용</t>
        </is>
      </c>
      <c r="D136" s="15" t="inlineStr">
        <is>
          <t>AXIS_STAGE</t>
        </is>
      </c>
      <c r="E136" s="15" t="inlineStr">
        <is>
          <t>DIET-Q-00</t>
        </is>
      </c>
      <c r="F136" s="15" t="inlineStr">
        <is>
          <t>INTRO</t>
        </is>
      </c>
      <c r="G136" s="6" t="inlineStr">
        <is>
          <t>아침 먹을 자리 치우기</t>
        </is>
      </c>
      <c r="H136" s="5" t="inlineStr">
        <is>
          <t>내일 아침을 먹을 식탁을 자기 전에 미리 치워 두세요.</t>
        </is>
      </c>
      <c r="I136" s="17" t="inlineStr">
        <is>
          <t>자리를 미리 치워 두면 내일 아침을 준비하기 수월해요.</t>
        </is>
      </c>
      <c r="J136" s="15" t="n"/>
      <c r="K136" s="15" t="n"/>
      <c r="L136" s="15" t="inlineStr">
        <is>
          <t>WHO-DIET</t>
        </is>
      </c>
      <c r="M136" s="17" t="inlineStr">
        <is>
          <t>저녁 식사 후에도 실행 가능한 다음 날 준비 행동.</t>
        </is>
      </c>
      <c r="N136" s="15" t="n">
        <v>165</v>
      </c>
    </row>
    <row r="137">
      <c r="A137" s="15" t="inlineStr">
        <is>
          <t>DIET-P-0227</t>
        </is>
      </c>
      <c r="B137" s="15" t="inlineStr">
        <is>
          <t>1.0.0</t>
        </is>
      </c>
      <c r="C137" s="15" t="inlineStr">
        <is>
          <t>사용</t>
        </is>
      </c>
      <c r="D137" s="15" t="inlineStr">
        <is>
          <t>AXIS_STAGE</t>
        </is>
      </c>
      <c r="E137" s="15" t="inlineStr">
        <is>
          <t>DIET-Q-00</t>
        </is>
      </c>
      <c r="F137" s="15" t="inlineStr">
        <is>
          <t>BASE</t>
        </is>
      </c>
      <c r="G137" s="6" t="inlineStr">
        <is>
          <t>내일 아침 시각 정하기</t>
        </is>
      </c>
      <c r="H137" s="5" t="inlineStr">
        <is>
          <t>내일 아침을 몇 시에 먹을지 자기 전에 정해 두세요.</t>
        </is>
      </c>
      <c r="I137" s="17" t="inlineStr">
        <is>
          <t>시각을 정해 두면 내일 아침 끼니를 챙기기 쉬워요.</t>
        </is>
      </c>
      <c r="J137" s="15" t="n"/>
      <c r="K137" s="15" t="n"/>
      <c r="L137" s="15" t="inlineStr">
        <is>
          <t>WHO-DIET</t>
        </is>
      </c>
      <c r="M137" s="17" t="inlineStr">
        <is>
          <t>저녁 식사 후에도 실행 가능한 다음 날 준비 행동.</t>
        </is>
      </c>
      <c r="N137" s="15" t="n">
        <v>166</v>
      </c>
    </row>
    <row r="138">
      <c r="A138" s="15" t="inlineStr">
        <is>
          <t>DIET-P-0228</t>
        </is>
      </c>
      <c r="B138" s="15" t="inlineStr">
        <is>
          <t>1.0.0</t>
        </is>
      </c>
      <c r="C138" s="15" t="inlineStr">
        <is>
          <t>사용</t>
        </is>
      </c>
      <c r="D138" s="15" t="inlineStr">
        <is>
          <t>AXIS_STAGE</t>
        </is>
      </c>
      <c r="E138" s="15" t="inlineStr">
        <is>
          <t>DIET-Q-01</t>
        </is>
      </c>
      <c r="F138" s="15" t="inlineStr">
        <is>
          <t>INTRO</t>
        </is>
      </c>
      <c r="G138" s="6" t="inlineStr">
        <is>
          <t>채소 미리 씻어 두기</t>
        </is>
      </c>
      <c r="H138" s="5" t="inlineStr">
        <is>
          <t>내일 먹을 채소를 씻어 물기를 빼고 냉장고에 넣어 두세요.</t>
        </is>
      </c>
      <c r="I138" s="17" t="inlineStr">
        <is>
          <t>채소를 씻어 물기를 빼고 냉장해 두면 내일 바로 꺼낼 수 있어요.</t>
        </is>
      </c>
      <c r="J138" s="15" t="n"/>
      <c r="K138" s="15" t="n"/>
      <c r="L138" s="15" t="inlineStr">
        <is>
          <t>WHO-DIET / NIDDK-CKD</t>
        </is>
      </c>
      <c r="M138" s="17" t="inlineStr">
        <is>
          <t>저녁 식사 후에도 실행 가능한 다음 날 준비 행동.</t>
        </is>
      </c>
      <c r="N138" s="15" t="n">
        <v>167</v>
      </c>
    </row>
    <row r="139">
      <c r="A139" s="15" t="inlineStr">
        <is>
          <t>DIET-P-0229</t>
        </is>
      </c>
      <c r="B139" s="15" t="inlineStr">
        <is>
          <t>1.0.0</t>
        </is>
      </c>
      <c r="C139" s="15" t="inlineStr">
        <is>
          <t>사용</t>
        </is>
      </c>
      <c r="D139" s="15" t="inlineStr">
        <is>
          <t>AXIS_STAGE</t>
        </is>
      </c>
      <c r="E139" s="15" t="inlineStr">
        <is>
          <t>DIET-Q-01</t>
        </is>
      </c>
      <c r="F139" s="15" t="inlineStr">
        <is>
          <t>BASE</t>
        </is>
      </c>
      <c r="G139" s="6" t="inlineStr">
        <is>
          <t>장볼 때 채소 적기</t>
        </is>
      </c>
      <c r="H139" s="5" t="inlineStr">
        <is>
          <t>다음에 장 볼 목록에 살 채소를 미리 적어 두세요.</t>
        </is>
      </c>
      <c r="I139" s="17" t="inlineStr">
        <is>
          <t>적어 두면 장 볼 때 빠뜨리지 않아요.</t>
        </is>
      </c>
      <c r="J139" s="15" t="n"/>
      <c r="K139" s="15" t="n"/>
      <c r="L139" s="15" t="inlineStr">
        <is>
          <t>WHO-DIET / NIDDK-CKD</t>
        </is>
      </c>
      <c r="M139" s="17" t="inlineStr">
        <is>
          <t>저녁 식사 후에도 실행 가능한 다음 날 준비 행동.</t>
        </is>
      </c>
      <c r="N139" s="15" t="n">
        <v>168</v>
      </c>
    </row>
    <row r="140">
      <c r="A140" s="15" t="inlineStr">
        <is>
          <t>DIET-P-0230</t>
        </is>
      </c>
      <c r="B140" s="15" t="inlineStr">
        <is>
          <t>1.0.0</t>
        </is>
      </c>
      <c r="C140" s="15" t="inlineStr">
        <is>
          <t>사용</t>
        </is>
      </c>
      <c r="D140" s="15" t="inlineStr">
        <is>
          <t>AXIS_STAGE</t>
        </is>
      </c>
      <c r="E140" s="15" t="inlineStr">
        <is>
          <t>DIET-Q-06</t>
        </is>
      </c>
      <c r="F140" s="15" t="inlineStr">
        <is>
          <t>INTRO</t>
        </is>
      </c>
      <c r="G140" s="6" t="inlineStr">
        <is>
          <t>달걀 미리 삶아 두기</t>
        </is>
      </c>
      <c r="H140" s="5" t="inlineStr">
        <is>
          <t>내일 먹을 달걀을 삶아 식힌 뒤 냉장고에 넣어 두세요.</t>
        </is>
      </c>
      <c r="I140" s="17" t="inlineStr">
        <is>
          <t>달걀을 삶아 식힌 뒤 냉장해 두면 내일 바로 꺼낼 수 있어요.</t>
        </is>
      </c>
      <c r="J140" s="15" t="n"/>
      <c r="K140" s="15" t="n"/>
      <c r="L140" s="15" t="inlineStr">
        <is>
          <t>WHO-DIET / NIDDK-CKD</t>
        </is>
      </c>
      <c r="M140" s="17" t="inlineStr">
        <is>
          <t>저녁 식사 후에도 실행 가능한 다음 날 준비 행동.</t>
        </is>
      </c>
      <c r="N140" s="15" t="n">
        <v>169</v>
      </c>
    </row>
    <row r="141">
      <c r="A141" s="15" t="inlineStr">
        <is>
          <t>DIET-P-0231</t>
        </is>
      </c>
      <c r="B141" s="15" t="inlineStr">
        <is>
          <t>1.0.0</t>
        </is>
      </c>
      <c r="C141" s="15" t="inlineStr">
        <is>
          <t>사용</t>
        </is>
      </c>
      <c r="D141" s="15" t="inlineStr">
        <is>
          <t>AXIS_STAGE</t>
        </is>
      </c>
      <c r="E141" s="15" t="inlineStr">
        <is>
          <t>DIET-Q-06</t>
        </is>
      </c>
      <c r="F141" s="15" t="inlineStr">
        <is>
          <t>BASE</t>
        </is>
      </c>
      <c r="G141" s="6" t="inlineStr">
        <is>
          <t>내일 쓸 두부 준비하기</t>
        </is>
      </c>
      <c r="H141" s="5" t="inlineStr">
        <is>
          <t>내일 반찬으로 쓸 두부가 냉장고에 있는지 확인하고 준비해 두세요.</t>
        </is>
      </c>
      <c r="I141" s="17" t="inlineStr">
        <is>
          <t>두부를 냉장고에 두면 내일 준비할 재료를 미리 확인할 수 있어요.</t>
        </is>
      </c>
      <c r="J141" s="15" t="n"/>
      <c r="K141" s="15" t="n"/>
      <c r="L141" s="15" t="inlineStr">
        <is>
          <t>WHO-DIET / NIDDK-CKD</t>
        </is>
      </c>
      <c r="M141" s="17" t="inlineStr">
        <is>
          <t>저녁 식사 후에도 실행 가능한 다음 날 준비 행동.</t>
        </is>
      </c>
      <c r="N141" s="15" t="n">
        <v>170</v>
      </c>
    </row>
    <row r="142">
      <c r="A142" s="15" t="inlineStr">
        <is>
          <t>DIET-P-0232</t>
        </is>
      </c>
      <c r="B142" s="15" t="inlineStr">
        <is>
          <t>1.0.0</t>
        </is>
      </c>
      <c r="C142" s="15" t="inlineStr">
        <is>
          <t>사용</t>
        </is>
      </c>
      <c r="D142" s="15" t="inlineStr">
        <is>
          <t>AXIS_STAGE</t>
        </is>
      </c>
      <c r="E142" s="15" t="inlineStr">
        <is>
          <t>DIET-Q-02</t>
        </is>
      </c>
      <c r="F142" s="15" t="inlineStr">
        <is>
          <t>INTRO</t>
        </is>
      </c>
      <c r="G142" s="6" t="inlineStr">
        <is>
          <t>무카페인 차 꺼내 두기</t>
        </is>
      </c>
      <c r="H142" s="5" t="inlineStr">
        <is>
          <t>내일 마실 카페인 없는 차를 자기 전에 꺼내 두세요.</t>
        </is>
      </c>
      <c r="I142" s="17" t="inlineStr">
        <is>
          <t>미리 꺼내 두면 내일 마실 음료를 고르기 쉬워요.</t>
        </is>
      </c>
      <c r="J142" s="15" t="n"/>
      <c r="K142" s="15" t="n"/>
      <c r="L142" s="15" t="inlineStr">
        <is>
          <t>WHO-DIET / AHA-HF</t>
        </is>
      </c>
      <c r="M142" s="17" t="inlineStr">
        <is>
          <t>저녁 식사 후에도 실행 가능한 다음 날 준비 행동.</t>
        </is>
      </c>
      <c r="N142" s="15" t="n">
        <v>171</v>
      </c>
    </row>
    <row r="143">
      <c r="A143" s="15" t="inlineStr">
        <is>
          <t>DIET-P-0233</t>
        </is>
      </c>
      <c r="B143" s="15" t="inlineStr">
        <is>
          <t>1.0.0</t>
        </is>
      </c>
      <c r="C143" s="15" t="inlineStr">
        <is>
          <t>사용</t>
        </is>
      </c>
      <c r="D143" s="15" t="inlineStr">
        <is>
          <t>LOW_BURDEN</t>
        </is>
      </c>
      <c r="E143" s="15" t="n"/>
      <c r="F143" s="15" t="n"/>
      <c r="G143" s="6" t="inlineStr">
        <is>
          <t>내일 아침 미리 정하기</t>
        </is>
      </c>
      <c r="H143" s="5" t="inlineStr">
        <is>
          <t>내일 아침에 무엇을 먹을지 자기 전에 정해 두세요.</t>
        </is>
      </c>
      <c r="I143" s="17" t="inlineStr">
        <is>
          <t>정해 두면 피곤한 아침에 고민이 줄어요.</t>
        </is>
      </c>
      <c r="J143" s="15" t="n"/>
      <c r="K143" s="15" t="n"/>
      <c r="L143" s="15" t="inlineStr">
        <is>
          <t>WHO-DIET</t>
        </is>
      </c>
      <c r="M143" s="17" t="inlineStr">
        <is>
          <t>저녁 식사 후에도 실행 가능한 다음 날 준비 행동.</t>
        </is>
      </c>
      <c r="N143" s="15" t="n">
        <v>172</v>
      </c>
    </row>
    <row r="144">
      <c r="A144" s="6" t="inlineStr">
        <is>
          <t>DIET-P-0239</t>
        </is>
      </c>
      <c r="B144" s="6" t="inlineStr">
        <is>
          <t>1.0.0</t>
        </is>
      </c>
      <c r="C144" s="6" t="inlineStr">
        <is>
          <t>사용</t>
        </is>
      </c>
      <c r="D144" s="6" t="inlineStr">
        <is>
          <t>AXIS_STAGE</t>
        </is>
      </c>
      <c r="E144" s="6" t="inlineStr">
        <is>
          <t>DIET-Q-05</t>
        </is>
      </c>
      <c r="F144" s="6" t="inlineStr">
        <is>
          <t>BASE</t>
        </is>
      </c>
      <c r="G144" s="6" t="inlineStr">
        <is>
          <t>먹을 양 먼저 정하기</t>
        </is>
      </c>
      <c r="H144" s="5" t="inlineStr">
        <is>
          <t>식사를 시작하기 전에 먹을 양을 먼저 정해 덜어 두세요.</t>
        </is>
      </c>
      <c r="I144" s="5" t="inlineStr">
        <is>
          <t>먹기 전에 먹을 양을 정해 두는 행동이에요.</t>
        </is>
      </c>
      <c r="J144" s="6" t="inlineStr">
        <is>
          <t>REDUCE</t>
        </is>
      </c>
      <c r="K144" s="6" t="n"/>
      <c r="L144" s="6" t="inlineStr">
        <is>
          <t>MOHW-DIETGUIDE</t>
        </is>
      </c>
      <c r="M144" s="5" t="inlineStr">
        <is>
          <t>국내외 학회 가이드라인 근거로 추가. 의학 검수 대기</t>
        </is>
      </c>
      <c r="N144" s="6" t="n">
        <v>173</v>
      </c>
    </row>
    <row r="145">
      <c r="A145" s="6" t="inlineStr">
        <is>
          <t>DIET-P-0240</t>
        </is>
      </c>
      <c r="B145" s="6" t="inlineStr">
        <is>
          <t>1.0.0</t>
        </is>
      </c>
      <c r="C145" s="6" t="inlineStr">
        <is>
          <t>사용</t>
        </is>
      </c>
      <c r="D145" s="6" t="inlineStr">
        <is>
          <t>AXIS_STAGE</t>
        </is>
      </c>
      <c r="E145" s="6" t="inlineStr">
        <is>
          <t>DIET-Q-05</t>
        </is>
      </c>
      <c r="F145" s="6" t="inlineStr">
        <is>
          <t>CHALLENGE</t>
        </is>
      </c>
      <c r="G145" s="6" t="inlineStr">
        <is>
          <t>꼭꼭 씹어 먹기</t>
        </is>
      </c>
      <c r="H145" s="5" t="inlineStr">
        <is>
          <t>한 입을 평소보다 여러 번 꼭꼭 씹어서 삼키세요.</t>
        </is>
      </c>
      <c r="I145" s="5" t="inlineStr">
        <is>
          <t>평소보다 더 씹어 보는 행동이에요.</t>
        </is>
      </c>
      <c r="J145" s="6" t="n"/>
      <c r="K145" s="6" t="n"/>
      <c r="L145" s="6" t="inlineStr">
        <is>
          <t>KSSO-OBESITY</t>
        </is>
      </c>
      <c r="M145" s="5" t="inlineStr">
        <is>
          <t>국내외 학회 가이드라인 근거로 추가. 의학 검수 대기</t>
        </is>
      </c>
      <c r="N145" s="6" t="n">
        <v>174</v>
      </c>
    </row>
    <row r="146">
      <c r="A146" s="6" t="inlineStr">
        <is>
          <t>DIET-P-0241</t>
        </is>
      </c>
      <c r="B146" s="6" t="inlineStr">
        <is>
          <t>1.0.0</t>
        </is>
      </c>
      <c r="C146" s="6" t="inlineStr">
        <is>
          <t>사용</t>
        </is>
      </c>
      <c r="D146" s="6" t="inlineStr">
        <is>
          <t>AXIS_STAGE</t>
        </is>
      </c>
      <c r="E146" s="6" t="inlineStr">
        <is>
          <t>DIET-Q-07</t>
        </is>
      </c>
      <c r="F146" s="6" t="inlineStr">
        <is>
          <t>CHALLENGE</t>
        </is>
      </c>
      <c r="G146" s="6" t="inlineStr">
        <is>
          <t>마가린·쇼트닝 빼기</t>
        </is>
      </c>
      <c r="H146" s="5" t="inlineStr">
        <is>
          <t>요리할 때 마가린이나 쇼트닝은 쓰지 말고 빼 보세요.</t>
        </is>
      </c>
      <c r="I146" s="5" t="inlineStr">
        <is>
          <t>트랜스지방이 많은 기름을 빼는 행동이에요.</t>
        </is>
      </c>
      <c r="J146" s="6" t="n"/>
      <c r="K146" s="6" t="n"/>
      <c r="L146" s="6" t="inlineStr">
        <is>
          <t>KSoLA-2022 / WHO-FAT-2023</t>
        </is>
      </c>
      <c r="M146" s="5" t="inlineStr">
        <is>
          <t>국내외 학회 가이드라인 근거로 추가. 의학 검수 대기</t>
        </is>
      </c>
      <c r="N146" s="6" t="n">
        <v>175</v>
      </c>
    </row>
    <row r="147">
      <c r="A147" s="6" t="inlineStr">
        <is>
          <t>DIET-P-0242</t>
        </is>
      </c>
      <c r="B147" s="6" t="inlineStr">
        <is>
          <t>1.0.0</t>
        </is>
      </c>
      <c r="C147" s="6" t="inlineStr">
        <is>
          <t>사용</t>
        </is>
      </c>
      <c r="D147" s="6" t="inlineStr">
        <is>
          <t>AXIS_STAGE</t>
        </is>
      </c>
      <c r="E147" s="6" t="inlineStr">
        <is>
          <t>DIET-Q-07</t>
        </is>
      </c>
      <c r="F147" s="6" t="inlineStr">
        <is>
          <t>CHALLENGE</t>
        </is>
      </c>
      <c r="G147" s="6" t="inlineStr">
        <is>
          <t>고기 기름 떼고 먹기</t>
        </is>
      </c>
      <c r="H147" s="5" t="inlineStr">
        <is>
          <t>고기를 먹을 때 눈에 보이는 하얀 기름은 떼어 내고 드세요.</t>
        </is>
      </c>
      <c r="I147" s="5" t="inlineStr">
        <is>
          <t>눈에 보이는 기름을 떼어 내는 행동이에요.</t>
        </is>
      </c>
      <c r="J147" s="6" t="n"/>
      <c r="K147" s="6" t="n"/>
      <c r="L147" s="6" t="inlineStr">
        <is>
          <t>KSoLA-2022</t>
        </is>
      </c>
      <c r="M147" s="5" t="inlineStr">
        <is>
          <t>국내외 학회 가이드라인 근거로 추가. 의학 검수 대기</t>
        </is>
      </c>
      <c r="N147" s="6" t="n">
        <v>176</v>
      </c>
    </row>
    <row r="148">
      <c r="A148" s="6" t="inlineStr">
        <is>
          <t>DIET-P-0243</t>
        </is>
      </c>
      <c r="B148" s="6" t="inlineStr">
        <is>
          <t>1.0.0</t>
        </is>
      </c>
      <c r="C148" s="6" t="inlineStr">
        <is>
          <t>사용</t>
        </is>
      </c>
      <c r="D148" s="6" t="inlineStr">
        <is>
          <t>AXIS_STAGE</t>
        </is>
      </c>
      <c r="E148" s="6" t="inlineStr">
        <is>
          <t>DIET-Q-07</t>
        </is>
      </c>
      <c r="F148" s="6" t="inlineStr">
        <is>
          <t>BASE</t>
        </is>
      </c>
      <c r="G148" s="6" t="inlineStr">
        <is>
          <t>포화지방 표시 보기</t>
        </is>
      </c>
      <c r="H148" s="5" t="inlineStr">
        <is>
          <t>가공식품을 살 때 포화지방·트랜스지방 표시를 보고 적은 것을 고르세요.</t>
        </is>
      </c>
      <c r="I148" s="5" t="inlineStr">
        <is>
          <t>제품의 포화지방·트랜스지방 표시를 보는 행동이에요.</t>
        </is>
      </c>
      <c r="J148" s="6" t="n"/>
      <c r="K148" s="6" t="n"/>
      <c r="L148" s="6" t="inlineStr">
        <is>
          <t>WHO-FAT-2023 / KSoLA-2022</t>
        </is>
      </c>
      <c r="M148" s="5" t="inlineStr">
        <is>
          <t>국내외 학회 가이드라인 근거로 추가. 의학 검수 대기</t>
        </is>
      </c>
      <c r="N148" s="6" t="n">
        <v>177</v>
      </c>
    </row>
    <row r="149">
      <c r="A149" s="6" t="inlineStr">
        <is>
          <t>DIET-P-0244</t>
        </is>
      </c>
      <c r="B149" s="6" t="inlineStr">
        <is>
          <t>1.0.0</t>
        </is>
      </c>
      <c r="C149" s="6" t="inlineStr">
        <is>
          <t>사용</t>
        </is>
      </c>
      <c r="D149" s="6" t="inlineStr">
        <is>
          <t>AXIS_STAGE</t>
        </is>
      </c>
      <c r="E149" s="6" t="inlineStr">
        <is>
          <t>DIET-Q-03</t>
        </is>
      </c>
      <c r="F149" s="6" t="inlineStr">
        <is>
          <t>BASE</t>
        </is>
      </c>
      <c r="G149" s="6" t="inlineStr">
        <is>
          <t>버섯·다시마로 맛내기</t>
        </is>
      </c>
      <c r="H149" s="5" t="inlineStr">
        <is>
          <t>국물을 낼 때 소금 대신 버섯이나 다시마로 맛을 내 보세요.</t>
        </is>
      </c>
      <c r="I149" s="5" t="inlineStr">
        <is>
          <t>소금 대신 재료로 맛을 내는 행동이에요.</t>
        </is>
      </c>
      <c r="J149" s="6" t="n"/>
      <c r="K149" s="6" t="n"/>
      <c r="L149" s="6" t="inlineStr">
        <is>
          <t>MFDS-SODIUM</t>
        </is>
      </c>
      <c r="M149" s="5" t="inlineStr">
        <is>
          <t>국내외 학회 가이드라인 근거로 추가. 의학 검수 대기</t>
        </is>
      </c>
      <c r="N149" s="6" t="n">
        <v>178</v>
      </c>
    </row>
    <row r="150">
      <c r="A150" s="6" t="inlineStr">
        <is>
          <t>DIET-P-0245</t>
        </is>
      </c>
      <c r="B150" s="6" t="inlineStr">
        <is>
          <t>1.0.0</t>
        </is>
      </c>
      <c r="C150" s="6" t="inlineStr">
        <is>
          <t>사용</t>
        </is>
      </c>
      <c r="D150" s="6" t="inlineStr">
        <is>
          <t>AXIS_STAGE</t>
        </is>
      </c>
      <c r="E150" s="6" t="inlineStr">
        <is>
          <t>DIET-Q-03</t>
        </is>
      </c>
      <c r="F150" s="6" t="inlineStr">
        <is>
          <t>BASE</t>
        </is>
      </c>
      <c r="G150" s="6" t="inlineStr">
        <is>
          <t>덜 짠 제품 고르기</t>
        </is>
      </c>
      <c r="H150" s="5" t="inlineStr">
        <is>
          <t>같은 종류의 제품 중 나트륨이 더 적은 것을 골라 사세요.</t>
        </is>
      </c>
      <c r="I150" s="5" t="inlineStr">
        <is>
          <t>같은 제품군에서 나트륨이 적은 것을 고르는 행동이에요.</t>
        </is>
      </c>
      <c r="J150" s="6" t="n"/>
      <c r="K150" s="6" t="n"/>
      <c r="L150" s="6" t="inlineStr">
        <is>
          <t>MFDS-SODIUM</t>
        </is>
      </c>
      <c r="M150" s="5" t="inlineStr">
        <is>
          <t>국내외 학회 가이드라인 근거로 추가. 의학 검수 대기</t>
        </is>
      </c>
      <c r="N150" s="6" t="n">
        <v>179</v>
      </c>
    </row>
    <row r="151">
      <c r="A151" s="6" t="inlineStr">
        <is>
          <t>DIET-P-0246</t>
        </is>
      </c>
      <c r="B151" s="6" t="inlineStr">
        <is>
          <t>1.0.0</t>
        </is>
      </c>
      <c r="C151" s="6" t="inlineStr">
        <is>
          <t>사용</t>
        </is>
      </c>
      <c r="D151" s="6" t="inlineStr">
        <is>
          <t>AXIS_STAGE</t>
        </is>
      </c>
      <c r="E151" s="6" t="inlineStr">
        <is>
          <t>DIET-Q-06</t>
        </is>
      </c>
      <c r="F151" s="6" t="inlineStr">
        <is>
          <t>BASE</t>
        </is>
      </c>
      <c r="G151" s="6" t="inlineStr">
        <is>
          <t>반찬 하나는 콩·두부로</t>
        </is>
      </c>
      <c r="H151" s="5" t="inlineStr">
        <is>
          <t>오늘 반찬 중 하나는 콩이나 두부 반찬으로 드세요.</t>
        </is>
      </c>
      <c r="I151" s="5" t="inlineStr">
        <is>
          <t>반찬 하나를 콩이나 두부로 하는 행동이에요.</t>
        </is>
      </c>
      <c r="J151" s="6" t="n"/>
      <c r="K151" s="6" t="n"/>
      <c r="L151" s="6" t="inlineStr">
        <is>
          <t>KDA-2023 / KSH-2022</t>
        </is>
      </c>
      <c r="M151" s="5" t="inlineStr">
        <is>
          <t>국내외 학회 가이드라인 근거로 추가. 의학 검수 대기</t>
        </is>
      </c>
      <c r="N151" s="6" t="n">
        <v>180</v>
      </c>
    </row>
    <row r="152">
      <c r="A152" s="6" t="inlineStr">
        <is>
          <t>DIET-P-0247</t>
        </is>
      </c>
      <c r="B152" s="6" t="inlineStr">
        <is>
          <t>1.0.0</t>
        </is>
      </c>
      <c r="C152" s="6" t="inlineStr">
        <is>
          <t>사용</t>
        </is>
      </c>
      <c r="D152" s="6" t="inlineStr">
        <is>
          <t>AXIS_STAGE</t>
        </is>
      </c>
      <c r="E152" s="6" t="inlineStr">
        <is>
          <t>DIET-Q-02</t>
        </is>
      </c>
      <c r="F152" s="6" t="inlineStr">
        <is>
          <t>BASE</t>
        </is>
      </c>
      <c r="G152" s="6" t="inlineStr">
        <is>
          <t>간식도 당류 표시 보기</t>
        </is>
      </c>
      <c r="H152" s="5" t="inlineStr">
        <is>
          <t>간식을 살 때 포장의 당류 표시를 보고 덜 단 것을 고르세요.</t>
        </is>
      </c>
      <c r="I152" s="5" t="inlineStr">
        <is>
          <t>간식의 당류 표시를 보고 고르는 행동이에요.</t>
        </is>
      </c>
      <c r="J152" s="6" t="n"/>
      <c r="K152" s="6" t="n"/>
      <c r="L152" s="6" t="inlineStr">
        <is>
          <t>MFDS-SUGAR</t>
        </is>
      </c>
      <c r="M152" s="5" t="inlineStr">
        <is>
          <t>국내외 학회 가이드라인 근거로 추가. 의학 검수 대기</t>
        </is>
      </c>
      <c r="N152" s="6" t="n">
        <v>181</v>
      </c>
    </row>
    <row r="153">
      <c r="A153" s="6" t="inlineStr">
        <is>
          <t>DIET-P-0248</t>
        </is>
      </c>
      <c r="B153" s="6" t="inlineStr">
        <is>
          <t>1.0.0</t>
        </is>
      </c>
      <c r="C153" s="6" t="inlineStr">
        <is>
          <t>사용</t>
        </is>
      </c>
      <c r="D153" s="6" t="inlineStr">
        <is>
          <t>AXIS_STAGE</t>
        </is>
      </c>
      <c r="E153" s="6" t="inlineStr">
        <is>
          <t>DIET-Q-04</t>
        </is>
      </c>
      <c r="F153" s="6" t="inlineStr">
        <is>
          <t>INTRO</t>
        </is>
      </c>
      <c r="G153" s="6" t="inlineStr">
        <is>
          <t>세 끼 시간 정해 두기</t>
        </is>
      </c>
      <c r="H153" s="5" t="inlineStr">
        <is>
          <t>아침·점심·저녁을 각각 몇 시에 먹을지 미리 정해 두세요.</t>
        </is>
      </c>
      <c r="I153" s="5" t="inlineStr">
        <is>
          <t>끼니 시각을 미리 정해 두는 행동이에요.</t>
        </is>
      </c>
      <c r="J153" s="6" t="n"/>
      <c r="K153" s="6" t="n"/>
      <c r="L153" s="6" t="inlineStr">
        <is>
          <t>KSSO-OBESITY</t>
        </is>
      </c>
      <c r="M153" s="5" t="inlineStr">
        <is>
          <t>국내외 학회 가이드라인 근거로 추가. 의학 검수 대기</t>
        </is>
      </c>
      <c r="N153" s="6" t="n">
        <v>182</v>
      </c>
    </row>
    <row r="154">
      <c r="A154" s="6" t="inlineStr">
        <is>
          <t>DIET-P-0249</t>
        </is>
      </c>
      <c r="B154" s="6" t="inlineStr">
        <is>
          <t>1.0.0</t>
        </is>
      </c>
      <c r="C154" s="6" t="inlineStr">
        <is>
          <t>사용</t>
        </is>
      </c>
      <c r="D154" s="6" t="inlineStr">
        <is>
          <t>AXIS_STAGE</t>
        </is>
      </c>
      <c r="E154" s="6" t="inlineStr">
        <is>
          <t>DIET-Q-04</t>
        </is>
      </c>
      <c r="F154" s="6" t="inlineStr">
        <is>
          <t>INTRO</t>
        </is>
      </c>
      <c r="G154" s="6" t="inlineStr">
        <is>
          <t>아침 시간 정해 두기</t>
        </is>
      </c>
      <c r="H154" s="5" t="inlineStr">
        <is>
          <t>아침을 몇 시에 먹을지 미리 정해 두세요.</t>
        </is>
      </c>
      <c r="I154" s="5" t="inlineStr">
        <is>
          <t>아침을 먹는 시각을 정해 두는 행동이에요.</t>
        </is>
      </c>
      <c r="J154" s="6" t="n"/>
      <c r="K154" s="6" t="n"/>
      <c r="L154" s="6" t="inlineStr">
        <is>
          <t>MOHW-DIETGUIDE</t>
        </is>
      </c>
      <c r="M154" s="5" t="inlineStr">
        <is>
          <t>국내외 학회 가이드라인 근거로 추가. 의학 검수 대기</t>
        </is>
      </c>
      <c r="N154" s="6" t="n">
        <v>183</v>
      </c>
    </row>
    <row r="155">
      <c r="A155" s="6" t="inlineStr">
        <is>
          <t>DIET-P-0250</t>
        </is>
      </c>
      <c r="B155" s="6" t="inlineStr">
        <is>
          <t>1.0.0</t>
        </is>
      </c>
      <c r="C155" s="6" t="inlineStr">
        <is>
          <t>사용</t>
        </is>
      </c>
      <c r="D155" s="6" t="inlineStr">
        <is>
          <t>AXIS_STAGE</t>
        </is>
      </c>
      <c r="E155" s="6" t="inlineStr">
        <is>
          <t>DIET-Q-04</t>
        </is>
      </c>
      <c r="F155" s="6" t="inlineStr">
        <is>
          <t>BASE</t>
        </is>
      </c>
      <c r="G155" s="6" t="inlineStr">
        <is>
          <t>야식도 그릇에 덜기</t>
        </is>
      </c>
      <c r="H155" s="5" t="inlineStr">
        <is>
          <t>밤에 무언가 먹을 때도 봉지째 먹지 말고 그릇에 덜어 드세요.</t>
        </is>
      </c>
      <c r="I155" s="5" t="inlineStr">
        <is>
          <t>봉지째 먹지 않고 그릇에 덜어 먹는 행동이에요.</t>
        </is>
      </c>
      <c r="J155" s="6" t="n"/>
      <c r="K155" s="6" t="n"/>
      <c r="L155" s="6" t="inlineStr">
        <is>
          <t>KSSO-OBESITY</t>
        </is>
      </c>
      <c r="M155" s="5" t="inlineStr">
        <is>
          <t>국내외 학회 가이드라인 근거로 추가. 의학 검수 대기</t>
        </is>
      </c>
      <c r="N155" s="6" t="n">
        <v>184</v>
      </c>
    </row>
    <row r="156">
      <c r="A156" s="6" t="inlineStr">
        <is>
          <t>DIET-P-0251</t>
        </is>
      </c>
      <c r="B156" s="6" t="inlineStr">
        <is>
          <t>1.0.0</t>
        </is>
      </c>
      <c r="C156" s="6" t="inlineStr">
        <is>
          <t>사용</t>
        </is>
      </c>
      <c r="D156" s="6" t="inlineStr">
        <is>
          <t>AXIS_STAGE</t>
        </is>
      </c>
      <c r="E156" s="6" t="inlineStr">
        <is>
          <t>DIET-Q-04</t>
        </is>
      </c>
      <c r="F156" s="6" t="inlineStr">
        <is>
          <t>CHALLENGE</t>
        </is>
      </c>
      <c r="G156" s="6" t="inlineStr">
        <is>
          <t>저녁 후 물 한 잔</t>
        </is>
      </c>
      <c r="H156" s="5" t="inlineStr">
        <is>
          <t>저녁 식사를 마친 뒤 물을 한 잔 마셔 보세요.</t>
        </is>
      </c>
      <c r="I156" s="5" t="inlineStr">
        <is>
          <t>저녁 뒤에 물을 한 잔 마셔 보는 행동이에요.</t>
        </is>
      </c>
      <c r="J156" s="6" t="inlineStr">
        <is>
          <t>FLUID</t>
        </is>
      </c>
      <c r="K156" s="6" t="n"/>
      <c r="L156" s="6" t="inlineStr">
        <is>
          <t>MOHW-DIETGUIDE</t>
        </is>
      </c>
      <c r="M156" s="5" t="inlineStr">
        <is>
          <t>국내외 학회 가이드라인 근거로 추가. 의학 검수 대기</t>
        </is>
      </c>
      <c r="N156" s="6" t="n">
        <v>185</v>
      </c>
    </row>
    <row r="157">
      <c r="A157" s="6" t="inlineStr">
        <is>
          <t>DIET-P-0252</t>
        </is>
      </c>
      <c r="B157" s="6" t="inlineStr">
        <is>
          <t>1.0.0</t>
        </is>
      </c>
      <c r="C157" s="6" t="inlineStr">
        <is>
          <t>사용</t>
        </is>
      </c>
      <c r="D157" s="6" t="inlineStr">
        <is>
          <t>AXIS_STAGE</t>
        </is>
      </c>
      <c r="E157" s="6" t="inlineStr">
        <is>
          <t>DIET-Q-05</t>
        </is>
      </c>
      <c r="F157" s="6" t="inlineStr">
        <is>
          <t>BASE</t>
        </is>
      </c>
      <c r="G157" s="6" t="inlineStr">
        <is>
          <t>반찬은 먹을 만큼만</t>
        </is>
      </c>
      <c r="H157" s="5" t="inlineStr">
        <is>
          <t>반찬은 먹을 만큼만 앞접시에 덜어 드세요.</t>
        </is>
      </c>
      <c r="I157" s="5" t="inlineStr">
        <is>
          <t>먹을 만큼만 덜어 담는 행동이에요.</t>
        </is>
      </c>
      <c r="J157" s="6" t="inlineStr">
        <is>
          <t>REDUCE</t>
        </is>
      </c>
      <c r="K157" s="6" t="n"/>
      <c r="L157" s="6" t="inlineStr">
        <is>
          <t>MOHW-DIETGUIDE</t>
        </is>
      </c>
      <c r="M157" s="5" t="inlineStr">
        <is>
          <t>국내외 학회 가이드라인 근거로 추가. 의학 검수 대기</t>
        </is>
      </c>
      <c r="N157" s="6" t="n">
        <v>186</v>
      </c>
    </row>
    <row r="158">
      <c r="A158" s="6" t="inlineStr">
        <is>
          <t>DIET-P-0253</t>
        </is>
      </c>
      <c r="B158" s="6" t="inlineStr">
        <is>
          <t>1.0.0</t>
        </is>
      </c>
      <c r="C158" s="6" t="inlineStr">
        <is>
          <t>사용</t>
        </is>
      </c>
      <c r="D158" s="6" t="inlineStr">
        <is>
          <t>AXIS_STAGE</t>
        </is>
      </c>
      <c r="E158" s="6" t="inlineStr">
        <is>
          <t>DIET-Q-07</t>
        </is>
      </c>
      <c r="F158" s="6" t="inlineStr">
        <is>
          <t>CHALLENGE</t>
        </is>
      </c>
      <c r="G158" s="6" t="inlineStr">
        <is>
          <t>버터 대신 올리브유</t>
        </is>
      </c>
      <c r="H158" s="5" t="inlineStr">
        <is>
          <t>요리할 때 버터 대신 올리브유를 써 보세요.</t>
        </is>
      </c>
      <c r="I158" s="5" t="inlineStr">
        <is>
          <t>버터 대신 올리브유를 쓰는 행동이에요.</t>
        </is>
      </c>
      <c r="J158" s="6" t="n"/>
      <c r="K158" s="6" t="n"/>
      <c r="L158" s="6" t="inlineStr">
        <is>
          <t>WHO-FAT-2023 / KSoLA-2022</t>
        </is>
      </c>
      <c r="M158" s="5" t="inlineStr">
        <is>
          <t>국내외 학회 가이드라인 근거로 추가. 의학 검수 대기</t>
        </is>
      </c>
      <c r="N158" s="6" t="n">
        <v>187</v>
      </c>
    </row>
    <row r="159">
      <c r="A159" s="6" t="inlineStr">
        <is>
          <t>DIET-P-0254</t>
        </is>
      </c>
      <c r="B159" s="6" t="inlineStr">
        <is>
          <t>1.0.0</t>
        </is>
      </c>
      <c r="C159" s="6" t="inlineStr">
        <is>
          <t>사용</t>
        </is>
      </c>
      <c r="D159" s="6" t="inlineStr">
        <is>
          <t>AXIS_STAGE</t>
        </is>
      </c>
      <c r="E159" s="6" t="inlineStr">
        <is>
          <t>DIET-Q-07</t>
        </is>
      </c>
      <c r="F159" s="6" t="inlineStr">
        <is>
          <t>BASE</t>
        </is>
      </c>
      <c r="G159" s="6" t="inlineStr">
        <is>
          <t>무침은 들기름으로</t>
        </is>
      </c>
      <c r="H159" s="5" t="inlineStr">
        <is>
          <t>나물을 무칠 때 들기름을 넣어 보세요.</t>
        </is>
      </c>
      <c r="I159" s="5" t="inlineStr">
        <is>
          <t>무침에 들기름을 쓰는 행동이에요.</t>
        </is>
      </c>
      <c r="J159" s="6" t="n"/>
      <c r="K159" s="6" t="n"/>
      <c r="L159" s="6" t="inlineStr">
        <is>
          <t>WHO-FAT-2023</t>
        </is>
      </c>
      <c r="M159" s="5" t="inlineStr">
        <is>
          <t>국내외 학회 가이드라인 근거로 추가. 의학 검수 대기</t>
        </is>
      </c>
      <c r="N159" s="6" t="n">
        <v>188</v>
      </c>
    </row>
    <row r="160">
      <c r="A160" s="6" t="inlineStr">
        <is>
          <t>DIET-P-0255</t>
        </is>
      </c>
      <c r="B160" s="6" t="inlineStr">
        <is>
          <t>1.0.0</t>
        </is>
      </c>
      <c r="C160" s="6" t="inlineStr">
        <is>
          <t>사용</t>
        </is>
      </c>
      <c r="D160" s="6" t="inlineStr">
        <is>
          <t>AXIS_STAGE</t>
        </is>
      </c>
      <c r="E160" s="6" t="inlineStr">
        <is>
          <t>DIET-Q-07</t>
        </is>
      </c>
      <c r="F160" s="6" t="inlineStr">
        <is>
          <t>BASE</t>
        </is>
      </c>
      <c r="G160" s="6" t="inlineStr">
        <is>
          <t>마요 대신 머스터드</t>
        </is>
      </c>
      <c r="H160" s="5" t="inlineStr">
        <is>
          <t>마요네즈 대신 머스터드 소스를 곁들여 보세요.</t>
        </is>
      </c>
      <c r="I160" s="5" t="inlineStr">
        <is>
          <t>마요네즈 대신 머스터드를 쓰는 행동이에요.</t>
        </is>
      </c>
      <c r="J160" s="6" t="n"/>
      <c r="K160" s="6" t="n"/>
      <c r="L160" s="6" t="inlineStr">
        <is>
          <t>KSoLA-2022</t>
        </is>
      </c>
      <c r="M160" s="5" t="inlineStr">
        <is>
          <t>국내외 학회 가이드라인 근거로 추가. 의학 검수 대기</t>
        </is>
      </c>
      <c r="N160" s="6" t="n">
        <v>189</v>
      </c>
    </row>
    <row r="161">
      <c r="A161" s="6" t="inlineStr">
        <is>
          <t>DIET-P-0256</t>
        </is>
      </c>
      <c r="B161" s="6" t="inlineStr">
        <is>
          <t>1.0.0</t>
        </is>
      </c>
      <c r="C161" s="6" t="inlineStr">
        <is>
          <t>사용</t>
        </is>
      </c>
      <c r="D161" s="6" t="inlineStr">
        <is>
          <t>AXIS_STAGE</t>
        </is>
      </c>
      <c r="E161" s="6" t="inlineStr">
        <is>
          <t>DIET-Q-07</t>
        </is>
      </c>
      <c r="F161" s="6" t="inlineStr">
        <is>
          <t>CHALLENGE</t>
        </is>
      </c>
      <c r="G161" s="6" t="inlineStr">
        <is>
          <t>크림소스 대신 토마토</t>
        </is>
      </c>
      <c r="H161" s="5" t="inlineStr">
        <is>
          <t>파스타 같은 음식은 크림소스 대신 토마토소스로 고르세요.</t>
        </is>
      </c>
      <c r="I161" s="5" t="inlineStr">
        <is>
          <t>크림소스 대신 토마토소스를 고르는 행동이에요.</t>
        </is>
      </c>
      <c r="J161" s="6" t="n"/>
      <c r="K161" s="6" t="n"/>
      <c r="L161" s="6" t="inlineStr">
        <is>
          <t>KSoLA-2022</t>
        </is>
      </c>
      <c r="M161" s="5" t="inlineStr">
        <is>
          <t>국내외 학회 가이드라인 근거로 추가. 의학 검수 대기</t>
        </is>
      </c>
      <c r="N161" s="6" t="n">
        <v>190</v>
      </c>
    </row>
    <row r="162">
      <c r="A162" s="6" t="inlineStr">
        <is>
          <t>DIET-P-0257</t>
        </is>
      </c>
      <c r="B162" s="6" t="inlineStr">
        <is>
          <t>1.0.0</t>
        </is>
      </c>
      <c r="C162" s="6" t="inlineStr">
        <is>
          <t>사용</t>
        </is>
      </c>
      <c r="D162" s="6" t="inlineStr">
        <is>
          <t>AXIS_STAGE</t>
        </is>
      </c>
      <c r="E162" s="6" t="inlineStr">
        <is>
          <t>DIET-Q-07</t>
        </is>
      </c>
      <c r="F162" s="6" t="inlineStr">
        <is>
          <t>INTRO</t>
        </is>
      </c>
      <c r="G162" s="6" t="inlineStr">
        <is>
          <t>닭은 껍질 빼고</t>
        </is>
      </c>
      <c r="H162" s="5" t="inlineStr">
        <is>
          <t>닭고기를 먹을 때 껍질은 벗겨 내고 드세요.</t>
        </is>
      </c>
      <c r="I162" s="5" t="inlineStr">
        <is>
          <t>닭고기의 껍질을 빼고 먹는 행동이에요.</t>
        </is>
      </c>
      <c r="J162" s="6" t="n"/>
      <c r="K162" s="6" t="n"/>
      <c r="L162" s="6" t="inlineStr">
        <is>
          <t>KSoLA-2022</t>
        </is>
      </c>
      <c r="M162" s="5" t="inlineStr">
        <is>
          <t>국내외 학회 가이드라인 근거로 추가. 의학 검수 대기</t>
        </is>
      </c>
      <c r="N162" s="6" t="n">
        <v>191</v>
      </c>
    </row>
    <row r="163">
      <c r="A163" s="6" t="inlineStr">
        <is>
          <t>DIET-P-0258</t>
        </is>
      </c>
      <c r="B163" s="6" t="inlineStr">
        <is>
          <t>1.0.0</t>
        </is>
      </c>
      <c r="C163" s="6" t="inlineStr">
        <is>
          <t>사용</t>
        </is>
      </c>
      <c r="D163" s="6" t="inlineStr">
        <is>
          <t>AXIS_STAGE</t>
        </is>
      </c>
      <c r="E163" s="6" t="inlineStr">
        <is>
          <t>DIET-Q-06</t>
        </is>
      </c>
      <c r="F163" s="6" t="inlineStr">
        <is>
          <t>BASE</t>
        </is>
      </c>
      <c r="G163" s="6" t="inlineStr">
        <is>
          <t>가공육 대신 살코기</t>
        </is>
      </c>
      <c r="H163" s="5" t="inlineStr">
        <is>
          <t>햄·소시지 대신 살코기로 만든 반찬을 골라 드세요.</t>
        </is>
      </c>
      <c r="I163" s="5" t="inlineStr">
        <is>
          <t>햄·소시지 대신 살코기를 고르는 행동이에요.</t>
        </is>
      </c>
      <c r="J163" s="6" t="n"/>
      <c r="K163" s="6" t="n"/>
      <c r="L163" s="6" t="inlineStr">
        <is>
          <t>WHO-DIET</t>
        </is>
      </c>
      <c r="M163" s="5" t="inlineStr">
        <is>
          <t>국내외 학회 가이드라인 근거로 추가. 의학 검수 대기</t>
        </is>
      </c>
      <c r="N163" s="6" t="n">
        <v>192</v>
      </c>
    </row>
    <row r="164">
      <c r="A164" s="6" t="inlineStr">
        <is>
          <t>DIET-P-0259</t>
        </is>
      </c>
      <c r="B164" s="6" t="inlineStr">
        <is>
          <t>1.0.0</t>
        </is>
      </c>
      <c r="C164" s="6" t="inlineStr">
        <is>
          <t>사용</t>
        </is>
      </c>
      <c r="D164" s="6" t="inlineStr">
        <is>
          <t>AXIS_STAGE</t>
        </is>
      </c>
      <c r="E164" s="6" t="inlineStr">
        <is>
          <t>DIET-Q-03</t>
        </is>
      </c>
      <c r="F164" s="6" t="inlineStr">
        <is>
          <t>BASE</t>
        </is>
      </c>
      <c r="G164" s="6" t="inlineStr">
        <is>
          <t>간장 대신 식초·레몬</t>
        </is>
      </c>
      <c r="H164" s="5" t="inlineStr">
        <is>
          <t>간장 대신 식초나 레몬즙으로 맛을 내 보세요.</t>
        </is>
      </c>
      <c r="I164" s="5" t="inlineStr">
        <is>
          <t>간장 대신 식초나 레몬으로 맛을 내는 행동이에요.</t>
        </is>
      </c>
      <c r="J164" s="6" t="n"/>
      <c r="K164" s="6" t="n"/>
      <c r="L164" s="6" t="inlineStr">
        <is>
          <t>MFDS-SODIUM</t>
        </is>
      </c>
      <c r="M164" s="5" t="inlineStr">
        <is>
          <t>국내외 학회 가이드라인 근거로 추가. 의학 검수 대기</t>
        </is>
      </c>
      <c r="N164" s="6" t="n">
        <v>193</v>
      </c>
    </row>
    <row r="165">
      <c r="A165" s="6" t="inlineStr">
        <is>
          <t>DIET-P-0260</t>
        </is>
      </c>
      <c r="B165" s="6" t="inlineStr">
        <is>
          <t>1.0.0</t>
        </is>
      </c>
      <c r="C165" s="6" t="inlineStr">
        <is>
          <t>사용</t>
        </is>
      </c>
      <c r="D165" s="6" t="inlineStr">
        <is>
          <t>AXIS_STAGE</t>
        </is>
      </c>
      <c r="E165" s="6" t="inlineStr">
        <is>
          <t>DIET-Q-03</t>
        </is>
      </c>
      <c r="F165" s="6" t="inlineStr">
        <is>
          <t>INTRO</t>
        </is>
      </c>
      <c r="G165" s="6" t="inlineStr">
        <is>
          <t>소금 대신 후추·마늘</t>
        </is>
      </c>
      <c r="H165" s="5" t="inlineStr">
        <is>
          <t>간을 할 때 소금 대신 후추나 마늘로 맛을 내 보세요.</t>
        </is>
      </c>
      <c r="I165" s="5" t="inlineStr">
        <is>
          <t>소금 대신 향신료로 맛을 내는 행동이에요.</t>
        </is>
      </c>
      <c r="J165" s="6" t="n"/>
      <c r="K165" s="6" t="n"/>
      <c r="L165" s="6" t="inlineStr">
        <is>
          <t>MFDS-SODIUM</t>
        </is>
      </c>
      <c r="M165" s="5" t="inlineStr">
        <is>
          <t>국내외 학회 가이드라인 근거로 추가. 의학 검수 대기</t>
        </is>
      </c>
      <c r="N165" s="6" t="n">
        <v>194</v>
      </c>
    </row>
    <row r="166">
      <c r="A166" s="6" t="inlineStr">
        <is>
          <t>DIET-P-0262</t>
        </is>
      </c>
      <c r="B166" s="6" t="inlineStr">
        <is>
          <t>1.0.0</t>
        </is>
      </c>
      <c r="C166" s="6" t="inlineStr">
        <is>
          <t>사용</t>
        </is>
      </c>
      <c r="D166" s="6" t="inlineStr">
        <is>
          <t>AXIS_STAGE</t>
        </is>
      </c>
      <c r="E166" s="6" t="inlineStr">
        <is>
          <t>DIET-Q-02</t>
        </is>
      </c>
      <c r="F166" s="6" t="inlineStr">
        <is>
          <t>BASE</t>
        </is>
      </c>
      <c r="G166" s="6" t="inlineStr">
        <is>
          <t>시럽 대신 계피 가루</t>
        </is>
      </c>
      <c r="H166" s="5" t="inlineStr">
        <is>
          <t>음료에 시럽 대신 계피 가루를 살짝 뿌려 맛을 내 보세요.</t>
        </is>
      </c>
      <c r="I166" s="5" t="inlineStr">
        <is>
          <t>시럽 대신 계피 가루로 맛을 더하는 행동이에요.</t>
        </is>
      </c>
      <c r="J166" s="6" t="n"/>
      <c r="K166" s="6" t="n"/>
      <c r="L166" s="6" t="inlineStr">
        <is>
          <t>MFDS-SUGAR</t>
        </is>
      </c>
      <c r="M166" s="5" t="inlineStr">
        <is>
          <t>국내외 학회 가이드라인 근거로 추가. 의학 검수 대기</t>
        </is>
      </c>
      <c r="N166" s="6" t="n">
        <v>196</v>
      </c>
    </row>
    <row r="167">
      <c r="A167" s="6" t="inlineStr">
        <is>
          <t>DIET-P-0263</t>
        </is>
      </c>
      <c r="B167" s="6" t="inlineStr">
        <is>
          <t>1.0.0</t>
        </is>
      </c>
      <c r="C167" s="6" t="inlineStr">
        <is>
          <t>사용</t>
        </is>
      </c>
      <c r="D167" s="6" t="inlineStr">
        <is>
          <t>AXIS_STAGE</t>
        </is>
      </c>
      <c r="E167" s="6" t="inlineStr">
        <is>
          <t>DIET-Q-01</t>
        </is>
      </c>
      <c r="F167" s="6" t="inlineStr">
        <is>
          <t>BASE</t>
        </is>
      </c>
      <c r="G167" s="6" t="inlineStr">
        <is>
          <t>드레싱은 조금만</t>
        </is>
      </c>
      <c r="H167" s="5" t="inlineStr">
        <is>
          <t>샐러드 드레싱은 평소보다 조금만 뿌려 드세요.</t>
        </is>
      </c>
      <c r="I167" s="5" t="inlineStr">
        <is>
          <t>드레싱 양을 줄여 보는 행동이에요.</t>
        </is>
      </c>
      <c r="J167" s="6" t="n"/>
      <c r="K167" s="6" t="n"/>
      <c r="L167" s="6" t="inlineStr">
        <is>
          <t>KSoLA-2022</t>
        </is>
      </c>
      <c r="M167" s="5" t="inlineStr">
        <is>
          <t>국내외 학회 가이드라인 근거로 추가. 의학 검수 대기</t>
        </is>
      </c>
      <c r="N167" s="6" t="n">
        <v>197</v>
      </c>
    </row>
    <row r="168">
      <c r="A168" s="6" t="inlineStr">
        <is>
          <t>DIET-P-0264</t>
        </is>
      </c>
      <c r="B168" s="6" t="inlineStr">
        <is>
          <t>1.0.0</t>
        </is>
      </c>
      <c r="C168" s="6" t="inlineStr">
        <is>
          <t>사용</t>
        </is>
      </c>
      <c r="D168" s="6" t="inlineStr">
        <is>
          <t>AXIS_STAGE</t>
        </is>
      </c>
      <c r="E168" s="6" t="inlineStr">
        <is>
          <t>DIET-Q-04</t>
        </is>
      </c>
      <c r="F168" s="6" t="inlineStr">
        <is>
          <t>INTRO</t>
        </is>
      </c>
      <c r="G168" s="6" t="inlineStr">
        <is>
          <t>주말도 아침 챙기기</t>
        </is>
      </c>
      <c r="H168" s="5" t="inlineStr">
        <is>
          <t>주말에도 늦잠 때문에 아침을 거르지 말고 챙겨 드세요.</t>
        </is>
      </c>
      <c r="I168" s="5" t="inlineStr">
        <is>
          <t>주말에도 아침을 챙기는 행동이에요.</t>
        </is>
      </c>
      <c r="J168" s="6" t="n"/>
      <c r="K168" s="6" t="n"/>
      <c r="L168" s="6" t="inlineStr">
        <is>
          <t>MOHW-DIETGUIDE</t>
        </is>
      </c>
      <c r="M168" s="5" t="inlineStr">
        <is>
          <t>국내외 학회 가이드라인 근거로 추가. 의학 검수 대기</t>
        </is>
      </c>
      <c r="N168" s="6" t="n">
        <v>198</v>
      </c>
    </row>
    <row r="169">
      <c r="A169" s="6" t="inlineStr">
        <is>
          <t>DIET-P-0265</t>
        </is>
      </c>
      <c r="B169" s="6" t="inlineStr">
        <is>
          <t>1.0.0</t>
        </is>
      </c>
      <c r="C169" s="6" t="inlineStr">
        <is>
          <t>사용</t>
        </is>
      </c>
      <c r="D169" s="6" t="inlineStr">
        <is>
          <t>AXIS_STAGE</t>
        </is>
      </c>
      <c r="E169" s="6" t="inlineStr">
        <is>
          <t>DIET-Q-04</t>
        </is>
      </c>
      <c r="F169" s="6" t="inlineStr">
        <is>
          <t>BASE</t>
        </is>
      </c>
      <c r="G169" s="6" t="inlineStr">
        <is>
          <t>퇴근 후 바로 저녁</t>
        </is>
      </c>
      <c r="H169" s="5" t="inlineStr">
        <is>
          <t>퇴근하고 집에 오면 미루지 말고 바로 저녁을 드세요.</t>
        </is>
      </c>
      <c r="I169" s="5" t="inlineStr">
        <is>
          <t>집에 오면 미루지 않고 저녁을 먹는 행동이에요.</t>
        </is>
      </c>
      <c r="J169" s="6" t="n"/>
      <c r="K169" s="6" t="n"/>
      <c r="L169" s="6" t="inlineStr">
        <is>
          <t>KSSO-OBESITY</t>
        </is>
      </c>
      <c r="M169" s="5" t="inlineStr">
        <is>
          <t>국내외 학회 가이드라인 근거로 추가. 의학 검수 대기</t>
        </is>
      </c>
      <c r="N169" s="6" t="n">
        <v>199</v>
      </c>
    </row>
    <row r="170">
      <c r="A170" s="6" t="inlineStr">
        <is>
          <t>DIET-P-0266</t>
        </is>
      </c>
      <c r="B170" s="6" t="inlineStr">
        <is>
          <t>1.0.0</t>
        </is>
      </c>
      <c r="C170" s="6" t="inlineStr">
        <is>
          <t>사용</t>
        </is>
      </c>
      <c r="D170" s="6" t="inlineStr">
        <is>
          <t>AXIS_STAGE</t>
        </is>
      </c>
      <c r="E170" s="6" t="inlineStr">
        <is>
          <t>DIET-Q-04</t>
        </is>
      </c>
      <c r="F170" s="6" t="inlineStr">
        <is>
          <t>BASE</t>
        </is>
      </c>
      <c r="G170" s="6" t="inlineStr">
        <is>
          <t>늦은 끼니는 가볍게</t>
        </is>
      </c>
      <c r="H170" s="5" t="inlineStr">
        <is>
          <t>늦은 시간에 먹는 끼니는 평소보다 양을 줄여 가볍게 드세요.</t>
        </is>
      </c>
      <c r="I170" s="5" t="inlineStr">
        <is>
          <t>늦게 먹는 끼니의 양을 줄여 보는 행동이에요.</t>
        </is>
      </c>
      <c r="J170" s="6" t="inlineStr">
        <is>
          <t>REDUCE</t>
        </is>
      </c>
      <c r="K170" s="6" t="n"/>
      <c r="L170" s="6" t="inlineStr">
        <is>
          <t>KSSO-OBESITY</t>
        </is>
      </c>
      <c r="M170" s="5" t="inlineStr">
        <is>
          <t>국내외 학회 가이드라인 근거로 추가. 의학 검수 대기</t>
        </is>
      </c>
      <c r="N170" s="6" t="n">
        <v>200</v>
      </c>
    </row>
    <row r="171">
      <c r="A171" s="6" t="inlineStr">
        <is>
          <t>DIET-P-0267</t>
        </is>
      </c>
      <c r="B171" s="6" t="inlineStr">
        <is>
          <t>1.0.0</t>
        </is>
      </c>
      <c r="C171" s="6" t="inlineStr">
        <is>
          <t>사용</t>
        </is>
      </c>
      <c r="D171" s="6" t="inlineStr">
        <is>
          <t>AXIS_STAGE</t>
        </is>
      </c>
      <c r="E171" s="6" t="inlineStr">
        <is>
          <t>DIET-Q-06</t>
        </is>
      </c>
      <c r="F171" s="6" t="inlineStr">
        <is>
          <t>CHALLENGE</t>
        </is>
      </c>
      <c r="G171" s="6" t="inlineStr">
        <is>
          <t>해산물로 한 끼</t>
        </is>
      </c>
      <c r="H171" s="5" t="inlineStr">
        <is>
          <t>오늘 한 끼는 고기 대신 오징어나 새우 같은 해산물로 차려 보세요.</t>
        </is>
      </c>
      <c r="I171" s="5" t="inlineStr">
        <is>
          <t>고기 대신 해산물로 한 끼를 차리는 행동이에요.</t>
        </is>
      </c>
      <c r="J171" s="6" t="n"/>
      <c r="K171" s="6" t="n"/>
      <c r="L171" s="6" t="inlineStr">
        <is>
          <t>WHO-DIET</t>
        </is>
      </c>
      <c r="M171" s="5" t="inlineStr">
        <is>
          <t>국내외 학회 가이드라인 근거로 추가. 의학 검수 대기 · 10-19 특정 음식 이름을 음식 종류로</t>
        </is>
      </c>
      <c r="N171" s="6" t="n">
        <v>201</v>
      </c>
    </row>
    <row r="172">
      <c r="A172" s="6" t="inlineStr">
        <is>
          <t>DIET-P-0268</t>
        </is>
      </c>
      <c r="B172" s="6" t="inlineStr">
        <is>
          <t>1.0.0</t>
        </is>
      </c>
      <c r="C172" s="6" t="inlineStr">
        <is>
          <t>사용</t>
        </is>
      </c>
      <c r="D172" s="6" t="inlineStr">
        <is>
          <t>AXIS_STAGE</t>
        </is>
      </c>
      <c r="E172" s="6" t="inlineStr">
        <is>
          <t>DIET-Q-07</t>
        </is>
      </c>
      <c r="F172" s="6" t="inlineStr">
        <is>
          <t>INTRO</t>
        </is>
      </c>
      <c r="G172" s="6" t="inlineStr">
        <is>
          <t>생선은 구이로</t>
        </is>
      </c>
      <c r="H172" s="5" t="inlineStr">
        <is>
          <t>생선은 튀기지 말고 구워서 드세요.</t>
        </is>
      </c>
      <c r="I172" s="5" t="inlineStr">
        <is>
          <t>생선을 튀기지 않고 구워 먹는 행동이에요.</t>
        </is>
      </c>
      <c r="J172" s="6" t="n"/>
      <c r="K172" s="6" t="n"/>
      <c r="L172" s="6" t="inlineStr">
        <is>
          <t>KSoLA-2022</t>
        </is>
      </c>
      <c r="M172" s="5" t="inlineStr">
        <is>
          <t>국내외 학회 가이드라인 근거로 추가. 의학 검수 대기</t>
        </is>
      </c>
      <c r="N172" s="6" t="n">
        <v>202</v>
      </c>
    </row>
    <row r="173">
      <c r="A173" s="19" t="inlineStr">
        <is>
          <t>DIET-P-0269</t>
        </is>
      </c>
      <c r="B173" s="19" t="inlineStr">
        <is>
          <t>1.0.0</t>
        </is>
      </c>
      <c r="C173" s="19" t="inlineStr">
        <is>
          <t>사용</t>
        </is>
      </c>
      <c r="D173" s="19" t="inlineStr">
        <is>
          <t>RECOVERY</t>
        </is>
      </c>
      <c r="E173" s="6" t="n"/>
      <c r="F173" s="6" t="n"/>
      <c r="G173" s="19" t="inlineStr">
        <is>
          <t>출출하면 가볍게 요기하기</t>
        </is>
      </c>
      <c r="H173" s="20" t="inlineStr">
        <is>
          <t>저녁을 적게 먹어 출출하다면 소화가 편한 음식을 조금 드세요.</t>
        </is>
      </c>
      <c r="I173" s="20" t="inlineStr">
        <is>
          <t>저녁을 적게 먹어 허기가 지면 소화가 편한 음식을 조금 먹어요.</t>
        </is>
      </c>
      <c r="J173" s="19" t="inlineStr">
        <is>
          <t>INCREASE</t>
        </is>
      </c>
      <c r="K173" s="6" t="n"/>
      <c r="L173" s="19" t="inlineStr">
        <is>
          <t>WHO-DIET</t>
        </is>
      </c>
      <c r="M173" s="20" t="inlineStr">
        <is>
          <t>10-07 추가. 저녁 회복 목표용. 식후 가능</t>
        </is>
      </c>
      <c r="N173" s="19" t="n">
        <v>203</v>
      </c>
    </row>
    <row r="174" ht="26" customHeight="1">
      <c r="A174" s="19" t="inlineStr">
        <is>
          <t>DIET-P-0270</t>
        </is>
      </c>
      <c r="B174" s="19" t="inlineStr">
        <is>
          <t>1.0.0</t>
        </is>
      </c>
      <c r="C174" s="19" t="inlineStr">
        <is>
          <t>사용</t>
        </is>
      </c>
      <c r="D174" s="19" t="inlineStr">
        <is>
          <t>RECOVERY</t>
        </is>
      </c>
      <c r="E174" s="6" t="n"/>
      <c r="F174" s="6" t="n"/>
      <c r="G174" s="19" t="inlineStr">
        <is>
          <t>따뜻한 우유나 두유 한 잔</t>
        </is>
      </c>
      <c r="H174" s="20" t="inlineStr">
        <is>
          <t>저녁을 적게 먹었다면 따뜻한 우유나 두유를 한 잔 드세요.</t>
        </is>
      </c>
      <c r="I174" s="20" t="inlineStr">
        <is>
          <t>따뜻한 음료로 속을 달래며 부족한 한 끼를 조금 채워요. 한 끼 전체를 대신하지는 않아요.</t>
        </is>
      </c>
      <c r="J174" s="19" t="inlineStr">
        <is>
          <t>INCREASE</t>
        </is>
      </c>
      <c r="K174" s="6" t="n"/>
      <c r="L174" s="19" t="inlineStr">
        <is>
          <t>WHO-DIET</t>
        </is>
      </c>
      <c r="M174" s="20" t="inlineStr">
        <is>
          <t>10-07 추가. 저녁 회복 목표용. 식후 가능</t>
        </is>
      </c>
      <c r="N174" s="19" t="n">
        <v>204</v>
      </c>
    </row>
    <row r="175">
      <c r="A175" s="19" t="inlineStr">
        <is>
          <t>DIET-P-0271</t>
        </is>
      </c>
      <c r="B175" s="19" t="inlineStr">
        <is>
          <t>1.0.0</t>
        </is>
      </c>
      <c r="C175" s="19" t="inlineStr">
        <is>
          <t>사용</t>
        </is>
      </c>
      <c r="D175" s="19" t="inlineStr">
        <is>
          <t>RECOVERY</t>
        </is>
      </c>
      <c r="E175" s="6" t="n"/>
      <c r="F175" s="6" t="n"/>
      <c r="G175" s="19" t="inlineStr">
        <is>
          <t>내일 아침 챙길 것 준비하기</t>
        </is>
      </c>
      <c r="H175" s="20" t="inlineStr">
        <is>
          <t>내일 아침에 먹을 것을 자기 전에 미리 준비해 두세요.</t>
        </is>
      </c>
      <c r="I175" s="20" t="inlineStr">
        <is>
          <t>저녁을 적게 먹은 날은 내일 아침거리를 미리 준비해 둬요.</t>
        </is>
      </c>
      <c r="J175" s="19" t="inlineStr">
        <is>
          <t>INCREASE</t>
        </is>
      </c>
      <c r="K175" s="6" t="n"/>
      <c r="L175" s="19" t="inlineStr">
        <is>
          <t>WHO-DIET</t>
        </is>
      </c>
      <c r="M175" s="20" t="inlineStr">
        <is>
          <t>10-07 추가. 저녁 회복 목표용. 식후 가능</t>
        </is>
      </c>
      <c r="N175" s="19" t="n">
        <v>205</v>
      </c>
    </row>
    <row r="176" ht="26" customHeight="1">
      <c r="A176" s="19" t="inlineStr">
        <is>
          <t>DIET-P-0272</t>
        </is>
      </c>
      <c r="B176" s="19" t="inlineStr">
        <is>
          <t>1.0.0</t>
        </is>
      </c>
      <c r="C176" s="19" t="inlineStr">
        <is>
          <t>사용</t>
        </is>
      </c>
      <c r="D176" s="19" t="inlineStr">
        <is>
          <t>RECOVERY</t>
        </is>
      </c>
      <c r="E176" s="6" t="n"/>
      <c r="F176" s="6" t="n"/>
      <c r="G176" s="19" t="inlineStr">
        <is>
          <t>입맛 없는 날 적어 두기</t>
        </is>
      </c>
      <c r="H176" s="20" t="inlineStr">
        <is>
          <t>입맛이 없던 날과 그때 상황을 짧게 메모해 두세요.</t>
        </is>
      </c>
      <c r="I176" s="20" t="inlineStr">
        <is>
          <t>식욕이 떨어지는 때를 알면 식사를 챙기기 쉬워요.</t>
        </is>
      </c>
      <c r="J176" s="6" t="n"/>
      <c r="K176" s="6" t="n"/>
      <c r="L176" s="6" t="n"/>
      <c r="M176" s="20" t="inlineStr">
        <is>
          <t>10-07 추가. 먹는 양을 바꾸지 않는 행동이라 신장질환 사용자의 회복 목표로도 쓸 수 있음. 식후 가능</t>
        </is>
      </c>
      <c r="N176" s="19" t="n">
        <v>206</v>
      </c>
    </row>
    <row r="177" ht="26" customHeight="1">
      <c r="A177" s="19" t="inlineStr">
        <is>
          <t>DIET-P-0273</t>
        </is>
      </c>
      <c r="B177" s="19" t="inlineStr">
        <is>
          <t>1.0.0</t>
        </is>
      </c>
      <c r="C177" s="19" t="inlineStr">
        <is>
          <t>사용</t>
        </is>
      </c>
      <c r="D177" s="19" t="inlineStr">
        <is>
          <t>RECOVERY</t>
        </is>
      </c>
      <c r="E177" s="6" t="n"/>
      <c r="F177" s="6" t="n"/>
      <c r="G177" s="19" t="inlineStr">
        <is>
          <t>식사 시간 정해 두기</t>
        </is>
      </c>
      <c r="H177" s="20" t="inlineStr">
        <is>
          <t>끼니를 놓치지 않도록 하루 식사 시간을 미리 정해 두세요.</t>
        </is>
      </c>
      <c r="I177" s="20" t="inlineStr">
        <is>
          <t>시간이 일정하면 끼니를 놓치기 어려워요.</t>
        </is>
      </c>
      <c r="J177" s="6" t="n"/>
      <c r="K177" s="6" t="n"/>
      <c r="L177" s="19" t="inlineStr">
        <is>
          <t>MOHW-DIETGUIDE</t>
        </is>
      </c>
      <c r="M177" s="20" t="inlineStr">
        <is>
          <t>10-07 추가. 먹는 양을 바꾸지 않는 행동이라 신장질환 사용자의 회복 목표로도 쓸 수 있음. 식후 가능</t>
        </is>
      </c>
      <c r="N177" s="19" t="n">
        <v>207</v>
      </c>
    </row>
    <row r="178" ht="25" customHeight="1">
      <c r="A178" s="6" t="inlineStr">
        <is>
          <t>DIET-P-0274</t>
        </is>
      </c>
      <c r="B178" s="6" t="inlineStr">
        <is>
          <t>1.0.0</t>
        </is>
      </c>
      <c r="C178" s="6" t="inlineStr">
        <is>
          <t>사용</t>
        </is>
      </c>
      <c r="D178" s="6" t="inlineStr">
        <is>
          <t>AXIS_STAGE</t>
        </is>
      </c>
      <c r="E178" s="6" t="inlineStr">
        <is>
          <t>DIET-Q-00</t>
        </is>
      </c>
      <c r="F178" s="6" t="inlineStr">
        <is>
          <t>INTRO</t>
        </is>
      </c>
      <c r="G178" s="6" t="inlineStr">
        <is>
          <t>아침 메뉴 미리 정하기</t>
        </is>
      </c>
      <c r="H178" s="5" t="inlineStr">
        <is>
          <t>내일 아침에 무엇을 먹을지 메뉴를 미리 정해 두세요.</t>
        </is>
      </c>
      <c r="I178" s="5" t="inlineStr">
        <is>
          <t>메뉴가 정해져 있으면 아침을 챙기기 쉬워요.</t>
        </is>
      </c>
      <c r="J178" s="6" t="n"/>
      <c r="K178" s="6" t="n"/>
      <c r="L178" s="6" t="inlineStr">
        <is>
          <t>MOHW-DIETGUIDE</t>
        </is>
      </c>
      <c r="M178" s="5" t="inlineStr">
        <is>
          <t>10-13 추가(추가문구 검수표 1번 · 저녁·새벽 문구). 근거: 국민 공통 식생활지침(보건복지부 2021) 2. 아침밥 꼭 먹기 · 규칙적인 식사</t>
        </is>
      </c>
      <c r="N178" s="6" t="inlineStr">
        <is>
          <t>검수표 1</t>
        </is>
      </c>
    </row>
    <row r="179" ht="25" customHeight="1">
      <c r="A179" s="6" t="inlineStr">
        <is>
          <t>DIET-P-0275</t>
        </is>
      </c>
      <c r="B179" s="6" t="inlineStr">
        <is>
          <t>1.0.0</t>
        </is>
      </c>
      <c r="C179" s="6" t="inlineStr">
        <is>
          <t>사용</t>
        </is>
      </c>
      <c r="D179" s="6" t="inlineStr">
        <is>
          <t>AXIS_STAGE</t>
        </is>
      </c>
      <c r="E179" s="6" t="inlineStr">
        <is>
          <t>DIET-Q-00</t>
        </is>
      </c>
      <c r="F179" s="6" t="inlineStr">
        <is>
          <t>INTRO</t>
        </is>
      </c>
      <c r="G179" s="6" t="inlineStr">
        <is>
          <t>점심시간 적어 두기</t>
        </is>
      </c>
      <c r="H179" s="5" t="inlineStr">
        <is>
          <t>내일 점심을 먹을 시간을 일정표에 적어 두세요.</t>
        </is>
      </c>
      <c r="I179" s="5" t="inlineStr">
        <is>
          <t>시간을 적어 두면 바쁜 날에도 점심을 챙겨요.</t>
        </is>
      </c>
      <c r="J179" s="6" t="n"/>
      <c r="K179" s="6" t="n"/>
      <c r="L179" s="6" t="inlineStr">
        <is>
          <t>MOHW-DIETGUIDE</t>
        </is>
      </c>
      <c r="M179" s="5" t="inlineStr">
        <is>
          <t>10-13 추가(추가문구 검수표 2번 · 저녁·새벽 문구). 근거: 국민 공통 식생활지침(보건복지부 2021) 2. 아침밥 꼭 먹기 · 규칙적인 식사</t>
        </is>
      </c>
      <c r="N179" s="6" t="inlineStr">
        <is>
          <t>검수표 2</t>
        </is>
      </c>
    </row>
    <row r="180" ht="37.5" customHeight="1">
      <c r="A180" s="6" t="inlineStr">
        <is>
          <t>DIET-P-0276</t>
        </is>
      </c>
      <c r="B180" s="6" t="inlineStr">
        <is>
          <t>1.0.0</t>
        </is>
      </c>
      <c r="C180" s="6" t="inlineStr">
        <is>
          <t>사용</t>
        </is>
      </c>
      <c r="D180" s="6" t="inlineStr">
        <is>
          <t>AXIS_STAGE</t>
        </is>
      </c>
      <c r="E180" s="6" t="inlineStr">
        <is>
          <t>DIET-Q-01</t>
        </is>
      </c>
      <c r="F180" s="6" t="inlineStr">
        <is>
          <t>INTRO</t>
        </is>
      </c>
      <c r="G180" s="6" t="inlineStr">
        <is>
          <t>내일 채소 꺼내 두기</t>
        </is>
      </c>
      <c r="H180" s="5" t="inlineStr">
        <is>
          <t>내일 먹을 채소를 냉장고에서 잘 보이는 곳에 꺼내 두세요.</t>
        </is>
      </c>
      <c r="I180" s="5" t="inlineStr">
        <is>
          <t>미리 꺼내 두면 다음 날 손이 먼저 가요.</t>
        </is>
      </c>
      <c r="J180" s="6" t="n"/>
      <c r="K180" s="6" t="n"/>
      <c r="L180" s="6" t="inlineStr">
        <is>
          <t>MOHW-DIETGUIDE; WHO-DIET</t>
        </is>
      </c>
      <c r="M180" s="5" t="inlineStr">
        <is>
          <t>10-13 추가(추가문구 검수표 3번 · 저녁·새벽 문구). 근거: 국민 공통 식생활지침(보건복지부 2021) 1. 채소 등 다양한 식품 골고루 · WHO 채소·과일 하루 400g 이상 권고</t>
        </is>
      </c>
      <c r="N180" s="6" t="inlineStr">
        <is>
          <t>검수표 3</t>
        </is>
      </c>
    </row>
    <row r="181" ht="37.5" customHeight="1">
      <c r="A181" s="6" t="inlineStr">
        <is>
          <t>DIET-P-0277</t>
        </is>
      </c>
      <c r="B181" s="6" t="inlineStr">
        <is>
          <t>1.0.0</t>
        </is>
      </c>
      <c r="C181" s="6" t="inlineStr">
        <is>
          <t>사용</t>
        </is>
      </c>
      <c r="D181" s="6" t="inlineStr">
        <is>
          <t>AXIS_STAGE</t>
        </is>
      </c>
      <c r="E181" s="6" t="inlineStr">
        <is>
          <t>DIET-Q-01</t>
        </is>
      </c>
      <c r="F181" s="6" t="inlineStr">
        <is>
          <t>BASE</t>
        </is>
      </c>
      <c r="G181" s="6" t="inlineStr">
        <is>
          <t>채소 반찬 만들어 두기</t>
        </is>
      </c>
      <c r="H181" s="5" t="inlineStr">
        <is>
          <t>채소 반찬을 한 가지 만들어 두고 내일 꺼내 드세요.</t>
        </is>
      </c>
      <c r="I181" s="5" t="inlineStr">
        <is>
          <t>만들어 둔 반찬은 바쁜 날에도 꺼내 먹기 쉬워요.</t>
        </is>
      </c>
      <c r="J181" s="6" t="n"/>
      <c r="K181" s="6" t="n"/>
      <c r="L181" s="6" t="inlineStr">
        <is>
          <t>MOHW-DIETGUIDE; WHO-DIET</t>
        </is>
      </c>
      <c r="M181" s="5" t="inlineStr">
        <is>
          <t>10-13 추가(추가문구 검수표 4번 · 저녁·새벽 문구). 근거: 국민 공통 식생활지침(보건복지부 2021) 1. 채소 등 다양한 식품 골고루 · WHO 채소·과일 하루 400g 이상 권고</t>
        </is>
      </c>
      <c r="N181" s="6" t="inlineStr">
        <is>
          <t>검수표 4</t>
        </is>
      </c>
    </row>
    <row r="182" ht="37.5" customHeight="1">
      <c r="A182" s="6" t="inlineStr">
        <is>
          <t>DIET-P-0278</t>
        </is>
      </c>
      <c r="B182" s="6" t="inlineStr">
        <is>
          <t>1.0.0</t>
        </is>
      </c>
      <c r="C182" s="6" t="inlineStr">
        <is>
          <t>사용</t>
        </is>
      </c>
      <c r="D182" s="6" t="inlineStr">
        <is>
          <t>AXIS_STAGE</t>
        </is>
      </c>
      <c r="E182" s="6" t="inlineStr">
        <is>
          <t>DIET-Q-01</t>
        </is>
      </c>
      <c r="F182" s="6" t="inlineStr">
        <is>
          <t>CHALLENGE</t>
        </is>
      </c>
      <c r="G182" s="6" t="inlineStr">
        <is>
          <t>점심 채소 반찬 2가지</t>
        </is>
      </c>
      <c r="H182" s="5" t="inlineStr">
        <is>
          <t>내일 점심에는 채소 반찬을 두 가지 곁들여 드세요.</t>
        </is>
      </c>
      <c r="I182" s="5" t="inlineStr">
        <is>
          <t>채소 반찬을 두 가지로 늘리면 한 끼 채소가 넉넉해요.</t>
        </is>
      </c>
      <c r="J182" s="6" t="inlineStr">
        <is>
          <t>INCREASE</t>
        </is>
      </c>
      <c r="K182" s="6" t="n"/>
      <c r="L182" s="6" t="inlineStr">
        <is>
          <t>MOHW-DIETGUIDE; WHO-DIET</t>
        </is>
      </c>
      <c r="M182" s="5" t="inlineStr">
        <is>
          <t>10-13 추가(추가문구 검수표 5번 · 저녁·새벽 문구). 근거: 국민 공통 식생활지침(보건복지부 2021) 1. 채소 등 다양한 식품 골고루 · WHO 채소·과일 하루 400g 이상 권고</t>
        </is>
      </c>
      <c r="N182" s="6" t="inlineStr">
        <is>
          <t>검수표 5</t>
        </is>
      </c>
    </row>
    <row r="183" ht="37.5" customHeight="1">
      <c r="A183" s="6" t="inlineStr">
        <is>
          <t>DIET-P-0279</t>
        </is>
      </c>
      <c r="B183" s="6" t="inlineStr">
        <is>
          <t>1.0.0</t>
        </is>
      </c>
      <c r="C183" s="6" t="inlineStr">
        <is>
          <t>사용</t>
        </is>
      </c>
      <c r="D183" s="6" t="inlineStr">
        <is>
          <t>AXIS_STAGE</t>
        </is>
      </c>
      <c r="E183" s="6" t="inlineStr">
        <is>
          <t>DIET-Q-02</t>
        </is>
      </c>
      <c r="F183" s="6" t="inlineStr">
        <is>
          <t>INTRO</t>
        </is>
      </c>
      <c r="G183" s="6" t="inlineStr">
        <is>
          <t>단 간식 치워 두기</t>
        </is>
      </c>
      <c r="H183" s="5" t="inlineStr">
        <is>
          <t>눈에 보이는 곳에 있는 단 간식을 서랍이나 찬장에 치워 두세요.</t>
        </is>
      </c>
      <c r="I183" s="5" t="inlineStr">
        <is>
          <t>눈에 띄지 않으면 자연스럽게 덜 찾게 돼요.</t>
        </is>
      </c>
      <c r="J183" s="6" t="n"/>
      <c r="K183" s="6" t="n"/>
      <c r="L183" s="6" t="inlineStr">
        <is>
          <t>MOHW-DIETGUIDE; WHO-SUGAR; MFDS-SUGAR</t>
        </is>
      </c>
      <c r="M183" s="5" t="inlineStr">
        <is>
          <t>10-13 추가(추가문구 검수표 6번 · 저녁·새벽 문구). 근거: 국민 공통 식생활지침(보건복지부 2021) 4. 덜 달게 · 5. 단 음료 대신 물 · WHO 유리당 하루 열량 10% 미만 권고</t>
        </is>
      </c>
      <c r="N183" s="6" t="inlineStr">
        <is>
          <t>검수표 6</t>
        </is>
      </c>
    </row>
    <row r="184" ht="37.5" customHeight="1">
      <c r="A184" s="6" t="inlineStr">
        <is>
          <t>DIET-P-0280</t>
        </is>
      </c>
      <c r="B184" s="6" t="inlineStr">
        <is>
          <t>1.0.0</t>
        </is>
      </c>
      <c r="C184" s="6" t="inlineStr">
        <is>
          <t>사용</t>
        </is>
      </c>
      <c r="D184" s="6" t="inlineStr">
        <is>
          <t>AXIS_STAGE</t>
        </is>
      </c>
      <c r="E184" s="6" t="inlineStr">
        <is>
          <t>DIET-Q-02</t>
        </is>
      </c>
      <c r="F184" s="6" t="inlineStr">
        <is>
          <t>INTRO</t>
        </is>
      </c>
      <c r="G184" s="6" t="inlineStr">
        <is>
          <t>오늘 단 음료 돌아보기</t>
        </is>
      </c>
      <c r="H184" s="5" t="inlineStr">
        <is>
          <t>오늘 단 음료를 언제, 몇 잔 마셨는지 떠올려 보세요.</t>
        </is>
      </c>
      <c r="I184" s="5" t="inlineStr">
        <is>
          <t>돌아보면 내일 줄일 때가 보여요.</t>
        </is>
      </c>
      <c r="J184" s="6" t="n"/>
      <c r="K184" s="6" t="n"/>
      <c r="L184" s="6" t="inlineStr">
        <is>
          <t>MOHW-DIETGUIDE; WHO-SUGAR; MFDS-SUGAR</t>
        </is>
      </c>
      <c r="M184" s="5" t="inlineStr">
        <is>
          <t>10-13 추가(추가문구 검수표 7번 · 저녁·새벽 문구). 근거: 국민 공통 식생활지침(보건복지부 2021) 4. 덜 달게 · 5. 단 음료 대신 물 · WHO 유리당 하루 열량 10% 미만 권고</t>
        </is>
      </c>
      <c r="N184" s="6" t="inlineStr">
        <is>
          <t>검수표 7</t>
        </is>
      </c>
    </row>
    <row r="185" ht="37.5" customHeight="1">
      <c r="A185" s="6" t="inlineStr">
        <is>
          <t>DIET-P-0281</t>
        </is>
      </c>
      <c r="B185" s="6" t="inlineStr">
        <is>
          <t>1.0.0</t>
        </is>
      </c>
      <c r="C185" s="6" t="inlineStr">
        <is>
          <t>사용</t>
        </is>
      </c>
      <c r="D185" s="6" t="inlineStr">
        <is>
          <t>AXIS_STAGE</t>
        </is>
      </c>
      <c r="E185" s="6" t="inlineStr">
        <is>
          <t>DIET-Q-03</t>
        </is>
      </c>
      <c r="F185" s="6" t="inlineStr">
        <is>
          <t>INTRO</t>
        </is>
      </c>
      <c r="G185" s="6" t="inlineStr">
        <is>
          <t>작은 국그릇 쓰기</t>
        </is>
      </c>
      <c r="H185" s="5" t="inlineStr">
        <is>
          <t>국을 평소보다 작은 그릇에 담아 드세요.</t>
        </is>
      </c>
      <c r="I185" s="5" t="inlineStr">
        <is>
          <t>그릇이 작으면 국물도 자연히 덜 먹게 돼요.</t>
        </is>
      </c>
      <c r="J185" s="6" t="inlineStr">
        <is>
          <t>REDUCE</t>
        </is>
      </c>
      <c r="K185" s="6" t="n"/>
      <c r="L185" s="6" t="inlineStr">
        <is>
          <t>MOHW-DIETGUIDE; WHO-DIET; MFDS-SODIUM; KSH-2022</t>
        </is>
      </c>
      <c r="M185" s="5" t="inlineStr">
        <is>
          <t>10-13 추가(추가문구 검수표 8번 · 저녁·새벽 문구). 근거: 국민 공통 식생활지침(보건복지부 2021) 4. 덜 짜게 · WHO 나트륨 하루 2,000mg 미만 권고 · 국·찌개가 나트륨 주 공급원(국민건강영양조사)</t>
        </is>
      </c>
      <c r="N185" s="6" t="inlineStr">
        <is>
          <t>검수표 8</t>
        </is>
      </c>
    </row>
    <row r="186" ht="37.5" customHeight="1">
      <c r="A186" s="6" t="inlineStr">
        <is>
          <t>DIET-P-0282</t>
        </is>
      </c>
      <c r="B186" s="6" t="inlineStr">
        <is>
          <t>1.0.0</t>
        </is>
      </c>
      <c r="C186" s="6" t="inlineStr">
        <is>
          <t>사용</t>
        </is>
      </c>
      <c r="D186" s="6" t="inlineStr">
        <is>
          <t>AXIS_STAGE</t>
        </is>
      </c>
      <c r="E186" s="6" t="inlineStr">
        <is>
          <t>DIET-Q-03</t>
        </is>
      </c>
      <c r="F186" s="6" t="inlineStr">
        <is>
          <t>INTRO</t>
        </is>
      </c>
      <c r="G186" s="6" t="inlineStr">
        <is>
          <t>저염 제품 적어 두기</t>
        </is>
      </c>
      <c r="H186" s="5" t="inlineStr">
        <is>
          <t>다음에 장 볼 때 살 저염 제품을 미리 적어 두세요.</t>
        </is>
      </c>
      <c r="I186" s="5" t="inlineStr">
        <is>
          <t>적어 두면 장 볼 때 덜 짠 제품을 고르기 쉬워요.</t>
        </is>
      </c>
      <c r="J186" s="6" t="n"/>
      <c r="K186" s="6" t="n"/>
      <c r="L186" s="6" t="inlineStr">
        <is>
          <t>MOHW-DIETGUIDE; WHO-DIET; MFDS-SODIUM; KSH-2022</t>
        </is>
      </c>
      <c r="M186" s="5" t="inlineStr">
        <is>
          <t>10-13 추가(추가문구 검수표 9번 · 저녁·새벽 문구). 근거: 국민 공통 식생활지침(보건복지부 2021) 4. 덜 짜게 · WHO 나트륨 하루 2,000mg 미만 권고 · 국·찌개가 나트륨 주 공급원(국민건강영양조사)</t>
        </is>
      </c>
      <c r="N186" s="6" t="inlineStr">
        <is>
          <t>검수표 9</t>
        </is>
      </c>
    </row>
    <row r="187" ht="25" customHeight="1">
      <c r="A187" s="6" t="inlineStr">
        <is>
          <t>DIET-P-0283</t>
        </is>
      </c>
      <c r="B187" s="6" t="inlineStr">
        <is>
          <t>1.0.0</t>
        </is>
      </c>
      <c r="C187" s="6" t="inlineStr">
        <is>
          <t>사용</t>
        </is>
      </c>
      <c r="D187" s="6" t="inlineStr">
        <is>
          <t>AXIS_STAGE</t>
        </is>
      </c>
      <c r="E187" s="6" t="inlineStr">
        <is>
          <t>DIET-Q-04</t>
        </is>
      </c>
      <c r="F187" s="6" t="inlineStr">
        <is>
          <t>INTRO</t>
        </is>
      </c>
      <c r="G187" s="6" t="inlineStr">
        <is>
          <t>내일 저녁 시각 정하기</t>
        </is>
      </c>
      <c r="H187" s="5" t="inlineStr">
        <is>
          <t>내일 저녁을 몇 시에 먹을지 미리 정해 두세요.</t>
        </is>
      </c>
      <c r="I187" s="5" t="inlineStr">
        <is>
          <t>시각을 정해 두면 늦은 저녁을 피하기 쉬워요.</t>
        </is>
      </c>
      <c r="J187" s="6" t="n"/>
      <c r="K187" s="6" t="n"/>
      <c r="L187" s="6" t="inlineStr">
        <is>
          <t>MOHW-DIETGUIDE; NIDDK-GERD</t>
        </is>
      </c>
      <c r="M187" s="5" t="inlineStr">
        <is>
          <t>10-13 추가(추가문구 검수표 10번 · 저녁·새벽 문구). 근거: 국민 공통 식생활지침(보건복지부 2021) 2. 아침밥 꼭 먹기 · 규칙적인 식사</t>
        </is>
      </c>
      <c r="N187" s="6" t="inlineStr">
        <is>
          <t>검수표 10</t>
        </is>
      </c>
    </row>
    <row r="188" ht="37.5" customHeight="1">
      <c r="A188" s="6" t="inlineStr">
        <is>
          <t>DIET-P-0284</t>
        </is>
      </c>
      <c r="B188" s="6" t="inlineStr">
        <is>
          <t>1.0.0</t>
        </is>
      </c>
      <c r="C188" s="6" t="inlineStr">
        <is>
          <t>사용</t>
        </is>
      </c>
      <c r="D188" s="6" t="inlineStr">
        <is>
          <t>AXIS_STAGE</t>
        </is>
      </c>
      <c r="E188" s="6" t="inlineStr">
        <is>
          <t>DIET-Q-04</t>
        </is>
      </c>
      <c r="F188" s="6" t="inlineStr">
        <is>
          <t>INTRO</t>
        </is>
      </c>
      <c r="G188" s="6" t="inlineStr">
        <is>
          <t>9시 후엔 주방 닫기</t>
        </is>
      </c>
      <c r="H188" s="5" t="inlineStr">
        <is>
          <t>밤 9시가 지나면 주방 불을 끄고 더 먹지 않기로 해 보세요.</t>
        </is>
      </c>
      <c r="I188" s="5" t="inlineStr">
        <is>
          <t>주방을 닫아 두면 밤 군것질이 줄어요.</t>
        </is>
      </c>
      <c r="J188" s="6" t="n"/>
      <c r="K188" s="6" t="n"/>
      <c r="L188" s="6" t="inlineStr">
        <is>
          <t>MOHW-DIETGUIDE; NIDDK-GERD</t>
        </is>
      </c>
      <c r="M188" s="5" t="inlineStr">
        <is>
          <t>10-13 추가(추가문구 검수표 11번 · 저녁·새벽 문구). 근거: 국민 공통 식생활지침(보건복지부 2021) 3. 과식 피하기 · 위식도역류 생활수칙(대한소화기학회): 잠들기 전 식사 피하기</t>
        </is>
      </c>
      <c r="N188" s="6" t="inlineStr">
        <is>
          <t>검수표 11</t>
        </is>
      </c>
    </row>
    <row r="189" ht="25" customHeight="1">
      <c r="A189" s="6" t="inlineStr">
        <is>
          <t>DIET-P-0285</t>
        </is>
      </c>
      <c r="B189" s="6" t="inlineStr">
        <is>
          <t>1.0.0</t>
        </is>
      </c>
      <c r="C189" s="6" t="inlineStr">
        <is>
          <t>사용</t>
        </is>
      </c>
      <c r="D189" s="6" t="inlineStr">
        <is>
          <t>AXIS_STAGE</t>
        </is>
      </c>
      <c r="E189" s="6" t="inlineStr">
        <is>
          <t>DIET-Q-05</t>
        </is>
      </c>
      <c r="F189" s="6" t="inlineStr">
        <is>
          <t>INTRO</t>
        </is>
      </c>
      <c r="G189" s="6" t="inlineStr">
        <is>
          <t>식사 속도 돌아보기</t>
        </is>
      </c>
      <c r="H189" s="5" t="inlineStr">
        <is>
          <t>오늘 끼니를 얼마나 빨리 먹었는지 떠올려 보세요.</t>
        </is>
      </c>
      <c r="I189" s="5" t="inlineStr">
        <is>
          <t>돌아보면 내일 천천히 먹을 끼니가 보여요.</t>
        </is>
      </c>
      <c r="J189" s="6" t="n"/>
      <c r="K189" s="6" t="n"/>
      <c r="L189" s="6" t="inlineStr">
        <is>
          <t>MOHW-DIETGUIDE; KSSO-OBESITY</t>
        </is>
      </c>
      <c r="M189" s="5" t="inlineStr">
        <is>
          <t>10-13 추가(추가문구 검수표 12번 · 저녁·새벽 문구). 근거: 국민 공통 식생활지침(보건복지부 2021) 3. 과식 피하기 · 천천히 먹기와 포만감(식사 속도 연구)</t>
        </is>
      </c>
      <c r="N189" s="6" t="inlineStr">
        <is>
          <t>검수표 12</t>
        </is>
      </c>
    </row>
    <row r="190" ht="25" customHeight="1">
      <c r="A190" s="6" t="inlineStr">
        <is>
          <t>DIET-P-0286</t>
        </is>
      </c>
      <c r="B190" s="6" t="inlineStr">
        <is>
          <t>1.0.0</t>
        </is>
      </c>
      <c r="C190" s="6" t="inlineStr">
        <is>
          <t>사용</t>
        </is>
      </c>
      <c r="D190" s="6" t="inlineStr">
        <is>
          <t>AXIS_STAGE</t>
        </is>
      </c>
      <c r="E190" s="6" t="inlineStr">
        <is>
          <t>DIET-Q-05</t>
        </is>
      </c>
      <c r="F190" s="6" t="inlineStr">
        <is>
          <t>INTRO</t>
        </is>
      </c>
      <c r="G190" s="6" t="inlineStr">
        <is>
          <t>작은 그릇 꺼내 두기</t>
        </is>
      </c>
      <c r="H190" s="5" t="inlineStr">
        <is>
          <t>내일 쓸 작은 밥그릇이나 접시를 미리 꺼내 두세요.</t>
        </is>
      </c>
      <c r="I190" s="5" t="inlineStr">
        <is>
          <t>그릇이 작으면 먹을 양을 가늠하기 쉬워요.</t>
        </is>
      </c>
      <c r="J190" s="6" t="inlineStr">
        <is>
          <t>REDUCE</t>
        </is>
      </c>
      <c r="K190" s="6" t="n"/>
      <c r="L190" s="6" t="inlineStr">
        <is>
          <t>MOHW-DIETGUIDE; KSSO-OBESITY</t>
        </is>
      </c>
      <c r="M190" s="5" t="inlineStr">
        <is>
          <t>10-13 추가(추가문구 검수표 13번 · 저녁·새벽 문구). 근거: 국민 공통 식생활지침(보건복지부 2021) 3. 과식 피하기 · 천천히 먹기와 포만감(식사 속도 연구)</t>
        </is>
      </c>
      <c r="N190" s="6" t="inlineStr">
        <is>
          <t>검수표 13</t>
        </is>
      </c>
    </row>
    <row r="191" ht="37.5" customHeight="1">
      <c r="A191" s="6" t="inlineStr">
        <is>
          <t>DIET-P-0287</t>
        </is>
      </c>
      <c r="B191" s="6" t="inlineStr">
        <is>
          <t>1.0.0</t>
        </is>
      </c>
      <c r="C191" s="6" t="inlineStr">
        <is>
          <t>사용</t>
        </is>
      </c>
      <c r="D191" s="6" t="inlineStr">
        <is>
          <t>AXIS_STAGE</t>
        </is>
      </c>
      <c r="E191" s="6" t="inlineStr">
        <is>
          <t>DIET-Q-06</t>
        </is>
      </c>
      <c r="F191" s="6" t="inlineStr">
        <is>
          <t>INTRO</t>
        </is>
      </c>
      <c r="G191" s="6" t="inlineStr">
        <is>
          <t>내일 반찬은 두부 요리</t>
        </is>
      </c>
      <c r="H191" s="5" t="inlineStr">
        <is>
          <t>내일 반찬으로 두부조림이나 두부부침을 준비해 보세요.</t>
        </is>
      </c>
      <c r="I191" s="5" t="inlineStr">
        <is>
          <t>두부 반찬은 손쉬운 단백질 반찬이에요.</t>
        </is>
      </c>
      <c r="J191" s="6" t="n"/>
      <c r="K191" s="6" t="n"/>
      <c r="L191" s="6" t="inlineStr">
        <is>
          <t>MOHW-DIETGUIDE; WHO-DIET</t>
        </is>
      </c>
      <c r="M191" s="5" t="inlineStr">
        <is>
          <t>10-13 추가(추가문구 검수표 14번 · 저녁·새벽 문구). 근거: 국민 공통 식생활지침(보건복지부 2021) 1. 다양한 식품 골고루 · 2020 한국인 영양소 섭취기준(단백질 끼니별 고른 섭취) · 10-19 특정 음식 이름을 음식 종류로</t>
        </is>
      </c>
      <c r="N191" s="6" t="inlineStr">
        <is>
          <t>검수표 14</t>
        </is>
      </c>
    </row>
    <row r="192" ht="37.5" customHeight="1">
      <c r="A192" s="6" t="inlineStr">
        <is>
          <t>DIET-P-0288</t>
        </is>
      </c>
      <c r="B192" s="6" t="inlineStr">
        <is>
          <t>1.0.0</t>
        </is>
      </c>
      <c r="C192" s="6" t="inlineStr">
        <is>
          <t>사용</t>
        </is>
      </c>
      <c r="D192" s="6" t="inlineStr">
        <is>
          <t>AXIS_STAGE</t>
        </is>
      </c>
      <c r="E192" s="6" t="inlineStr">
        <is>
          <t>DIET-Q-06</t>
        </is>
      </c>
      <c r="F192" s="6" t="inlineStr">
        <is>
          <t>INTRO</t>
        </is>
      </c>
      <c r="G192" s="6" t="inlineStr">
        <is>
          <t>달걀 한 판 사 두기</t>
        </is>
      </c>
      <c r="H192" s="5" t="inlineStr">
        <is>
          <t>장 볼 때 달걀을 한 판 사서 집에 두세요.</t>
        </is>
      </c>
      <c r="I192" s="5" t="inlineStr">
        <is>
          <t>달걀이 있으면 끼니마다 단백질을 챙기기 쉬워요.</t>
        </is>
      </c>
      <c r="J192" s="6" t="inlineStr">
        <is>
          <t>INCREASE</t>
        </is>
      </c>
      <c r="K192" s="6" t="n"/>
      <c r="L192" s="6" t="inlineStr">
        <is>
          <t>MOHW-DIETGUIDE; WHO-DIET</t>
        </is>
      </c>
      <c r="M192" s="5" t="inlineStr">
        <is>
          <t>10-13 추가(추가문구 검수표 15번 · 저녁·새벽 문구). 근거: 국민 공통 식생활지침(보건복지부 2021) 1. 다양한 식품 골고루 · 2020 한국인 영양소 섭취기준(단백질 끼니별 고른 섭취)</t>
        </is>
      </c>
      <c r="N192" s="6" t="inlineStr">
        <is>
          <t>검수표 15</t>
        </is>
      </c>
    </row>
    <row r="193" ht="25" customHeight="1">
      <c r="A193" s="6" t="inlineStr">
        <is>
          <t>DIET-P-0289</t>
        </is>
      </c>
      <c r="B193" s="6" t="inlineStr">
        <is>
          <t>1.0.0</t>
        </is>
      </c>
      <c r="C193" s="6" t="inlineStr">
        <is>
          <t>사용</t>
        </is>
      </c>
      <c r="D193" s="6" t="inlineStr">
        <is>
          <t>AXIS_STAGE</t>
        </is>
      </c>
      <c r="E193" s="6" t="inlineStr">
        <is>
          <t>DIET-Q-07</t>
        </is>
      </c>
      <c r="F193" s="6" t="inlineStr">
        <is>
          <t>INTRO</t>
        </is>
      </c>
      <c r="G193" s="6" t="inlineStr">
        <is>
          <t>내일 반찬은 생선구이</t>
        </is>
      </c>
      <c r="H193" s="5" t="inlineStr">
        <is>
          <t>내일 반찬으로 튀김 대신 고등어 같은 생선구이를 준비해 보세요.</t>
        </is>
      </c>
      <c r="I193" s="5" t="inlineStr">
        <is>
          <t>생선구이는 튀김보다 기름이 덜 들어가요.</t>
        </is>
      </c>
      <c r="J193" s="6" t="inlineStr">
        <is>
          <t>TEXTURE</t>
        </is>
      </c>
      <c r="K193" s="6" t="n"/>
      <c r="L193" s="6" t="inlineStr">
        <is>
          <t>MOHW-DIETGUIDE; WHO-FAT-2023; KSoLA-2022</t>
        </is>
      </c>
      <c r="M193" s="5" t="inlineStr">
        <is>
          <t>10-13 추가(추가문구 검수표 16번 · 저녁·새벽 문구). 근거: 국민 공통 식생활지침(보건복지부 2021) 4. 덜 기름지게 · WHO 포화지방 하루 열량 10% 미만 권고 · 10-19 특정 음식 이름을 음식 종류로</t>
        </is>
      </c>
      <c r="N193" s="6" t="inlineStr">
        <is>
          <t>검수표 16</t>
        </is>
      </c>
    </row>
    <row r="194" ht="25" customHeight="1">
      <c r="A194" s="6" t="inlineStr">
        <is>
          <t>DIET-P-0290</t>
        </is>
      </c>
      <c r="B194" s="6" t="inlineStr">
        <is>
          <t>1.0.0</t>
        </is>
      </c>
      <c r="C194" s="6" t="inlineStr">
        <is>
          <t>사용</t>
        </is>
      </c>
      <c r="D194" s="6" t="inlineStr">
        <is>
          <t>AXIS_STAGE</t>
        </is>
      </c>
      <c r="E194" s="6" t="inlineStr">
        <is>
          <t>DIET-Q-07</t>
        </is>
      </c>
      <c r="F194" s="6" t="inlineStr">
        <is>
          <t>INTRO</t>
        </is>
      </c>
      <c r="G194" s="6" t="inlineStr">
        <is>
          <t>튀김 대신 달걀찜</t>
        </is>
      </c>
      <c r="H194" s="5" t="inlineStr">
        <is>
          <t>튀김 반찬 대신 기름 없이 만드는 달걀찜을 드세요.</t>
        </is>
      </c>
      <c r="I194" s="5" t="inlineStr">
        <is>
          <t>달걀찜은 기름 없이 만드는 반찬이에요.</t>
        </is>
      </c>
      <c r="J194" s="6" t="inlineStr">
        <is>
          <t>TEXTURE</t>
        </is>
      </c>
      <c r="K194" s="6" t="n"/>
      <c r="L194" s="6" t="inlineStr">
        <is>
          <t>MOHW-DIETGUIDE; WHO-FAT-2023; KSoLA-2022</t>
        </is>
      </c>
      <c r="M194" s="5" t="inlineStr">
        <is>
          <t>10-13 추가(추가문구 검수표 17번 · 저녁·새벽 문구). 근거: 국민 공통 식생활지침(보건복지부 2021) 4. 덜 기름지게 · WHO 포화지방 하루 열량 10% 미만 권고</t>
        </is>
      </c>
      <c r="N194" s="6" t="inlineStr">
        <is>
          <t>검수표 17</t>
        </is>
      </c>
    </row>
    <row r="195" ht="25" customHeight="1">
      <c r="A195" s="6" t="inlineStr">
        <is>
          <t>DIET-P-0291</t>
        </is>
      </c>
      <c r="B195" s="6" t="inlineStr">
        <is>
          <t>1.0.0</t>
        </is>
      </c>
      <c r="C195" s="6" t="inlineStr">
        <is>
          <t>사용</t>
        </is>
      </c>
      <c r="D195" s="6" t="inlineStr">
        <is>
          <t>RECOVERY</t>
        </is>
      </c>
      <c r="E195" s="6" t="n"/>
      <c r="F195" s="6" t="n"/>
      <c r="G195" s="6" t="inlineStr">
        <is>
          <t>오늘 먹은 끼니 적기</t>
        </is>
      </c>
      <c r="H195" s="5" t="inlineStr">
        <is>
          <t>오늘 어떤 끼니를 먹었는지 간단히 적어 보세요.</t>
        </is>
      </c>
      <c r="I195" s="5" t="inlineStr">
        <is>
          <t>오늘 먹은 걸 적어 두면 내일 챙길 끼니가 보여요.</t>
        </is>
      </c>
      <c r="J195" s="6" t="n"/>
      <c r="K195" s="6" t="n"/>
      <c r="L195" s="6" t="inlineStr">
        <is>
          <t>MOHW-DIETGUIDE</t>
        </is>
      </c>
      <c r="M195" s="5" t="inlineStr">
        <is>
          <t>10-13 추가(추가문구 검수표 18번 · 저녁·새벽 문구). 근거: 식욕이 없을 때 식사 요령(대한영양사협회 · 국가암정보센터): 조금씩 자주, 먹기 편한 음식부터</t>
        </is>
      </c>
      <c r="N195" s="6" t="inlineStr">
        <is>
          <t>검수표 18</t>
        </is>
      </c>
    </row>
    <row r="196" ht="25" customHeight="1">
      <c r="A196" s="6" t="inlineStr">
        <is>
          <t>DIET-P-0292</t>
        </is>
      </c>
      <c r="B196" s="6" t="inlineStr">
        <is>
          <t>1.0.0</t>
        </is>
      </c>
      <c r="C196" s="6" t="inlineStr">
        <is>
          <t>사용</t>
        </is>
      </c>
      <c r="D196" s="6" t="inlineStr">
        <is>
          <t>RECOVERY</t>
        </is>
      </c>
      <c r="E196" s="6" t="n"/>
      <c r="F196" s="6" t="n"/>
      <c r="G196" s="6" t="inlineStr">
        <is>
          <t>먹기 편한 시간 적기</t>
        </is>
      </c>
      <c r="H196" s="5" t="inlineStr">
        <is>
          <t>하루 중 음식이 잘 넘어가는 시간을 적어 두세요.</t>
        </is>
      </c>
      <c r="I196" s="5" t="inlineStr">
        <is>
          <t>편한 시간을 알면 끼니를 챙기기 쉬워요.</t>
        </is>
      </c>
      <c r="J196" s="6" t="n"/>
      <c r="K196" s="6" t="n"/>
      <c r="L196" s="6" t="inlineStr">
        <is>
          <t>MOHW-DIETGUIDE</t>
        </is>
      </c>
      <c r="M196" s="5" t="inlineStr">
        <is>
          <t>10-13 추가(추가문구 검수표 19번 · 저녁·새벽 문구). 근거: 식욕이 없을 때 식사 요령(대한영양사협회 · 국가암정보센터): 조금씩 자주, 먹기 편한 음식부터</t>
        </is>
      </c>
      <c r="N196" s="6" t="inlineStr">
        <is>
          <t>검수표 19</t>
        </is>
      </c>
    </row>
    <row r="197" ht="25" customHeight="1">
      <c r="A197" s="6" t="inlineStr">
        <is>
          <t>DIET-P-0293</t>
        </is>
      </c>
      <c r="B197" s="6" t="inlineStr">
        <is>
          <t>1.0.0</t>
        </is>
      </c>
      <c r="C197" s="6" t="inlineStr">
        <is>
          <t>사용</t>
        </is>
      </c>
      <c r="D197" s="6" t="inlineStr">
        <is>
          <t>RECOVERY</t>
        </is>
      </c>
      <c r="E197" s="6" t="n"/>
      <c r="F197" s="6" t="n"/>
      <c r="G197" s="6" t="inlineStr">
        <is>
          <t>내일은 부드러운 한 끼</t>
        </is>
      </c>
      <c r="H197" s="5" t="inlineStr">
        <is>
          <t>입맛이 없다면 내일 한 끼는 죽처럼 부드러운 음식으로 드세요.</t>
        </is>
      </c>
      <c r="I197" s="5" t="inlineStr">
        <is>
          <t>부드러운 음식은 입맛이 없을 때도 먹기 편해요.</t>
        </is>
      </c>
      <c r="J197" s="6" t="inlineStr">
        <is>
          <t>INCREASE</t>
        </is>
      </c>
      <c r="K197" s="6" t="n"/>
      <c r="L197" s="6" t="inlineStr">
        <is>
          <t>MOHW-DIETGUIDE</t>
        </is>
      </c>
      <c r="M197" s="5" t="inlineStr">
        <is>
          <t>10-13 추가(추가문구 검수표 20번 · 저녁·새벽 문구). 근거: 식욕이 없을 때 식사 요령(대한영양사협회 · 국가암정보센터): 조금씩 자주, 먹기 편한 음식부터 · 10-19 특정 음식 이름을 음식 종류로</t>
        </is>
      </c>
      <c r="N197" s="6" t="inlineStr">
        <is>
          <t>검수표 20</t>
        </is>
      </c>
    </row>
    <row r="198" ht="25" customHeight="1">
      <c r="A198" s="6" t="inlineStr">
        <is>
          <t>DIET-P-0294</t>
        </is>
      </c>
      <c r="B198" s="6" t="inlineStr">
        <is>
          <t>1.0.0</t>
        </is>
      </c>
      <c r="C198" s="6" t="inlineStr">
        <is>
          <t>사용</t>
        </is>
      </c>
      <c r="D198" s="6" t="inlineStr">
        <is>
          <t>AXIS_STAGE</t>
        </is>
      </c>
      <c r="E198" s="6" t="inlineStr">
        <is>
          <t>DIET-Q-00</t>
        </is>
      </c>
      <c r="F198" s="6" t="inlineStr">
        <is>
          <t>CHALLENGE</t>
        </is>
      </c>
      <c r="G198" s="6" t="inlineStr">
        <is>
          <t>내일 세 끼 계획하기</t>
        </is>
      </c>
      <c r="H198" s="5" t="inlineStr">
        <is>
          <t>내일 세 끼를 몇 시에 무엇으로 먹을지 미리 계획해 보세요.</t>
        </is>
      </c>
      <c r="I198" s="5" t="inlineStr">
        <is>
          <t>세 끼 시간을 정하면 거르는 끼니가 줄어요.</t>
        </is>
      </c>
      <c r="J198" s="6" t="n"/>
      <c r="K198" s="6" t="n"/>
      <c r="L198" s="6" t="inlineStr">
        <is>
          <t>MOHW-DIETGUIDE</t>
        </is>
      </c>
      <c r="M198" s="5" t="inlineStr">
        <is>
          <t>10-13 추가(추가문구 검수표 21번 · 저녁·새벽 문구). 근거: 국민 공통 식생활지침(보건복지부 2021) 2. 아침밥 꼭 먹기 · 규칙적인 식사</t>
        </is>
      </c>
      <c r="N198" s="6" t="inlineStr">
        <is>
          <t>검수표 21</t>
        </is>
      </c>
    </row>
    <row r="199" ht="25" customHeight="1">
      <c r="A199" s="6" t="inlineStr">
        <is>
          <t>DIET-P-0295</t>
        </is>
      </c>
      <c r="B199" s="6" t="inlineStr">
        <is>
          <t>1.0.0</t>
        </is>
      </c>
      <c r="C199" s="6" t="inlineStr">
        <is>
          <t>사용</t>
        </is>
      </c>
      <c r="D199" s="6" t="inlineStr">
        <is>
          <t>AXIS_STAGE</t>
        </is>
      </c>
      <c r="E199" s="6" t="inlineStr">
        <is>
          <t>DIET-Q-00</t>
        </is>
      </c>
      <c r="F199" s="6" t="inlineStr">
        <is>
          <t>INTRO</t>
        </is>
      </c>
      <c r="G199" s="6" t="inlineStr">
        <is>
          <t>거른 끼니 돌아보기</t>
        </is>
      </c>
      <c r="H199" s="5" t="inlineStr">
        <is>
          <t>오늘 거른 끼니가 있었는지, 왜 걸렀는지 떠올려 보세요.</t>
        </is>
      </c>
      <c r="I199" s="5" t="inlineStr">
        <is>
          <t>돌아보면 내일 챙길 끼니가 보여요.</t>
        </is>
      </c>
      <c r="J199" s="6" t="n"/>
      <c r="K199" s="6" t="n"/>
      <c r="L199" s="6" t="inlineStr">
        <is>
          <t>MOHW-DIETGUIDE</t>
        </is>
      </c>
      <c r="M199" s="5" t="inlineStr">
        <is>
          <t>10-13 추가(추가문구 검수표 22번 · 저녁·새벽 문구). 근거: 국민 공통 식생활지침(보건복지부 2021) 2. 아침밥 꼭 먹기 · 규칙적인 식사</t>
        </is>
      </c>
      <c r="N199" s="6" t="inlineStr">
        <is>
          <t>검수표 22</t>
        </is>
      </c>
    </row>
    <row r="200" ht="37.5" customHeight="1">
      <c r="A200" s="6" t="inlineStr">
        <is>
          <t>DIET-P-0296</t>
        </is>
      </c>
      <c r="B200" s="6" t="inlineStr">
        <is>
          <t>1.0.0</t>
        </is>
      </c>
      <c r="C200" s="6" t="inlineStr">
        <is>
          <t>사용</t>
        </is>
      </c>
      <c r="D200" s="6" t="inlineStr">
        <is>
          <t>AXIS_STAGE</t>
        </is>
      </c>
      <c r="E200" s="6" t="inlineStr">
        <is>
          <t>DIET-Q-01</t>
        </is>
      </c>
      <c r="F200" s="6" t="inlineStr">
        <is>
          <t>INTRO</t>
        </is>
      </c>
      <c r="G200" s="6" t="inlineStr">
        <is>
          <t>먹은 채소 돌아보기</t>
        </is>
      </c>
      <c r="H200" s="5" t="inlineStr">
        <is>
          <t>오늘 먹은 채소가 무엇이고 얼마나 됐는지 떠올려 보세요.</t>
        </is>
      </c>
      <c r="I200" s="5" t="inlineStr">
        <is>
          <t>돌아보면 내일 더할 채소를 정하기 쉬워요.</t>
        </is>
      </c>
      <c r="J200" s="6" t="n"/>
      <c r="K200" s="6" t="n"/>
      <c r="L200" s="6" t="inlineStr">
        <is>
          <t>MOHW-DIETGUIDE; WHO-DIET</t>
        </is>
      </c>
      <c r="M200" s="5" t="inlineStr">
        <is>
          <t>10-13 추가(추가문구 검수표 23번 · 저녁·새벽 문구). 근거: 국민 공통 식생활지침(보건복지부 2021) 1. 채소 등 다양한 식품 골고루 · WHO 채소·과일 하루 400g 이상 권고</t>
        </is>
      </c>
      <c r="N200" s="6" t="inlineStr">
        <is>
          <t>검수표 23</t>
        </is>
      </c>
    </row>
    <row r="201" ht="37.5" customHeight="1">
      <c r="A201" s="6" t="inlineStr">
        <is>
          <t>DIET-P-0297</t>
        </is>
      </c>
      <c r="B201" s="6" t="inlineStr">
        <is>
          <t>1.0.0</t>
        </is>
      </c>
      <c r="C201" s="6" t="inlineStr">
        <is>
          <t>사용</t>
        </is>
      </c>
      <c r="D201" s="6" t="inlineStr">
        <is>
          <t>AXIS_STAGE</t>
        </is>
      </c>
      <c r="E201" s="6" t="inlineStr">
        <is>
          <t>DIET-Q-01</t>
        </is>
      </c>
      <c r="F201" s="6" t="inlineStr">
        <is>
          <t>INTRO</t>
        </is>
      </c>
      <c r="G201" s="6" t="inlineStr">
        <is>
          <t>제철 채소 2가지 사기</t>
        </is>
      </c>
      <c r="H201" s="5" t="inlineStr">
        <is>
          <t>장 볼 때 요즘 제철인 채소를 두 가지 사 보세요.</t>
        </is>
      </c>
      <c r="I201" s="5" t="inlineStr">
        <is>
          <t>제철 채소는 맛있고 값도 부담이 적어요.</t>
        </is>
      </c>
      <c r="J201" s="6" t="inlineStr">
        <is>
          <t>INCREASE</t>
        </is>
      </c>
      <c r="K201" s="6" t="n"/>
      <c r="L201" s="6" t="inlineStr">
        <is>
          <t>MOHW-DIETGUIDE; WHO-DIET</t>
        </is>
      </c>
      <c r="M201" s="5" t="inlineStr">
        <is>
          <t>10-13 추가(추가문구 검수표 24번 · 저녁·새벽 문구). 근거: 국민 공통 식생활지침(보건복지부 2021) 1. 채소 등 다양한 식품 골고루 · WHO 채소·과일 하루 400g 이상 권고</t>
        </is>
      </c>
      <c r="N201" s="6" t="inlineStr">
        <is>
          <t>검수표 24</t>
        </is>
      </c>
    </row>
    <row r="202" ht="37.5" customHeight="1">
      <c r="A202" s="6" t="inlineStr">
        <is>
          <t>DIET-P-0298</t>
        </is>
      </c>
      <c r="B202" s="6" t="inlineStr">
        <is>
          <t>1.0.0</t>
        </is>
      </c>
      <c r="C202" s="6" t="inlineStr">
        <is>
          <t>사용</t>
        </is>
      </c>
      <c r="D202" s="6" t="inlineStr">
        <is>
          <t>AXIS_STAGE</t>
        </is>
      </c>
      <c r="E202" s="6" t="inlineStr">
        <is>
          <t>DIET-Q-02</t>
        </is>
      </c>
      <c r="F202" s="6" t="inlineStr">
        <is>
          <t>INTRO</t>
        </is>
      </c>
      <c r="G202" s="6" t="inlineStr">
        <is>
          <t>주스 대신 생수 한 병</t>
        </is>
      </c>
      <c r="H202" s="5" t="inlineStr">
        <is>
          <t>내일은 주스 대신 생수 한 병을 챙겨 마셔 보세요.</t>
        </is>
      </c>
      <c r="I202" s="5" t="inlineStr">
        <is>
          <t>주스 대신 물을 마시면 당을 줄일 수 있어요.</t>
        </is>
      </c>
      <c r="J202" s="6" t="inlineStr">
        <is>
          <t>FLUID</t>
        </is>
      </c>
      <c r="K202" s="6" t="n"/>
      <c r="L202" s="6" t="inlineStr">
        <is>
          <t>MOHW-DIETGUIDE; WHO-SUGAR; MFDS-SUGAR</t>
        </is>
      </c>
      <c r="M202" s="5" t="inlineStr">
        <is>
          <t>10-13 추가(추가문구 검수표 25번 · 저녁·새벽 문구). 근거: 국민 공통 식생활지침(보건복지부 2021) 4. 덜 달게 · 5. 단 음료 대신 물 · WHO 유리당 하루 열량 10% 미만 권고</t>
        </is>
      </c>
      <c r="N202" s="6" t="inlineStr">
        <is>
          <t>검수표 25</t>
        </is>
      </c>
    </row>
    <row r="203" ht="37.5" customHeight="1">
      <c r="A203" s="6" t="inlineStr">
        <is>
          <t>DIET-P-0299</t>
        </is>
      </c>
      <c r="B203" s="6" t="inlineStr">
        <is>
          <t>1.0.0</t>
        </is>
      </c>
      <c r="C203" s="6" t="inlineStr">
        <is>
          <t>사용</t>
        </is>
      </c>
      <c r="D203" s="6" t="inlineStr">
        <is>
          <t>AXIS_STAGE</t>
        </is>
      </c>
      <c r="E203" s="6" t="inlineStr">
        <is>
          <t>DIET-Q-02</t>
        </is>
      </c>
      <c r="F203" s="6" t="inlineStr">
        <is>
          <t>INTRO</t>
        </is>
      </c>
      <c r="G203" s="6" t="inlineStr">
        <is>
          <t>과자 대신 찐 고구마</t>
        </is>
      </c>
      <c r="H203" s="5" t="inlineStr">
        <is>
          <t>출출할 때 과자 대신 찐 고구마를 간식으로 드세요.</t>
        </is>
      </c>
      <c r="I203" s="5" t="inlineStr">
        <is>
          <t>찐 고구마는 달지 않고 든든한 간식이에요.</t>
        </is>
      </c>
      <c r="J203" s="6" t="n"/>
      <c r="K203" s="6" t="n"/>
      <c r="L203" s="6" t="inlineStr">
        <is>
          <t>MOHW-DIETGUIDE; WHO-SUGAR; MFDS-SUGAR</t>
        </is>
      </c>
      <c r="M203" s="5" t="inlineStr">
        <is>
          <t>10-13 추가(추가문구 검수표 26번 · 저녁·새벽 문구). 근거: 국민 공통 식생활지침(보건복지부 2021) 4. 덜 달게 · 5. 단 음료 대신 물 · WHO 유리당 하루 열량 10% 미만 권고</t>
        </is>
      </c>
      <c r="N203" s="6" t="inlineStr">
        <is>
          <t>검수표 26</t>
        </is>
      </c>
    </row>
    <row r="204" ht="37.5" customHeight="1">
      <c r="A204" s="6" t="inlineStr">
        <is>
          <t>DIET-P-0300</t>
        </is>
      </c>
      <c r="B204" s="6" t="inlineStr">
        <is>
          <t>1.0.0</t>
        </is>
      </c>
      <c r="C204" s="6" t="inlineStr">
        <is>
          <t>사용</t>
        </is>
      </c>
      <c r="D204" s="6" t="inlineStr">
        <is>
          <t>AXIS_STAGE</t>
        </is>
      </c>
      <c r="E204" s="6" t="inlineStr">
        <is>
          <t>DIET-Q-03</t>
        </is>
      </c>
      <c r="F204" s="6" t="inlineStr">
        <is>
          <t>INTRO</t>
        </is>
      </c>
      <c r="G204" s="6" t="inlineStr">
        <is>
          <t>먹은 국물 양 돌아보기</t>
        </is>
      </c>
      <c r="H204" s="5" t="inlineStr">
        <is>
          <t>오늘 국이나 찌개 국물을 얼마나 마셨는지 떠올려 보세요.</t>
        </is>
      </c>
      <c r="I204" s="5" t="inlineStr">
        <is>
          <t>돌아보면 내일 국물을 줄일 끼니가 보여요.</t>
        </is>
      </c>
      <c r="J204" s="6" t="n"/>
      <c r="K204" s="6" t="n"/>
      <c r="L204" s="6" t="inlineStr">
        <is>
          <t>MOHW-DIETGUIDE; WHO-DIET; MFDS-SODIUM; KSH-2022</t>
        </is>
      </c>
      <c r="M204" s="5" t="inlineStr">
        <is>
          <t>10-13 추가(추가문구 검수표 27번 · 저녁·새벽 문구). 근거: 국민 공통 식생활지침(보건복지부 2021) 4. 덜 짜게 · WHO 나트륨 하루 2,000mg 미만 권고 · 국·찌개가 나트륨 주 공급원(국민건강영양조사)</t>
        </is>
      </c>
      <c r="N204" s="6" t="inlineStr">
        <is>
          <t>검수표 27</t>
        </is>
      </c>
    </row>
    <row r="205" ht="37.5" customHeight="1">
      <c r="A205" s="6" t="inlineStr">
        <is>
          <t>DIET-P-0301</t>
        </is>
      </c>
      <c r="B205" s="6" t="inlineStr">
        <is>
          <t>1.0.0</t>
        </is>
      </c>
      <c r="C205" s="6" t="inlineStr">
        <is>
          <t>사용</t>
        </is>
      </c>
      <c r="D205" s="6" t="inlineStr">
        <is>
          <t>AXIS_STAGE</t>
        </is>
      </c>
      <c r="E205" s="6" t="inlineStr">
        <is>
          <t>DIET-Q-03</t>
        </is>
      </c>
      <c r="F205" s="6" t="inlineStr">
        <is>
          <t>BASE</t>
        </is>
      </c>
      <c r="G205" s="6" t="inlineStr">
        <is>
          <t>장아찌 대신 생채 반찬</t>
        </is>
      </c>
      <c r="H205" s="5" t="inlineStr">
        <is>
          <t>장아찌 대신 절이지 않은 생채 반찬을 곁들여 드세요.</t>
        </is>
      </c>
      <c r="I205" s="5" t="inlineStr">
        <is>
          <t>생채는 장아찌보다 소금이 훨씬 적어요.</t>
        </is>
      </c>
      <c r="J205" s="6" t="n"/>
      <c r="K205" s="6" t="n"/>
      <c r="L205" s="6" t="inlineStr">
        <is>
          <t>MOHW-DIETGUIDE; WHO-DIET; MFDS-SODIUM; KSH-2022</t>
        </is>
      </c>
      <c r="M205" s="5" t="inlineStr">
        <is>
          <t>10-13 추가(추가문구 검수표 28번 · 저녁·새벽 문구). 근거: 국민 공통 식생활지침(보건복지부 2021) 4. 덜 짜게 · WHO 나트륨 하루 2,000mg 미만 권고 · 국·찌개가 나트륨 주 공급원(국민건강영양조사)</t>
        </is>
      </c>
      <c r="N205" s="6" t="inlineStr">
        <is>
          <t>검수표 28</t>
        </is>
      </c>
    </row>
    <row r="206" ht="37.5" customHeight="1">
      <c r="A206" s="6" t="inlineStr">
        <is>
          <t>DIET-P-0302</t>
        </is>
      </c>
      <c r="B206" s="6" t="inlineStr">
        <is>
          <t>1.0.0</t>
        </is>
      </c>
      <c r="C206" s="6" t="inlineStr">
        <is>
          <t>사용</t>
        </is>
      </c>
      <c r="D206" s="6" t="inlineStr">
        <is>
          <t>AXIS_STAGE</t>
        </is>
      </c>
      <c r="E206" s="6" t="inlineStr">
        <is>
          <t>DIET-Q-04</t>
        </is>
      </c>
      <c r="F206" s="6" t="inlineStr">
        <is>
          <t>CHALLENGE</t>
        </is>
      </c>
      <c r="G206" s="6" t="inlineStr">
        <is>
          <t>저녁 8시까지 마치기</t>
        </is>
      </c>
      <c r="H206" s="5" t="inlineStr">
        <is>
          <t>저녁 식사는 밤 8시 전에 끝내 보세요.</t>
        </is>
      </c>
      <c r="I206" s="5" t="inlineStr">
        <is>
          <t>늦은 시간까지 먹지 않으면 속이 편해요.</t>
        </is>
      </c>
      <c r="J206" s="6" t="n"/>
      <c r="K206" s="6" t="n"/>
      <c r="L206" s="6" t="inlineStr">
        <is>
          <t>MOHW-DIETGUIDE; NIDDK-GERD</t>
        </is>
      </c>
      <c r="M206" s="5" t="inlineStr">
        <is>
          <t>10-13 추가(추가문구 검수표 29번 · 저녁·새벽 문구). 근거: 국민 공통 식생활지침(보건복지부 2021) 3. 과식 피하기 · 위식도역류 생활수칙(대한소화기학회): 잠들기 전 식사 피하기</t>
        </is>
      </c>
      <c r="N206" s="6" t="inlineStr">
        <is>
          <t>검수표 29</t>
        </is>
      </c>
    </row>
    <row r="207" ht="25" customHeight="1">
      <c r="A207" s="6" t="inlineStr">
        <is>
          <t>DIET-P-0303</t>
        </is>
      </c>
      <c r="B207" s="6" t="inlineStr">
        <is>
          <t>1.0.0</t>
        </is>
      </c>
      <c r="C207" s="6" t="inlineStr">
        <is>
          <t>사용</t>
        </is>
      </c>
      <c r="D207" s="6" t="inlineStr">
        <is>
          <t>AXIS_STAGE</t>
        </is>
      </c>
      <c r="E207" s="6" t="inlineStr">
        <is>
          <t>DIET-Q-04</t>
        </is>
      </c>
      <c r="F207" s="6" t="inlineStr">
        <is>
          <t>INTRO</t>
        </is>
      </c>
      <c r="G207" s="6" t="inlineStr">
        <is>
          <t>저녁 먹은 시각 적기</t>
        </is>
      </c>
      <c r="H207" s="5" t="inlineStr">
        <is>
          <t>오늘 저녁을 몇 시에 먹었는지 적어 두세요.</t>
        </is>
      </c>
      <c r="I207" s="5" t="inlineStr">
        <is>
          <t>적어 보면 저녁 시각이 일정한지 알 수 있어요.</t>
        </is>
      </c>
      <c r="J207" s="6" t="n"/>
      <c r="K207" s="6" t="n"/>
      <c r="L207" s="6" t="inlineStr">
        <is>
          <t>MOHW-DIETGUIDE; NIDDK-GERD</t>
        </is>
      </c>
      <c r="M207" s="5" t="inlineStr">
        <is>
          <t>10-13 추가(추가문구 검수표 30번 · 저녁·새벽 문구). 근거: 국민 공통 식생활지침(보건복지부 2021) 2. 아침밥 꼭 먹기 · 규칙적인 식사</t>
        </is>
      </c>
      <c r="N207" s="6" t="inlineStr">
        <is>
          <t>검수표 30</t>
        </is>
      </c>
    </row>
    <row r="208" ht="25" customHeight="1">
      <c r="A208" s="6" t="inlineStr">
        <is>
          <t>DIET-P-0304</t>
        </is>
      </c>
      <c r="B208" s="6" t="inlineStr">
        <is>
          <t>1.0.0</t>
        </is>
      </c>
      <c r="C208" s="6" t="inlineStr">
        <is>
          <t>사용</t>
        </is>
      </c>
      <c r="D208" s="6" t="inlineStr">
        <is>
          <t>AXIS_STAGE</t>
        </is>
      </c>
      <c r="E208" s="6" t="inlineStr">
        <is>
          <t>DIET-Q-05</t>
        </is>
      </c>
      <c r="F208" s="6" t="inlineStr">
        <is>
          <t>INTRO</t>
        </is>
      </c>
      <c r="G208" s="6" t="inlineStr">
        <is>
          <t>한 입에 30번 씹기</t>
        </is>
      </c>
      <c r="H208" s="5" t="inlineStr">
        <is>
          <t>한 입 먹을 때마다 30번쯤 꼭꼭 씹어서 삼켜 보세요.</t>
        </is>
      </c>
      <c r="I208" s="5" t="inlineStr">
        <is>
          <t>꼭꼭 씹으면 천천히 먹게 되고 배부름도 빨리 느껴요.</t>
        </is>
      </c>
      <c r="J208" s="6" t="n"/>
      <c r="K208" s="6" t="n"/>
      <c r="L208" s="6" t="inlineStr">
        <is>
          <t>MOHW-DIETGUIDE; KSSO-OBESITY</t>
        </is>
      </c>
      <c r="M208" s="5" t="inlineStr">
        <is>
          <t>10-13 추가(추가문구 검수표 31번 · 저녁·새벽 문구). 근거: 국민 공통 식생활지침(보건복지부 2021) 3. 과식 피하기 · 천천히 먹기와 포만감(식사 속도 연구)</t>
        </is>
      </c>
      <c r="N208" s="6" t="inlineStr">
        <is>
          <t>검수표 31</t>
        </is>
      </c>
    </row>
    <row r="209" ht="25" customHeight="1">
      <c r="A209" s="6" t="inlineStr">
        <is>
          <t>DIET-P-0305</t>
        </is>
      </c>
      <c r="B209" s="6" t="inlineStr">
        <is>
          <t>1.0.0</t>
        </is>
      </c>
      <c r="C209" s="6" t="inlineStr">
        <is>
          <t>사용</t>
        </is>
      </c>
      <c r="D209" s="6" t="inlineStr">
        <is>
          <t>AXIS_STAGE</t>
        </is>
      </c>
      <c r="E209" s="6" t="inlineStr">
        <is>
          <t>DIET-Q-05</t>
        </is>
      </c>
      <c r="F209" s="6" t="inlineStr">
        <is>
          <t>INTRO</t>
        </is>
      </c>
      <c r="G209" s="6" t="inlineStr">
        <is>
          <t>식탁에서 휴대폰 치우기</t>
        </is>
      </c>
      <c r="H209" s="5" t="inlineStr">
        <is>
          <t>밥 먹을 때 휴대폰은 식탁 밖에 두고 식사에 집중하세요.</t>
        </is>
      </c>
      <c r="I209" s="5" t="inlineStr">
        <is>
          <t>화면이 없으면 먹는 데 집중하기 쉬워요.</t>
        </is>
      </c>
      <c r="J209" s="6" t="n"/>
      <c r="K209" s="6" t="n"/>
      <c r="L209" s="6" t="inlineStr">
        <is>
          <t>MOHW-DIETGUIDE; KSSO-OBESITY</t>
        </is>
      </c>
      <c r="M209" s="5" t="inlineStr">
        <is>
          <t>10-13 추가(추가문구 검수표 32번 · 저녁·새벽 문구). 근거: 국민 공통 식생활지침(보건복지부 2021) 3. 과식 피하기 · 천천히 먹기와 포만감(식사 속도 연구)</t>
        </is>
      </c>
      <c r="N209" s="6" t="inlineStr">
        <is>
          <t>검수표 32</t>
        </is>
      </c>
    </row>
    <row r="210" ht="37.5" customHeight="1">
      <c r="A210" s="6" t="inlineStr">
        <is>
          <t>DIET-P-0306</t>
        </is>
      </c>
      <c r="B210" s="6" t="inlineStr">
        <is>
          <t>1.0.0</t>
        </is>
      </c>
      <c r="C210" s="6" t="inlineStr">
        <is>
          <t>사용</t>
        </is>
      </c>
      <c r="D210" s="6" t="inlineStr">
        <is>
          <t>AXIS_STAGE</t>
        </is>
      </c>
      <c r="E210" s="6" t="inlineStr">
        <is>
          <t>DIET-Q-06</t>
        </is>
      </c>
      <c r="F210" s="6" t="inlineStr">
        <is>
          <t>CHALLENGE</t>
        </is>
      </c>
      <c r="G210" s="6" t="inlineStr">
        <is>
          <t>점심엔 단백질 샐러드</t>
        </is>
      </c>
      <c r="H210" s="5" t="inlineStr">
        <is>
          <t>내일 점심은 닭가슴살이나 달걀을 올린 샐러드로 드세요.</t>
        </is>
      </c>
      <c r="I210" s="5" t="inlineStr">
        <is>
          <t>단백질 샐러드는 단백질과 채소를 함께 챙겨요.</t>
        </is>
      </c>
      <c r="J210" s="6" t="n"/>
      <c r="K210" s="6" t="n"/>
      <c r="L210" s="6" t="inlineStr">
        <is>
          <t>MOHW-DIETGUIDE; WHO-DIET</t>
        </is>
      </c>
      <c r="M210" s="5" t="inlineStr">
        <is>
          <t>10-13 추가(추가문구 검수표 33번 · 저녁·새벽 문구). 근거: 국민 공통 식생활지침(보건복지부 2021) 1. 다양한 식품 골고루 · 2020 한국인 영양소 섭취기준(단백질 끼니별 고른 섭취) · 10-19 특정 음식 이름을 음식 종류로</t>
        </is>
      </c>
      <c r="N210" s="6" t="inlineStr">
        <is>
          <t>검수표 33</t>
        </is>
      </c>
    </row>
    <row r="211" ht="37.5" customHeight="1">
      <c r="A211" s="6" t="inlineStr">
        <is>
          <t>DIET-P-0307</t>
        </is>
      </c>
      <c r="B211" s="6" t="inlineStr">
        <is>
          <t>1.0.0</t>
        </is>
      </c>
      <c r="C211" s="6" t="inlineStr">
        <is>
          <t>사용</t>
        </is>
      </c>
      <c r="D211" s="6" t="inlineStr">
        <is>
          <t>AXIS_STAGE</t>
        </is>
      </c>
      <c r="E211" s="6" t="inlineStr">
        <is>
          <t>DIET-Q-06</t>
        </is>
      </c>
      <c r="F211" s="6" t="inlineStr">
        <is>
          <t>INTRO</t>
        </is>
      </c>
      <c r="G211" s="6" t="inlineStr">
        <is>
          <t>먹은 단백질 돌아보기</t>
        </is>
      </c>
      <c r="H211" s="5" t="inlineStr">
        <is>
          <t>오늘 고기·생선·달걀·두부를 얼마나 먹었는지 떠올려 보세요.</t>
        </is>
      </c>
      <c r="I211" s="5" t="inlineStr">
        <is>
          <t>돌아보면 내일 채울 끼니가 보여요.</t>
        </is>
      </c>
      <c r="J211" s="6" t="n"/>
      <c r="K211" s="6" t="n"/>
      <c r="L211" s="6" t="inlineStr">
        <is>
          <t>MOHW-DIETGUIDE; WHO-DIET</t>
        </is>
      </c>
      <c r="M211" s="5" t="inlineStr">
        <is>
          <t>10-13 추가(추가문구 검수표 34번 · 저녁·새벽 문구). 근거: 국민 공통 식생활지침(보건복지부 2021) 1. 다양한 식품 골고루 · 2020 한국인 영양소 섭취기준(단백질 끼니별 고른 섭취)</t>
        </is>
      </c>
      <c r="N211" s="6" t="inlineStr">
        <is>
          <t>검수표 34</t>
        </is>
      </c>
    </row>
    <row r="212" ht="25" customHeight="1">
      <c r="A212" s="6" t="inlineStr">
        <is>
          <t>DIET-P-0308</t>
        </is>
      </c>
      <c r="B212" s="6" t="inlineStr">
        <is>
          <t>1.0.0</t>
        </is>
      </c>
      <c r="C212" s="6" t="inlineStr">
        <is>
          <t>사용</t>
        </is>
      </c>
      <c r="D212" s="6" t="inlineStr">
        <is>
          <t>AXIS_STAGE</t>
        </is>
      </c>
      <c r="E212" s="6" t="inlineStr">
        <is>
          <t>DIET-Q-07</t>
        </is>
      </c>
      <c r="F212" s="6" t="inlineStr">
        <is>
          <t>CHALLENGE</t>
        </is>
      </c>
      <c r="G212" s="6" t="inlineStr">
        <is>
          <t>전 대신 나물 반찬</t>
        </is>
      </c>
      <c r="H212" s="5" t="inlineStr">
        <is>
          <t>기름에 부친 전 대신 나물 반찬을 골라 드세요.</t>
        </is>
      </c>
      <c r="I212" s="5" t="inlineStr">
        <is>
          <t>나물은 전보다 기름을 훨씬 덜 써요.</t>
        </is>
      </c>
      <c r="J212" s="6" t="inlineStr">
        <is>
          <t>TEXTURE</t>
        </is>
      </c>
      <c r="K212" s="6" t="n"/>
      <c r="L212" s="6" t="inlineStr">
        <is>
          <t>MOHW-DIETGUIDE; WHO-FAT-2023; KSoLA-2022</t>
        </is>
      </c>
      <c r="M212" s="5" t="inlineStr">
        <is>
          <t>10-13 추가(추가문구 검수표 35번 · 저녁·새벽 문구). 근거: 국민 공통 식생활지침(보건복지부 2021) 4. 덜 기름지게 · WHO 포화지방 하루 열량 10% 미만 권고</t>
        </is>
      </c>
      <c r="N212" s="6" t="inlineStr">
        <is>
          <t>검수표 35</t>
        </is>
      </c>
    </row>
    <row r="213" ht="25" customHeight="1">
      <c r="A213" s="6" t="inlineStr">
        <is>
          <t>DIET-P-0309</t>
        </is>
      </c>
      <c r="B213" s="6" t="inlineStr">
        <is>
          <t>1.0.0</t>
        </is>
      </c>
      <c r="C213" s="6" t="inlineStr">
        <is>
          <t>사용</t>
        </is>
      </c>
      <c r="D213" s="6" t="inlineStr">
        <is>
          <t>AXIS_STAGE</t>
        </is>
      </c>
      <c r="E213" s="6" t="inlineStr">
        <is>
          <t>DIET-Q-07</t>
        </is>
      </c>
      <c r="F213" s="6" t="inlineStr">
        <is>
          <t>INTRO</t>
        </is>
      </c>
      <c r="G213" s="6" t="inlineStr">
        <is>
          <t>먹은 튀김 돌아보기</t>
        </is>
      </c>
      <c r="H213" s="5" t="inlineStr">
        <is>
          <t>오늘 튀긴 음식을 몇 번, 얼마나 먹었는지 떠올려 보세요.</t>
        </is>
      </c>
      <c r="I213" s="5" t="inlineStr">
        <is>
          <t>돌아보면 내일 줄일 때가 보여요.</t>
        </is>
      </c>
      <c r="J213" s="6" t="n"/>
      <c r="K213" s="6" t="n"/>
      <c r="L213" s="6" t="inlineStr">
        <is>
          <t>MOHW-DIETGUIDE; WHO-FAT-2023; KSoLA-2022</t>
        </is>
      </c>
      <c r="M213" s="5" t="inlineStr">
        <is>
          <t>10-13 추가(추가문구 검수표 36번 · 저녁·새벽 문구). 근거: 국민 공통 식생활지침(보건복지부 2021) 4. 덜 기름지게 · WHO 포화지방 하루 열량 10% 미만 권고</t>
        </is>
      </c>
      <c r="N213" s="6" t="inlineStr">
        <is>
          <t>검수표 36</t>
        </is>
      </c>
    </row>
    <row r="214" ht="25" customHeight="1">
      <c r="A214" s="6" t="inlineStr">
        <is>
          <t>DIET-P-0310</t>
        </is>
      </c>
      <c r="B214" s="6" t="inlineStr">
        <is>
          <t>1.0.0</t>
        </is>
      </c>
      <c r="C214" s="6" t="inlineStr">
        <is>
          <t>사용</t>
        </is>
      </c>
      <c r="D214" s="6" t="inlineStr">
        <is>
          <t>RECOVERY</t>
        </is>
      </c>
      <c r="E214" s="6" t="n"/>
      <c r="F214" s="6" t="n"/>
      <c r="G214" s="6" t="inlineStr">
        <is>
          <t>입맛 돌 때 먹어 두기</t>
        </is>
      </c>
      <c r="H214" s="5" t="inlineStr">
        <is>
          <t>입맛이 돌 때 놓치지 말고 조금이라도 더 드세요.</t>
        </is>
      </c>
      <c r="I214" s="5" t="inlineStr">
        <is>
          <t>입맛이 돌 때 먹어 두면 하루 식사를 채우기 쉬워요.</t>
        </is>
      </c>
      <c r="J214" s="6" t="inlineStr">
        <is>
          <t>INCREASE</t>
        </is>
      </c>
      <c r="K214" s="6" t="n"/>
      <c r="L214" s="6" t="inlineStr">
        <is>
          <t>MOHW-DIETGUIDE</t>
        </is>
      </c>
      <c r="M214" s="5" t="inlineStr">
        <is>
          <t>10-13 추가(추가문구 검수표 37번 · 저녁·새벽 문구). 근거: 식욕이 없을 때 식사 요령(대한영양사협회 · 국가암정보센터): 조금씩 자주, 먹기 편한 음식부터</t>
        </is>
      </c>
      <c r="N214" s="6" t="inlineStr">
        <is>
          <t>검수표 37</t>
        </is>
      </c>
    </row>
    <row r="215" ht="25" customHeight="1">
      <c r="A215" s="6" t="inlineStr">
        <is>
          <t>DIET-P-0311</t>
        </is>
      </c>
      <c r="B215" s="6" t="inlineStr">
        <is>
          <t>1.0.0</t>
        </is>
      </c>
      <c r="C215" s="6" t="inlineStr">
        <is>
          <t>사용</t>
        </is>
      </c>
      <c r="D215" s="6" t="inlineStr">
        <is>
          <t>RECOVERY</t>
        </is>
      </c>
      <c r="E215" s="6" t="n"/>
      <c r="F215" s="6" t="n"/>
      <c r="G215" s="6" t="inlineStr">
        <is>
          <t>첫 끼 시간 정하기</t>
        </is>
      </c>
      <c r="H215" s="5" t="inlineStr">
        <is>
          <t>내일 첫 끼를 몇 시에 먹을지 미리 정해 두세요.</t>
        </is>
      </c>
      <c r="I215" s="5" t="inlineStr">
        <is>
          <t>첫 끼를 정해 두면 하루 식사를 시작하기 쉬워요.</t>
        </is>
      </c>
      <c r="J215" s="6" t="n"/>
      <c r="K215" s="6" t="n"/>
      <c r="L215" s="6" t="inlineStr">
        <is>
          <t>MOHW-DIETGUIDE</t>
        </is>
      </c>
      <c r="M215" s="5" t="inlineStr">
        <is>
          <t>10-13 추가(추가문구 검수표 38번 · 저녁·새벽 문구). 근거: 식욕이 없을 때 식사 요령(대한영양사협회 · 국가암정보센터): 조금씩 자주, 먹기 편한 음식부터</t>
        </is>
      </c>
      <c r="N215" s="6" t="inlineStr">
        <is>
          <t>검수표 38</t>
        </is>
      </c>
    </row>
    <row r="216" ht="25" customHeight="1">
      <c r="A216" s="6" t="inlineStr">
        <is>
          <t>DIET-P-0312</t>
        </is>
      </c>
      <c r="B216" s="6" t="inlineStr">
        <is>
          <t>1.0.0</t>
        </is>
      </c>
      <c r="C216" s="6" t="inlineStr">
        <is>
          <t>사용</t>
        </is>
      </c>
      <c r="D216" s="6" t="inlineStr">
        <is>
          <t>AXIS_STAGE</t>
        </is>
      </c>
      <c r="E216" s="6" t="inlineStr">
        <is>
          <t>DIET-Q-00</t>
        </is>
      </c>
      <c r="F216" s="6" t="inlineStr">
        <is>
          <t>INTRO</t>
        </is>
      </c>
      <c r="G216" s="6" t="inlineStr">
        <is>
          <t>아침거리 사 두기</t>
        </is>
      </c>
      <c r="H216" s="5" t="inlineStr">
        <is>
          <t>장 볼 때 아침에 먹을 거리를 빠뜨리지 말고 사 두세요.</t>
        </is>
      </c>
      <c r="I216" s="5" t="inlineStr">
        <is>
          <t>적어 두면 장 볼 때 아침거리를 빠뜨리지 않아요.</t>
        </is>
      </c>
      <c r="J216" s="6" t="n"/>
      <c r="K216" s="6" t="n"/>
      <c r="L216" s="6" t="inlineStr">
        <is>
          <t>MOHW-DIETGUIDE</t>
        </is>
      </c>
      <c r="M216" s="5" t="inlineStr">
        <is>
          <t>10-13 추가(추가문구 검수표 39번 · 저녁·새벽 문구). 근거: 국민 공통 식생활지침(보건복지부 2021) 2. 아침밥 꼭 먹기 · 규칙적인 식사</t>
        </is>
      </c>
      <c r="N216" s="6" t="inlineStr">
        <is>
          <t>검수표 39</t>
        </is>
      </c>
    </row>
    <row r="217" ht="25" customHeight="1">
      <c r="A217" s="6" t="inlineStr">
        <is>
          <t>DIET-P-0313</t>
        </is>
      </c>
      <c r="B217" s="6" t="inlineStr">
        <is>
          <t>1.0.0</t>
        </is>
      </c>
      <c r="C217" s="6" t="inlineStr">
        <is>
          <t>사용</t>
        </is>
      </c>
      <c r="D217" s="6" t="inlineStr">
        <is>
          <t>AXIS_STAGE</t>
        </is>
      </c>
      <c r="E217" s="6" t="inlineStr">
        <is>
          <t>DIET-Q-00</t>
        </is>
      </c>
      <c r="F217" s="6" t="inlineStr">
        <is>
          <t>INTRO</t>
        </is>
      </c>
      <c r="G217" s="6" t="inlineStr">
        <is>
          <t>바쁜 날엔 간단한 한 끼</t>
        </is>
      </c>
      <c r="H217" s="5" t="inlineStr">
        <is>
          <t>바빠서 밥 먹을 시간이 없는 날엔 김밥 한 줄처럼 간단한 한 끼라도 드세요.</t>
        </is>
      </c>
      <c r="I217" s="5" t="inlineStr">
        <is>
          <t>바쁜 날에도 간단한 한 끼면 끼니를 챙겨요.</t>
        </is>
      </c>
      <c r="J217" s="6" t="n"/>
      <c r="K217" s="6" t="n"/>
      <c r="L217" s="6" t="inlineStr">
        <is>
          <t>MOHW-DIETGUIDE</t>
        </is>
      </c>
      <c r="M217" s="5" t="inlineStr">
        <is>
          <t>10-13 추가(추가문구 검수표 40번 · 저녁·새벽 문구). 근거: 국민 공통 식생활지침(보건복지부 2021) 2. 아침밥 꼭 먹기 · 규칙적인 식사 · 10-19 특정 음식 이름을 음식 종류로</t>
        </is>
      </c>
      <c r="N217" s="6" t="inlineStr">
        <is>
          <t>검수표 40</t>
        </is>
      </c>
    </row>
    <row r="218" ht="37.5" customHeight="1">
      <c r="A218" s="6" t="inlineStr">
        <is>
          <t>DIET-P-0314</t>
        </is>
      </c>
      <c r="B218" s="6" t="inlineStr">
        <is>
          <t>1.0.0</t>
        </is>
      </c>
      <c r="C218" s="6" t="inlineStr">
        <is>
          <t>사용</t>
        </is>
      </c>
      <c r="D218" s="6" t="inlineStr">
        <is>
          <t>AXIS_STAGE</t>
        </is>
      </c>
      <c r="E218" s="6" t="inlineStr">
        <is>
          <t>DIET-Q-01</t>
        </is>
      </c>
      <c r="F218" s="6" t="inlineStr">
        <is>
          <t>INTRO</t>
        </is>
      </c>
      <c r="G218" s="6" t="inlineStr">
        <is>
          <t>채소는 앞칸에 두기</t>
        </is>
      </c>
      <c r="H218" s="5" t="inlineStr">
        <is>
          <t>냉장고에서 채소를 눈에 잘 띄는 앞칸으로 옮겨 두세요.</t>
        </is>
      </c>
      <c r="I218" s="5" t="inlineStr">
        <is>
          <t>눈에 잘 띄면 손이 더 자주 가요.</t>
        </is>
      </c>
      <c r="J218" s="6" t="n"/>
      <c r="K218" s="6" t="n"/>
      <c r="L218" s="6" t="inlineStr">
        <is>
          <t>MOHW-DIETGUIDE; WHO-DIET</t>
        </is>
      </c>
      <c r="M218" s="5" t="inlineStr">
        <is>
          <t>10-13 추가(추가문구 검수표 41번 · 저녁·새벽 문구). 근거: 국민 공통 식생활지침(보건복지부 2021) 1. 채소 등 다양한 식품 골고루 · WHO 채소·과일 하루 400g 이상 권고</t>
        </is>
      </c>
      <c r="N218" s="6" t="inlineStr">
        <is>
          <t>검수표 41</t>
        </is>
      </c>
    </row>
    <row r="219" ht="37.5" customHeight="1">
      <c r="A219" s="6" t="inlineStr">
        <is>
          <t>DIET-P-0315</t>
        </is>
      </c>
      <c r="B219" s="6" t="inlineStr">
        <is>
          <t>1.0.0</t>
        </is>
      </c>
      <c r="C219" s="6" t="inlineStr">
        <is>
          <t>사용</t>
        </is>
      </c>
      <c r="D219" s="6" t="inlineStr">
        <is>
          <t>AXIS_STAGE</t>
        </is>
      </c>
      <c r="E219" s="6" t="inlineStr">
        <is>
          <t>DIET-Q-01</t>
        </is>
      </c>
      <c r="F219" s="6" t="inlineStr">
        <is>
          <t>INTRO</t>
        </is>
      </c>
      <c r="G219" s="6" t="inlineStr">
        <is>
          <t>내일 국엔 호박 · 버섯</t>
        </is>
      </c>
      <c r="H219" s="5" t="inlineStr">
        <is>
          <t>내일 국을 끓일 때 애호박이나 버섯을 넣어 보세요.</t>
        </is>
      </c>
      <c r="I219" s="5" t="inlineStr">
        <is>
          <t>채소를 넣으면 국 한 그릇에 채소가 더해져요.</t>
        </is>
      </c>
      <c r="J219" s="6" t="n"/>
      <c r="K219" s="6" t="n"/>
      <c r="L219" s="6" t="inlineStr">
        <is>
          <t>MOHW-DIETGUIDE; WHO-DIET</t>
        </is>
      </c>
      <c r="M219" s="5" t="inlineStr">
        <is>
          <t>10-13 추가(추가문구 검수표 42번 · 저녁·새벽 문구). 근거: 국민 공통 식생활지침(보건복지부 2021) 1. 채소 등 다양한 식품 골고루 · WHO 채소·과일 하루 400g 이상 권고 · 10-19 특정 음식 이름을 음식 종류로</t>
        </is>
      </c>
      <c r="N219" s="6" t="inlineStr">
        <is>
          <t>검수표 42</t>
        </is>
      </c>
    </row>
    <row r="220" ht="37.5" customHeight="1">
      <c r="A220" s="6" t="inlineStr">
        <is>
          <t>DIET-P-0316</t>
        </is>
      </c>
      <c r="B220" s="6" t="inlineStr">
        <is>
          <t>1.0.0</t>
        </is>
      </c>
      <c r="C220" s="6" t="inlineStr">
        <is>
          <t>사용</t>
        </is>
      </c>
      <c r="D220" s="6" t="inlineStr">
        <is>
          <t>AXIS_STAGE</t>
        </is>
      </c>
      <c r="E220" s="6" t="inlineStr">
        <is>
          <t>DIET-Q-01</t>
        </is>
      </c>
      <c r="F220" s="6" t="inlineStr">
        <is>
          <t>CHALLENGE</t>
        </is>
      </c>
      <c r="G220" s="6" t="inlineStr">
        <is>
          <t>매일 나물 한 가지</t>
        </is>
      </c>
      <c r="H220" s="5" t="inlineStr">
        <is>
          <t>매일 나물 반찬을 한 가지씩 챙겨 드세요.</t>
        </is>
      </c>
      <c r="I220" s="5" t="inlineStr">
        <is>
          <t>나물 한 가지로 매일 채소를 챙길 수 있어요.</t>
        </is>
      </c>
      <c r="J220" s="6" t="n"/>
      <c r="K220" s="6" t="n"/>
      <c r="L220" s="6" t="inlineStr">
        <is>
          <t>MOHW-DIETGUIDE; WHO-DIET</t>
        </is>
      </c>
      <c r="M220" s="5" t="inlineStr">
        <is>
          <t>10-13 추가(추가문구 검수표 43번 · 저녁·새벽 문구). 근거: 국민 공통 식생활지침(보건복지부 2021) 1. 채소 등 다양한 식품 골고루 · WHO 채소·과일 하루 400g 이상 권고</t>
        </is>
      </c>
      <c r="N220" s="6" t="inlineStr">
        <is>
          <t>검수표 43</t>
        </is>
      </c>
    </row>
    <row r="221" ht="37.5" customHeight="1">
      <c r="A221" s="6" t="inlineStr">
        <is>
          <t>DIET-P-0317</t>
        </is>
      </c>
      <c r="B221" s="6" t="inlineStr">
        <is>
          <t>1.0.0</t>
        </is>
      </c>
      <c r="C221" s="6" t="inlineStr">
        <is>
          <t>사용</t>
        </is>
      </c>
      <c r="D221" s="6" t="inlineStr">
        <is>
          <t>AXIS_STAGE</t>
        </is>
      </c>
      <c r="E221" s="6" t="inlineStr">
        <is>
          <t>DIET-Q-02</t>
        </is>
      </c>
      <c r="F221" s="6" t="inlineStr">
        <is>
          <t>INTRO</t>
        </is>
      </c>
      <c r="G221" s="6" t="inlineStr">
        <is>
          <t>음료 당류 표시 보기</t>
        </is>
      </c>
      <c r="H221" s="5" t="inlineStr">
        <is>
          <t>음료를 고를 때 뒷면의 당류 표시를 확인해 보세요.</t>
        </is>
      </c>
      <c r="I221" s="5" t="inlineStr">
        <is>
          <t>표시를 보면 덜 단 음료를 고를 수 있어요.</t>
        </is>
      </c>
      <c r="J221" s="6" t="n"/>
      <c r="K221" s="6" t="n"/>
      <c r="L221" s="6" t="inlineStr">
        <is>
          <t>MOHW-DIETGUIDE; WHO-SUGAR; MFDS-SUGAR</t>
        </is>
      </c>
      <c r="M221" s="5" t="inlineStr">
        <is>
          <t>10-13 추가(추가문구 검수표 44번 · 저녁·새벽 문구). 근거: 국민 공통 식생활지침(보건복지부 2021) 4. 덜 달게 · 5. 단 음료 대신 물 · WHO 유리당 하루 열량 10% 미만 권고</t>
        </is>
      </c>
      <c r="N221" s="6" t="inlineStr">
        <is>
          <t>검수표 44</t>
        </is>
      </c>
    </row>
    <row r="222" ht="37.5" customHeight="1">
      <c r="A222" s="6" t="inlineStr">
        <is>
          <t>DIET-P-0318</t>
        </is>
      </c>
      <c r="B222" s="6" t="inlineStr">
        <is>
          <t>1.0.0</t>
        </is>
      </c>
      <c r="C222" s="6" t="inlineStr">
        <is>
          <t>사용</t>
        </is>
      </c>
      <c r="D222" s="6" t="inlineStr">
        <is>
          <t>AXIS_STAGE</t>
        </is>
      </c>
      <c r="E222" s="6" t="inlineStr">
        <is>
          <t>DIET-Q-02</t>
        </is>
      </c>
      <c r="F222" s="6" t="inlineStr">
        <is>
          <t>BASE</t>
        </is>
      </c>
      <c r="G222" s="6" t="inlineStr">
        <is>
          <t>단 음료 사 두지 않기</t>
        </is>
      </c>
      <c r="H222" s="5" t="inlineStr">
        <is>
          <t>장 볼 때 단 음료는 사지 말고 집에 두지 마세요.</t>
        </is>
      </c>
      <c r="I222" s="5" t="inlineStr">
        <is>
          <t>집에 없으면 덜 마시게 돼요.</t>
        </is>
      </c>
      <c r="J222" s="6" t="inlineStr">
        <is>
          <t>FAST</t>
        </is>
      </c>
      <c r="K222" s="6" t="n"/>
      <c r="L222" s="6" t="inlineStr">
        <is>
          <t>MOHW-DIETGUIDE; WHO-SUGAR; MFDS-SUGAR</t>
        </is>
      </c>
      <c r="M222" s="5" t="inlineStr">
        <is>
          <t>10-13 추가(추가문구 검수표 45번 · 저녁·새벽 문구). 근거: 국민 공통 식생활지침(보건복지부 2021) 4. 덜 달게 · 5. 단 음료 대신 물 · WHO 유리당 하루 열량 10% 미만 권고</t>
        </is>
      </c>
      <c r="N222" s="6" t="inlineStr">
        <is>
          <t>검수표 45</t>
        </is>
      </c>
    </row>
    <row r="223" ht="37.5" customHeight="1">
      <c r="A223" s="6" t="inlineStr">
        <is>
          <t>DIET-P-0319</t>
        </is>
      </c>
      <c r="B223" s="6" t="inlineStr">
        <is>
          <t>1.0.0</t>
        </is>
      </c>
      <c r="C223" s="6" t="inlineStr">
        <is>
          <t>사용</t>
        </is>
      </c>
      <c r="D223" s="6" t="inlineStr">
        <is>
          <t>AXIS_STAGE</t>
        </is>
      </c>
      <c r="E223" s="6" t="inlineStr">
        <is>
          <t>DIET-Q-02</t>
        </is>
      </c>
      <c r="F223" s="6" t="inlineStr">
        <is>
          <t>CHALLENGE</t>
        </is>
      </c>
      <c r="G223" s="6" t="inlineStr">
        <is>
          <t>주 3일 단 음료 쉬기</t>
        </is>
      </c>
      <c r="H223" s="5" t="inlineStr">
        <is>
          <t>일주일 중 3일은 단 음료를 마시지 않는 날로 정해 보세요.</t>
        </is>
      </c>
      <c r="I223" s="5" t="inlineStr">
        <is>
          <t>쉬는 날을 정하면 단 음료를 줄이기 쉬워요.</t>
        </is>
      </c>
      <c r="J223" s="6" t="inlineStr">
        <is>
          <t>FAST</t>
        </is>
      </c>
      <c r="K223" s="6" t="n"/>
      <c r="L223" s="6" t="inlineStr">
        <is>
          <t>MOHW-DIETGUIDE; WHO-SUGAR; MFDS-SUGAR</t>
        </is>
      </c>
      <c r="M223" s="5" t="inlineStr">
        <is>
          <t>10-13 추가(추가문구 검수표 46번 · 저녁·새벽 문구). 근거: 국민 공통 식생활지침(보건복지부 2021) 4. 덜 달게 · 5. 단 음료 대신 물 · WHO 유리당 하루 열량 10% 미만 권고</t>
        </is>
      </c>
      <c r="N223" s="6" t="inlineStr">
        <is>
          <t>검수표 46</t>
        </is>
      </c>
    </row>
    <row r="224" ht="37.5" customHeight="1">
      <c r="A224" s="6" t="inlineStr">
        <is>
          <t>DIET-P-0320</t>
        </is>
      </c>
      <c r="B224" s="6" t="inlineStr">
        <is>
          <t>1.0.0</t>
        </is>
      </c>
      <c r="C224" s="6" t="inlineStr">
        <is>
          <t>사용</t>
        </is>
      </c>
      <c r="D224" s="6" t="inlineStr">
        <is>
          <t>AXIS_STAGE</t>
        </is>
      </c>
      <c r="E224" s="6" t="inlineStr">
        <is>
          <t>DIET-Q-03</t>
        </is>
      </c>
      <c r="F224" s="6" t="inlineStr">
        <is>
          <t>INTRO</t>
        </is>
      </c>
      <c r="G224" s="6" t="inlineStr">
        <is>
          <t>소금통 치워 두기</t>
        </is>
      </c>
      <c r="H224" s="5" t="inlineStr">
        <is>
          <t>식탁 위 소금통을 손이 닿지 않는 곳에 치워 두세요.</t>
        </is>
      </c>
      <c r="I224" s="5" t="inlineStr">
        <is>
          <t>식탁에 없으면 소금을 덜 넣게 돼요.</t>
        </is>
      </c>
      <c r="J224" s="6" t="n"/>
      <c r="K224" s="6" t="n"/>
      <c r="L224" s="6" t="inlineStr">
        <is>
          <t>MOHW-DIETGUIDE; WHO-DIET; MFDS-SODIUM; KSH-2022</t>
        </is>
      </c>
      <c r="M224" s="5" t="inlineStr">
        <is>
          <t>10-13 추가(추가문구 검수표 47번 · 저녁·새벽 문구). 근거: 국민 공통 식생활지침(보건복지부 2021) 4. 덜 짜게 · WHO 나트륨 하루 2,000mg 미만 권고 · 국·찌개가 나트륨 주 공급원(국민건강영양조사)</t>
        </is>
      </c>
      <c r="N224" s="6" t="inlineStr">
        <is>
          <t>검수표 47</t>
        </is>
      </c>
    </row>
    <row r="225" ht="37.5" customHeight="1">
      <c r="A225" s="6" t="inlineStr">
        <is>
          <t>DIET-P-0321</t>
        </is>
      </c>
      <c r="B225" s="6" t="inlineStr">
        <is>
          <t>1.0.0</t>
        </is>
      </c>
      <c r="C225" s="6" t="inlineStr">
        <is>
          <t>사용</t>
        </is>
      </c>
      <c r="D225" s="6" t="inlineStr">
        <is>
          <t>AXIS_STAGE</t>
        </is>
      </c>
      <c r="E225" s="6" t="inlineStr">
        <is>
          <t>DIET-Q-03</t>
        </is>
      </c>
      <c r="F225" s="6" t="inlineStr">
        <is>
          <t>BASE</t>
        </is>
      </c>
      <c r="G225" s="6" t="inlineStr">
        <is>
          <t>국은 건더기 위주로</t>
        </is>
      </c>
      <c r="H225" s="5" t="inlineStr">
        <is>
          <t>국을 담을 때 국물보다 건더기 위주로 담으세요.</t>
        </is>
      </c>
      <c r="I225" s="5" t="inlineStr">
        <is>
          <t>건더기 위주로 담으면 국물을 덜 먹게 돼요.</t>
        </is>
      </c>
      <c r="J225" s="6" t="n"/>
      <c r="K225" s="6" t="n"/>
      <c r="L225" s="6" t="inlineStr">
        <is>
          <t>MOHW-DIETGUIDE; WHO-DIET; MFDS-SODIUM; KSH-2022</t>
        </is>
      </c>
      <c r="M225" s="5" t="inlineStr">
        <is>
          <t>10-13 추가(추가문구 검수표 48번 · 저녁·새벽 문구). 근거: 국민 공통 식생활지침(보건복지부 2021) 4. 덜 짜게 · WHO 나트륨 하루 2,000mg 미만 권고 · 국·찌개가 나트륨 주 공급원(국민건강영양조사)</t>
        </is>
      </c>
      <c r="N225" s="6" t="inlineStr">
        <is>
          <t>검수표 48</t>
        </is>
      </c>
    </row>
    <row r="226" ht="37.5" customHeight="1">
      <c r="A226" s="6" t="inlineStr">
        <is>
          <t>DIET-P-0322</t>
        </is>
      </c>
      <c r="B226" s="6" t="inlineStr">
        <is>
          <t>1.0.0</t>
        </is>
      </c>
      <c r="C226" s="6" t="inlineStr">
        <is>
          <t>사용</t>
        </is>
      </c>
      <c r="D226" s="6" t="inlineStr">
        <is>
          <t>AXIS_STAGE</t>
        </is>
      </c>
      <c r="E226" s="6" t="inlineStr">
        <is>
          <t>DIET-Q-03</t>
        </is>
      </c>
      <c r="F226" s="6" t="inlineStr">
        <is>
          <t>CHALLENGE</t>
        </is>
      </c>
      <c r="G226" s="6" t="inlineStr">
        <is>
          <t>나트륨 표시 비교하기</t>
        </is>
      </c>
      <c r="H226" s="5" t="inlineStr">
        <is>
          <t>비슷한 제품 두 가지의 나트륨 표시를 비교해 덜 짠 것을 고르세요.</t>
        </is>
      </c>
      <c r="I226" s="5" t="inlineStr">
        <is>
          <t>비교하면 덜 짠 제품을 고를 수 있어요.</t>
        </is>
      </c>
      <c r="J226" s="6" t="n"/>
      <c r="K226" s="6" t="n"/>
      <c r="L226" s="6" t="inlineStr">
        <is>
          <t>MOHW-DIETGUIDE; WHO-DIET; MFDS-SODIUM; KSH-2022</t>
        </is>
      </c>
      <c r="M226" s="5" t="inlineStr">
        <is>
          <t>10-13 추가(추가문구 검수표 49번 · 저녁·새벽 문구). 근거: 국민 공통 식생활지침(보건복지부 2021) 4. 덜 짜게 · WHO 나트륨 하루 2,000mg 미만 권고 · 국·찌개가 나트륨 주 공급원(국민건강영양조사)</t>
        </is>
      </c>
      <c r="N226" s="6" t="inlineStr">
        <is>
          <t>검수표 49</t>
        </is>
      </c>
    </row>
    <row r="227" ht="37.5" customHeight="1">
      <c r="A227" s="6" t="inlineStr">
        <is>
          <t>DIET-P-0323</t>
        </is>
      </c>
      <c r="B227" s="6" t="inlineStr">
        <is>
          <t>1.0.0</t>
        </is>
      </c>
      <c r="C227" s="6" t="inlineStr">
        <is>
          <t>사용</t>
        </is>
      </c>
      <c r="D227" s="6" t="inlineStr">
        <is>
          <t>AXIS_STAGE</t>
        </is>
      </c>
      <c r="E227" s="6" t="inlineStr">
        <is>
          <t>DIET-Q-04</t>
        </is>
      </c>
      <c r="F227" s="6" t="inlineStr">
        <is>
          <t>INTRO</t>
        </is>
      </c>
      <c r="G227" s="6" t="inlineStr">
        <is>
          <t>간식 자리 정리하기</t>
        </is>
      </c>
      <c r="H227" s="5" t="inlineStr">
        <is>
          <t>늘 간식을 두던 자리를 정리해 간식이 눈에 띄지 않게 하세요.</t>
        </is>
      </c>
      <c r="I227" s="5" t="inlineStr">
        <is>
          <t>간식이 안 보이면 늦은 밤 손이 덜 가요.</t>
        </is>
      </c>
      <c r="J227" s="6" t="n"/>
      <c r="K227" s="6" t="n"/>
      <c r="L227" s="6" t="inlineStr">
        <is>
          <t>MOHW-DIETGUIDE; NIDDK-GERD</t>
        </is>
      </c>
      <c r="M227" s="5" t="inlineStr">
        <is>
          <t>10-13 추가(추가문구 검수표 50번 · 저녁·새벽 문구). 근거: 국민 공통 식생활지침(보건복지부 2021) 3. 과식 피하기 · 위식도역류 생활수칙(대한소화기학회): 잠들기 전 식사 피하기</t>
        </is>
      </c>
      <c r="N227" s="6" t="inlineStr">
        <is>
          <t>검수표 50</t>
        </is>
      </c>
    </row>
    <row r="228" ht="37.5" customHeight="1">
      <c r="A228" s="6" t="inlineStr">
        <is>
          <t>DIET-P-0324</t>
        </is>
      </c>
      <c r="B228" s="6" t="inlineStr">
        <is>
          <t>1.0.0</t>
        </is>
      </c>
      <c r="C228" s="6" t="inlineStr">
        <is>
          <t>사용</t>
        </is>
      </c>
      <c r="D228" s="6" t="inlineStr">
        <is>
          <t>AXIS_STAGE</t>
        </is>
      </c>
      <c r="E228" s="6" t="inlineStr">
        <is>
          <t>DIET-Q-04</t>
        </is>
      </c>
      <c r="F228" s="6" t="inlineStr">
        <is>
          <t>BASE</t>
        </is>
      </c>
      <c r="G228" s="6" t="inlineStr">
        <is>
          <t>저녁은 7시 전에</t>
        </is>
      </c>
      <c r="H228" s="5" t="inlineStr">
        <is>
          <t>저녁 식사를 저녁 7시 전에 마쳐 보세요.</t>
        </is>
      </c>
      <c r="I228" s="5" t="inlineStr">
        <is>
          <t>저녁을 일찍 마치면 속이 편하게 잠들 수 있어요.</t>
        </is>
      </c>
      <c r="J228" s="6" t="n"/>
      <c r="K228" s="6" t="n"/>
      <c r="L228" s="6" t="inlineStr">
        <is>
          <t>MOHW-DIETGUIDE; NIDDK-GERD</t>
        </is>
      </c>
      <c r="M228" s="5" t="inlineStr">
        <is>
          <t>10-13 추가(추가문구 검수표 51번 · 저녁·새벽 문구). 근거: 국민 공통 식생활지침(보건복지부 2021) 3. 과식 피하기 · 위식도역류 생활수칙(대한소화기학회): 잠들기 전 식사 피하기</t>
        </is>
      </c>
      <c r="N228" s="6" t="inlineStr">
        <is>
          <t>검수표 51</t>
        </is>
      </c>
    </row>
    <row r="229" ht="37.5" customHeight="1">
      <c r="A229" s="6" t="inlineStr">
        <is>
          <t>DIET-P-0325</t>
        </is>
      </c>
      <c r="B229" s="6" t="inlineStr">
        <is>
          <t>1.0.0</t>
        </is>
      </c>
      <c r="C229" s="6" t="inlineStr">
        <is>
          <t>사용</t>
        </is>
      </c>
      <c r="D229" s="6" t="inlineStr">
        <is>
          <t>AXIS_STAGE</t>
        </is>
      </c>
      <c r="E229" s="6" t="inlineStr">
        <is>
          <t>DIET-Q-04</t>
        </is>
      </c>
      <c r="F229" s="6" t="inlineStr">
        <is>
          <t>CHALLENGE</t>
        </is>
      </c>
      <c r="G229" s="6" t="inlineStr">
        <is>
          <t>저녁은 매일 7시쯤</t>
        </is>
      </c>
      <c r="H229" s="5" t="inlineStr">
        <is>
          <t>매일 저녁 7시쯤 비슷한 시간에 저녁을 드세요.</t>
        </is>
      </c>
      <c r="I229" s="5" t="inlineStr">
        <is>
          <t>저녁 시각이 일정하면 하루 리듬이 잡혀요.</t>
        </is>
      </c>
      <c r="J229" s="6" t="n"/>
      <c r="K229" s="6" t="n"/>
      <c r="L229" s="6" t="inlineStr">
        <is>
          <t>MOHW-DIETGUIDE; NIDDK-GERD</t>
        </is>
      </c>
      <c r="M229" s="5" t="inlineStr">
        <is>
          <t>10-13 추가(추가문구 검수표 52번 · 저녁·새벽 문구). 근거: 국민 공통 식생활지침(보건복지부 2021) 3. 과식 피하기 · 위식도역류 생활수칙(대한소화기학회): 잠들기 전 식사 피하기</t>
        </is>
      </c>
      <c r="N229" s="6" t="inlineStr">
        <is>
          <t>검수표 52</t>
        </is>
      </c>
    </row>
    <row r="230" ht="25" customHeight="1">
      <c r="A230" s="6" t="inlineStr">
        <is>
          <t>DIET-P-0326</t>
        </is>
      </c>
      <c r="B230" s="6" t="inlineStr">
        <is>
          <t>1.0.0</t>
        </is>
      </c>
      <c r="C230" s="6" t="inlineStr">
        <is>
          <t>사용</t>
        </is>
      </c>
      <c r="D230" s="6" t="inlineStr">
        <is>
          <t>AXIS_STAGE</t>
        </is>
      </c>
      <c r="E230" s="6" t="inlineStr">
        <is>
          <t>DIET-Q-05</t>
        </is>
      </c>
      <c r="F230" s="6" t="inlineStr">
        <is>
          <t>INTRO</t>
        </is>
      </c>
      <c r="G230" s="6" t="inlineStr">
        <is>
          <t>밥은 15분 넘게 먹기</t>
        </is>
      </c>
      <c r="H230" s="5" t="inlineStr">
        <is>
          <t>한 끼를 15분 이상 들여 천천히 드세요.</t>
        </is>
      </c>
      <c r="I230" s="5" t="inlineStr">
        <is>
          <t>15분 넘게 먹으면 배부름을 느낄 시간이 생겨요.</t>
        </is>
      </c>
      <c r="J230" s="6" t="n"/>
      <c r="K230" s="6" t="n"/>
      <c r="L230" s="6" t="inlineStr">
        <is>
          <t>MOHW-DIETGUIDE; KSSO-OBESITY</t>
        </is>
      </c>
      <c r="M230" s="5" t="inlineStr">
        <is>
          <t>10-13 추가(추가문구 검수표 53번 · 저녁·새벽 문구). 근거: 국민 공통 식생활지침(보건복지부 2021) 3. 과식 피하기 · 천천히 먹기와 포만감(식사 속도 연구)</t>
        </is>
      </c>
      <c r="N230" s="6" t="inlineStr">
        <is>
          <t>검수표 53</t>
        </is>
      </c>
    </row>
    <row r="231" ht="25" customHeight="1">
      <c r="A231" s="6" t="inlineStr">
        <is>
          <t>DIET-P-0327</t>
        </is>
      </c>
      <c r="B231" s="6" t="inlineStr">
        <is>
          <t>1.0.0</t>
        </is>
      </c>
      <c r="C231" s="6" t="inlineStr">
        <is>
          <t>사용</t>
        </is>
      </c>
      <c r="D231" s="6" t="inlineStr">
        <is>
          <t>AXIS_STAGE</t>
        </is>
      </c>
      <c r="E231" s="6" t="inlineStr">
        <is>
          <t>DIET-Q-05</t>
        </is>
      </c>
      <c r="F231" s="6" t="inlineStr">
        <is>
          <t>BASE</t>
        </is>
      </c>
      <c r="G231" s="6" t="inlineStr">
        <is>
          <t>TV 끄고 식사하기</t>
        </is>
      </c>
      <c r="H231" s="5" t="inlineStr">
        <is>
          <t>밥 먹는 동안에는 TV를 끄고 식사에 집중하세요.</t>
        </is>
      </c>
      <c r="I231" s="5" t="inlineStr">
        <is>
          <t>화면을 끄면 먹는 양을 살피기 쉬워요.</t>
        </is>
      </c>
      <c r="J231" s="6" t="n"/>
      <c r="K231" s="6" t="n"/>
      <c r="L231" s="6" t="inlineStr">
        <is>
          <t>MOHW-DIETGUIDE; KSSO-OBESITY</t>
        </is>
      </c>
      <c r="M231" s="5" t="inlineStr">
        <is>
          <t>10-13 추가(추가문구 검수표 54번 · 저녁·새벽 문구). 근거: 국민 공통 식생활지침(보건복지부 2021) 3. 과식 피하기 · 천천히 먹기와 포만감(식사 속도 연구)</t>
        </is>
      </c>
      <c r="N231" s="6" t="inlineStr">
        <is>
          <t>검수표 54</t>
        </is>
      </c>
    </row>
    <row r="232" ht="25" customHeight="1">
      <c r="A232" s="6" t="inlineStr">
        <is>
          <t>DIET-P-0328</t>
        </is>
      </c>
      <c r="B232" s="6" t="inlineStr">
        <is>
          <t>1.0.0</t>
        </is>
      </c>
      <c r="C232" s="6" t="inlineStr">
        <is>
          <t>사용</t>
        </is>
      </c>
      <c r="D232" s="6" t="inlineStr">
        <is>
          <t>AXIS_STAGE</t>
        </is>
      </c>
      <c r="E232" s="6" t="inlineStr">
        <is>
          <t>DIET-Q-05</t>
        </is>
      </c>
      <c r="F232" s="6" t="inlineStr">
        <is>
          <t>CHALLENGE</t>
        </is>
      </c>
      <c r="G232" s="6" t="inlineStr">
        <is>
          <t>함께 먹는 끼니 정하기</t>
        </is>
      </c>
      <c r="H232" s="5" t="inlineStr">
        <is>
          <t>가족이나 친구와 함께 먹을 끼니를 하루 한 번 정해 보세요.</t>
        </is>
      </c>
      <c r="I232" s="5" t="inlineStr">
        <is>
          <t>함께 먹으면 천천히, 즐겁게 먹게 돼요.</t>
        </is>
      </c>
      <c r="J232" s="6" t="n"/>
      <c r="K232" s="6" t="n"/>
      <c r="L232" s="6" t="inlineStr">
        <is>
          <t>MOHW-DIETGUIDE; KSSO-OBESITY</t>
        </is>
      </c>
      <c r="M232" s="5" t="inlineStr">
        <is>
          <t>10-13 추가(추가문구 검수표 55번 · 저녁·새벽 문구). 근거: 국민 공통 식생활지침(보건복지부 2021) 3. 과식 피하기 · 천천히 먹기와 포만감(식사 속도 연구)</t>
        </is>
      </c>
      <c r="N232" s="6" t="inlineStr">
        <is>
          <t>검수표 55</t>
        </is>
      </c>
    </row>
    <row r="233" ht="37.5" customHeight="1">
      <c r="A233" s="6" t="inlineStr">
        <is>
          <t>DIET-P-0329</t>
        </is>
      </c>
      <c r="B233" s="6" t="inlineStr">
        <is>
          <t>1.0.0</t>
        </is>
      </c>
      <c r="C233" s="6" t="inlineStr">
        <is>
          <t>사용</t>
        </is>
      </c>
      <c r="D233" s="6" t="inlineStr">
        <is>
          <t>AXIS_STAGE</t>
        </is>
      </c>
      <c r="E233" s="6" t="inlineStr">
        <is>
          <t>DIET-Q-06</t>
        </is>
      </c>
      <c r="F233" s="6" t="inlineStr">
        <is>
          <t>INTRO</t>
        </is>
      </c>
      <c r="G233" s="6" t="inlineStr">
        <is>
          <t>아침 달걀 꺼내 두기</t>
        </is>
      </c>
      <c r="H233" s="5" t="inlineStr">
        <is>
          <t>내일 아침에 먹을 달걀을 냉장고 앞쪽 잘 보이는 곳에 꺼내 두세요.</t>
        </is>
      </c>
      <c r="I233" s="5" t="inlineStr">
        <is>
          <t>꺼내 두면 아침 단백질을 챙기기 쉬워요.</t>
        </is>
      </c>
      <c r="J233" s="6" t="n"/>
      <c r="K233" s="6" t="n"/>
      <c r="L233" s="6" t="inlineStr">
        <is>
          <t>MOHW-DIETGUIDE; WHO-DIET</t>
        </is>
      </c>
      <c r="M233" s="5" t="inlineStr">
        <is>
          <t>10-13 추가(추가문구 검수표 56번 · 저녁·새벽 문구). 근거: 국민 공통 식생활지침(보건복지부 2021) 1. 다양한 식품 골고루 · 2020 한국인 영양소 섭취기준(단백질 끼니별 고른 섭취)</t>
        </is>
      </c>
      <c r="N233" s="6" t="inlineStr">
        <is>
          <t>검수표 56</t>
        </is>
      </c>
    </row>
    <row r="234" ht="37.5" customHeight="1">
      <c r="A234" s="6" t="inlineStr">
        <is>
          <t>DIET-P-0330</t>
        </is>
      </c>
      <c r="B234" s="6" t="inlineStr">
        <is>
          <t>1.0.0</t>
        </is>
      </c>
      <c r="C234" s="6" t="inlineStr">
        <is>
          <t>사용</t>
        </is>
      </c>
      <c r="D234" s="6" t="inlineStr">
        <is>
          <t>AXIS_STAGE</t>
        </is>
      </c>
      <c r="E234" s="6" t="inlineStr">
        <is>
          <t>DIET-Q-06</t>
        </is>
      </c>
      <c r="F234" s="6" t="inlineStr">
        <is>
          <t>BASE</t>
        </is>
      </c>
      <c r="G234" s="6" t="inlineStr">
        <is>
          <t>주 2회 생선 먹기</t>
        </is>
      </c>
      <c r="H234" s="5" t="inlineStr">
        <is>
          <t>일주일에 두 번은 생선 반찬을 드세요.</t>
        </is>
      </c>
      <c r="I234" s="5" t="inlineStr">
        <is>
          <t>생선은 일주일에 두 번쯤 먹기를 권해요.</t>
        </is>
      </c>
      <c r="J234" s="6" t="n"/>
      <c r="K234" s="6" t="n"/>
      <c r="L234" s="6" t="inlineStr">
        <is>
          <t>MOHW-DIETGUIDE; WHO-DIET</t>
        </is>
      </c>
      <c r="M234" s="5" t="inlineStr">
        <is>
          <t>10-13 추가(추가문구 검수표 57번 · 저녁·새벽 문구). 근거: 미국심장협회(AHA): 생선 주 2회 권고 · 국민 공통 식생활지침(보건복지부 2021) 1. 다양한 식품 골고루</t>
        </is>
      </c>
      <c r="N234" s="6" t="inlineStr">
        <is>
          <t>검수표 57</t>
        </is>
      </c>
    </row>
    <row r="235" ht="37.5" customHeight="1">
      <c r="A235" s="6" t="inlineStr">
        <is>
          <t>DIET-P-0331</t>
        </is>
      </c>
      <c r="B235" s="6" t="inlineStr">
        <is>
          <t>1.0.0</t>
        </is>
      </c>
      <c r="C235" s="6" t="inlineStr">
        <is>
          <t>사용</t>
        </is>
      </c>
      <c r="D235" s="6" t="inlineStr">
        <is>
          <t>AXIS_STAGE</t>
        </is>
      </c>
      <c r="E235" s="6" t="inlineStr">
        <is>
          <t>DIET-Q-06</t>
        </is>
      </c>
      <c r="F235" s="6" t="inlineStr">
        <is>
          <t>CHALLENGE</t>
        </is>
      </c>
      <c r="G235" s="6" t="inlineStr">
        <is>
          <t>두부부침 반찬 만들기</t>
        </is>
      </c>
      <c r="H235" s="5" t="inlineStr">
        <is>
          <t>두부를 부쳐서 반찬을 한 가지 만들어 보세요.</t>
        </is>
      </c>
      <c r="I235" s="5" t="inlineStr">
        <is>
          <t>두부부침은 쉽게 만드는 단백질 반찬이에요.</t>
        </is>
      </c>
      <c r="J235" s="6" t="n"/>
      <c r="K235" s="6" t="n"/>
      <c r="L235" s="6" t="inlineStr">
        <is>
          <t>MOHW-DIETGUIDE; WHO-DIET</t>
        </is>
      </c>
      <c r="M235" s="5" t="inlineStr">
        <is>
          <t>10-13 추가(추가문구 검수표 58번 · 저녁·새벽 문구). 근거: 국민 공통 식생활지침(보건복지부 2021) 1. 다양한 식품 골고루 · 2020 한국인 영양소 섭취기준(단백질 끼니별 고른 섭취)</t>
        </is>
      </c>
      <c r="N235" s="6" t="inlineStr">
        <is>
          <t>검수표 58</t>
        </is>
      </c>
    </row>
    <row r="236" ht="25" customHeight="1">
      <c r="A236" s="6" t="inlineStr">
        <is>
          <t>DIET-P-0332</t>
        </is>
      </c>
      <c r="B236" s="6" t="inlineStr">
        <is>
          <t>1.0.0</t>
        </is>
      </c>
      <c r="C236" s="6" t="inlineStr">
        <is>
          <t>사용</t>
        </is>
      </c>
      <c r="D236" s="6" t="inlineStr">
        <is>
          <t>AXIS_STAGE</t>
        </is>
      </c>
      <c r="E236" s="6" t="inlineStr">
        <is>
          <t>DIET-Q-07</t>
        </is>
      </c>
      <c r="F236" s="6" t="inlineStr">
        <is>
          <t>INTRO</t>
        </is>
      </c>
      <c r="G236" s="6" t="inlineStr">
        <is>
          <t>구워 먹을 재료 꺼내기</t>
        </is>
      </c>
      <c r="H236" s="5" t="inlineStr">
        <is>
          <t>내일 구워 먹을 생선이나 고기를 냉장실로 옮겨 준비해 두세요.</t>
        </is>
      </c>
      <c r="I236" s="5" t="inlineStr">
        <is>
          <t>구울 재료가 있으면 튀김을 덜 고르게 돼요.</t>
        </is>
      </c>
      <c r="J236" s="6" t="n"/>
      <c r="K236" s="6" t="n"/>
      <c r="L236" s="6" t="inlineStr">
        <is>
          <t>MOHW-DIETGUIDE; WHO-FAT-2023; KSoLA-2022</t>
        </is>
      </c>
      <c r="M236" s="5" t="inlineStr">
        <is>
          <t>10-13 추가(추가문구 검수표 59번 · 저녁·새벽 문구). 근거: 국민 공통 식생활지침(보건복지부 2021) 4. 덜 기름지게 · WHO 포화지방 하루 열량 10% 미만 권고</t>
        </is>
      </c>
      <c r="N236" s="6" t="inlineStr">
        <is>
          <t>검수표 59</t>
        </is>
      </c>
    </row>
    <row r="237" ht="25" customHeight="1">
      <c r="A237" s="6" t="inlineStr">
        <is>
          <t>DIET-P-0333</t>
        </is>
      </c>
      <c r="B237" s="6" t="inlineStr">
        <is>
          <t>1.0.0</t>
        </is>
      </c>
      <c r="C237" s="6" t="inlineStr">
        <is>
          <t>사용</t>
        </is>
      </c>
      <c r="D237" s="6" t="inlineStr">
        <is>
          <t>AXIS_STAGE</t>
        </is>
      </c>
      <c r="E237" s="6" t="inlineStr">
        <is>
          <t>DIET-Q-07</t>
        </is>
      </c>
      <c r="F237" s="6" t="inlineStr">
        <is>
          <t>BASE</t>
        </is>
      </c>
      <c r="G237" s="6" t="inlineStr">
        <is>
          <t>감자튀김 대신 찐 감자</t>
        </is>
      </c>
      <c r="H237" s="5" t="inlineStr">
        <is>
          <t>감자튀김 대신 찐 감자를 드세요.</t>
        </is>
      </c>
      <c r="I237" s="5" t="inlineStr">
        <is>
          <t>찐 감자는 튀긴 감자보다 기름이 적어요.</t>
        </is>
      </c>
      <c r="J237" s="6" t="inlineStr">
        <is>
          <t>TEXTURE</t>
        </is>
      </c>
      <c r="K237" s="6" t="n"/>
      <c r="L237" s="6" t="inlineStr">
        <is>
          <t>MOHW-DIETGUIDE; WHO-FAT-2023; KSoLA-2022</t>
        </is>
      </c>
      <c r="M237" s="5" t="inlineStr">
        <is>
          <t>10-13 추가(추가문구 검수표 60번 · 저녁·새벽 문구). 근거: 국민 공통 식생활지침(보건복지부 2021) 4. 덜 기름지게 · WHO 포화지방 하루 열량 10% 미만 권고</t>
        </is>
      </c>
      <c r="N237" s="6" t="inlineStr">
        <is>
          <t>검수표 60</t>
        </is>
      </c>
    </row>
    <row r="238" ht="25" customHeight="1">
      <c r="A238" s="6" t="inlineStr">
        <is>
          <t>DIET-P-0334</t>
        </is>
      </c>
      <c r="B238" s="6" t="inlineStr">
        <is>
          <t>1.0.0</t>
        </is>
      </c>
      <c r="C238" s="6" t="inlineStr">
        <is>
          <t>사용</t>
        </is>
      </c>
      <c r="D238" s="6" t="inlineStr">
        <is>
          <t>AXIS_STAGE</t>
        </is>
      </c>
      <c r="E238" s="6" t="inlineStr">
        <is>
          <t>DIET-Q-07</t>
        </is>
      </c>
      <c r="F238" s="6" t="inlineStr">
        <is>
          <t>CHALLENGE</t>
        </is>
      </c>
      <c r="G238" s="6" t="inlineStr">
        <is>
          <t>양념 고기 대신 생선찜</t>
        </is>
      </c>
      <c r="H238" s="5" t="inlineStr">
        <is>
          <t>양념한 고기구이 대신 생선찜을 골라 드세요.</t>
        </is>
      </c>
      <c r="I238" s="5" t="inlineStr">
        <is>
          <t>생선찜은 양념 고기보다 기름이 덜해요.</t>
        </is>
      </c>
      <c r="J238" s="6" t="inlineStr">
        <is>
          <t>TEXTURE</t>
        </is>
      </c>
      <c r="K238" s="6" t="n"/>
      <c r="L238" s="6" t="inlineStr">
        <is>
          <t>MOHW-DIETGUIDE; WHO-FAT-2023; KSoLA-2022</t>
        </is>
      </c>
      <c r="M238" s="5" t="inlineStr">
        <is>
          <t>10-13 추가(추가문구 검수표 61번 · 저녁·새벽 문구). 근거: 국민 공통 식생활지침(보건복지부 2021) 4. 덜 기름지게 · WHO 포화지방 하루 열량 10% 미만 권고 · 10-19 특정 음식 이름을 음식 종류로</t>
        </is>
      </c>
      <c r="N238" s="6" t="inlineStr">
        <is>
          <t>검수표 61</t>
        </is>
      </c>
    </row>
    <row r="239" ht="25" customHeight="1">
      <c r="A239" s="6" t="inlineStr">
        <is>
          <t>DIET-P-0335</t>
        </is>
      </c>
      <c r="B239" s="6" t="inlineStr">
        <is>
          <t>1.0.0</t>
        </is>
      </c>
      <c r="C239" s="6" t="inlineStr">
        <is>
          <t>사용</t>
        </is>
      </c>
      <c r="D239" s="6" t="inlineStr">
        <is>
          <t>RECOVERY</t>
        </is>
      </c>
      <c r="E239" s="6" t="n"/>
      <c r="F239" s="6" t="n"/>
      <c r="G239" s="6" t="inlineStr">
        <is>
          <t>따뜻한 국에 밥 말기</t>
        </is>
      </c>
      <c r="H239" s="5" t="inlineStr">
        <is>
          <t>밥이 잘 넘어가지 않으면 따뜻한 국에 밥을 조금 말아 드세요.</t>
        </is>
      </c>
      <c r="I239" s="5" t="inlineStr">
        <is>
          <t>따뜻한 국물에 만 밥은 넘기기 편해요.</t>
        </is>
      </c>
      <c r="J239" s="6" t="inlineStr">
        <is>
          <t>INCREASE</t>
        </is>
      </c>
      <c r="K239" s="6" t="n"/>
      <c r="L239" s="6" t="inlineStr">
        <is>
          <t>MOHW-DIETGUIDE</t>
        </is>
      </c>
      <c r="M239" s="5" t="inlineStr">
        <is>
          <t>10-13 추가(추가문구 검수표 62번 · 저녁·새벽 문구). 근거: 식욕이 없을 때 식사 요령(대한영양사협회 · 국가암정보센터): 조금씩 자주, 먹기 편한 음식부터</t>
        </is>
      </c>
      <c r="N239" s="6" t="inlineStr">
        <is>
          <t>검수표 62</t>
        </is>
      </c>
    </row>
    <row r="240" ht="25" customHeight="1">
      <c r="A240" s="6" t="inlineStr">
        <is>
          <t>DIET-P-0336</t>
        </is>
      </c>
      <c r="B240" s="6" t="inlineStr">
        <is>
          <t>1.0.0</t>
        </is>
      </c>
      <c r="C240" s="6" t="inlineStr">
        <is>
          <t>사용</t>
        </is>
      </c>
      <c r="D240" s="6" t="inlineStr">
        <is>
          <t>RECOVERY</t>
        </is>
      </c>
      <c r="E240" s="6" t="n"/>
      <c r="F240" s="6" t="n"/>
      <c r="G240" s="6" t="inlineStr">
        <is>
          <t>식사 느낌 한 줄 적기</t>
        </is>
      </c>
      <c r="H240" s="5" t="inlineStr">
        <is>
          <t>식사 후 먹기 편했는지, 불편했는지 한 줄로 적어 두세요.</t>
        </is>
      </c>
      <c r="I240" s="5" t="inlineStr">
        <is>
          <t>적어 두면 내게 편한 식사를 찾기 쉬워요.</t>
        </is>
      </c>
      <c r="J240" s="6" t="n"/>
      <c r="K240" s="6" t="n"/>
      <c r="L240" s="6" t="inlineStr">
        <is>
          <t>MOHW-DIETGUIDE</t>
        </is>
      </c>
      <c r="M240" s="5" t="inlineStr">
        <is>
          <t>10-13 추가(추가문구 검수표 63번 · 저녁·새벽 문구). 근거: 식욕이 없을 때 식사 요령(대한영양사협회 · 국가암정보센터): 조금씩 자주, 먹기 편한 음식부터</t>
        </is>
      </c>
      <c r="N240" s="6" t="inlineStr">
        <is>
          <t>검수표 63</t>
        </is>
      </c>
    </row>
    <row r="241" ht="25" customHeight="1">
      <c r="A241" s="6" t="inlineStr">
        <is>
          <t>DIET-P-0337</t>
        </is>
      </c>
      <c r="B241" s="6" t="inlineStr">
        <is>
          <t>1.0.0</t>
        </is>
      </c>
      <c r="C241" s="6" t="inlineStr">
        <is>
          <t>사용</t>
        </is>
      </c>
      <c r="D241" s="6" t="inlineStr">
        <is>
          <t>AXIS_STAGE</t>
        </is>
      </c>
      <c r="E241" s="6" t="inlineStr">
        <is>
          <t>DIET-Q-00</t>
        </is>
      </c>
      <c r="F241" s="6" t="inlineStr">
        <is>
          <t>INTRO</t>
        </is>
      </c>
      <c r="G241" s="6" t="inlineStr">
        <is>
          <t>점심 알림 12시로</t>
        </is>
      </c>
      <c r="H241" s="5" t="inlineStr">
        <is>
          <t>휴대폰에 낮 12시 점심 알림을 맞춰 두세요.</t>
        </is>
      </c>
      <c r="I241" s="5" t="inlineStr">
        <is>
          <t>알림을 맞춰 두면 바쁜 날에도 점심을 놓치지 않아요.</t>
        </is>
      </c>
      <c r="J241" s="6" t="n"/>
      <c r="K241" s="6" t="n"/>
      <c r="L241" s="6" t="inlineStr">
        <is>
          <t>MOHW-DIETGUIDE</t>
        </is>
      </c>
      <c r="M241" s="5" t="inlineStr">
        <is>
          <t>10-13 추가(추가문구 검수표 64번 · 입문 보강). 근거: 국민 공통 식생활지침(보건복지부 2021) 2. 아침밥 꼭 먹기 · 규칙적인 식사</t>
        </is>
      </c>
      <c r="N241" s="6" t="inlineStr">
        <is>
          <t>검수표 64</t>
        </is>
      </c>
    </row>
    <row r="242" ht="25" customHeight="1">
      <c r="A242" s="6" t="inlineStr">
        <is>
          <t>DIET-P-0338</t>
        </is>
      </c>
      <c r="B242" s="6" t="inlineStr">
        <is>
          <t>1.0.0</t>
        </is>
      </c>
      <c r="C242" s="6" t="inlineStr">
        <is>
          <t>사용</t>
        </is>
      </c>
      <c r="D242" s="6" t="inlineStr">
        <is>
          <t>AXIS_STAGE</t>
        </is>
      </c>
      <c r="E242" s="6" t="inlineStr">
        <is>
          <t>DIET-Q-00</t>
        </is>
      </c>
      <c r="F242" s="6" t="inlineStr">
        <is>
          <t>INTRO</t>
        </is>
      </c>
      <c r="G242" s="6" t="inlineStr">
        <is>
          <t>식사 시간 달력에 적기</t>
        </is>
      </c>
      <c r="H242" s="5" t="inlineStr">
        <is>
          <t>달력이나 일정표에 끼니 시간을 적어 두세요.</t>
        </is>
      </c>
      <c r="I242" s="5" t="inlineStr">
        <is>
          <t>적어 두면 끼니 시간을 지키기 쉬워요.</t>
        </is>
      </c>
      <c r="J242" s="6" t="n"/>
      <c r="K242" s="6" t="n"/>
      <c r="L242" s="6" t="inlineStr">
        <is>
          <t>MOHW-DIETGUIDE</t>
        </is>
      </c>
      <c r="M242" s="5" t="inlineStr">
        <is>
          <t>10-13 추가(추가문구 검수표 65번 · 입문 보강). 근거: 국민 공통 식생활지침(보건복지부 2021) 2. 아침밥 꼭 먹기 · 규칙적인 식사</t>
        </is>
      </c>
      <c r="N242" s="6" t="inlineStr">
        <is>
          <t>검수표 65</t>
        </is>
      </c>
    </row>
    <row r="243" ht="25" customHeight="1">
      <c r="A243" s="6" t="inlineStr">
        <is>
          <t>DIET-P-0339</t>
        </is>
      </c>
      <c r="B243" s="6" t="inlineStr">
        <is>
          <t>1.0.0</t>
        </is>
      </c>
      <c r="C243" s="6" t="inlineStr">
        <is>
          <t>사용</t>
        </is>
      </c>
      <c r="D243" s="6" t="inlineStr">
        <is>
          <t>AXIS_STAGE</t>
        </is>
      </c>
      <c r="E243" s="6" t="inlineStr">
        <is>
          <t>DIET-Q-00</t>
        </is>
      </c>
      <c r="F243" s="6" t="inlineStr">
        <is>
          <t>INTRO</t>
        </is>
      </c>
      <c r="G243" s="6" t="inlineStr">
        <is>
          <t>4시간마다 끼니 챙기기</t>
        </is>
      </c>
      <c r="H243" s="5" t="inlineStr">
        <is>
          <t>끼니와 끼니 사이를 4시간쯤으로 두고 챙겨 드세요.</t>
        </is>
      </c>
      <c r="I243" s="5" t="inlineStr">
        <is>
          <t>끼니 사이가 너무 길지 않으면 과식을 막기 쉬워요.</t>
        </is>
      </c>
      <c r="J243" s="6" t="n"/>
      <c r="K243" s="6" t="n"/>
      <c r="L243" s="6" t="inlineStr">
        <is>
          <t>MOHW-DIETGUIDE</t>
        </is>
      </c>
      <c r="M243" s="5" t="inlineStr">
        <is>
          <t>10-13 추가(추가문구 검수표 66번 · 입문 보강). 근거: 국민 공통 식생활지침(보건복지부 2021) 2. 아침밥 꼭 먹기 · 규칙적인 식사</t>
        </is>
      </c>
      <c r="N243" s="6" t="inlineStr">
        <is>
          <t>검수표 66</t>
        </is>
      </c>
    </row>
    <row r="244" ht="25" customHeight="1">
      <c r="A244" s="6" t="inlineStr">
        <is>
          <t>DIET-P-0340</t>
        </is>
      </c>
      <c r="B244" s="6" t="inlineStr">
        <is>
          <t>1.0.0</t>
        </is>
      </c>
      <c r="C244" s="6" t="inlineStr">
        <is>
          <t>사용</t>
        </is>
      </c>
      <c r="D244" s="6" t="inlineStr">
        <is>
          <t>AXIS_STAGE</t>
        </is>
      </c>
      <c r="E244" s="6" t="inlineStr">
        <is>
          <t>DIET-Q-00</t>
        </is>
      </c>
      <c r="F244" s="6" t="inlineStr">
        <is>
          <t>INTRO</t>
        </is>
      </c>
      <c r="G244" s="6" t="inlineStr">
        <is>
          <t>요깃거리 챙겨 나가기</t>
        </is>
      </c>
      <c r="H244" s="5" t="inlineStr">
        <is>
          <t>외출할 때 간단히 먹을 요깃거리를 챙겨 나가세요.</t>
        </is>
      </c>
      <c r="I244" s="5" t="inlineStr">
        <is>
          <t>요깃거리가 있으면 끼니를 건너뛰지 않아요.</t>
        </is>
      </c>
      <c r="J244" s="6" t="n"/>
      <c r="K244" s="6" t="n"/>
      <c r="L244" s="6" t="inlineStr">
        <is>
          <t>MOHW-DIETGUIDE</t>
        </is>
      </c>
      <c r="M244" s="5" t="inlineStr">
        <is>
          <t>10-13 추가(추가문구 검수표 67번 · 입문 보강). 근거: 국민 공통 식생활지침(보건복지부 2021) 2. 아침밥 꼭 먹기 · 규칙적인 식사</t>
        </is>
      </c>
      <c r="N244" s="6" t="inlineStr">
        <is>
          <t>검수표 67</t>
        </is>
      </c>
    </row>
    <row r="245" ht="25" customHeight="1">
      <c r="A245" s="6" t="inlineStr">
        <is>
          <t>DIET-P-0341</t>
        </is>
      </c>
      <c r="B245" s="6" t="inlineStr">
        <is>
          <t>1.0.0</t>
        </is>
      </c>
      <c r="C245" s="6" t="inlineStr">
        <is>
          <t>사용</t>
        </is>
      </c>
      <c r="D245" s="6" t="inlineStr">
        <is>
          <t>AXIS_STAGE</t>
        </is>
      </c>
      <c r="E245" s="6" t="inlineStr">
        <is>
          <t>DIET-Q-00</t>
        </is>
      </c>
      <c r="F245" s="6" t="inlineStr">
        <is>
          <t>INTRO</t>
        </is>
      </c>
      <c r="G245" s="6" t="inlineStr">
        <is>
          <t>아침 그릇 꺼내 두기</t>
        </is>
      </c>
      <c r="H245" s="5" t="inlineStr">
        <is>
          <t>내일 아침에 쓸 그릇을 자기 전에 식탁에 꺼내 두세요.</t>
        </is>
      </c>
      <c r="I245" s="5" t="inlineStr">
        <is>
          <t>그릇이 나와 있으면 아침을 차리기 쉬워요.</t>
        </is>
      </c>
      <c r="J245" s="6" t="n"/>
      <c r="K245" s="6" t="n"/>
      <c r="L245" s="6" t="inlineStr">
        <is>
          <t>MOHW-DIETGUIDE</t>
        </is>
      </c>
      <c r="M245" s="5" t="inlineStr">
        <is>
          <t>10-13 추가(추가문구 검수표 68번 · 입문 보강). 근거: 국민 공통 식생활지침(보건복지부 2021) 2. 아침밥 꼭 먹기 · 규칙적인 식사</t>
        </is>
      </c>
      <c r="N245" s="6" t="inlineStr">
        <is>
          <t>검수표 68</t>
        </is>
      </c>
    </row>
    <row r="246" ht="25" customHeight="1">
      <c r="A246" s="6" t="inlineStr">
        <is>
          <t>DIET-P-0342</t>
        </is>
      </c>
      <c r="B246" s="6" t="inlineStr">
        <is>
          <t>1.0.0</t>
        </is>
      </c>
      <c r="C246" s="6" t="inlineStr">
        <is>
          <t>사용</t>
        </is>
      </c>
      <c r="D246" s="6" t="inlineStr">
        <is>
          <t>AXIS_STAGE</t>
        </is>
      </c>
      <c r="E246" s="6" t="inlineStr">
        <is>
          <t>DIET-Q-00</t>
        </is>
      </c>
      <c r="F246" s="6" t="inlineStr">
        <is>
          <t>INTRO</t>
        </is>
      </c>
      <c r="G246" s="6" t="inlineStr">
        <is>
          <t>내일 첫 끼 떠올리기</t>
        </is>
      </c>
      <c r="H246" s="5" t="inlineStr">
        <is>
          <t>잠들기 전에 내일 첫 끼로 무엇을 먹을지 떠올려 보세요.</t>
        </is>
      </c>
      <c r="I246" s="5" t="inlineStr">
        <is>
          <t>떠올려 두면 아침에 바로 챙길 수 있어요.</t>
        </is>
      </c>
      <c r="J246" s="6" t="n"/>
      <c r="K246" s="6" t="n"/>
      <c r="L246" s="6" t="inlineStr">
        <is>
          <t>MOHW-DIETGUIDE</t>
        </is>
      </c>
      <c r="M246" s="5" t="inlineStr">
        <is>
          <t>10-13 추가(추가문구 검수표 69번 · 입문 보강). 근거: 국민 공통 식생활지침(보건복지부 2021) 2. 아침밥 꼭 먹기 · 규칙적인 식사</t>
        </is>
      </c>
      <c r="N246" s="6" t="inlineStr">
        <is>
          <t>검수표 69</t>
        </is>
      </c>
    </row>
    <row r="247" ht="37.5" customHeight="1">
      <c r="A247" s="6" t="inlineStr">
        <is>
          <t>DIET-P-0343</t>
        </is>
      </c>
      <c r="B247" s="6" t="inlineStr">
        <is>
          <t>1.0.0</t>
        </is>
      </c>
      <c r="C247" s="6" t="inlineStr">
        <is>
          <t>사용</t>
        </is>
      </c>
      <c r="D247" s="6" t="inlineStr">
        <is>
          <t>AXIS_STAGE</t>
        </is>
      </c>
      <c r="E247" s="6" t="inlineStr">
        <is>
          <t>DIET-Q-01</t>
        </is>
      </c>
      <c r="F247" s="6" t="inlineStr">
        <is>
          <t>INTRO</t>
        </is>
      </c>
      <c r="G247" s="6" t="inlineStr">
        <is>
          <t>채소 반찬 먼저 고르기</t>
        </is>
      </c>
      <c r="H247" s="5" t="inlineStr">
        <is>
          <t>반찬을 고를 때 채소 반찬부터 먼저 담으세요.</t>
        </is>
      </c>
      <c r="I247" s="5" t="inlineStr">
        <is>
          <t>먼저 고르면 채소를 빠뜨리지 않아요.</t>
        </is>
      </c>
      <c r="J247" s="6" t="n"/>
      <c r="K247" s="6" t="n"/>
      <c r="L247" s="6" t="inlineStr">
        <is>
          <t>MOHW-DIETGUIDE; WHO-DIET</t>
        </is>
      </c>
      <c r="M247" s="5" t="inlineStr">
        <is>
          <t>10-13 추가(추가문구 검수표 70번 · 입문 보강). 근거: 국민 공통 식생활지침(보건복지부 2021) 1. 채소 등 다양한 식품 골고루 · WHO 채소·과일 하루 400g 이상 권고</t>
        </is>
      </c>
      <c r="N247" s="6" t="inlineStr">
        <is>
          <t>검수표 70</t>
        </is>
      </c>
    </row>
    <row r="248" ht="37.5" customHeight="1">
      <c r="A248" s="6" t="inlineStr">
        <is>
          <t>DIET-P-0344</t>
        </is>
      </c>
      <c r="B248" s="6" t="inlineStr">
        <is>
          <t>1.0.0</t>
        </is>
      </c>
      <c r="C248" s="6" t="inlineStr">
        <is>
          <t>사용</t>
        </is>
      </c>
      <c r="D248" s="6" t="inlineStr">
        <is>
          <t>AXIS_STAGE</t>
        </is>
      </c>
      <c r="E248" s="6" t="inlineStr">
        <is>
          <t>DIET-Q-01</t>
        </is>
      </c>
      <c r="F248" s="6" t="inlineStr">
        <is>
          <t>INTRO</t>
        </is>
      </c>
      <c r="G248" s="6" t="inlineStr">
        <is>
          <t>면 요리에 채소 넣기</t>
        </is>
      </c>
      <c r="H248" s="5" t="inlineStr">
        <is>
          <t>면을 끓일 때 파·양배추 같은 채소를 넣어 드세요.</t>
        </is>
      </c>
      <c r="I248" s="5" t="inlineStr">
        <is>
          <t>채소를 넣으면 한 끼 채소가 늘어요.</t>
        </is>
      </c>
      <c r="J248" s="6" t="inlineStr">
        <is>
          <t>INCREASE</t>
        </is>
      </c>
      <c r="K248" s="6" t="n"/>
      <c r="L248" s="6" t="inlineStr">
        <is>
          <t>MOHW-DIETGUIDE; WHO-DIET</t>
        </is>
      </c>
      <c r="M248" s="5" t="inlineStr">
        <is>
          <t>10-13 추가(추가문구 검수표 71번 · 입문 보강). 근거: 국민 공통 식생활지침(보건복지부 2021) 1. 채소 등 다양한 식품 골고루 · WHO 채소·과일 하루 400g 이상 권고 · 10-19 특정 음식 이름을 음식 종류로</t>
        </is>
      </c>
      <c r="N248" s="6" t="inlineStr">
        <is>
          <t>검수표 71</t>
        </is>
      </c>
    </row>
    <row r="249" ht="37.5" customHeight="1">
      <c r="A249" s="6" t="inlineStr">
        <is>
          <t>DIET-P-0345</t>
        </is>
      </c>
      <c r="B249" s="6" t="inlineStr">
        <is>
          <t>1.0.0</t>
        </is>
      </c>
      <c r="C249" s="6" t="inlineStr">
        <is>
          <t>사용</t>
        </is>
      </c>
      <c r="D249" s="6" t="inlineStr">
        <is>
          <t>AXIS_STAGE</t>
        </is>
      </c>
      <c r="E249" s="6" t="inlineStr">
        <is>
          <t>DIET-Q-01</t>
        </is>
      </c>
      <c r="F249" s="6" t="inlineStr">
        <is>
          <t>INTRO</t>
        </is>
      </c>
      <c r="G249" s="6" t="inlineStr">
        <is>
          <t>채소 많은 메뉴 고르기</t>
        </is>
      </c>
      <c r="H249" s="5" t="inlineStr">
        <is>
          <t>김밥이나 도시락을 고를 때 채소가 많이 들어간 것으로 고르세요.</t>
        </is>
      </c>
      <c r="I249" s="5" t="inlineStr">
        <is>
          <t>채소가 많은 메뉴로 쉽게 채소를 더할 수 있어요.</t>
        </is>
      </c>
      <c r="J249" s="6" t="n"/>
      <c r="K249" s="6" t="n"/>
      <c r="L249" s="6" t="inlineStr">
        <is>
          <t>MOHW-DIETGUIDE; WHO-DIET</t>
        </is>
      </c>
      <c r="M249" s="5" t="inlineStr">
        <is>
          <t>10-13 추가(추가문구 검수표 72번 · 입문 보강). 근거: 국민 공통 식생활지침(보건복지부 2021) 1. 채소 등 다양한 식품 골고루 · WHO 채소·과일 하루 400g 이상 권고 · 10-19 특정 음식 이름을 음식 종류로</t>
        </is>
      </c>
      <c r="N249" s="6" t="inlineStr">
        <is>
          <t>검수표 72</t>
        </is>
      </c>
    </row>
    <row r="250" ht="37.5" customHeight="1">
      <c r="A250" s="6" t="inlineStr">
        <is>
          <t>DIET-P-0346</t>
        </is>
      </c>
      <c r="B250" s="6" t="inlineStr">
        <is>
          <t>1.0.0</t>
        </is>
      </c>
      <c r="C250" s="6" t="inlineStr">
        <is>
          <t>사용</t>
        </is>
      </c>
      <c r="D250" s="6" t="inlineStr">
        <is>
          <t>AXIS_STAGE</t>
        </is>
      </c>
      <c r="E250" s="6" t="inlineStr">
        <is>
          <t>DIET-Q-01</t>
        </is>
      </c>
      <c r="F250" s="6" t="inlineStr">
        <is>
          <t>INTRO</t>
        </is>
      </c>
      <c r="G250" s="6" t="inlineStr">
        <is>
          <t>오이·당근 간식 챙기기</t>
        </is>
      </c>
      <c r="H250" s="5" t="inlineStr">
        <is>
          <t>출출할 때 먹을 수 있게 오이나 당근을 간식으로 챙겨 두세요.</t>
        </is>
      </c>
      <c r="I250" s="5" t="inlineStr">
        <is>
          <t>씹는 채소 간식은 출출할 때 좋아요.</t>
        </is>
      </c>
      <c r="J250" s="6" t="inlineStr">
        <is>
          <t>INCREASE</t>
        </is>
      </c>
      <c r="K250" s="6" t="n"/>
      <c r="L250" s="6" t="inlineStr">
        <is>
          <t>MOHW-DIETGUIDE; WHO-DIET</t>
        </is>
      </c>
      <c r="M250" s="5" t="inlineStr">
        <is>
          <t>10-13 추가(추가문구 검수표 73번 · 입문 보강). 근거: 국민 공통 식생활지침(보건복지부 2021) 1. 채소 등 다양한 식품 골고루 · WHO 채소·과일 하루 400g 이상 권고</t>
        </is>
      </c>
      <c r="N250" s="6" t="inlineStr">
        <is>
          <t>검수표 73</t>
        </is>
      </c>
    </row>
    <row r="251" ht="37.5" customHeight="1">
      <c r="A251" s="6" t="inlineStr">
        <is>
          <t>DIET-P-0347</t>
        </is>
      </c>
      <c r="B251" s="6" t="inlineStr">
        <is>
          <t>1.0.0</t>
        </is>
      </c>
      <c r="C251" s="6" t="inlineStr">
        <is>
          <t>사용</t>
        </is>
      </c>
      <c r="D251" s="6" t="inlineStr">
        <is>
          <t>AXIS_STAGE</t>
        </is>
      </c>
      <c r="E251" s="6" t="inlineStr">
        <is>
          <t>DIET-Q-01</t>
        </is>
      </c>
      <c r="F251" s="6" t="inlineStr">
        <is>
          <t>INTRO</t>
        </is>
      </c>
      <c r="G251" s="6" t="inlineStr">
        <is>
          <t>내일 쓸 채소 손질하기</t>
        </is>
      </c>
      <c r="H251" s="5" t="inlineStr">
        <is>
          <t>내일 요리할 채소를 자기 전에 미리 다듬어 두세요.</t>
        </is>
      </c>
      <c r="I251" s="5" t="inlineStr">
        <is>
          <t>손질해 두면 내일 바로 조리할 수 있어요.</t>
        </is>
      </c>
      <c r="J251" s="6" t="n"/>
      <c r="K251" s="6" t="n"/>
      <c r="L251" s="6" t="inlineStr">
        <is>
          <t>MOHW-DIETGUIDE; WHO-DIET</t>
        </is>
      </c>
      <c r="M251" s="5" t="inlineStr">
        <is>
          <t>10-13 추가(추가문구 검수표 74번 · 입문 보강). 근거: 국민 공통 식생활지침(보건복지부 2021) 1. 채소 등 다양한 식품 골고루 · WHO 채소·과일 하루 400g 이상 권고</t>
        </is>
      </c>
      <c r="N251" s="6" t="inlineStr">
        <is>
          <t>검수표 74</t>
        </is>
      </c>
    </row>
    <row r="252" ht="37.5" customHeight="1">
      <c r="A252" s="6" t="inlineStr">
        <is>
          <t>DIET-P-0348</t>
        </is>
      </c>
      <c r="B252" s="6" t="inlineStr">
        <is>
          <t>1.0.0</t>
        </is>
      </c>
      <c r="C252" s="6" t="inlineStr">
        <is>
          <t>사용</t>
        </is>
      </c>
      <c r="D252" s="6" t="inlineStr">
        <is>
          <t>AXIS_STAGE</t>
        </is>
      </c>
      <c r="E252" s="6" t="inlineStr">
        <is>
          <t>DIET-Q-01</t>
        </is>
      </c>
      <c r="F252" s="6" t="inlineStr">
        <is>
          <t>INTRO</t>
        </is>
      </c>
      <c r="G252" s="6" t="inlineStr">
        <is>
          <t>샐러드 채소 씻어 두기</t>
        </is>
      </c>
      <c r="H252" s="5" t="inlineStr">
        <is>
          <t>샐러드용 채소를 씻어 통에 담아 냉장고에 넣어 두세요.</t>
        </is>
      </c>
      <c r="I252" s="5" t="inlineStr">
        <is>
          <t>통에 담아 두면 꺼내 먹기 쉬워요.</t>
        </is>
      </c>
      <c r="J252" s="6" t="n"/>
      <c r="K252" s="6" t="n"/>
      <c r="L252" s="6" t="inlineStr">
        <is>
          <t>MOHW-DIETGUIDE; WHO-DIET</t>
        </is>
      </c>
      <c r="M252" s="5" t="inlineStr">
        <is>
          <t>10-13 추가(추가문구 검수표 75번 · 입문 보강). 근거: 국민 공통 식생활지침(보건복지부 2021) 1. 채소 등 다양한 식품 골고루 · WHO 채소·과일 하루 400g 이상 권고</t>
        </is>
      </c>
      <c r="N252" s="6" t="inlineStr">
        <is>
          <t>검수표 75</t>
        </is>
      </c>
    </row>
    <row r="253" ht="37.5" customHeight="1">
      <c r="A253" s="6" t="inlineStr">
        <is>
          <t>DIET-P-0349</t>
        </is>
      </c>
      <c r="B253" s="6" t="inlineStr">
        <is>
          <t>1.0.0</t>
        </is>
      </c>
      <c r="C253" s="6" t="inlineStr">
        <is>
          <t>사용</t>
        </is>
      </c>
      <c r="D253" s="6" t="inlineStr">
        <is>
          <t>AXIS_STAGE</t>
        </is>
      </c>
      <c r="E253" s="6" t="inlineStr">
        <is>
          <t>DIET-Q-02</t>
        </is>
      </c>
      <c r="F253" s="6" t="inlineStr">
        <is>
          <t>INTRO</t>
        </is>
      </c>
      <c r="G253" s="6" t="inlineStr">
        <is>
          <t>시럽 뺀 커피 고르기</t>
        </is>
      </c>
      <c r="H253" s="5" t="inlineStr">
        <is>
          <t>커피를 살 때 시럽은 빼 달라고 하세요.</t>
        </is>
      </c>
      <c r="I253" s="5" t="inlineStr">
        <is>
          <t>시럽을 빼면 커피의 당이 줄어요.</t>
        </is>
      </c>
      <c r="J253" s="6" t="n"/>
      <c r="K253" s="6" t="n"/>
      <c r="L253" s="6" t="inlineStr">
        <is>
          <t>MOHW-DIETGUIDE; WHO-SUGAR; MFDS-SUGAR</t>
        </is>
      </c>
      <c r="M253" s="5" t="inlineStr">
        <is>
          <t>10-13 추가(추가문구 검수표 76번 · 입문 보강). 근거: 국민 공통 식생활지침(보건복지부 2021) 4. 덜 달게 · 5. 단 음료 대신 물 · WHO 유리당 하루 열량 10% 미만 권고</t>
        </is>
      </c>
      <c r="N253" s="6" t="inlineStr">
        <is>
          <t>검수표 76</t>
        </is>
      </c>
    </row>
    <row r="254" ht="37.5" customHeight="1">
      <c r="A254" s="6" t="inlineStr">
        <is>
          <t>DIET-P-0350</t>
        </is>
      </c>
      <c r="B254" s="6" t="inlineStr">
        <is>
          <t>1.0.0</t>
        </is>
      </c>
      <c r="C254" s="6" t="inlineStr">
        <is>
          <t>사용</t>
        </is>
      </c>
      <c r="D254" s="6" t="inlineStr">
        <is>
          <t>AXIS_STAGE</t>
        </is>
      </c>
      <c r="E254" s="6" t="inlineStr">
        <is>
          <t>DIET-Q-02</t>
        </is>
      </c>
      <c r="F254" s="6" t="inlineStr">
        <is>
          <t>INTRO</t>
        </is>
      </c>
      <c r="G254" s="6" t="inlineStr">
        <is>
          <t>무가당 음료 고르기</t>
        </is>
      </c>
      <c r="H254" s="5" t="inlineStr">
        <is>
          <t>음료를 고를 때 설탕이 들어 있지 않은 무가당 음료를 고르세요.</t>
        </is>
      </c>
      <c r="I254" s="5" t="inlineStr">
        <is>
          <t>무가당 음료는 당 걱정이 없어요.</t>
        </is>
      </c>
      <c r="J254" s="6" t="n"/>
      <c r="K254" s="6" t="n"/>
      <c r="L254" s="6" t="inlineStr">
        <is>
          <t>MOHW-DIETGUIDE; WHO-SUGAR; MFDS-SUGAR</t>
        </is>
      </c>
      <c r="M254" s="5" t="inlineStr">
        <is>
          <t>10-13 추가(추가문구 검수표 77번 · 입문 보강). 근거: 국민 공통 식생활지침(보건복지부 2021) 4. 덜 달게 · 5. 단 음료 대신 물 · WHO 유리당 하루 열량 10% 미만 권고</t>
        </is>
      </c>
      <c r="N254" s="6" t="inlineStr">
        <is>
          <t>검수표 77</t>
        </is>
      </c>
    </row>
    <row r="255" ht="37.5" customHeight="1">
      <c r="A255" s="6" t="inlineStr">
        <is>
          <t>DIET-P-0351</t>
        </is>
      </c>
      <c r="B255" s="6" t="inlineStr">
        <is>
          <t>1.0.0</t>
        </is>
      </c>
      <c r="C255" s="6" t="inlineStr">
        <is>
          <t>사용</t>
        </is>
      </c>
      <c r="D255" s="6" t="inlineStr">
        <is>
          <t>AXIS_STAGE</t>
        </is>
      </c>
      <c r="E255" s="6" t="inlineStr">
        <is>
          <t>DIET-Q-02</t>
        </is>
      </c>
      <c r="F255" s="6" t="inlineStr">
        <is>
          <t>INTRO</t>
        </is>
      </c>
      <c r="G255" s="6" t="inlineStr">
        <is>
          <t>덜 단 빵 고르기</t>
        </is>
      </c>
      <c r="H255" s="5" t="inlineStr">
        <is>
          <t>빵을 고를 때 크림이나 설탕이 적은 덜 단 빵을 고르세요.</t>
        </is>
      </c>
      <c r="I255" s="5" t="inlineStr">
        <is>
          <t>덜 단 빵을 고르면 당을 줄일 수 있어요.</t>
        </is>
      </c>
      <c r="J255" s="6" t="n"/>
      <c r="K255" s="6" t="n"/>
      <c r="L255" s="6" t="inlineStr">
        <is>
          <t>MOHW-DIETGUIDE; WHO-SUGAR; MFDS-SUGAR</t>
        </is>
      </c>
      <c r="M255" s="5" t="inlineStr">
        <is>
          <t>10-13 추가(추가문구 검수표 78번 · 입문 보강). 근거: 국민 공통 식생활지침(보건복지부 2021) 4. 덜 달게 · 5. 단 음료 대신 물 · WHO 유리당 하루 열량 10% 미만 권고</t>
        </is>
      </c>
      <c r="N255" s="6" t="inlineStr">
        <is>
          <t>검수표 78</t>
        </is>
      </c>
    </row>
    <row r="256" ht="37.5" customHeight="1">
      <c r="A256" s="6" t="inlineStr">
        <is>
          <t>DIET-P-0352</t>
        </is>
      </c>
      <c r="B256" s="6" t="inlineStr">
        <is>
          <t>1.0.0</t>
        </is>
      </c>
      <c r="C256" s="6" t="inlineStr">
        <is>
          <t>사용</t>
        </is>
      </c>
      <c r="D256" s="6" t="inlineStr">
        <is>
          <t>AXIS_STAGE</t>
        </is>
      </c>
      <c r="E256" s="6" t="inlineStr">
        <is>
          <t>DIET-Q-02</t>
        </is>
      </c>
      <c r="F256" s="6" t="inlineStr">
        <is>
          <t>INTRO</t>
        </is>
      </c>
      <c r="G256" s="6" t="inlineStr">
        <is>
          <t>물병 챙겨 다니기</t>
        </is>
      </c>
      <c r="H256" s="5" t="inlineStr">
        <is>
          <t>외출할 때 물병을 챙겨 목마를 때 물을 마시세요.</t>
        </is>
      </c>
      <c r="I256" s="5" t="inlineStr">
        <is>
          <t>물이 있으면 단 음료를 덜 사게 돼요.</t>
        </is>
      </c>
      <c r="J256" s="6" t="inlineStr">
        <is>
          <t>FLUID</t>
        </is>
      </c>
      <c r="K256" s="6" t="n"/>
      <c r="L256" s="6" t="inlineStr">
        <is>
          <t>MOHW-DIETGUIDE; WHO-SUGAR; MFDS-SUGAR</t>
        </is>
      </c>
      <c r="M256" s="5" t="inlineStr">
        <is>
          <t>10-13 추가(추가문구 검수표 79번 · 입문 보강). 근거: 국민 공통 식생활지침(보건복지부 2021) 4. 덜 달게 · 5. 단 음료 대신 물 · WHO 유리당 하루 열량 10% 미만 권고</t>
        </is>
      </c>
      <c r="N256" s="6" t="inlineStr">
        <is>
          <t>검수표 79</t>
        </is>
      </c>
    </row>
    <row r="257" ht="37.5" customHeight="1">
      <c r="A257" s="6" t="inlineStr">
        <is>
          <t>DIET-P-0353</t>
        </is>
      </c>
      <c r="B257" s="6" t="inlineStr">
        <is>
          <t>1.0.0</t>
        </is>
      </c>
      <c r="C257" s="6" t="inlineStr">
        <is>
          <t>사용</t>
        </is>
      </c>
      <c r="D257" s="6" t="inlineStr">
        <is>
          <t>AXIS_STAGE</t>
        </is>
      </c>
      <c r="E257" s="6" t="inlineStr">
        <is>
          <t>DIET-Q-02</t>
        </is>
      </c>
      <c r="F257" s="6" t="inlineStr">
        <is>
          <t>INTRO</t>
        </is>
      </c>
      <c r="G257" s="6" t="inlineStr">
        <is>
          <t>보리차 끓여 두기</t>
        </is>
      </c>
      <c r="H257" s="5" t="inlineStr">
        <is>
          <t>보리차를 끓여 두고 단 음료 대신 마시세요.</t>
        </is>
      </c>
      <c r="I257" s="5" t="inlineStr">
        <is>
          <t>보리차가 있으면 단 음료에 손이 덜 가요.</t>
        </is>
      </c>
      <c r="J257" s="6" t="inlineStr">
        <is>
          <t>FLUID</t>
        </is>
      </c>
      <c r="K257" s="6" t="n"/>
      <c r="L257" s="6" t="inlineStr">
        <is>
          <t>MOHW-DIETGUIDE; WHO-SUGAR; MFDS-SUGAR</t>
        </is>
      </c>
      <c r="M257" s="5" t="inlineStr">
        <is>
          <t>10-13 추가(추가문구 검수표 80번 · 입문 보강). 근거: 국민 공통 식생활지침(보건복지부 2021) 4. 덜 달게 · 5. 단 음료 대신 물 · WHO 유리당 하루 열량 10% 미만 권고</t>
        </is>
      </c>
      <c r="N257" s="6" t="inlineStr">
        <is>
          <t>검수표 80</t>
        </is>
      </c>
    </row>
    <row r="258" ht="37.5" customHeight="1">
      <c r="A258" s="6" t="inlineStr">
        <is>
          <t>DIET-P-0354</t>
        </is>
      </c>
      <c r="B258" s="6" t="inlineStr">
        <is>
          <t>1.0.0</t>
        </is>
      </c>
      <c r="C258" s="6" t="inlineStr">
        <is>
          <t>사용</t>
        </is>
      </c>
      <c r="D258" s="6" t="inlineStr">
        <is>
          <t>AXIS_STAGE</t>
        </is>
      </c>
      <c r="E258" s="6" t="inlineStr">
        <is>
          <t>DIET-Q-02</t>
        </is>
      </c>
      <c r="F258" s="6" t="inlineStr">
        <is>
          <t>INTRO</t>
        </is>
      </c>
      <c r="G258" s="6" t="inlineStr">
        <is>
          <t>단 간식 빼고 장보기</t>
        </is>
      </c>
      <c r="H258" s="5" t="inlineStr">
        <is>
          <t>장보기 목록을 미리 적고, 단 간식은 목록에서 빼세요.</t>
        </is>
      </c>
      <c r="I258" s="5" t="inlineStr">
        <is>
          <t>목록대로 사면 충동구매가 줄어요.</t>
        </is>
      </c>
      <c r="J258" s="6" t="inlineStr">
        <is>
          <t>FAST</t>
        </is>
      </c>
      <c r="K258" s="6" t="n"/>
      <c r="L258" s="6" t="inlineStr">
        <is>
          <t>MOHW-DIETGUIDE; WHO-SUGAR; MFDS-SUGAR</t>
        </is>
      </c>
      <c r="M258" s="5" t="inlineStr">
        <is>
          <t>10-13 추가(추가문구 검수표 81번 · 입문 보강). 근거: 국민 공통 식생활지침(보건복지부 2021) 4. 덜 달게 · 5. 단 음료 대신 물 · WHO 유리당 하루 열량 10% 미만 권고</t>
        </is>
      </c>
      <c r="N258" s="6" t="inlineStr">
        <is>
          <t>검수표 81</t>
        </is>
      </c>
    </row>
    <row r="259" ht="37.5" customHeight="1">
      <c r="A259" s="6" t="inlineStr">
        <is>
          <t>DIET-P-0355</t>
        </is>
      </c>
      <c r="B259" s="6" t="inlineStr">
        <is>
          <t>1.0.0</t>
        </is>
      </c>
      <c r="C259" s="6" t="inlineStr">
        <is>
          <t>사용</t>
        </is>
      </c>
      <c r="D259" s="6" t="inlineStr">
        <is>
          <t>AXIS_STAGE</t>
        </is>
      </c>
      <c r="E259" s="6" t="inlineStr">
        <is>
          <t>DIET-Q-03</t>
        </is>
      </c>
      <c r="F259" s="6" t="inlineStr">
        <is>
          <t>INTRO</t>
        </is>
      </c>
      <c r="G259" s="6" t="inlineStr">
        <is>
          <t>국은 건더기부터 먹기</t>
        </is>
      </c>
      <c r="H259" s="5" t="inlineStr">
        <is>
          <t>국을 먹을 때 건더기부터 먼저 건져 드세요.</t>
        </is>
      </c>
      <c r="I259" s="5" t="inlineStr">
        <is>
          <t>건더기부터 먹으면 국물을 덜 먹게 돼요.</t>
        </is>
      </c>
      <c r="J259" s="6" t="n"/>
      <c r="K259" s="6" t="n"/>
      <c r="L259" s="6" t="inlineStr">
        <is>
          <t>MOHW-DIETGUIDE; WHO-DIET; MFDS-SODIUM; KSH-2022</t>
        </is>
      </c>
      <c r="M259" s="5" t="inlineStr">
        <is>
          <t>10-13 추가(추가문구 검수표 82번 · 입문 보강). 근거: 국민 공통 식생활지침(보건복지부 2021) 4. 덜 짜게 · WHO 나트륨 하루 2,000mg 미만 권고 · 국·찌개가 나트륨 주 공급원(국민건강영양조사)</t>
        </is>
      </c>
      <c r="N259" s="6" t="inlineStr">
        <is>
          <t>검수표 82</t>
        </is>
      </c>
    </row>
    <row r="260" ht="37.5" customHeight="1">
      <c r="A260" s="6" t="inlineStr">
        <is>
          <t>DIET-P-0356</t>
        </is>
      </c>
      <c r="B260" s="6" t="inlineStr">
        <is>
          <t>1.0.0</t>
        </is>
      </c>
      <c r="C260" s="6" t="inlineStr">
        <is>
          <t>사용</t>
        </is>
      </c>
      <c r="D260" s="6" t="inlineStr">
        <is>
          <t>AXIS_STAGE</t>
        </is>
      </c>
      <c r="E260" s="6" t="inlineStr">
        <is>
          <t>DIET-Q-03</t>
        </is>
      </c>
      <c r="F260" s="6" t="inlineStr">
        <is>
          <t>INTRO</t>
        </is>
      </c>
      <c r="G260" s="6" t="inlineStr">
        <is>
          <t>소금 더 넣지 않기</t>
        </is>
      </c>
      <c r="H260" s="5" t="inlineStr">
        <is>
          <t>이미 간이 된 음식에는 소금이나 간장을 더 넣지 마세요.</t>
        </is>
      </c>
      <c r="I260" s="5" t="inlineStr">
        <is>
          <t>이미 간이 된 음식은 그대로도 충분해요.</t>
        </is>
      </c>
      <c r="J260" s="6" t="n"/>
      <c r="K260" s="6" t="n"/>
      <c r="L260" s="6" t="inlineStr">
        <is>
          <t>MOHW-DIETGUIDE; WHO-DIET; MFDS-SODIUM; KSH-2022</t>
        </is>
      </c>
      <c r="M260" s="5" t="inlineStr">
        <is>
          <t>10-13 추가(추가문구 검수표 83번 · 입문 보강). 근거: 국민 공통 식생활지침(보건복지부 2021) 4. 덜 짜게 · WHO 나트륨 하루 2,000mg 미만 권고 · 국·찌개가 나트륨 주 공급원(국민건강영양조사)</t>
        </is>
      </c>
      <c r="N260" s="6" t="inlineStr">
        <is>
          <t>검수표 83</t>
        </is>
      </c>
    </row>
    <row r="261" ht="37.5" customHeight="1">
      <c r="A261" s="6" t="inlineStr">
        <is>
          <t>DIET-P-0357</t>
        </is>
      </c>
      <c r="B261" s="6" t="inlineStr">
        <is>
          <t>1.0.0</t>
        </is>
      </c>
      <c r="C261" s="6" t="inlineStr">
        <is>
          <t>사용</t>
        </is>
      </c>
      <c r="D261" s="6" t="inlineStr">
        <is>
          <t>AXIS_STAGE</t>
        </is>
      </c>
      <c r="E261" s="6" t="inlineStr">
        <is>
          <t>DIET-Q-03</t>
        </is>
      </c>
      <c r="F261" s="6" t="inlineStr">
        <is>
          <t>INTRO</t>
        </is>
      </c>
      <c r="G261" s="6" t="inlineStr">
        <is>
          <t>소스는 한 번만 찍기</t>
        </is>
      </c>
      <c r="H261" s="5" t="inlineStr">
        <is>
          <t>소스는 한 번만 살짝 찍어 드세요.</t>
        </is>
      </c>
      <c r="I261" s="5" t="inlineStr">
        <is>
          <t>한 번만 찍어도 맛은 충분해요.</t>
        </is>
      </c>
      <c r="J261" s="6" t="inlineStr">
        <is>
          <t>REDUCE</t>
        </is>
      </c>
      <c r="K261" s="6" t="n"/>
      <c r="L261" s="6" t="inlineStr">
        <is>
          <t>MOHW-DIETGUIDE; WHO-DIET; MFDS-SODIUM; KSH-2022</t>
        </is>
      </c>
      <c r="M261" s="5" t="inlineStr">
        <is>
          <t>10-13 추가(추가문구 검수표 84번 · 입문 보강). 근거: 국민 공통 식생활지침(보건복지부 2021) 4. 덜 짜게 · WHO 나트륨 하루 2,000mg 미만 권고 · 국·찌개가 나트륨 주 공급원(국민건강영양조사)</t>
        </is>
      </c>
      <c r="N261" s="6" t="inlineStr">
        <is>
          <t>검수표 84</t>
        </is>
      </c>
    </row>
    <row r="262" ht="37.5" customHeight="1">
      <c r="A262" s="6" t="inlineStr">
        <is>
          <t>DIET-P-0358</t>
        </is>
      </c>
      <c r="B262" s="6" t="inlineStr">
        <is>
          <t>1.0.0</t>
        </is>
      </c>
      <c r="C262" s="6" t="inlineStr">
        <is>
          <t>사용</t>
        </is>
      </c>
      <c r="D262" s="6" t="inlineStr">
        <is>
          <t>AXIS_STAGE</t>
        </is>
      </c>
      <c r="E262" s="6" t="inlineStr">
        <is>
          <t>DIET-Q-03</t>
        </is>
      </c>
      <c r="F262" s="6" t="inlineStr">
        <is>
          <t>INTRO</t>
        </is>
      </c>
      <c r="G262" s="6" t="inlineStr">
        <is>
          <t>국은 덜 짜게 끓이기</t>
        </is>
      </c>
      <c r="H262" s="5" t="inlineStr">
        <is>
          <t>국을 끓일 때 소금과 간장을 평소보다 적게 넣으세요.</t>
        </is>
      </c>
      <c r="I262" s="5" t="inlineStr">
        <is>
          <t>국을 덜 짜게 끓이면 한 끼 나트륨이 줄어요.</t>
        </is>
      </c>
      <c r="J262" s="6" t="n"/>
      <c r="K262" s="6" t="n"/>
      <c r="L262" s="6" t="inlineStr">
        <is>
          <t>MOHW-DIETGUIDE; WHO-DIET; MFDS-SODIUM; KSH-2022</t>
        </is>
      </c>
      <c r="M262" s="5" t="inlineStr">
        <is>
          <t>10-13 추가(추가문구 검수표 85번 · 입문 보강). 근거: 국민 공통 식생활지침(보건복지부 2021) 4. 덜 짜게 · WHO 나트륨 하루 2,000mg 미만 권고 · 국·찌개가 나트륨 주 공급원(국민건강영양조사)</t>
        </is>
      </c>
      <c r="N262" s="6" t="inlineStr">
        <is>
          <t>검수표 85</t>
        </is>
      </c>
    </row>
    <row r="263" ht="37.5" customHeight="1">
      <c r="A263" s="6" t="inlineStr">
        <is>
          <t>DIET-P-0359</t>
        </is>
      </c>
      <c r="B263" s="6" t="inlineStr">
        <is>
          <t>1.0.0</t>
        </is>
      </c>
      <c r="C263" s="6" t="inlineStr">
        <is>
          <t>사용</t>
        </is>
      </c>
      <c r="D263" s="6" t="inlineStr">
        <is>
          <t>AXIS_STAGE</t>
        </is>
      </c>
      <c r="E263" s="6" t="inlineStr">
        <is>
          <t>DIET-Q-03</t>
        </is>
      </c>
      <c r="F263" s="6" t="inlineStr">
        <is>
          <t>INTRO</t>
        </is>
      </c>
      <c r="G263" s="6" t="inlineStr">
        <is>
          <t>내일은 맑은 국으로</t>
        </is>
      </c>
      <c r="H263" s="5" t="inlineStr">
        <is>
          <t>내일 국은 찌개 대신 콩나물국처럼 맑은 국으로 끓여 보세요.</t>
        </is>
      </c>
      <c r="I263" s="5" t="inlineStr">
        <is>
          <t>맑은 국은 찌개보다 덜 짜요.</t>
        </is>
      </c>
      <c r="J263" s="6" t="n"/>
      <c r="K263" s="6" t="n"/>
      <c r="L263" s="6" t="inlineStr">
        <is>
          <t>MOHW-DIETGUIDE; WHO-DIET; MFDS-SODIUM; KSH-2022</t>
        </is>
      </c>
      <c r="M263" s="5" t="inlineStr">
        <is>
          <t>10-13 추가(추가문구 검수표 86번 · 입문 보강). 근거: 국민 공통 식생활지침(보건복지부 2021) 4. 덜 짜게 · WHO 나트륨 하루 2,000mg 미만 권고 · 국·찌개가 나트륨 주 공급원(국민건강영양조사) · 10-19 특정 음식 이름을 음식 종류로</t>
        </is>
      </c>
      <c r="N263" s="6" t="inlineStr">
        <is>
          <t>검수표 86</t>
        </is>
      </c>
    </row>
    <row r="264" ht="37.5" customHeight="1">
      <c r="A264" s="6" t="inlineStr">
        <is>
          <t>DIET-P-0360</t>
        </is>
      </c>
      <c r="B264" s="6" t="inlineStr">
        <is>
          <t>1.0.0</t>
        </is>
      </c>
      <c r="C264" s="6" t="inlineStr">
        <is>
          <t>사용</t>
        </is>
      </c>
      <c r="D264" s="6" t="inlineStr">
        <is>
          <t>AXIS_STAGE</t>
        </is>
      </c>
      <c r="E264" s="6" t="inlineStr">
        <is>
          <t>DIET-Q-03</t>
        </is>
      </c>
      <c r="F264" s="6" t="inlineStr">
        <is>
          <t>INTRO</t>
        </is>
      </c>
      <c r="G264" s="6" t="inlineStr">
        <is>
          <t>저염 간장 사 두기</t>
        </is>
      </c>
      <c r="H264" s="5" t="inlineStr">
        <is>
          <t>장 볼 때 염분을 줄인 저염 간장을 사 두세요.</t>
        </is>
      </c>
      <c r="I264" s="5" t="inlineStr">
        <is>
          <t>저염 제품을 쓰면 간을 덜 짜게 할 수 있어요.</t>
        </is>
      </c>
      <c r="J264" s="6" t="n"/>
      <c r="K264" s="6" t="n"/>
      <c r="L264" s="6" t="inlineStr">
        <is>
          <t>MOHW-DIETGUIDE; WHO-DIET; MFDS-SODIUM; KSH-2022</t>
        </is>
      </c>
      <c r="M264" s="5" t="inlineStr">
        <is>
          <t>10-13 추가(추가문구 검수표 87번 · 입문 보강). 근거: 국민 공통 식생활지침(보건복지부 2021) 4. 덜 짜게 · WHO 나트륨 하루 2,000mg 미만 권고 · 국·찌개가 나트륨 주 공급원(국민건강영양조사)</t>
        </is>
      </c>
      <c r="N264" s="6" t="inlineStr">
        <is>
          <t>검수표 87</t>
        </is>
      </c>
    </row>
    <row r="265" ht="25" customHeight="1">
      <c r="A265" s="6" t="inlineStr">
        <is>
          <t>DIET-P-0361</t>
        </is>
      </c>
      <c r="B265" s="6" t="inlineStr">
        <is>
          <t>1.0.0</t>
        </is>
      </c>
      <c r="C265" s="6" t="inlineStr">
        <is>
          <t>사용</t>
        </is>
      </c>
      <c r="D265" s="6" t="inlineStr">
        <is>
          <t>AXIS_STAGE</t>
        </is>
      </c>
      <c r="E265" s="6" t="inlineStr">
        <is>
          <t>DIET-Q-04</t>
        </is>
      </c>
      <c r="F265" s="6" t="inlineStr">
        <is>
          <t>INTRO</t>
        </is>
      </c>
      <c r="G265" s="6" t="inlineStr">
        <is>
          <t>간식 시간 정해 두기</t>
        </is>
      </c>
      <c r="H265" s="5" t="inlineStr">
        <is>
          <t>간식 먹을 시간을 하루 한 번 정해 두고 그때만 드세요.</t>
        </is>
      </c>
      <c r="I265" s="5" t="inlineStr">
        <is>
          <t>간식 시간이 있으면 저녁 과식을 막기 쉬워요.</t>
        </is>
      </c>
      <c r="J265" s="6" t="n"/>
      <c r="K265" s="6" t="n"/>
      <c r="L265" s="6" t="inlineStr">
        <is>
          <t>MOHW-DIETGUIDE; NIDDK-GERD</t>
        </is>
      </c>
      <c r="M265" s="5" t="inlineStr">
        <is>
          <t>10-13 추가(추가문구 검수표 88번 · 입문 보강). 근거: 국민 공통 식생활지침(보건복지부 2021) 2. 아침밥 꼭 먹기 · 규칙적인 식사</t>
        </is>
      </c>
      <c r="N265" s="6" t="inlineStr">
        <is>
          <t>검수표 88</t>
        </is>
      </c>
    </row>
    <row r="266" ht="25" customHeight="1">
      <c r="A266" s="6" t="inlineStr">
        <is>
          <t>DIET-P-0362</t>
        </is>
      </c>
      <c r="B266" s="6" t="inlineStr">
        <is>
          <t>1.0.0</t>
        </is>
      </c>
      <c r="C266" s="6" t="inlineStr">
        <is>
          <t>사용</t>
        </is>
      </c>
      <c r="D266" s="6" t="inlineStr">
        <is>
          <t>AXIS_STAGE</t>
        </is>
      </c>
      <c r="E266" s="6" t="inlineStr">
        <is>
          <t>DIET-Q-04</t>
        </is>
      </c>
      <c r="F266" s="6" t="inlineStr">
        <is>
          <t>INTRO</t>
        </is>
      </c>
      <c r="G266" s="6" t="inlineStr">
        <is>
          <t>저녁 시간 미리 정하기</t>
        </is>
      </c>
      <c r="H266" s="5" t="inlineStr">
        <is>
          <t>오늘 저녁을 몇 시에 먹을지 미리 정해 두세요.</t>
        </is>
      </c>
      <c r="I266" s="5" t="inlineStr">
        <is>
          <t>미리 정하면 늦은 저녁을 피하기 쉬워요.</t>
        </is>
      </c>
      <c r="J266" s="6" t="n"/>
      <c r="K266" s="6" t="n"/>
      <c r="L266" s="6" t="inlineStr">
        <is>
          <t>MOHW-DIETGUIDE; NIDDK-GERD</t>
        </is>
      </c>
      <c r="M266" s="5" t="inlineStr">
        <is>
          <t>10-13 추가(추가문구 검수표 89번 · 입문 보강). 근거: 국민 공통 식생활지침(보건복지부 2021) 2. 아침밥 꼭 먹기 · 규칙적인 식사</t>
        </is>
      </c>
      <c r="N266" s="6" t="inlineStr">
        <is>
          <t>검수표 89</t>
        </is>
      </c>
    </row>
    <row r="267" ht="25" customHeight="1">
      <c r="A267" s="6" t="inlineStr">
        <is>
          <t>DIET-P-0363</t>
        </is>
      </c>
      <c r="B267" s="6" t="inlineStr">
        <is>
          <t>1.0.0</t>
        </is>
      </c>
      <c r="C267" s="6" t="inlineStr">
        <is>
          <t>사용</t>
        </is>
      </c>
      <c r="D267" s="6" t="inlineStr">
        <is>
          <t>AXIS_STAGE</t>
        </is>
      </c>
      <c r="E267" s="6" t="inlineStr">
        <is>
          <t>DIET-Q-04</t>
        </is>
      </c>
      <c r="F267" s="6" t="inlineStr">
        <is>
          <t>INTRO</t>
        </is>
      </c>
      <c r="G267" s="6" t="inlineStr">
        <is>
          <t>아침 먹을 시간 비우기</t>
        </is>
      </c>
      <c r="H267" s="5" t="inlineStr">
        <is>
          <t>아침 일정에서 식사할 시간을 미리 비워 두세요.</t>
        </is>
      </c>
      <c r="I267" s="5" t="inlineStr">
        <is>
          <t>시간을 비워 두면 아침을 거르지 않아요.</t>
        </is>
      </c>
      <c r="J267" s="6" t="n"/>
      <c r="K267" s="6" t="n"/>
      <c r="L267" s="6" t="inlineStr">
        <is>
          <t>MOHW-DIETGUIDE; NIDDK-GERD</t>
        </is>
      </c>
      <c r="M267" s="5" t="inlineStr">
        <is>
          <t>10-13 추가(추가문구 검수표 90번 · 입문 보강). 근거: 국민 공통 식생활지침(보건복지부 2021) 2. 아침밥 꼭 먹기 · 규칙적인 식사</t>
        </is>
      </c>
      <c r="N267" s="6" t="inlineStr">
        <is>
          <t>검수표 90</t>
        </is>
      </c>
    </row>
    <row r="268" ht="25" customHeight="1">
      <c r="A268" s="6" t="inlineStr">
        <is>
          <t>DIET-P-0364</t>
        </is>
      </c>
      <c r="B268" s="6" t="inlineStr">
        <is>
          <t>1.0.0</t>
        </is>
      </c>
      <c r="C268" s="6" t="inlineStr">
        <is>
          <t>사용</t>
        </is>
      </c>
      <c r="D268" s="6" t="inlineStr">
        <is>
          <t>AXIS_STAGE</t>
        </is>
      </c>
      <c r="E268" s="6" t="inlineStr">
        <is>
          <t>DIET-Q-04</t>
        </is>
      </c>
      <c r="F268" s="6" t="inlineStr">
        <is>
          <t>INTRO</t>
        </is>
      </c>
      <c r="G268" s="6" t="inlineStr">
        <is>
          <t>끼니 시간 맞춰 먹기</t>
        </is>
      </c>
      <c r="H268" s="5" t="inlineStr">
        <is>
          <t>정해 둔 끼니 시간에 맞춰 식사하세요.</t>
        </is>
      </c>
      <c r="I268" s="5" t="inlineStr">
        <is>
          <t>일정한 식사 시간이 하루 리듬을 잡아 줘요.</t>
        </is>
      </c>
      <c r="J268" s="6" t="n"/>
      <c r="K268" s="6" t="n"/>
      <c r="L268" s="6" t="inlineStr">
        <is>
          <t>MOHW-DIETGUIDE; NIDDK-GERD</t>
        </is>
      </c>
      <c r="M268" s="5" t="inlineStr">
        <is>
          <t>10-13 추가(추가문구 검수표 91번 · 입문 보강). 근거: 국민 공통 식생활지침(보건복지부 2021) 2. 아침밥 꼭 먹기 · 규칙적인 식사</t>
        </is>
      </c>
      <c r="N268" s="6" t="inlineStr">
        <is>
          <t>검수표 91</t>
        </is>
      </c>
    </row>
    <row r="269" ht="37.5" customHeight="1">
      <c r="A269" s="6" t="inlineStr">
        <is>
          <t>DIET-P-0365</t>
        </is>
      </c>
      <c r="B269" s="6" t="inlineStr">
        <is>
          <t>1.0.0</t>
        </is>
      </c>
      <c r="C269" s="6" t="inlineStr">
        <is>
          <t>사용</t>
        </is>
      </c>
      <c r="D269" s="6" t="inlineStr">
        <is>
          <t>AXIS_STAGE</t>
        </is>
      </c>
      <c r="E269" s="6" t="inlineStr">
        <is>
          <t>DIET-Q-04</t>
        </is>
      </c>
      <c r="F269" s="6" t="inlineStr">
        <is>
          <t>INTRO</t>
        </is>
      </c>
      <c r="G269" s="6" t="inlineStr">
        <is>
          <t>야식 대신 물 한 잔</t>
        </is>
      </c>
      <c r="H269" s="5" t="inlineStr">
        <is>
          <t>밤에 출출할 때 야식 대신 물을 한 잔 마셔 보세요.</t>
        </is>
      </c>
      <c r="I269" s="5" t="inlineStr">
        <is>
          <t>물을 마시면 잠깐의 허기가 가라앉기도 해요.</t>
        </is>
      </c>
      <c r="J269" s="6" t="inlineStr">
        <is>
          <t>FLUID</t>
        </is>
      </c>
      <c r="K269" s="6" t="n"/>
      <c r="L269" s="6" t="inlineStr">
        <is>
          <t>MOHW-DIETGUIDE; NIDDK-GERD</t>
        </is>
      </c>
      <c r="M269" s="5" t="inlineStr">
        <is>
          <t>10-13 추가(추가문구 검수표 92번 · 입문 보강). 근거: 국민 공통 식생활지침(보건복지부 2021) 3. 과식 피하기 · 위식도역류 생활수칙(대한소화기학회): 잠들기 전 식사 피하기</t>
        </is>
      </c>
      <c r="N269" s="6" t="inlineStr">
        <is>
          <t>검수표 92</t>
        </is>
      </c>
    </row>
    <row r="270" ht="37.5" customHeight="1">
      <c r="A270" s="6" t="inlineStr">
        <is>
          <t>DIET-P-0366</t>
        </is>
      </c>
      <c r="B270" s="6" t="inlineStr">
        <is>
          <t>1.0.0</t>
        </is>
      </c>
      <c r="C270" s="6" t="inlineStr">
        <is>
          <t>사용</t>
        </is>
      </c>
      <c r="D270" s="6" t="inlineStr">
        <is>
          <t>AXIS_STAGE</t>
        </is>
      </c>
      <c r="E270" s="6" t="inlineStr">
        <is>
          <t>DIET-Q-04</t>
        </is>
      </c>
      <c r="F270" s="6" t="inlineStr">
        <is>
          <t>INTRO</t>
        </is>
      </c>
      <c r="G270" s="6" t="inlineStr">
        <is>
          <t>야식 없이 잠들기</t>
        </is>
      </c>
      <c r="H270" s="5" t="inlineStr">
        <is>
          <t>야식을 먹지 않고 잠자리에 들어 보세요.</t>
        </is>
      </c>
      <c r="I270" s="5" t="inlineStr">
        <is>
          <t>자기 전 야식을 건너뛰면 속이 편하고 잠도 잘 와요.</t>
        </is>
      </c>
      <c r="J270" s="6" t="inlineStr">
        <is>
          <t>FAST</t>
        </is>
      </c>
      <c r="K270" s="6" t="n"/>
      <c r="L270" s="6" t="inlineStr">
        <is>
          <t>MOHW-DIETGUIDE; NIDDK-GERD</t>
        </is>
      </c>
      <c r="M270" s="5" t="inlineStr">
        <is>
          <t>10-13 추가(추가문구 검수표 93번 · 입문 보강). 근거: 국민 공통 식생활지침(보건복지부 2021) 3. 과식 피하기 · 위식도역류 생활수칙(대한소화기학회): 잠들기 전 식사 피하기</t>
        </is>
      </c>
      <c r="N270" s="6" t="inlineStr">
        <is>
          <t>검수표 93</t>
        </is>
      </c>
    </row>
    <row r="271" ht="25" customHeight="1">
      <c r="A271" s="6" t="inlineStr">
        <is>
          <t>DIET-P-0367</t>
        </is>
      </c>
      <c r="B271" s="6" t="inlineStr">
        <is>
          <t>1.0.0</t>
        </is>
      </c>
      <c r="C271" s="6" t="inlineStr">
        <is>
          <t>사용</t>
        </is>
      </c>
      <c r="D271" s="6" t="inlineStr">
        <is>
          <t>AXIS_STAGE</t>
        </is>
      </c>
      <c r="E271" s="6" t="inlineStr">
        <is>
          <t>DIET-Q-05</t>
        </is>
      </c>
      <c r="F271" s="6" t="inlineStr">
        <is>
          <t>INTRO</t>
        </is>
      </c>
      <c r="G271" s="6" t="inlineStr">
        <is>
          <t>한 입마다 10초 쉬기</t>
        </is>
      </c>
      <c r="H271" s="5" t="inlineStr">
        <is>
          <t>한 입 먹고 나면 숟가락을 내려놓고 10초쯤 쉬었다 드세요.</t>
        </is>
      </c>
      <c r="I271" s="5" t="inlineStr">
        <is>
          <t>숟가락을 놓고 쉬면 천천히 먹게 돼요.</t>
        </is>
      </c>
      <c r="J271" s="6" t="n"/>
      <c r="K271" s="6" t="n"/>
      <c r="L271" s="6" t="inlineStr">
        <is>
          <t>MOHW-DIETGUIDE; KSSO-OBESITY</t>
        </is>
      </c>
      <c r="M271" s="5" t="inlineStr">
        <is>
          <t>10-13 추가(추가문구 검수표 94번 · 입문 보강). 근거: 국민 공통 식생활지침(보건복지부 2021) 3. 과식 피하기 · 천천히 먹기와 포만감(식사 속도 연구)</t>
        </is>
      </c>
      <c r="N271" s="6" t="inlineStr">
        <is>
          <t>검수표 94</t>
        </is>
      </c>
    </row>
    <row r="272" ht="25" customHeight="1">
      <c r="A272" s="6" t="inlineStr">
        <is>
          <t>DIET-P-0368</t>
        </is>
      </c>
      <c r="B272" s="6" t="inlineStr">
        <is>
          <t>1.0.0</t>
        </is>
      </c>
      <c r="C272" s="6" t="inlineStr">
        <is>
          <t>사용</t>
        </is>
      </c>
      <c r="D272" s="6" t="inlineStr">
        <is>
          <t>AXIS_STAGE</t>
        </is>
      </c>
      <c r="E272" s="6" t="inlineStr">
        <is>
          <t>DIET-Q-05</t>
        </is>
      </c>
      <c r="F272" s="6" t="inlineStr">
        <is>
          <t>INTRO</t>
        </is>
      </c>
      <c r="G272" s="6" t="inlineStr">
        <is>
          <t>물 마시며 쉬어 가기</t>
        </is>
      </c>
      <c r="H272" s="5" t="inlineStr">
        <is>
          <t>식사 중간에 물을 한 모금 마시며 잠깐 쉬어 가세요.</t>
        </is>
      </c>
      <c r="I272" s="5" t="inlineStr">
        <is>
          <t>중간에 쉬면 배부름을 느끼기 쉬워요.</t>
        </is>
      </c>
      <c r="J272" s="6" t="inlineStr">
        <is>
          <t>FLUID</t>
        </is>
      </c>
      <c r="K272" s="6" t="n"/>
      <c r="L272" s="6" t="inlineStr">
        <is>
          <t>MOHW-DIETGUIDE; KSSO-OBESITY</t>
        </is>
      </c>
      <c r="M272" s="5" t="inlineStr">
        <is>
          <t>10-13 추가(추가문구 검수표 95번 · 입문 보강). 근거: 국민 공통 식생활지침(보건복지부 2021) 3. 과식 피하기 · 천천히 먹기와 포만감(식사 속도 연구)</t>
        </is>
      </c>
      <c r="N272" s="6" t="inlineStr">
        <is>
          <t>검수표 95</t>
        </is>
      </c>
    </row>
    <row r="273" ht="25" customHeight="1">
      <c r="A273" s="6" t="inlineStr">
        <is>
          <t>DIET-P-0369</t>
        </is>
      </c>
      <c r="B273" s="6" t="inlineStr">
        <is>
          <t>1.0.0</t>
        </is>
      </c>
      <c r="C273" s="6" t="inlineStr">
        <is>
          <t>사용</t>
        </is>
      </c>
      <c r="D273" s="6" t="inlineStr">
        <is>
          <t>AXIS_STAGE</t>
        </is>
      </c>
      <c r="E273" s="6" t="inlineStr">
        <is>
          <t>DIET-Q-05</t>
        </is>
      </c>
      <c r="F273" s="6" t="inlineStr">
        <is>
          <t>INTRO</t>
        </is>
      </c>
      <c r="G273" s="6" t="inlineStr">
        <is>
          <t>밥은 평소 그릇으로</t>
        </is>
      </c>
      <c r="H273" s="5" t="inlineStr">
        <is>
          <t>밥은 큰 그릇 말고 늘 쓰던 밥공기에 담아 드세요.</t>
        </is>
      </c>
      <c r="I273" s="5" t="inlineStr">
        <is>
          <t>늘 쓰는 그릇에 담으면 양을 가늠하기 쉬워요.</t>
        </is>
      </c>
      <c r="J273" s="6" t="n"/>
      <c r="K273" s="6" t="n"/>
      <c r="L273" s="6" t="inlineStr">
        <is>
          <t>MOHW-DIETGUIDE; KSSO-OBESITY</t>
        </is>
      </c>
      <c r="M273" s="5" t="inlineStr">
        <is>
          <t>10-13 추가(추가문구 검수표 96번 · 입문 보강). 근거: 국민 공통 식생활지침(보건복지부 2021) 3. 과식 피하기 · 천천히 먹기와 포만감(식사 속도 연구)</t>
        </is>
      </c>
      <c r="N273" s="6" t="inlineStr">
        <is>
          <t>검수표 96</t>
        </is>
      </c>
    </row>
    <row r="274" ht="25" customHeight="1">
      <c r="A274" s="6" t="inlineStr">
        <is>
          <t>DIET-P-0370</t>
        </is>
      </c>
      <c r="B274" s="6" t="inlineStr">
        <is>
          <t>1.0.0</t>
        </is>
      </c>
      <c r="C274" s="6" t="inlineStr">
        <is>
          <t>사용</t>
        </is>
      </c>
      <c r="D274" s="6" t="inlineStr">
        <is>
          <t>AXIS_STAGE</t>
        </is>
      </c>
      <c r="E274" s="6" t="inlineStr">
        <is>
          <t>DIET-Q-05</t>
        </is>
      </c>
      <c r="F274" s="6" t="inlineStr">
        <is>
          <t>INTRO</t>
        </is>
      </c>
      <c r="G274" s="6" t="inlineStr">
        <is>
          <t>배고픈 정도 살피기</t>
        </is>
      </c>
      <c r="H274" s="5" t="inlineStr">
        <is>
          <t>식사 전에 지금 배가 얼마나 고픈지 먼저 살펴보세요.</t>
        </is>
      </c>
      <c r="I274" s="5" t="inlineStr">
        <is>
          <t>배고픈 정도를 알면 알맞게 먹기 쉬워요.</t>
        </is>
      </c>
      <c r="J274" s="6" t="n"/>
      <c r="K274" s="6" t="n"/>
      <c r="L274" s="6" t="inlineStr">
        <is>
          <t>MOHW-DIETGUIDE; KSSO-OBESITY</t>
        </is>
      </c>
      <c r="M274" s="5" t="inlineStr">
        <is>
          <t>10-13 추가(추가문구 검수표 97번 · 입문 보강). 근거: 국민 공통 식생활지침(보건복지부 2021) 3. 과식 피하기 · 천천히 먹기와 포만감(식사 속도 연구)</t>
        </is>
      </c>
      <c r="N274" s="6" t="inlineStr">
        <is>
          <t>검수표 97</t>
        </is>
      </c>
    </row>
    <row r="275" ht="25" customHeight="1">
      <c r="A275" s="6" t="inlineStr">
        <is>
          <t>DIET-P-0371</t>
        </is>
      </c>
      <c r="B275" s="6" t="inlineStr">
        <is>
          <t>1.0.0</t>
        </is>
      </c>
      <c r="C275" s="6" t="inlineStr">
        <is>
          <t>사용</t>
        </is>
      </c>
      <c r="D275" s="6" t="inlineStr">
        <is>
          <t>AXIS_STAGE</t>
        </is>
      </c>
      <c r="E275" s="6" t="inlineStr">
        <is>
          <t>DIET-Q-05</t>
        </is>
      </c>
      <c r="F275" s="6" t="inlineStr">
        <is>
          <t>INTRO</t>
        </is>
      </c>
      <c r="G275" s="6" t="inlineStr">
        <is>
          <t>배부른 정도 돌아보기</t>
        </is>
      </c>
      <c r="H275" s="5" t="inlineStr">
        <is>
          <t>오늘 식사 후 배가 얼마나 불렀는지 떠올려 보세요.</t>
        </is>
      </c>
      <c r="I275" s="5" t="inlineStr">
        <is>
          <t>돌아보면 내일 알맞은 양을 정하기 쉬워요.</t>
        </is>
      </c>
      <c r="J275" s="6" t="n"/>
      <c r="K275" s="6" t="n"/>
      <c r="L275" s="6" t="inlineStr">
        <is>
          <t>MOHW-DIETGUIDE; KSSO-OBESITY</t>
        </is>
      </c>
      <c r="M275" s="5" t="inlineStr">
        <is>
          <t>10-13 추가(추가문구 검수표 98번 · 입문 보강). 근거: 국민 공통 식생활지침(보건복지부 2021) 3. 과식 피하기 · 천천히 먹기와 포만감(식사 속도 연구)</t>
        </is>
      </c>
      <c r="N275" s="6" t="inlineStr">
        <is>
          <t>검수표 98</t>
        </is>
      </c>
    </row>
    <row r="276" ht="25" customHeight="1">
      <c r="A276" s="6" t="inlineStr">
        <is>
          <t>DIET-P-0372</t>
        </is>
      </c>
      <c r="B276" s="6" t="inlineStr">
        <is>
          <t>1.0.0</t>
        </is>
      </c>
      <c r="C276" s="6" t="inlineStr">
        <is>
          <t>사용</t>
        </is>
      </c>
      <c r="D276" s="6" t="inlineStr">
        <is>
          <t>AXIS_STAGE</t>
        </is>
      </c>
      <c r="E276" s="6" t="inlineStr">
        <is>
          <t>DIET-Q-05</t>
        </is>
      </c>
      <c r="F276" s="6" t="inlineStr">
        <is>
          <t>INTRO</t>
        </is>
      </c>
      <c r="G276" s="6" t="inlineStr">
        <is>
          <t>내일 먹을 양 정하기</t>
        </is>
      </c>
      <c r="H276" s="5" t="inlineStr">
        <is>
          <t>내일 끼니에 밥과 반찬을 얼마나 먹을지 미리 정해 두세요.</t>
        </is>
      </c>
      <c r="I276" s="5" t="inlineStr">
        <is>
          <t>미리 생각해 두면 과식을 막기 쉬워요.</t>
        </is>
      </c>
      <c r="J276" s="6" t="n"/>
      <c r="K276" s="6" t="n"/>
      <c r="L276" s="6" t="inlineStr">
        <is>
          <t>MOHW-DIETGUIDE; KSSO-OBESITY</t>
        </is>
      </c>
      <c r="M276" s="5" t="inlineStr">
        <is>
          <t>10-13 추가(추가문구 검수표 99번 · 입문 보강). 근거: 국민 공통 식생활지침(보건복지부 2021) 3. 과식 피하기 · 천천히 먹기와 포만감(식사 속도 연구)</t>
        </is>
      </c>
      <c r="N276" s="6" t="inlineStr">
        <is>
          <t>검수표 99</t>
        </is>
      </c>
    </row>
    <row r="277" ht="37.5" customHeight="1">
      <c r="A277" s="6" t="inlineStr">
        <is>
          <t>DIET-P-0373</t>
        </is>
      </c>
      <c r="B277" s="6" t="inlineStr">
        <is>
          <t>1.0.0</t>
        </is>
      </c>
      <c r="C277" s="6" t="inlineStr">
        <is>
          <t>사용</t>
        </is>
      </c>
      <c r="D277" s="6" t="inlineStr">
        <is>
          <t>AXIS_STAGE</t>
        </is>
      </c>
      <c r="E277" s="6" t="inlineStr">
        <is>
          <t>DIET-Q-06</t>
        </is>
      </c>
      <c r="F277" s="6" t="inlineStr">
        <is>
          <t>INTRO</t>
        </is>
      </c>
      <c r="G277" s="6" t="inlineStr">
        <is>
          <t>점심에 단백질 고르기</t>
        </is>
      </c>
      <c r="H277" s="5" t="inlineStr">
        <is>
          <t>점심 메뉴를 고를 때 고기·생선·달걀·두부 반찬을 한 가지 넣으세요.</t>
        </is>
      </c>
      <c r="I277" s="5" t="inlineStr">
        <is>
          <t>한 가지라도 고르면 끼니 단백질이 채워져요.</t>
        </is>
      </c>
      <c r="J277" s="6" t="n"/>
      <c r="K277" s="6" t="n"/>
      <c r="L277" s="6" t="inlineStr">
        <is>
          <t>MOHW-DIETGUIDE; WHO-DIET</t>
        </is>
      </c>
      <c r="M277" s="5" t="inlineStr">
        <is>
          <t>10-13 추가(추가문구 검수표 100번 · 입문 보강). 근거: 국민 공통 식생활지침(보건복지부 2021) 1. 다양한 식품 골고루 · 2020 한국인 영양소 섭취기준(단백질 끼니별 고른 섭취)</t>
        </is>
      </c>
      <c r="N277" s="6" t="inlineStr">
        <is>
          <t>검수표 100</t>
        </is>
      </c>
    </row>
    <row r="278" ht="37.5" customHeight="1">
      <c r="A278" s="6" t="inlineStr">
        <is>
          <t>DIET-P-0374</t>
        </is>
      </c>
      <c r="B278" s="6" t="inlineStr">
        <is>
          <t>1.0.0</t>
        </is>
      </c>
      <c r="C278" s="6" t="inlineStr">
        <is>
          <t>사용</t>
        </is>
      </c>
      <c r="D278" s="6" t="inlineStr">
        <is>
          <t>AXIS_STAGE</t>
        </is>
      </c>
      <c r="E278" s="6" t="inlineStr">
        <is>
          <t>DIET-Q-06</t>
        </is>
      </c>
      <c r="F278" s="6" t="inlineStr">
        <is>
          <t>INTRO</t>
        </is>
      </c>
      <c r="G278" s="6" t="inlineStr">
        <is>
          <t>두유 한 팩 챙기기</t>
        </is>
      </c>
      <c r="H278" s="5" t="inlineStr">
        <is>
          <t>외출할 때 두유 한 팩을 챙겨 나가세요.</t>
        </is>
      </c>
      <c r="I278" s="5" t="inlineStr">
        <is>
          <t>두유는 간편하게 단백질을 더해 줘요.</t>
        </is>
      </c>
      <c r="J278" s="6" t="inlineStr">
        <is>
          <t>INCREASE</t>
        </is>
      </c>
      <c r="K278" s="6" t="n"/>
      <c r="L278" s="6" t="inlineStr">
        <is>
          <t>MOHW-DIETGUIDE; WHO-DIET</t>
        </is>
      </c>
      <c r="M278" s="5" t="inlineStr">
        <is>
          <t>10-13 추가(추가문구 검수표 101번 · 입문 보강). 근거: 국민 공통 식생활지침(보건복지부 2021) 1. 다양한 식품 골고루 · 2020 한국인 영양소 섭취기준(단백질 끼니별 고른 섭취)</t>
        </is>
      </c>
      <c r="N278" s="6" t="inlineStr">
        <is>
          <t>검수표 101</t>
        </is>
      </c>
    </row>
    <row r="279" ht="37.5" customHeight="1">
      <c r="A279" s="6" t="inlineStr">
        <is>
          <t>DIET-P-0375</t>
        </is>
      </c>
      <c r="B279" s="6" t="inlineStr">
        <is>
          <t>1.0.0</t>
        </is>
      </c>
      <c r="C279" s="6" t="inlineStr">
        <is>
          <t>사용</t>
        </is>
      </c>
      <c r="D279" s="6" t="inlineStr">
        <is>
          <t>AXIS_STAGE</t>
        </is>
      </c>
      <c r="E279" s="6" t="inlineStr">
        <is>
          <t>DIET-Q-06</t>
        </is>
      </c>
      <c r="F279" s="6" t="inlineStr">
        <is>
          <t>INTRO</t>
        </is>
      </c>
      <c r="G279" s="6" t="inlineStr">
        <is>
          <t>아침엔 두유 한 잔</t>
        </is>
      </c>
      <c r="H279" s="5" t="inlineStr">
        <is>
          <t>아침 식사에 두유를 한 잔 곁들여 드세요.</t>
        </is>
      </c>
      <c r="I279" s="5" t="inlineStr">
        <is>
          <t>두유 한 잔으로 아침 단백질을 더해요.</t>
        </is>
      </c>
      <c r="J279" s="6" t="inlineStr">
        <is>
          <t>INCREASE</t>
        </is>
      </c>
      <c r="K279" s="6" t="n"/>
      <c r="L279" s="6" t="inlineStr">
        <is>
          <t>MOHW-DIETGUIDE; WHO-DIET</t>
        </is>
      </c>
      <c r="M279" s="5" t="inlineStr">
        <is>
          <t>10-13 추가(추가문구 검수표 102번 · 입문 보강). 근거: 국민 공통 식생활지침(보건복지부 2021) 1. 다양한 식품 골고루 · 2020 한국인 영양소 섭취기준(단백질 끼니별 고른 섭취)</t>
        </is>
      </c>
      <c r="N279" s="6" t="inlineStr">
        <is>
          <t>검수표 102</t>
        </is>
      </c>
    </row>
    <row r="280" ht="37.5" customHeight="1">
      <c r="A280" s="6" t="inlineStr">
        <is>
          <t>DIET-P-0376</t>
        </is>
      </c>
      <c r="B280" s="6" t="inlineStr">
        <is>
          <t>1.0.0</t>
        </is>
      </c>
      <c r="C280" s="6" t="inlineStr">
        <is>
          <t>사용</t>
        </is>
      </c>
      <c r="D280" s="6" t="inlineStr">
        <is>
          <t>AXIS_STAGE</t>
        </is>
      </c>
      <c r="E280" s="6" t="inlineStr">
        <is>
          <t>DIET-Q-06</t>
        </is>
      </c>
      <c r="F280" s="6" t="inlineStr">
        <is>
          <t>INTRO</t>
        </is>
      </c>
      <c r="G280" s="6" t="inlineStr">
        <is>
          <t>국에 두부 반 모</t>
        </is>
      </c>
      <c r="H280" s="5" t="inlineStr">
        <is>
          <t>국을 끓일 때 두부를 반 모 넣어 드세요.</t>
        </is>
      </c>
      <c r="I280" s="5" t="inlineStr">
        <is>
          <t>두부를 넣으면 국 한 그릇에 단백질이 더해져요.</t>
        </is>
      </c>
      <c r="J280" s="6" t="inlineStr">
        <is>
          <t>INCREASE</t>
        </is>
      </c>
      <c r="K280" s="6" t="n"/>
      <c r="L280" s="6" t="inlineStr">
        <is>
          <t>MOHW-DIETGUIDE; WHO-DIET</t>
        </is>
      </c>
      <c r="M280" s="5" t="inlineStr">
        <is>
          <t>10-13 추가(추가문구 검수표 103번 · 입문 보강). 근거: 국민 공통 식생활지침(보건복지부 2021) 1. 다양한 식품 골고루 · 2020 한국인 영양소 섭취기준(단백질 끼니별 고른 섭취)</t>
        </is>
      </c>
      <c r="N280" s="6" t="inlineStr">
        <is>
          <t>검수표 103</t>
        </is>
      </c>
    </row>
    <row r="281" ht="37.5" customHeight="1">
      <c r="A281" s="6" t="inlineStr">
        <is>
          <t>DIET-P-0377</t>
        </is>
      </c>
      <c r="B281" s="6" t="inlineStr">
        <is>
          <t>1.0.0</t>
        </is>
      </c>
      <c r="C281" s="6" t="inlineStr">
        <is>
          <t>사용</t>
        </is>
      </c>
      <c r="D281" s="6" t="inlineStr">
        <is>
          <t>AXIS_STAGE</t>
        </is>
      </c>
      <c r="E281" s="6" t="inlineStr">
        <is>
          <t>DIET-Q-06</t>
        </is>
      </c>
      <c r="F281" s="6" t="inlineStr">
        <is>
          <t>INTRO</t>
        </is>
      </c>
      <c r="G281" s="6" t="inlineStr">
        <is>
          <t>내일 아침 두부 썰기</t>
        </is>
      </c>
      <c r="H281" s="5" t="inlineStr">
        <is>
          <t>내일 아침에 쓸 두부를 미리 썰어 냉장고에 넣어 두세요.</t>
        </is>
      </c>
      <c r="I281" s="5" t="inlineStr">
        <is>
          <t>썰어 두면 아침에 바로 조리할 수 있어요.</t>
        </is>
      </c>
      <c r="J281" s="6" t="n"/>
      <c r="K281" s="6" t="n"/>
      <c r="L281" s="6" t="inlineStr">
        <is>
          <t>MOHW-DIETGUIDE; WHO-DIET</t>
        </is>
      </c>
      <c r="M281" s="5" t="inlineStr">
        <is>
          <t>10-13 추가(추가문구 검수표 104번 · 입문 보강). 근거: 국민 공통 식생활지침(보건복지부 2021) 1. 다양한 식품 골고루 · 2020 한국인 영양소 섭취기준(단백질 끼니별 고른 섭취)</t>
        </is>
      </c>
      <c r="N281" s="6" t="inlineStr">
        <is>
          <t>검수표 104</t>
        </is>
      </c>
    </row>
    <row r="282" ht="37.5" customHeight="1">
      <c r="A282" s="6" t="inlineStr">
        <is>
          <t>DIET-P-0378</t>
        </is>
      </c>
      <c r="B282" s="6" t="inlineStr">
        <is>
          <t>1.0.0</t>
        </is>
      </c>
      <c r="C282" s="6" t="inlineStr">
        <is>
          <t>사용</t>
        </is>
      </c>
      <c r="D282" s="6" t="inlineStr">
        <is>
          <t>AXIS_STAGE</t>
        </is>
      </c>
      <c r="E282" s="6" t="inlineStr">
        <is>
          <t>DIET-Q-06</t>
        </is>
      </c>
      <c r="F282" s="6" t="inlineStr">
        <is>
          <t>INTRO</t>
        </is>
      </c>
      <c r="G282" s="6" t="inlineStr">
        <is>
          <t>도시락에 단백질 담기</t>
        </is>
      </c>
      <c r="H282" s="5" t="inlineStr">
        <is>
          <t>내일 도시락에 고기·생선·달걀·두부 반찬을 한 가지 담으세요.</t>
        </is>
      </c>
      <c r="I282" s="5" t="inlineStr">
        <is>
          <t>도시락에 담으면 밖에서도 단백질을 챙겨요.</t>
        </is>
      </c>
      <c r="J282" s="6" t="inlineStr">
        <is>
          <t>INCREASE</t>
        </is>
      </c>
      <c r="K282" s="6" t="n"/>
      <c r="L282" s="6" t="inlineStr">
        <is>
          <t>MOHW-DIETGUIDE; WHO-DIET</t>
        </is>
      </c>
      <c r="M282" s="5" t="inlineStr">
        <is>
          <t>10-13 추가(추가문구 검수표 105번 · 입문 보강). 근거: 국민 공통 식생활지침(보건복지부 2021) 1. 다양한 식품 골고루 · 2020 한국인 영양소 섭취기준(단백질 끼니별 고른 섭취)</t>
        </is>
      </c>
      <c r="N282" s="6" t="inlineStr">
        <is>
          <t>검수표 105</t>
        </is>
      </c>
    </row>
    <row r="283" ht="25" customHeight="1">
      <c r="A283" s="6" t="inlineStr">
        <is>
          <t>DIET-P-0379</t>
        </is>
      </c>
      <c r="B283" s="6" t="inlineStr">
        <is>
          <t>1.0.0</t>
        </is>
      </c>
      <c r="C283" s="6" t="inlineStr">
        <is>
          <t>사용</t>
        </is>
      </c>
      <c r="D283" s="6" t="inlineStr">
        <is>
          <t>AXIS_STAGE</t>
        </is>
      </c>
      <c r="E283" s="6" t="inlineStr">
        <is>
          <t>DIET-Q-07</t>
        </is>
      </c>
      <c r="F283" s="6" t="inlineStr">
        <is>
          <t>INTRO</t>
        </is>
      </c>
      <c r="G283" s="6" t="inlineStr">
        <is>
          <t>구운 고기 대신 삶은 고기</t>
        </is>
      </c>
      <c r="H283" s="5" t="inlineStr">
        <is>
          <t>기름에 구운 고기 대신 보쌈처럼 삶은 고기를 골라 드세요.</t>
        </is>
      </c>
      <c r="I283" s="5" t="inlineStr">
        <is>
          <t>삶은 고기는 구운 고기보다 기름이 덜해요.</t>
        </is>
      </c>
      <c r="J283" s="6" t="inlineStr">
        <is>
          <t>TEXTURE</t>
        </is>
      </c>
      <c r="K283" s="6" t="n"/>
      <c r="L283" s="6" t="inlineStr">
        <is>
          <t>MOHW-DIETGUIDE; WHO-FAT-2023; KSoLA-2022</t>
        </is>
      </c>
      <c r="M283" s="5" t="inlineStr">
        <is>
          <t>10-13 추가(추가문구 검수표 106번 · 입문 보강). 근거: 국민 공통 식생활지침(보건복지부 2021) 4. 덜 기름지게 · WHO 포화지방 하루 열량 10% 미만 권고 · 10-19 특정 음식 이름을 음식 종류로</t>
        </is>
      </c>
      <c r="N283" s="6" t="inlineStr">
        <is>
          <t>검수표 106</t>
        </is>
      </c>
    </row>
    <row r="284" ht="25" customHeight="1">
      <c r="A284" s="6" t="inlineStr">
        <is>
          <t>DIET-P-0380</t>
        </is>
      </c>
      <c r="B284" s="6" t="inlineStr">
        <is>
          <t>1.0.0</t>
        </is>
      </c>
      <c r="C284" s="6" t="inlineStr">
        <is>
          <t>사용</t>
        </is>
      </c>
      <c r="D284" s="6" t="inlineStr">
        <is>
          <t>AXIS_STAGE</t>
        </is>
      </c>
      <c r="E284" s="6" t="inlineStr">
        <is>
          <t>DIET-Q-07</t>
        </is>
      </c>
      <c r="F284" s="6" t="inlineStr">
        <is>
          <t>INTRO</t>
        </is>
      </c>
      <c r="G284" s="6" t="inlineStr">
        <is>
          <t>볶은 반찬 대신 나물무침</t>
        </is>
      </c>
      <c r="H284" s="5" t="inlineStr">
        <is>
          <t>기름에 볶은 반찬 대신 나물무침을 골라 드세요.</t>
        </is>
      </c>
      <c r="I284" s="5" t="inlineStr">
        <is>
          <t>나물무침은 볶은 반찬보다 기름을 덜 써요.</t>
        </is>
      </c>
      <c r="J284" s="6" t="inlineStr">
        <is>
          <t>TEXTURE</t>
        </is>
      </c>
      <c r="K284" s="6" t="n"/>
      <c r="L284" s="6" t="inlineStr">
        <is>
          <t>MOHW-DIETGUIDE; WHO-FAT-2023; KSoLA-2022</t>
        </is>
      </c>
      <c r="M284" s="5" t="inlineStr">
        <is>
          <t>10-13 추가(추가문구 검수표 107번 · 입문 보강). 근거: 국민 공통 식생활지침(보건복지부 2021) 4. 덜 기름지게 · WHO 포화지방 하루 열량 10% 미만 권고 · 10-19 특정 음식 이름을 음식 종류로</t>
        </is>
      </c>
      <c r="N284" s="6" t="inlineStr">
        <is>
          <t>검수표 107</t>
        </is>
      </c>
    </row>
    <row r="285" ht="25" customHeight="1">
      <c r="A285" s="6" t="inlineStr">
        <is>
          <t>DIET-P-0381</t>
        </is>
      </c>
      <c r="B285" s="6" t="inlineStr">
        <is>
          <t>1.0.0</t>
        </is>
      </c>
      <c r="C285" s="6" t="inlineStr">
        <is>
          <t>사용</t>
        </is>
      </c>
      <c r="D285" s="6" t="inlineStr">
        <is>
          <t>AXIS_STAGE</t>
        </is>
      </c>
      <c r="E285" s="6" t="inlineStr">
        <is>
          <t>DIET-Q-07</t>
        </is>
      </c>
      <c r="F285" s="6" t="inlineStr">
        <is>
          <t>INTRO</t>
        </is>
      </c>
      <c r="G285" s="6" t="inlineStr">
        <is>
          <t>튀김옷은 벗겨서 먹기</t>
        </is>
      </c>
      <c r="H285" s="5" t="inlineStr">
        <is>
          <t>튀김을 먹을 때 겉의 튀김옷은 벗겨 내고 드세요.</t>
        </is>
      </c>
      <c r="I285" s="5" t="inlineStr">
        <is>
          <t>튀김옷에 기름이 가장 많이 배어 있어요.</t>
        </is>
      </c>
      <c r="J285" s="6" t="n"/>
      <c r="K285" s="6" t="n"/>
      <c r="L285" s="6" t="inlineStr">
        <is>
          <t>MOHW-DIETGUIDE; WHO-FAT-2023; KSoLA-2022</t>
        </is>
      </c>
      <c r="M285" s="5" t="inlineStr">
        <is>
          <t>10-13 추가(추가문구 검수표 108번 · 입문 보강). 근거: 국민 공통 식생활지침(보건복지부 2021) 4. 덜 기름지게 · WHO 포화지방 하루 열량 10% 미만 권고</t>
        </is>
      </c>
      <c r="N285" s="6" t="inlineStr">
        <is>
          <t>검수표 108</t>
        </is>
      </c>
    </row>
    <row r="286" ht="25" customHeight="1">
      <c r="A286" s="6" t="inlineStr">
        <is>
          <t>DIET-P-0382</t>
        </is>
      </c>
      <c r="B286" s="6" t="inlineStr">
        <is>
          <t>1.0.0</t>
        </is>
      </c>
      <c r="C286" s="6" t="inlineStr">
        <is>
          <t>사용</t>
        </is>
      </c>
      <c r="D286" s="6" t="inlineStr">
        <is>
          <t>AXIS_STAGE</t>
        </is>
      </c>
      <c r="E286" s="6" t="inlineStr">
        <is>
          <t>DIET-Q-07</t>
        </is>
      </c>
      <c r="F286" s="6" t="inlineStr">
        <is>
          <t>INTRO</t>
        </is>
      </c>
      <c r="G286" s="6" t="inlineStr">
        <is>
          <t>샐러드 소스 1스푼</t>
        </is>
      </c>
      <c r="H286" s="5" t="inlineStr">
        <is>
          <t>샐러드 소스는 한 숟가락만 뿌려 드세요.</t>
        </is>
      </c>
      <c r="I286" s="5" t="inlineStr">
        <is>
          <t>소스를 한 스푼만 쓰면 기름과 염분이 줄어요.</t>
        </is>
      </c>
      <c r="J286" s="6" t="inlineStr">
        <is>
          <t>REDUCE</t>
        </is>
      </c>
      <c r="K286" s="6" t="n"/>
      <c r="L286" s="6" t="inlineStr">
        <is>
          <t>MOHW-DIETGUIDE; WHO-FAT-2023; KSoLA-2022</t>
        </is>
      </c>
      <c r="M286" s="5" t="inlineStr">
        <is>
          <t>10-13 추가(추가문구 검수표 109번 · 입문 보강). 근거: 국민 공통 식생활지침(보건복지부 2021) 4. 덜 기름지게 · WHO 포화지방 하루 열량 10% 미만 권고</t>
        </is>
      </c>
      <c r="N286" s="6" t="inlineStr">
        <is>
          <t>검수표 109</t>
        </is>
      </c>
    </row>
    <row r="287" ht="25" customHeight="1">
      <c r="A287" s="6" t="inlineStr">
        <is>
          <t>DIET-P-0383</t>
        </is>
      </c>
      <c r="B287" s="6" t="inlineStr">
        <is>
          <t>1.0.0</t>
        </is>
      </c>
      <c r="C287" s="6" t="inlineStr">
        <is>
          <t>사용</t>
        </is>
      </c>
      <c r="D287" s="6" t="inlineStr">
        <is>
          <t>AXIS_STAGE</t>
        </is>
      </c>
      <c r="E287" s="6" t="inlineStr">
        <is>
          <t>DIET-Q-07</t>
        </is>
      </c>
      <c r="F287" s="6" t="inlineStr">
        <is>
          <t>INTRO</t>
        </is>
      </c>
      <c r="G287" s="6" t="inlineStr">
        <is>
          <t>내일 반찬은 나물무침</t>
        </is>
      </c>
      <c r="H287" s="5" t="inlineStr">
        <is>
          <t>내일 반찬으로 콩나물무침 같은 나물무침을 준비해 보세요.</t>
        </is>
      </c>
      <c r="I287" s="5" t="inlineStr">
        <is>
          <t>나물무침은 기름을 거의 쓰지 않아요.</t>
        </is>
      </c>
      <c r="J287" s="6" t="n"/>
      <c r="K287" s="6" t="n"/>
      <c r="L287" s="6" t="inlineStr">
        <is>
          <t>MOHW-DIETGUIDE; WHO-FAT-2023; KSoLA-2022</t>
        </is>
      </c>
      <c r="M287" s="5" t="inlineStr">
        <is>
          <t>10-13 추가(추가문구 검수표 110번 · 입문 보강). 근거: 국민 공통 식생활지침(보건복지부 2021) 4. 덜 기름지게 · WHO 포화지방 하루 열량 10% 미만 권고 · 10-19 특정 음식 이름을 음식 종류로</t>
        </is>
      </c>
      <c r="N287" s="6" t="inlineStr">
        <is>
          <t>검수표 110</t>
        </is>
      </c>
    </row>
    <row r="288" ht="25" customHeight="1">
      <c r="A288" s="6" t="inlineStr">
        <is>
          <t>DIET-P-0384</t>
        </is>
      </c>
      <c r="B288" s="6" t="inlineStr">
        <is>
          <t>1.0.0</t>
        </is>
      </c>
      <c r="C288" s="6" t="inlineStr">
        <is>
          <t>사용</t>
        </is>
      </c>
      <c r="D288" s="6" t="inlineStr">
        <is>
          <t>AXIS_STAGE</t>
        </is>
      </c>
      <c r="E288" s="6" t="inlineStr">
        <is>
          <t>DIET-Q-07</t>
        </is>
      </c>
      <c r="F288" s="6" t="inlineStr">
        <is>
          <t>INTRO</t>
        </is>
      </c>
      <c r="G288" s="6" t="inlineStr">
        <is>
          <t>볶은 고기 대신 수육</t>
        </is>
      </c>
      <c r="H288" s="5" t="inlineStr">
        <is>
          <t>양념해 볶은 고기 대신 삶은 수육을 골라 드세요.</t>
        </is>
      </c>
      <c r="I288" s="5" t="inlineStr">
        <is>
          <t>삶은 수육은 볶은 고기보다 기름이 덜해요.</t>
        </is>
      </c>
      <c r="J288" s="6" t="inlineStr">
        <is>
          <t>TEXTURE</t>
        </is>
      </c>
      <c r="K288" s="6" t="n"/>
      <c r="L288" s="6" t="inlineStr">
        <is>
          <t>MOHW-DIETGUIDE; WHO-FAT-2023; KSoLA-2022</t>
        </is>
      </c>
      <c r="M288" s="5" t="inlineStr">
        <is>
          <t>10-13 추가(추가문구 검수표 111번 · 입문 보강). 근거: 국민 공통 식생활지침(보건복지부 2021) 4. 덜 기름지게 · WHO 포화지방 하루 열량 10% 미만 권고 · 10-19 특정 음식 이름을 음식 종류로</t>
        </is>
      </c>
      <c r="N288" s="6" t="inlineStr">
        <is>
          <t>검수표 111</t>
        </is>
      </c>
    </row>
    <row r="289" ht="25" customHeight="1">
      <c r="A289" s="6" t="inlineStr">
        <is>
          <t>DIET-P-0385</t>
        </is>
      </c>
      <c r="B289" s="6" t="inlineStr">
        <is>
          <t>1.0.0</t>
        </is>
      </c>
      <c r="C289" s="6" t="inlineStr">
        <is>
          <t>사용</t>
        </is>
      </c>
      <c r="D289" s="6" t="inlineStr">
        <is>
          <t>AXIS_STAGE</t>
        </is>
      </c>
      <c r="E289" s="6" t="inlineStr">
        <is>
          <t>DIET-Q-07</t>
        </is>
      </c>
      <c r="F289" s="6" t="inlineStr">
        <is>
          <t>INTRO</t>
        </is>
      </c>
      <c r="G289" s="6" t="inlineStr">
        <is>
          <t>튀긴 고기 대신 생선구이</t>
        </is>
      </c>
      <c r="H289" s="5" t="inlineStr">
        <is>
          <t>튀긴 고기 요리 대신 생선구이를 골라 드세요.</t>
        </is>
      </c>
      <c r="I289" s="5" t="inlineStr">
        <is>
          <t>생선구이는 튀긴 고기보다 기름이 덜 들어가요.</t>
        </is>
      </c>
      <c r="J289" s="6" t="inlineStr">
        <is>
          <t>TEXTURE</t>
        </is>
      </c>
      <c r="K289" s="6" t="n"/>
      <c r="L289" s="6" t="inlineStr">
        <is>
          <t>MOHW-DIETGUIDE; WHO-FAT-2023; KSoLA-2022</t>
        </is>
      </c>
      <c r="M289" s="5" t="inlineStr">
        <is>
          <t>10-13 추가(추가문구 검수표 112번 · 입문 보강). 근거: 국민 공통 식생활지침(보건복지부 2021) 4. 덜 기름지게 · WHO 포화지방 하루 열량 10% 미만 권고 · 10-19 특정 음식 이름을 음식 종류로</t>
        </is>
      </c>
      <c r="N289" s="6" t="inlineStr">
        <is>
          <t>검수표 112</t>
        </is>
      </c>
    </row>
    <row r="290" ht="25" customHeight="1">
      <c r="A290" s="6" t="inlineStr">
        <is>
          <t>DIET-P-0386</t>
        </is>
      </c>
      <c r="B290" s="6" t="inlineStr">
        <is>
          <t>1.0.0</t>
        </is>
      </c>
      <c r="C290" s="6" t="inlineStr">
        <is>
          <t>사용</t>
        </is>
      </c>
      <c r="D290" s="6" t="inlineStr">
        <is>
          <t>AXIS_STAGE</t>
        </is>
      </c>
      <c r="E290" s="6" t="inlineStr">
        <is>
          <t>DIET-Q-07</t>
        </is>
      </c>
      <c r="F290" s="6" t="inlineStr">
        <is>
          <t>INTRO</t>
        </is>
      </c>
      <c r="G290" s="6" t="inlineStr">
        <is>
          <t>튀긴 닭 대신 삶은 닭</t>
        </is>
      </c>
      <c r="H290" s="5" t="inlineStr">
        <is>
          <t>튀긴 닭 대신 백숙처럼 삶은 닭을 드세요.</t>
        </is>
      </c>
      <c r="I290" s="5" t="inlineStr">
        <is>
          <t>삶은 닭은 튀긴 닭보다 기름이 적어요.</t>
        </is>
      </c>
      <c r="J290" s="6" t="inlineStr">
        <is>
          <t>TEXTURE</t>
        </is>
      </c>
      <c r="K290" s="6" t="n"/>
      <c r="L290" s="6" t="inlineStr">
        <is>
          <t>MOHW-DIETGUIDE; WHO-FAT-2023; KSoLA-2022</t>
        </is>
      </c>
      <c r="M290" s="5" t="inlineStr">
        <is>
          <t>10-13 추가(추가문구 검수표 113번 · 입문 보강). 근거: 국민 공통 식생활지침(보건복지부 2021) 4. 덜 기름지게 · WHO 포화지방 하루 열량 10% 미만 권고 · 10-19 특정 음식 이름을 음식 종류로</t>
        </is>
      </c>
      <c r="N290" s="6" t="inlineStr">
        <is>
          <t>검수표 113</t>
        </is>
      </c>
    </row>
    <row r="291" ht="37.5" customHeight="1">
      <c r="A291" s="6" t="inlineStr">
        <is>
          <t>DIET-P-0387</t>
        </is>
      </c>
      <c r="B291" s="6" t="inlineStr">
        <is>
          <t>1.0.0</t>
        </is>
      </c>
      <c r="C291" s="6" t="inlineStr">
        <is>
          <t>사용</t>
        </is>
      </c>
      <c r="D291" s="6" t="inlineStr">
        <is>
          <t>AXIS_STAGE</t>
        </is>
      </c>
      <c r="E291" s="6" t="inlineStr">
        <is>
          <t>DIET-Q-03</t>
        </is>
      </c>
      <c r="F291" s="6" t="inlineStr">
        <is>
          <t>INTRO</t>
        </is>
      </c>
      <c r="G291" s="6" t="inlineStr">
        <is>
          <t>찌개 대신 맑은 국</t>
        </is>
      </c>
      <c r="H291" s="5" t="inlineStr">
        <is>
          <t>짭짤한 찌개 대신 맑게 끓인 국을 골라 드세요.</t>
        </is>
      </c>
      <c r="I291" s="5" t="inlineStr">
        <is>
          <t>맑은 국은 찌개보다 덜 짠 편이에요.</t>
        </is>
      </c>
      <c r="J291" s="6" t="n"/>
      <c r="K291" s="6" t="n"/>
      <c r="L291" s="6" t="inlineStr">
        <is>
          <t>MOHW-DIETGUIDE; WHO-DIET; MFDS-SODIUM; KSH-2022</t>
        </is>
      </c>
      <c r="M291" s="5" t="inlineStr">
        <is>
          <t>10-13 추가(추가문구 검수표 114번 · 입문 보강). 근거: 국민 공통 식생활지침(보건복지부 2021) 4. 덜 짜게 · WHO 나트륨 하루 2,000mg 미만 권고 · 국·찌개가 나트륨 주 공급원(국민건강영양조사) · 10-19 특정 음식 이름을 음식 종류로</t>
        </is>
      </c>
      <c r="N291" s="6" t="inlineStr">
        <is>
          <t>검수표 114</t>
        </is>
      </c>
    </row>
    <row r="292" ht="37.5" customHeight="1">
      <c r="A292" s="6" t="inlineStr">
        <is>
          <t>DIET-P-0388</t>
        </is>
      </c>
      <c r="B292" s="6" t="inlineStr">
        <is>
          <t>1.0.0</t>
        </is>
      </c>
      <c r="C292" s="6" t="inlineStr">
        <is>
          <t>사용</t>
        </is>
      </c>
      <c r="D292" s="6" t="inlineStr">
        <is>
          <t>AXIS_STAGE</t>
        </is>
      </c>
      <c r="E292" s="6" t="inlineStr">
        <is>
          <t>DIET-Q-02</t>
        </is>
      </c>
      <c r="F292" s="6" t="inlineStr">
        <is>
          <t>INTRO</t>
        </is>
      </c>
      <c r="G292" s="6" t="inlineStr">
        <is>
          <t>단 커피 대신 블랙커피</t>
        </is>
      </c>
      <c r="H292" s="5" t="inlineStr">
        <is>
          <t>설탕 든 커피 대신 설탕 없는 블랙커피를 드세요.</t>
        </is>
      </c>
      <c r="I292" s="5" t="inlineStr">
        <is>
          <t>블랙커피에는 설탕이 들어 있지 않아요.</t>
        </is>
      </c>
      <c r="J292" s="6" t="n"/>
      <c r="K292" s="6" t="n"/>
      <c r="L292" s="6" t="inlineStr">
        <is>
          <t>MOHW-DIETGUIDE; WHO-SUGAR; MFDS-SUGAR</t>
        </is>
      </c>
      <c r="M292" s="5" t="inlineStr">
        <is>
          <t>10-13 추가(추가문구 검수표 115번 · 입문 보강). 근거: 국민 공통 식생활지침(보건복지부 2021) 4. 덜 달게 · 5. 단 음료 대신 물 · WHO 유리당 하루 열량 10% 미만 권고 · 10-19 특정 음식 이름을 음식 종류로</t>
        </is>
      </c>
      <c r="N292" s="6" t="inlineStr">
        <is>
          <t>검수표 115</t>
        </is>
      </c>
    </row>
    <row r="293" ht="37.5" customHeight="1">
      <c r="A293" s="6" t="inlineStr">
        <is>
          <t>DIET-P-0389</t>
        </is>
      </c>
      <c r="B293" s="6" t="inlineStr">
        <is>
          <t>1.0.0</t>
        </is>
      </c>
      <c r="C293" s="6" t="inlineStr">
        <is>
          <t>사용</t>
        </is>
      </c>
      <c r="D293" s="6" t="inlineStr">
        <is>
          <t>AXIS_STAGE</t>
        </is>
      </c>
      <c r="E293" s="6" t="inlineStr">
        <is>
          <t>DIET-Q-02</t>
        </is>
      </c>
      <c r="F293" s="6" t="inlineStr">
        <is>
          <t>INTRO</t>
        </is>
      </c>
      <c r="G293" s="6" t="inlineStr">
        <is>
          <t>단 디저트 대신 요거트</t>
        </is>
      </c>
      <c r="H293" s="5" t="inlineStr">
        <is>
          <t>케이크 같은 단 디저트 대신 달지 않은 플레인 요거트를 드세요.</t>
        </is>
      </c>
      <c r="I293" s="5" t="inlineStr">
        <is>
          <t>플레인 요거트는 단맛이 훨씬 덜해요.</t>
        </is>
      </c>
      <c r="J293" s="6" t="n"/>
      <c r="K293" s="6" t="n"/>
      <c r="L293" s="6" t="inlineStr">
        <is>
          <t>MOHW-DIETGUIDE; WHO-SUGAR; MFDS-SUGAR</t>
        </is>
      </c>
      <c r="M293" s="5" t="inlineStr">
        <is>
          <t>10-13 추가(추가문구 검수표 116번 · 입문 보강). 근거: 국민 공통 식생활지침(보건복지부 2021) 4. 덜 달게 · 5. 단 음료 대신 물 · WHO 유리당 하루 열량 10% 미만 권고 · 10-19 특정 음식 이름을 음식 종류로</t>
        </is>
      </c>
      <c r="N293" s="6" t="inlineStr">
        <is>
          <t>검수표 116</t>
        </is>
      </c>
    </row>
    <row r="294" ht="37.5" customHeight="1">
      <c r="A294" s="6" t="inlineStr">
        <is>
          <t>DIET-P-0390</t>
        </is>
      </c>
      <c r="B294" s="6" t="inlineStr">
        <is>
          <t>1.0.0</t>
        </is>
      </c>
      <c r="C294" s="6" t="inlineStr">
        <is>
          <t>사용</t>
        </is>
      </c>
      <c r="D294" s="6" t="inlineStr">
        <is>
          <t>AXIS_STAGE</t>
        </is>
      </c>
      <c r="E294" s="6" t="inlineStr">
        <is>
          <t>DIET-Q-01</t>
        </is>
      </c>
      <c r="F294" s="6" t="inlineStr">
        <is>
          <t>INTRO</t>
        </is>
      </c>
      <c r="G294" s="6" t="inlineStr">
        <is>
          <t>기름진 면 대신 나물밥</t>
        </is>
      </c>
      <c r="H294" s="5" t="inlineStr">
        <is>
          <t>기름진 면 요리 대신 나물이 들어간 밥을 골라 드세요.</t>
        </is>
      </c>
      <c r="I294" s="5" t="inlineStr">
        <is>
          <t>나물밥은 채소를 넉넉히 먹을 수 있어요.</t>
        </is>
      </c>
      <c r="J294" s="6" t="n"/>
      <c r="K294" s="6" t="n"/>
      <c r="L294" s="6" t="inlineStr">
        <is>
          <t>MOHW-DIETGUIDE; WHO-DIET</t>
        </is>
      </c>
      <c r="M294" s="5" t="inlineStr">
        <is>
          <t>10-13 추가(추가문구 검수표 117번 · 입문 보강). 근거: 국민 공통 식생활지침(보건복지부 2021) 1. 채소 등 다양한 식품 골고루 · WHO 채소·과일 하루 400g 이상 권고 · 10-19 특정 음식 이름을 음식 종류로</t>
        </is>
      </c>
      <c r="N294" s="6" t="inlineStr">
        <is>
          <t>검수표 117</t>
        </is>
      </c>
    </row>
    <row r="295" ht="25" customHeight="1">
      <c r="A295" s="6" t="inlineStr">
        <is>
          <t>DIET-P-0391</t>
        </is>
      </c>
      <c r="B295" s="6" t="inlineStr">
        <is>
          <t>1.0.0</t>
        </is>
      </c>
      <c r="C295" s="6" t="inlineStr">
        <is>
          <t>사용</t>
        </is>
      </c>
      <c r="D295" s="6" t="inlineStr">
        <is>
          <t>LOW_BURDEN</t>
        </is>
      </c>
      <c r="E295" s="6" t="n"/>
      <c r="F295" s="6" t="n"/>
      <c r="G295" s="6" t="inlineStr">
        <is>
          <t>오후엔 카페인 쉬기</t>
        </is>
      </c>
      <c r="H295" s="5" t="inlineStr">
        <is>
          <t>오후부터는 커피·녹차 같은 카페인 음료를 쉬어 보세요.</t>
        </is>
      </c>
      <c r="I295" s="5" t="inlineStr">
        <is>
          <t>오후부터 카페인을 쉬면 밤잠이 편해져요.</t>
        </is>
      </c>
      <c r="J295" s="6" t="inlineStr">
        <is>
          <t>FAST</t>
        </is>
      </c>
      <c r="K295" s="6" t="n"/>
      <c r="L295" s="6" t="inlineStr">
        <is>
          <t>MOHW-DIETGUIDE</t>
        </is>
      </c>
      <c r="M295" s="5" t="inlineStr">
        <is>
          <t>10-13 추가(추가문구 검수표 118번 · 부담 줄이기). 근거: 수면위생 수칙(대한수면학회): 오후 이후 카페인 줄이기</t>
        </is>
      </c>
      <c r="N295" s="6" t="inlineStr">
        <is>
          <t>검수표 118</t>
        </is>
      </c>
    </row>
    <row r="296" ht="25" customHeight="1">
      <c r="A296" s="6" t="inlineStr">
        <is>
          <t>DIET-P-0392</t>
        </is>
      </c>
      <c r="B296" s="6" t="inlineStr">
        <is>
          <t>1.0.0</t>
        </is>
      </c>
      <c r="C296" s="6" t="inlineStr">
        <is>
          <t>사용</t>
        </is>
      </c>
      <c r="D296" s="6" t="inlineStr">
        <is>
          <t>AXIS_STAGE</t>
        </is>
      </c>
      <c r="E296" s="6" t="inlineStr">
        <is>
          <t>DIET-Q-00</t>
        </is>
      </c>
      <c r="F296" s="6" t="inlineStr">
        <is>
          <t>INTRO</t>
        </is>
      </c>
      <c r="G296" s="6" t="inlineStr">
        <is>
          <t>아침엔 따뜻한 한 그릇</t>
        </is>
      </c>
      <c r="H296" s="5" t="inlineStr">
        <is>
          <t>아침에 누룽지나 죽처럼 따뜻한 한 그릇으로 식사를 챙겨 보세요.</t>
        </is>
      </c>
      <c r="I296" s="5" t="inlineStr">
        <is>
          <t>따뜻한 한 그릇은 아침에 부담 없이 먹기 좋아요.</t>
        </is>
      </c>
      <c r="J296" s="6" t="n"/>
      <c r="K296" s="6" t="n"/>
      <c r="L296" s="6" t="inlineStr">
        <is>
          <t>MOHW-DIETGUIDE</t>
        </is>
      </c>
      <c r="M296" s="5" t="inlineStr">
        <is>
          <t>10-13 추가(추가문구 검수표 119번 · 새 표현). 근거: 국민 공통 식생활지침(보건복지부 2021) 2. 아침밥 꼭 먹기 · 규칙적인 식사 · 10-19 특정 음식 이름을 음식 종류로</t>
        </is>
      </c>
      <c r="N296" s="6" t="inlineStr">
        <is>
          <t>검수표 119</t>
        </is>
      </c>
    </row>
    <row r="297" ht="25" customHeight="1">
      <c r="A297" s="6" t="inlineStr">
        <is>
          <t>DIET-P-0393</t>
        </is>
      </c>
      <c r="B297" s="6" t="inlineStr">
        <is>
          <t>1.0.0</t>
        </is>
      </c>
      <c r="C297" s="6" t="inlineStr">
        <is>
          <t>사용</t>
        </is>
      </c>
      <c r="D297" s="6" t="inlineStr">
        <is>
          <t>AXIS_STAGE</t>
        </is>
      </c>
      <c r="E297" s="6" t="inlineStr">
        <is>
          <t>DIET-Q-00</t>
        </is>
      </c>
      <c r="F297" s="6" t="inlineStr">
        <is>
          <t>INTRO</t>
        </is>
      </c>
      <c r="G297" s="6" t="inlineStr">
        <is>
          <t>바쁜 아침엔 삶은 달걀</t>
        </is>
      </c>
      <c r="H297" s="5" t="inlineStr">
        <is>
          <t>바쁜 아침에는 삶은 달걀 하나라도 드세요.</t>
        </is>
      </c>
      <c r="I297" s="5" t="inlineStr">
        <is>
          <t>삶은 달걀 하나면 바쁜 아침도 챙길 수 있어요.</t>
        </is>
      </c>
      <c r="J297" s="6" t="n"/>
      <c r="K297" s="6" t="n"/>
      <c r="L297" s="6" t="inlineStr">
        <is>
          <t>MOHW-DIETGUIDE</t>
        </is>
      </c>
      <c r="M297" s="5" t="inlineStr">
        <is>
          <t>10-13 추가(추가문구 검수표 120번 · 새 표현). 근거: 국민 공통 식생활지침(보건복지부 2021) 2. 아침밥 꼭 먹기 · 규칙적인 식사</t>
        </is>
      </c>
      <c r="N297" s="6" t="inlineStr">
        <is>
          <t>검수표 120</t>
        </is>
      </c>
    </row>
    <row r="298" ht="37.5" customHeight="1">
      <c r="A298" s="6" t="inlineStr">
        <is>
          <t>DIET-P-0394</t>
        </is>
      </c>
      <c r="B298" s="6" t="inlineStr">
        <is>
          <t>1.0.0</t>
        </is>
      </c>
      <c r="C298" s="6" t="inlineStr">
        <is>
          <t>사용</t>
        </is>
      </c>
      <c r="D298" s="6" t="inlineStr">
        <is>
          <t>AXIS_STAGE</t>
        </is>
      </c>
      <c r="E298" s="6" t="inlineStr">
        <is>
          <t>DIET-Q-01</t>
        </is>
      </c>
      <c r="F298" s="6" t="inlineStr">
        <is>
          <t>INTRO</t>
        </is>
      </c>
      <c r="G298" s="6" t="inlineStr">
        <is>
          <t>면 요리에 콩나물 한 줌</t>
        </is>
      </c>
      <c r="H298" s="5" t="inlineStr">
        <is>
          <t>면을 끓일 때 콩나물이나 숙주를 한 줌 넣어 드세요.</t>
        </is>
      </c>
      <c r="I298" s="5" t="inlineStr">
        <is>
          <t>콩나물을 넣으면 면 요리에도 채소가 더해져요.</t>
        </is>
      </c>
      <c r="J298" s="6" t="inlineStr">
        <is>
          <t>INCREASE</t>
        </is>
      </c>
      <c r="K298" s="6" t="n"/>
      <c r="L298" s="6" t="inlineStr">
        <is>
          <t>MOHW-DIETGUIDE; WHO-DIET</t>
        </is>
      </c>
      <c r="M298" s="5" t="inlineStr">
        <is>
          <t>10-13 추가(추가문구 검수표 121번 · 새 표현). 근거: 국민 공통 식생활지침(보건복지부 2021) 1. 채소 등 다양한 식품 골고루 · WHO 채소·과일 하루 400g 이상 권고 · 10-19 특정 음식 이름을 음식 종류로</t>
        </is>
      </c>
      <c r="N298" s="6" t="inlineStr">
        <is>
          <t>검수표 121</t>
        </is>
      </c>
    </row>
    <row r="299" ht="37.5" customHeight="1">
      <c r="A299" s="6" t="inlineStr">
        <is>
          <t>DIET-P-0395</t>
        </is>
      </c>
      <c r="B299" s="6" t="inlineStr">
        <is>
          <t>1.0.0</t>
        </is>
      </c>
      <c r="C299" s="6" t="inlineStr">
        <is>
          <t>사용</t>
        </is>
      </c>
      <c r="D299" s="6" t="inlineStr">
        <is>
          <t>AXIS_STAGE</t>
        </is>
      </c>
      <c r="E299" s="6" t="inlineStr">
        <is>
          <t>DIET-Q-01</t>
        </is>
      </c>
      <c r="F299" s="6" t="inlineStr">
        <is>
          <t>INTRO</t>
        </is>
      </c>
      <c r="G299" s="6" t="inlineStr">
        <is>
          <t>밥엔 나물 듬뿍</t>
        </is>
      </c>
      <c r="H299" s="5" t="inlineStr">
        <is>
          <t>밥을 먹을 때 나물을 듬뿍 곁들여 드세요.</t>
        </is>
      </c>
      <c r="I299" s="5" t="inlineStr">
        <is>
          <t>나물을 듬뿍 넣으면 한 끼 채소가 늘어요.</t>
        </is>
      </c>
      <c r="J299" s="6" t="inlineStr">
        <is>
          <t>INCREASE</t>
        </is>
      </c>
      <c r="K299" s="6" t="n"/>
      <c r="L299" s="6" t="inlineStr">
        <is>
          <t>MOHW-DIETGUIDE; WHO-DIET</t>
        </is>
      </c>
      <c r="M299" s="5" t="inlineStr">
        <is>
          <t>10-13 추가(추가문구 검수표 122번 · 새 표현). 근거: 국민 공통 식생활지침(보건복지부 2021) 1. 채소 등 다양한 식품 골고루 · WHO 채소·과일 하루 400g 이상 권고 · 10-19 특정 음식 이름을 음식 종류로</t>
        </is>
      </c>
      <c r="N299" s="6" t="inlineStr">
        <is>
          <t>검수표 122</t>
        </is>
      </c>
    </row>
    <row r="300" ht="37.5" customHeight="1">
      <c r="A300" s="6" t="inlineStr">
        <is>
          <t>DIET-P-0396</t>
        </is>
      </c>
      <c r="B300" s="6" t="inlineStr">
        <is>
          <t>1.0.0</t>
        </is>
      </c>
      <c r="C300" s="6" t="inlineStr">
        <is>
          <t>사용</t>
        </is>
      </c>
      <c r="D300" s="6" t="inlineStr">
        <is>
          <t>AXIS_STAGE</t>
        </is>
      </c>
      <c r="E300" s="6" t="inlineStr">
        <is>
          <t>DIET-Q-01</t>
        </is>
      </c>
      <c r="F300" s="6" t="inlineStr">
        <is>
          <t>INTRO</t>
        </is>
      </c>
      <c r="G300" s="6" t="inlineStr">
        <is>
          <t>달걀 요리에 채소 넣기</t>
        </is>
      </c>
      <c r="H300" s="5" t="inlineStr">
        <is>
          <t>달걀말이나 달걀찜을 만들 때 부추·파 같은 채소를 넣어 보세요.</t>
        </is>
      </c>
      <c r="I300" s="5" t="inlineStr">
        <is>
          <t>채소를 넣으면 반찬 하나에 채소가 더해져요.</t>
        </is>
      </c>
      <c r="J300" s="6" t="inlineStr">
        <is>
          <t>INCREASE</t>
        </is>
      </c>
      <c r="K300" s="6" t="n"/>
      <c r="L300" s="6" t="inlineStr">
        <is>
          <t>MOHW-DIETGUIDE; WHO-DIET</t>
        </is>
      </c>
      <c r="M300" s="5" t="inlineStr">
        <is>
          <t>10-13 추가(추가문구 검수표 123번 · 새 표현). 근거: 국민 공통 식생활지침(보건복지부 2021) 1. 채소 등 다양한 식품 골고루 · WHO 채소·과일 하루 400g 이상 권고 · 10-19 특정 음식 이름을 음식 종류로</t>
        </is>
      </c>
      <c r="N300" s="6" t="inlineStr">
        <is>
          <t>검수표 123</t>
        </is>
      </c>
    </row>
    <row r="301" ht="37.5" customHeight="1">
      <c r="A301" s="6" t="inlineStr">
        <is>
          <t>DIET-P-0397</t>
        </is>
      </c>
      <c r="B301" s="6" t="inlineStr">
        <is>
          <t>1.0.0</t>
        </is>
      </c>
      <c r="C301" s="6" t="inlineStr">
        <is>
          <t>사용</t>
        </is>
      </c>
      <c r="D301" s="6" t="inlineStr">
        <is>
          <t>AXIS_STAGE</t>
        </is>
      </c>
      <c r="E301" s="6" t="inlineStr">
        <is>
          <t>DIET-Q-06</t>
        </is>
      </c>
      <c r="F301" s="6" t="inlineStr">
        <is>
          <t>INTRO</t>
        </is>
      </c>
      <c r="G301" s="6" t="inlineStr">
        <is>
          <t>면 요리에 달걀 하나</t>
        </is>
      </c>
      <c r="H301" s="5" t="inlineStr">
        <is>
          <t>면을 끓일 때 달걀을 하나 넣어 드세요.</t>
        </is>
      </c>
      <c r="I301" s="5" t="inlineStr">
        <is>
          <t>달걀을 넣으면 면 요리에도 단백질이 더해져요.</t>
        </is>
      </c>
      <c r="J301" s="6" t="inlineStr">
        <is>
          <t>INCREASE</t>
        </is>
      </c>
      <c r="K301" s="6" t="n"/>
      <c r="L301" s="6" t="inlineStr">
        <is>
          <t>MOHW-DIETGUIDE; WHO-DIET</t>
        </is>
      </c>
      <c r="M301" s="5" t="inlineStr">
        <is>
          <t>10-13 추가(추가문구 검수표 124번 · 새 표현). 근거: 국민 공통 식생활지침(보건복지부 2021) 1. 다양한 식품 골고루 · 2020 한국인 영양소 섭취기준(단백질 끼니별 고른 섭취) · 10-19 특정 음식 이름을 음식 종류로</t>
        </is>
      </c>
      <c r="N301" s="6" t="inlineStr">
        <is>
          <t>검수표 124</t>
        </is>
      </c>
    </row>
    <row r="302" ht="37.5" customHeight="1">
      <c r="A302" s="6" t="inlineStr">
        <is>
          <t>DIET-P-0398</t>
        </is>
      </c>
      <c r="B302" s="6" t="inlineStr">
        <is>
          <t>1.0.0</t>
        </is>
      </c>
      <c r="C302" s="6" t="inlineStr">
        <is>
          <t>사용</t>
        </is>
      </c>
      <c r="D302" s="6" t="inlineStr">
        <is>
          <t>AXIS_STAGE</t>
        </is>
      </c>
      <c r="E302" s="6" t="inlineStr">
        <is>
          <t>DIET-Q-06</t>
        </is>
      </c>
      <c r="F302" s="6" t="inlineStr">
        <is>
          <t>INTRO</t>
        </is>
      </c>
      <c r="G302" s="6" t="inlineStr">
        <is>
          <t>간편식엔 참치·달걀</t>
        </is>
      </c>
      <c r="H302" s="5" t="inlineStr">
        <is>
          <t>김밥 같은 간편식을 고를 때 참치나 달걀이 든 것으로 고르세요.</t>
        </is>
      </c>
      <c r="I302" s="5" t="inlineStr">
        <is>
          <t>참치나 달걀이 든 간편식으로 단백질을 챙겨요.</t>
        </is>
      </c>
      <c r="J302" s="6" t="n"/>
      <c r="K302" s="6" t="n"/>
      <c r="L302" s="6" t="inlineStr">
        <is>
          <t>MOHW-DIETGUIDE; WHO-DIET</t>
        </is>
      </c>
      <c r="M302" s="5" t="inlineStr">
        <is>
          <t>10-13 추가(추가문구 검수표 125번 · 새 표현). 근거: 국민 공통 식생활지침(보건복지부 2021) 1. 다양한 식품 골고루 · 2020 한국인 영양소 섭취기준(단백질 끼니별 고른 섭취) · 10-19 특정 음식 이름을 음식 종류로</t>
        </is>
      </c>
      <c r="N302" s="6" t="inlineStr">
        <is>
          <t>검수표 125</t>
        </is>
      </c>
    </row>
    <row r="303" ht="37.5" customHeight="1">
      <c r="A303" s="6" t="inlineStr">
        <is>
          <t>DIET-P-0399</t>
        </is>
      </c>
      <c r="B303" s="6" t="inlineStr">
        <is>
          <t>1.0.0</t>
        </is>
      </c>
      <c r="C303" s="6" t="inlineStr">
        <is>
          <t>사용</t>
        </is>
      </c>
      <c r="D303" s="6" t="inlineStr">
        <is>
          <t>AXIS_STAGE</t>
        </is>
      </c>
      <c r="E303" s="6" t="inlineStr">
        <is>
          <t>DIET-Q-06</t>
        </is>
      </c>
      <c r="F303" s="6" t="inlineStr">
        <is>
          <t>INTRO</t>
        </is>
      </c>
      <c r="G303" s="6" t="inlineStr">
        <is>
          <t>샐러드엔 삶은 달걀</t>
        </is>
      </c>
      <c r="H303" s="5" t="inlineStr">
        <is>
          <t>샐러드에 삶은 달걀을 올려 드세요.</t>
        </is>
      </c>
      <c r="I303" s="5" t="inlineStr">
        <is>
          <t>삶은 달걀을 올리면 샐러드가 든든해져요.</t>
        </is>
      </c>
      <c r="J303" s="6" t="n"/>
      <c r="K303" s="6" t="n"/>
      <c r="L303" s="6" t="inlineStr">
        <is>
          <t>MOHW-DIETGUIDE; WHO-DIET</t>
        </is>
      </c>
      <c r="M303" s="5" t="inlineStr">
        <is>
          <t>10-13 추가(추가문구 검수표 126번 · 새 표현). 근거: 국민 공통 식생활지침(보건복지부 2021) 1. 다양한 식품 골고루 · 2020 한국인 영양소 섭취기준(단백질 끼니별 고른 섭취)</t>
        </is>
      </c>
      <c r="N303" s="6" t="inlineStr">
        <is>
          <t>검수표 126</t>
        </is>
      </c>
    </row>
    <row r="304" ht="37.5" customHeight="1">
      <c r="A304" s="6" t="inlineStr">
        <is>
          <t>DIET-P-0400</t>
        </is>
      </c>
      <c r="B304" s="6" t="inlineStr">
        <is>
          <t>1.0.0</t>
        </is>
      </c>
      <c r="C304" s="6" t="inlineStr">
        <is>
          <t>사용</t>
        </is>
      </c>
      <c r="D304" s="6" t="inlineStr">
        <is>
          <t>AXIS_STAGE</t>
        </is>
      </c>
      <c r="E304" s="6" t="inlineStr">
        <is>
          <t>DIET-Q-02</t>
        </is>
      </c>
      <c r="F304" s="6" t="inlineStr">
        <is>
          <t>INTRO</t>
        </is>
      </c>
      <c r="G304" s="6" t="inlineStr">
        <is>
          <t>단 음료 대신 보리차</t>
        </is>
      </c>
      <c r="H304" s="5" t="inlineStr">
        <is>
          <t>식혜 같은 단 음료 대신 달지 않은 보리차를 드세요.</t>
        </is>
      </c>
      <c r="I304" s="5" t="inlineStr">
        <is>
          <t>보리차는 달지 않아 당 걱정이 없어요.</t>
        </is>
      </c>
      <c r="J304" s="6" t="inlineStr">
        <is>
          <t>FLUID</t>
        </is>
      </c>
      <c r="K304" s="6" t="n"/>
      <c r="L304" s="6" t="inlineStr">
        <is>
          <t>MOHW-DIETGUIDE; WHO-SUGAR; MFDS-SUGAR</t>
        </is>
      </c>
      <c r="M304" s="5" t="inlineStr">
        <is>
          <t>10-13 추가(추가문구 검수표 127번 · 새 표현). 근거: 국민 공통 식생활지침(보건복지부 2021) 4. 덜 달게 · 5. 단 음료 대신 물 · WHO 유리당 하루 열량 10% 미만 권고 · 10-19 특정 음식 이름을 음식 종류로</t>
        </is>
      </c>
      <c r="N304" s="6" t="inlineStr">
        <is>
          <t>검수표 127</t>
        </is>
      </c>
    </row>
    <row r="305" ht="37.5" customHeight="1">
      <c r="A305" s="6" t="inlineStr">
        <is>
          <t>DIET-P-0401</t>
        </is>
      </c>
      <c r="B305" s="6" t="inlineStr">
        <is>
          <t>1.0.0</t>
        </is>
      </c>
      <c r="C305" s="6" t="inlineStr">
        <is>
          <t>사용</t>
        </is>
      </c>
      <c r="D305" s="6" t="inlineStr">
        <is>
          <t>AXIS_STAGE</t>
        </is>
      </c>
      <c r="E305" s="6" t="inlineStr">
        <is>
          <t>DIET-Q-02</t>
        </is>
      </c>
      <c r="F305" s="6" t="inlineStr">
        <is>
          <t>INTRO</t>
        </is>
      </c>
      <c r="G305" s="6" t="inlineStr">
        <is>
          <t>주문할 땐 시럽 빼고</t>
        </is>
      </c>
      <c r="H305" s="5" t="inlineStr">
        <is>
          <t>음료를 주문할 때 시럽은 빼 달라고 하세요.</t>
        </is>
      </c>
      <c r="I305" s="5" t="inlineStr">
        <is>
          <t>시럽을 빼면 음료의 당이 크게 줄어요.</t>
        </is>
      </c>
      <c r="J305" s="6" t="n"/>
      <c r="K305" s="6" t="n"/>
      <c r="L305" s="6" t="inlineStr">
        <is>
          <t>MOHW-DIETGUIDE; WHO-SUGAR; MFDS-SUGAR</t>
        </is>
      </c>
      <c r="M305" s="5" t="inlineStr">
        <is>
          <t>10-13 추가(추가문구 검수표 128번 · 새 표현). 근거: 국민 공통 식생활지침(보건복지부 2021) 4. 덜 달게 · 5. 단 음료 대신 물 · WHO 유리당 하루 열량 10% 미만 권고 · 10-19 특정 음식 이름을 음식 종류로</t>
        </is>
      </c>
      <c r="N305" s="6" t="inlineStr">
        <is>
          <t>검수표 128</t>
        </is>
      </c>
    </row>
    <row r="306" ht="37.5" customHeight="1">
      <c r="A306" s="6" t="inlineStr">
        <is>
          <t>DIET-P-0402</t>
        </is>
      </c>
      <c r="B306" s="6" t="inlineStr">
        <is>
          <t>1.0.0</t>
        </is>
      </c>
      <c r="C306" s="6" t="inlineStr">
        <is>
          <t>사용</t>
        </is>
      </c>
      <c r="D306" s="6" t="inlineStr">
        <is>
          <t>AXIS_STAGE</t>
        </is>
      </c>
      <c r="E306" s="6" t="inlineStr">
        <is>
          <t>DIET-Q-02</t>
        </is>
      </c>
      <c r="F306" s="6" t="inlineStr">
        <is>
          <t>INTRO</t>
        </is>
      </c>
      <c r="G306" s="6" t="inlineStr">
        <is>
          <t>커피 설탕은 반만</t>
        </is>
      </c>
      <c r="H306" s="5" t="inlineStr">
        <is>
          <t>커피에 넣는 설탕이나 믹스는 평소의 절반만 넣으세요.</t>
        </is>
      </c>
      <c r="I306" s="5" t="inlineStr">
        <is>
          <t>설탕을 반만 넣어도 단맛은 충분해요.</t>
        </is>
      </c>
      <c r="J306" s="6" t="inlineStr">
        <is>
          <t>REDUCE</t>
        </is>
      </c>
      <c r="K306" s="6" t="n"/>
      <c r="L306" s="6" t="inlineStr">
        <is>
          <t>MOHW-DIETGUIDE; WHO-SUGAR; MFDS-SUGAR</t>
        </is>
      </c>
      <c r="M306" s="5" t="inlineStr">
        <is>
          <t>10-13 추가(추가문구 검수표 129번 · 새 표현). 근거: 국민 공통 식생활지침(보건복지부 2021) 4. 덜 달게 · 5. 단 음료 대신 물 · WHO 유리당 하루 열량 10% 미만 권고 · 10-19 특정 음식 이름을 음식 종류로</t>
        </is>
      </c>
      <c r="N306" s="6" t="inlineStr">
        <is>
          <t>검수표 129</t>
        </is>
      </c>
    </row>
    <row r="307" ht="37.5" customHeight="1">
      <c r="A307" s="6" t="inlineStr">
        <is>
          <t>DIET-P-0403</t>
        </is>
      </c>
      <c r="B307" s="6" t="inlineStr">
        <is>
          <t>1.0.0</t>
        </is>
      </c>
      <c r="C307" s="6" t="inlineStr">
        <is>
          <t>사용</t>
        </is>
      </c>
      <c r="D307" s="6" t="inlineStr">
        <is>
          <t>AXIS_STAGE</t>
        </is>
      </c>
      <c r="E307" s="6" t="inlineStr">
        <is>
          <t>DIET-Q-03</t>
        </is>
      </c>
      <c r="F307" s="6" t="inlineStr">
        <is>
          <t>INTRO</t>
        </is>
      </c>
      <c r="G307" s="6" t="inlineStr">
        <is>
          <t>분말 스프는 반만</t>
        </is>
      </c>
      <c r="H307" s="5" t="inlineStr">
        <is>
          <t>면이나 즉석 국에 든 분말 스프는 절반만 넣으세요.</t>
        </is>
      </c>
      <c r="I307" s="5" t="inlineStr">
        <is>
          <t>스프를 반만 넣으면 나트륨이 크게 줄어요.</t>
        </is>
      </c>
      <c r="J307" s="6" t="inlineStr">
        <is>
          <t>REDUCE</t>
        </is>
      </c>
      <c r="K307" s="6" t="n"/>
      <c r="L307" s="6" t="inlineStr">
        <is>
          <t>MOHW-DIETGUIDE; WHO-DIET; MFDS-SODIUM; KSH-2022</t>
        </is>
      </c>
      <c r="M307" s="5" t="inlineStr">
        <is>
          <t>10-13 추가(추가문구 검수표 130번 · 새 표현). 근거: 국민 공통 식생활지침(보건복지부 2021) 4. 덜 짜게 · WHO 나트륨 하루 2,000mg 미만 권고 · 국·찌개가 나트륨 주 공급원(국민건강영양조사) · 10-19 특정 음식 이름을 음식 종류로</t>
        </is>
      </c>
      <c r="N307" s="6" t="inlineStr">
        <is>
          <t>검수표 130</t>
        </is>
      </c>
    </row>
    <row r="308" ht="37.5" customHeight="1">
      <c r="A308" s="6" t="inlineStr">
        <is>
          <t>DIET-P-0404</t>
        </is>
      </c>
      <c r="B308" s="6" t="inlineStr">
        <is>
          <t>1.0.0</t>
        </is>
      </c>
      <c r="C308" s="6" t="inlineStr">
        <is>
          <t>사용</t>
        </is>
      </c>
      <c r="D308" s="6" t="inlineStr">
        <is>
          <t>AXIS_STAGE</t>
        </is>
      </c>
      <c r="E308" s="6" t="inlineStr">
        <is>
          <t>DIET-Q-03</t>
        </is>
      </c>
      <c r="F308" s="6" t="inlineStr">
        <is>
          <t>INTRO</t>
        </is>
      </c>
      <c r="G308" s="6" t="inlineStr">
        <is>
          <t>절임 반찬은 덜 짠 것으로</t>
        </is>
      </c>
      <c r="H308" s="5" t="inlineStr">
        <is>
          <t>김치나 장아찌는 백김치처럼 덜 짠 것으로 곁들여 드세요.</t>
        </is>
      </c>
      <c r="I308" s="5" t="inlineStr">
        <is>
          <t>덜 짠 절임 반찬을 고르면 나트륨이 줄어요.</t>
        </is>
      </c>
      <c r="J308" s="6" t="n"/>
      <c r="K308" s="6" t="n"/>
      <c r="L308" s="6" t="inlineStr">
        <is>
          <t>MOHW-DIETGUIDE; WHO-DIET; MFDS-SODIUM; KSH-2022</t>
        </is>
      </c>
      <c r="M308" s="5" t="inlineStr">
        <is>
          <t>10-13 추가(추가문구 검수표 131번 · 새 표현). 근거: 국민 공통 식생활지침(보건복지부 2021) 4. 덜 짜게 · WHO 나트륨 하루 2,000mg 미만 권고 · 국·찌개가 나트륨 주 공급원(국민건강영양조사) · 10-19 특정 음식 이름을 음식 종류로</t>
        </is>
      </c>
      <c r="N308" s="6" t="inlineStr">
        <is>
          <t>검수표 131</t>
        </is>
      </c>
    </row>
    <row r="309" ht="25" customHeight="1">
      <c r="A309" s="6" t="inlineStr">
        <is>
          <t>DIET-P-0405</t>
        </is>
      </c>
      <c r="B309" s="6" t="inlineStr">
        <is>
          <t>1.0.0</t>
        </is>
      </c>
      <c r="C309" s="6" t="inlineStr">
        <is>
          <t>사용</t>
        </is>
      </c>
      <c r="D309" s="6" t="inlineStr">
        <is>
          <t>AXIS_STAGE</t>
        </is>
      </c>
      <c r="E309" s="6" t="inlineStr">
        <is>
          <t>DIET-Q-07</t>
        </is>
      </c>
      <c r="F309" s="6" t="inlineStr">
        <is>
          <t>INTRO</t>
        </is>
      </c>
      <c r="G309" s="6" t="inlineStr">
        <is>
          <t>해물 튀김 대신 숙회</t>
        </is>
      </c>
      <c r="H309" s="5" t="inlineStr">
        <is>
          <t>해물 튀김 대신 데친 숙회를 드세요.</t>
        </is>
      </c>
      <c r="I309" s="5" t="inlineStr">
        <is>
          <t>숙회는 튀김옷 없이 데쳐 먹어 기름이 적어요.</t>
        </is>
      </c>
      <c r="J309" s="6" t="inlineStr">
        <is>
          <t>TEXTURE</t>
        </is>
      </c>
      <c r="K309" s="6" t="n"/>
      <c r="L309" s="6" t="inlineStr">
        <is>
          <t>MOHW-DIETGUIDE; WHO-FAT-2023; KSoLA-2022</t>
        </is>
      </c>
      <c r="M309" s="5" t="inlineStr">
        <is>
          <t>10-13 추가(추가문구 검수표 132번 · 새 표현). 근거: 국민 공통 식생활지침(보건복지부 2021) 4. 덜 기름지게 · WHO 포화지방 하루 열량 10% 미만 권고 · 10-19 특정 음식 이름을 음식 종류로</t>
        </is>
      </c>
      <c r="N309" s="6" t="inlineStr">
        <is>
          <t>검수표 132</t>
        </is>
      </c>
    </row>
    <row r="310" ht="25" customHeight="1">
      <c r="A310" s="6" t="inlineStr">
        <is>
          <t>DIET-P-0406</t>
        </is>
      </c>
      <c r="B310" s="6" t="inlineStr">
        <is>
          <t>1.0.0</t>
        </is>
      </c>
      <c r="C310" s="6" t="inlineStr">
        <is>
          <t>사용</t>
        </is>
      </c>
      <c r="D310" s="6" t="inlineStr">
        <is>
          <t>AXIS_STAGE</t>
        </is>
      </c>
      <c r="E310" s="6" t="inlineStr">
        <is>
          <t>DIET-Q-07</t>
        </is>
      </c>
      <c r="F310" s="6" t="inlineStr">
        <is>
          <t>INTRO</t>
        </is>
      </c>
      <c r="G310" s="6" t="inlineStr">
        <is>
          <t>닭은 튀김 대신 구이로</t>
        </is>
      </c>
      <c r="H310" s="5" t="inlineStr">
        <is>
          <t>닭 요리는 튀긴 것 대신 오븐에 구운 것으로 고르세요.</t>
        </is>
      </c>
      <c r="I310" s="5" t="inlineStr">
        <is>
          <t>오븐구이는 튀긴 닭보다 기름이 덜해요.</t>
        </is>
      </c>
      <c r="J310" s="6" t="inlineStr">
        <is>
          <t>TEXTURE</t>
        </is>
      </c>
      <c r="K310" s="6" t="n"/>
      <c r="L310" s="6" t="inlineStr">
        <is>
          <t>MOHW-DIETGUIDE; WHO-FAT-2023; KSoLA-2022</t>
        </is>
      </c>
      <c r="M310" s="5" t="inlineStr">
        <is>
          <t>10-13 추가(추가문구 검수표 133번 · 새 표현). 근거: 국민 공통 식생활지침(보건복지부 2021) 4. 덜 기름지게 · WHO 포화지방 하루 열량 10% 미만 권고 · 10-19 특정 음식 이름을 음식 종류로</t>
        </is>
      </c>
      <c r="N310" s="6" t="inlineStr">
        <is>
          <t>검수표 133</t>
        </is>
      </c>
    </row>
    <row r="311" ht="37.5" customHeight="1">
      <c r="A311" s="6" t="inlineStr">
        <is>
          <t>DIET-P-0407</t>
        </is>
      </c>
      <c r="B311" s="6" t="inlineStr">
        <is>
          <t>1.0.0</t>
        </is>
      </c>
      <c r="C311" s="6" t="inlineStr">
        <is>
          <t>사용</t>
        </is>
      </c>
      <c r="D311" s="6" t="inlineStr">
        <is>
          <t>AXIS_STAGE</t>
        </is>
      </c>
      <c r="E311" s="6" t="inlineStr">
        <is>
          <t>DIET-Q-04</t>
        </is>
      </c>
      <c r="F311" s="6" t="inlineStr">
        <is>
          <t>INTRO</t>
        </is>
      </c>
      <c r="G311" s="6" t="inlineStr">
        <is>
          <t>야식 대신 따뜻한 차</t>
        </is>
      </c>
      <c r="H311" s="5" t="inlineStr">
        <is>
          <t>밤에 출출할 때 야식 대신 따뜻한 차를 한 잔 마셔 보세요.</t>
        </is>
      </c>
      <c r="I311" s="5" t="inlineStr">
        <is>
          <t>따뜻한 차 한 잔이 늦은 밤 허기를 달래 줘요.</t>
        </is>
      </c>
      <c r="J311" s="6" t="inlineStr">
        <is>
          <t>FLUID</t>
        </is>
      </c>
      <c r="K311" s="6" t="n"/>
      <c r="L311" s="6" t="inlineStr">
        <is>
          <t>MOHW-DIETGUIDE; NIDDK-GERD</t>
        </is>
      </c>
      <c r="M311" s="5" t="inlineStr">
        <is>
          <t>10-13 추가(추가문구 검수표 134번 · 새 표현). 근거: 국민 공통 식생활지침(보건복지부 2021) 3. 과식 피하기 · 위식도역류 생활수칙(대한소화기학회): 잠들기 전 식사 피하기</t>
        </is>
      </c>
      <c r="N311" s="6" t="inlineStr">
        <is>
          <t>검수표 134</t>
        </is>
      </c>
    </row>
    <row r="312" ht="37.5" customHeight="1">
      <c r="A312" s="6" t="inlineStr">
        <is>
          <t>DIET-P-0408</t>
        </is>
      </c>
      <c r="B312" s="6" t="inlineStr">
        <is>
          <t>1.0.0</t>
        </is>
      </c>
      <c r="C312" s="6" t="inlineStr">
        <is>
          <t>사용</t>
        </is>
      </c>
      <c r="D312" s="6" t="inlineStr">
        <is>
          <t>AXIS_STAGE</t>
        </is>
      </c>
      <c r="E312" s="6" t="inlineStr">
        <is>
          <t>DIET-Q-04</t>
        </is>
      </c>
      <c r="F312" s="6" t="inlineStr">
        <is>
          <t>INTRO</t>
        </is>
      </c>
      <c r="G312" s="6" t="inlineStr">
        <is>
          <t>잠들기 전 양치 먼저</t>
        </is>
      </c>
      <c r="H312" s="5" t="inlineStr">
        <is>
          <t>저녁을 먹은 뒤 일찍 양치를 해서 야식 생각을 덜어 보세요.</t>
        </is>
      </c>
      <c r="I312" s="5" t="inlineStr">
        <is>
          <t>양치를 하면 야식 생각이 줄어요.</t>
        </is>
      </c>
      <c r="J312" s="6" t="n"/>
      <c r="K312" s="6" t="n"/>
      <c r="L312" s="6" t="inlineStr">
        <is>
          <t>MOHW-DIETGUIDE; NIDDK-GERD</t>
        </is>
      </c>
      <c r="M312" s="5" t="inlineStr">
        <is>
          <t>10-13 추가(추가문구 검수표 135번 · 새 표현). 근거: 국민 공통 식생활지침(보건복지부 2021) 3. 과식 피하기 · 위식도역류 생활수칙(대한소화기학회): 잠들기 전 식사 피하기</t>
        </is>
      </c>
      <c r="N312" s="6" t="inlineStr">
        <is>
          <t>검수표 135</t>
        </is>
      </c>
    </row>
    <row r="313" ht="25" customHeight="1">
      <c r="A313" s="6" t="inlineStr">
        <is>
          <t>DIET-P-0409</t>
        </is>
      </c>
      <c r="B313" s="6" t="inlineStr">
        <is>
          <t>1.0.0</t>
        </is>
      </c>
      <c r="C313" s="6" t="inlineStr">
        <is>
          <t>사용</t>
        </is>
      </c>
      <c r="D313" s="6" t="inlineStr">
        <is>
          <t>AXIS_STAGE</t>
        </is>
      </c>
      <c r="E313" s="6" t="inlineStr">
        <is>
          <t>DIET-Q-05</t>
        </is>
      </c>
      <c r="F313" s="6" t="inlineStr">
        <is>
          <t>INTRO</t>
        </is>
      </c>
      <c r="G313" s="6" t="inlineStr">
        <is>
          <t>한 숟갈 뒤 숨 고르기</t>
        </is>
      </c>
      <c r="H313" s="5" t="inlineStr">
        <is>
          <t>한 숟갈 먹을 때마다 잠깐 숨을 고르고 다음 숟갈을 드세요.</t>
        </is>
      </c>
      <c r="I313" s="5" t="inlineStr">
        <is>
          <t>한 숟갈마다 쉬면 천천히 먹게 돼요.</t>
        </is>
      </c>
      <c r="J313" s="6" t="n"/>
      <c r="K313" s="6" t="n"/>
      <c r="L313" s="6" t="inlineStr">
        <is>
          <t>MOHW-DIETGUIDE; KSSO-OBESITY</t>
        </is>
      </c>
      <c r="M313" s="5" t="inlineStr">
        <is>
          <t>10-13 추가(추가문구 검수표 136번 · 새 표현). 근거: 국민 공통 식생활지침(보건복지부 2021) 3. 과식 피하기 · 천천히 먹기와 포만감(식사 속도 연구)</t>
        </is>
      </c>
      <c r="N313" s="6" t="inlineStr">
        <is>
          <t>검수표 136</t>
        </is>
      </c>
    </row>
    <row r="314" ht="25" customHeight="1">
      <c r="A314" s="6" t="inlineStr">
        <is>
          <t>DIET-P-0410</t>
        </is>
      </c>
      <c r="B314" s="6" t="inlineStr">
        <is>
          <t>1.0.0</t>
        </is>
      </c>
      <c r="C314" s="6" t="inlineStr">
        <is>
          <t>사용</t>
        </is>
      </c>
      <c r="D314" s="6" t="inlineStr">
        <is>
          <t>AXIS_STAGE</t>
        </is>
      </c>
      <c r="E314" s="6" t="inlineStr">
        <is>
          <t>DIET-Q-05</t>
        </is>
      </c>
      <c r="F314" s="6" t="inlineStr">
        <is>
          <t>INTRO</t>
        </is>
      </c>
      <c r="G314" s="6" t="inlineStr">
        <is>
          <t>밥은 작은 공기에</t>
        </is>
      </c>
      <c r="H314" s="5" t="inlineStr">
        <is>
          <t>밥을 평소보다 작은 공기에 담아 드세요.</t>
        </is>
      </c>
      <c r="I314" s="5" t="inlineStr">
        <is>
          <t>작은 공기에 담으면 양을 가늠하기 쉬워요.</t>
        </is>
      </c>
      <c r="J314" s="6" t="inlineStr">
        <is>
          <t>REDUCE</t>
        </is>
      </c>
      <c r="K314" s="6" t="n"/>
      <c r="L314" s="6" t="inlineStr">
        <is>
          <t>MOHW-DIETGUIDE; KSSO-OBESITY</t>
        </is>
      </c>
      <c r="M314" s="5" t="inlineStr">
        <is>
          <t>10-13 추가(추가문구 검수표 137번 · 새 표현). 근거: 국민 공통 식생활지침(보건복지부 2021) 3. 과식 피하기 · 천천히 먹기와 포만감(식사 속도 연구)</t>
        </is>
      </c>
      <c r="N314" s="6" t="inlineStr">
        <is>
          <t>검수표 137</t>
        </is>
      </c>
    </row>
    <row r="315" ht="25" customHeight="1">
      <c r="A315" s="6" t="inlineStr">
        <is>
          <t>DIET-P-0411</t>
        </is>
      </c>
      <c r="B315" s="6" t="inlineStr">
        <is>
          <t>1.0.0</t>
        </is>
      </c>
      <c r="C315" s="6" t="inlineStr">
        <is>
          <t>사용</t>
        </is>
      </c>
      <c r="D315" s="6" t="inlineStr">
        <is>
          <t>AXIS_STAGE</t>
        </is>
      </c>
      <c r="E315" s="6" t="inlineStr">
        <is>
          <t>DIET-Q-05</t>
        </is>
      </c>
      <c r="F315" s="6" t="inlineStr">
        <is>
          <t>INTRO</t>
        </is>
      </c>
      <c r="G315" s="6" t="inlineStr">
        <is>
          <t>면은 꼭꼭 씹어 먹기</t>
        </is>
      </c>
      <c r="H315" s="5" t="inlineStr">
        <is>
          <t>국수나 라면도 후루룩 넘기지 말고 꼭꼭 씹어 드세요.</t>
        </is>
      </c>
      <c r="I315" s="5" t="inlineStr">
        <is>
          <t>면도 꼭꼭 씹으면 천천히 먹고 배부름을 느끼기 쉬워요.</t>
        </is>
      </c>
      <c r="J315" s="6" t="n"/>
      <c r="K315" s="6" t="n"/>
      <c r="L315" s="6" t="inlineStr">
        <is>
          <t>MOHW-DIETGUIDE; KSSO-OBESITY</t>
        </is>
      </c>
      <c r="M315" s="5" t="inlineStr">
        <is>
          <t>10-13 추가(추가문구 검수표 138번 · 새 표현). 근거: 국민 공통 식생활지침(보건복지부 2021) 3. 과식 피하기 · 천천히 먹기와 포만감(식사 속도 연구)</t>
        </is>
      </c>
      <c r="N315" s="6" t="inlineStr">
        <is>
          <t>검수표 138</t>
        </is>
      </c>
    </row>
    <row r="316" ht="37.5" customHeight="1">
      <c r="A316" s="6" t="inlineStr">
        <is>
          <t>DIET-P-0412</t>
        </is>
      </c>
      <c r="B316" s="6" t="inlineStr">
        <is>
          <t>1.0.0</t>
        </is>
      </c>
      <c r="C316" s="6" t="inlineStr">
        <is>
          <t>사용</t>
        </is>
      </c>
      <c r="D316" s="6" t="inlineStr">
        <is>
          <t>AXIS_STAGE</t>
        </is>
      </c>
      <c r="E316" s="6" t="inlineStr">
        <is>
          <t>DIET-Q-00</t>
        </is>
      </c>
      <c r="F316" s="6" t="inlineStr">
        <is>
          <t>INTRO</t>
        </is>
      </c>
      <c r="G316" s="6" t="inlineStr">
        <is>
          <t>아침추천: 현미밥+나물</t>
        </is>
      </c>
      <c r="H316" s="5" t="inlineStr">
        <is>
          <t>아침에 현미밥에 나물 반찬을 곁들여 드세요.</t>
        </is>
      </c>
      <c r="I316" s="5" t="inlineStr">
        <is>
          <t>현미밥에 나물을 곁들이면 혈당이 천천히 올라요.</t>
        </is>
      </c>
      <c r="J316" s="6" t="n"/>
      <c r="K316" s="6" t="n"/>
      <c r="L316" s="6" t="inlineStr">
        <is>
          <t>KDA-2023; MOHW-DIETGUIDE</t>
        </is>
      </c>
      <c r="M316" s="5" t="inlineStr">
        <is>
          <t>10-13 추가(추가문구 검수표 139번 · 끼니 추천). 근거: 국민 공통 식생활지침(보건복지부 2021) 1. 다양한 식품 골고루 · 당뇨병 식사요법(대한당뇨병학회): 탄수화물에 단백질·채소 곁들이기</t>
        </is>
      </c>
      <c r="N316" s="6" t="inlineStr">
        <is>
          <t>검수표 139</t>
        </is>
      </c>
    </row>
    <row r="317" ht="37.5" customHeight="1">
      <c r="A317" s="6" t="inlineStr">
        <is>
          <t>DIET-P-0413</t>
        </is>
      </c>
      <c r="B317" s="6" t="inlineStr">
        <is>
          <t>1.0.0</t>
        </is>
      </c>
      <c r="C317" s="6" t="inlineStr">
        <is>
          <t>사용</t>
        </is>
      </c>
      <c r="D317" s="6" t="inlineStr">
        <is>
          <t>AXIS_STAGE</t>
        </is>
      </c>
      <c r="E317" s="6" t="inlineStr">
        <is>
          <t>DIET-Q-00</t>
        </is>
      </c>
      <c r="F317" s="6" t="inlineStr">
        <is>
          <t>INTRO</t>
        </is>
      </c>
      <c r="G317" s="6" t="inlineStr">
        <is>
          <t>아침추천: 잡곡밥+두부</t>
        </is>
      </c>
      <c r="H317" s="5" t="inlineStr">
        <is>
          <t>아침에 잡곡밥에 두부 반찬을 곁들여 드세요.</t>
        </is>
      </c>
      <c r="I317" s="5" t="inlineStr">
        <is>
          <t>잡곡밥에 두부를 곁들이면 오래 든든해요.</t>
        </is>
      </c>
      <c r="J317" s="6" t="n"/>
      <c r="K317" s="6" t="n"/>
      <c r="L317" s="6" t="inlineStr">
        <is>
          <t>KDA-2023; MOHW-DIETGUIDE</t>
        </is>
      </c>
      <c r="M317" s="5" t="inlineStr">
        <is>
          <t>10-13 추가(추가문구 검수표 140번 · 끼니 추천). 근거: 국민 공통 식생활지침(보건복지부 2021) 1. 다양한 식품 골고루 · 당뇨병 식사요법(대한당뇨병학회): 탄수화물에 단백질·채소 곁들이기</t>
        </is>
      </c>
      <c r="N317" s="6" t="inlineStr">
        <is>
          <t>검수표 140</t>
        </is>
      </c>
    </row>
    <row r="318" ht="37.5" customHeight="1">
      <c r="A318" s="6" t="inlineStr">
        <is>
          <t>DIET-P-0414</t>
        </is>
      </c>
      <c r="B318" s="6" t="inlineStr">
        <is>
          <t>1.0.0</t>
        </is>
      </c>
      <c r="C318" s="6" t="inlineStr">
        <is>
          <t>사용</t>
        </is>
      </c>
      <c r="D318" s="6" t="inlineStr">
        <is>
          <t>AXIS_STAGE</t>
        </is>
      </c>
      <c r="E318" s="6" t="inlineStr">
        <is>
          <t>DIET-Q-00</t>
        </is>
      </c>
      <c r="F318" s="6" t="inlineStr">
        <is>
          <t>INTRO</t>
        </is>
      </c>
      <c r="G318" s="6" t="inlineStr">
        <is>
          <t>아침추천: 오트밀+우유</t>
        </is>
      </c>
      <c r="H318" s="5" t="inlineStr">
        <is>
          <t>아침에 오트밀에 우유를 부어 드세요.</t>
        </is>
      </c>
      <c r="I318" s="5" t="inlineStr">
        <is>
          <t>오트밀에 우유를 더하면 단백질도 함께 챙겨요.</t>
        </is>
      </c>
      <c r="J318" s="6" t="n"/>
      <c r="K318" s="6" t="n"/>
      <c r="L318" s="6" t="inlineStr">
        <is>
          <t>KDA-2023; MOHW-DIETGUIDE</t>
        </is>
      </c>
      <c r="M318" s="5" t="inlineStr">
        <is>
          <t>10-13 추가(추가문구 검수표 141번 · 끼니 추천). 근거: 국민 공통 식생활지침(보건복지부 2021) 1. 다양한 식품 골고루 · 당뇨병 식사요법(대한당뇨병학회): 탄수화물에 단백질·채소 곁들이기</t>
        </is>
      </c>
      <c r="N318" s="6" t="inlineStr">
        <is>
          <t>검수표 141</t>
        </is>
      </c>
    </row>
    <row r="319" ht="37.5" customHeight="1">
      <c r="A319" s="6" t="inlineStr">
        <is>
          <t>DIET-P-0415</t>
        </is>
      </c>
      <c r="B319" s="6" t="inlineStr">
        <is>
          <t>1.0.0</t>
        </is>
      </c>
      <c r="C319" s="6" t="inlineStr">
        <is>
          <t>사용</t>
        </is>
      </c>
      <c r="D319" s="6" t="inlineStr">
        <is>
          <t>AXIS_STAGE</t>
        </is>
      </c>
      <c r="E319" s="6" t="inlineStr">
        <is>
          <t>DIET-Q-00</t>
        </is>
      </c>
      <c r="F319" s="6" t="inlineStr">
        <is>
          <t>INTRO</t>
        </is>
      </c>
      <c r="G319" s="6" t="inlineStr">
        <is>
          <t>아침추천: 고구마+두유</t>
        </is>
      </c>
      <c r="H319" s="5" t="inlineStr">
        <is>
          <t>아침에 찐 고구마와 두유 한 잔을 함께 드세요.</t>
        </is>
      </c>
      <c r="I319" s="5" t="inlineStr">
        <is>
          <t>고구마에 두유를 곁들이면 단백질이 더해져요.</t>
        </is>
      </c>
      <c r="J319" s="6" t="n"/>
      <c r="K319" s="6" t="n"/>
      <c r="L319" s="6" t="inlineStr">
        <is>
          <t>KDA-2023; MOHW-DIETGUIDE</t>
        </is>
      </c>
      <c r="M319" s="5" t="inlineStr">
        <is>
          <t>10-13 추가(추가문구 검수표 142번 · 끼니 추천). 근거: 국민 공통 식생활지침(보건복지부 2021) 1. 다양한 식품 골고루 · 당뇨병 식사요법(대한당뇨병학회): 탄수화물에 단백질·채소 곁들이기</t>
        </is>
      </c>
      <c r="N319" s="6" t="inlineStr">
        <is>
          <t>검수표 142</t>
        </is>
      </c>
    </row>
    <row r="320" ht="37.5" customHeight="1">
      <c r="A320" s="6" t="inlineStr">
        <is>
          <t>DIET-P-0416</t>
        </is>
      </c>
      <c r="B320" s="6" t="inlineStr">
        <is>
          <t>1.0.0</t>
        </is>
      </c>
      <c r="C320" s="6" t="inlineStr">
        <is>
          <t>사용</t>
        </is>
      </c>
      <c r="D320" s="6" t="inlineStr">
        <is>
          <t>AXIS_STAGE</t>
        </is>
      </c>
      <c r="E320" s="6" t="inlineStr">
        <is>
          <t>DIET-Q-00</t>
        </is>
      </c>
      <c r="F320" s="6" t="inlineStr">
        <is>
          <t>INTRO</t>
        </is>
      </c>
      <c r="G320" s="6" t="inlineStr">
        <is>
          <t>아침추천: 현미밥+생선</t>
        </is>
      </c>
      <c r="H320" s="5" t="inlineStr">
        <is>
          <t>아침에 현미밥과 생선구이를 함께 드세요.</t>
        </is>
      </c>
      <c r="I320" s="5" t="inlineStr">
        <is>
          <t>현미밥과 생선구이로 균형 잡힌 아침을 먹어요.</t>
        </is>
      </c>
      <c r="J320" s="6" t="n"/>
      <c r="K320" s="6" t="n"/>
      <c r="L320" s="6" t="inlineStr">
        <is>
          <t>KDA-2023; MOHW-DIETGUIDE</t>
        </is>
      </c>
      <c r="M320" s="5" t="inlineStr">
        <is>
          <t>10-13 추가(추가문구 검수표 143번 · 끼니 추천). 근거: 국민 공통 식생활지침(보건복지부 2021) 1. 다양한 식품 골고루 · 당뇨병 식사요법(대한당뇨병학회): 탄수화물에 단백질·채소 곁들이기</t>
        </is>
      </c>
      <c r="N320" s="6" t="inlineStr">
        <is>
          <t>검수표 143</t>
        </is>
      </c>
    </row>
    <row r="321" ht="37.5" customHeight="1">
      <c r="A321" s="6" t="inlineStr">
        <is>
          <t>DIET-P-0417</t>
        </is>
      </c>
      <c r="B321" s="6" t="inlineStr">
        <is>
          <t>1.0.0</t>
        </is>
      </c>
      <c r="C321" s="6" t="inlineStr">
        <is>
          <t>사용</t>
        </is>
      </c>
      <c r="D321" s="6" t="inlineStr">
        <is>
          <t>AXIS_STAGE</t>
        </is>
      </c>
      <c r="E321" s="6" t="inlineStr">
        <is>
          <t>DIET-Q-01</t>
        </is>
      </c>
      <c r="F321" s="6" t="inlineStr">
        <is>
          <t>INTRO</t>
        </is>
      </c>
      <c r="G321" s="6" t="inlineStr">
        <is>
          <t>아침추천: 시금치/오이</t>
        </is>
      </c>
      <c r="H321" s="5" t="inlineStr">
        <is>
          <t>아침에 데친 시금치나 오이를 반찬으로 곁들여 드세요.</t>
        </is>
      </c>
      <c r="I321" s="5" t="inlineStr">
        <is>
          <t>데친 시금치나 오이로 국물 없이 채소를 먹어요.</t>
        </is>
      </c>
      <c r="J321" s="6" t="n"/>
      <c r="K321" s="6" t="n"/>
      <c r="L321" s="6" t="inlineStr">
        <is>
          <t>MOHW-DIETGUIDE; WHO-DIET</t>
        </is>
      </c>
      <c r="M321" s="5" t="inlineStr">
        <is>
          <t>10-13 추가(추가문구 검수표 144번 · 끼니 추천). 근거: 국민 공통 식생활지침(보건복지부 2021) 1. 채소 등 다양한 식품 골고루 · WHO 채소·과일 하루 400g 이상 권고</t>
        </is>
      </c>
      <c r="N321" s="6" t="inlineStr">
        <is>
          <t>검수표 144</t>
        </is>
      </c>
    </row>
    <row r="322" ht="37.5" customHeight="1">
      <c r="A322" s="6" t="inlineStr">
        <is>
          <t>DIET-P-0418</t>
        </is>
      </c>
      <c r="B322" s="6" t="inlineStr">
        <is>
          <t>1.0.0</t>
        </is>
      </c>
      <c r="C322" s="6" t="inlineStr">
        <is>
          <t>사용</t>
        </is>
      </c>
      <c r="D322" s="6" t="inlineStr">
        <is>
          <t>AXIS_STAGE</t>
        </is>
      </c>
      <c r="E322" s="6" t="inlineStr">
        <is>
          <t>DIET-Q-01</t>
        </is>
      </c>
      <c r="F322" s="6" t="inlineStr">
        <is>
          <t>INTRO</t>
        </is>
      </c>
      <c r="G322" s="6" t="inlineStr">
        <is>
          <t>아침추천: 배추쌈/오이</t>
        </is>
      </c>
      <c r="H322" s="5" t="inlineStr">
        <is>
          <t>아침에 배추쌈이나 오이를 곁들여 드세요.</t>
        </is>
      </c>
      <c r="I322" s="5" t="inlineStr">
        <is>
          <t>배추쌈이나 오이로 아삭하게 채소를 챙겨요.</t>
        </is>
      </c>
      <c r="J322" s="6" t="n"/>
      <c r="K322" s="6" t="n"/>
      <c r="L322" s="6" t="inlineStr">
        <is>
          <t>MOHW-DIETGUIDE; WHO-DIET</t>
        </is>
      </c>
      <c r="M322" s="5" t="inlineStr">
        <is>
          <t>10-13 추가(추가문구 검수표 145번 · 끼니 추천). 근거: 국민 공통 식생활지침(보건복지부 2021) 1. 채소 등 다양한 식품 골고루 · WHO 채소·과일 하루 400g 이상 권고</t>
        </is>
      </c>
      <c r="N322" s="6" t="inlineStr">
        <is>
          <t>검수표 145</t>
        </is>
      </c>
    </row>
    <row r="323" ht="37.5" customHeight="1">
      <c r="A323" s="6" t="inlineStr">
        <is>
          <t>DIET-P-0419</t>
        </is>
      </c>
      <c r="B323" s="6" t="inlineStr">
        <is>
          <t>1.0.0</t>
        </is>
      </c>
      <c r="C323" s="6" t="inlineStr">
        <is>
          <t>사용</t>
        </is>
      </c>
      <c r="D323" s="6" t="inlineStr">
        <is>
          <t>AXIS_STAGE</t>
        </is>
      </c>
      <c r="E323" s="6" t="inlineStr">
        <is>
          <t>DIET-Q-01</t>
        </is>
      </c>
      <c r="F323" s="6" t="inlineStr">
        <is>
          <t>INTRO</t>
        </is>
      </c>
      <c r="G323" s="6" t="inlineStr">
        <is>
          <t>아침추천: 애호박/가지</t>
        </is>
      </c>
      <c r="H323" s="5" t="inlineStr">
        <is>
          <t>아침에 구운 애호박이나 가지를 반찬으로 곁들여 드세요.</t>
        </is>
      </c>
      <c r="I323" s="5" t="inlineStr">
        <is>
          <t>구운 애호박이나 가지로 채소를 더해요.</t>
        </is>
      </c>
      <c r="J323" s="6" t="n"/>
      <c r="K323" s="6" t="n"/>
      <c r="L323" s="6" t="inlineStr">
        <is>
          <t>MOHW-DIETGUIDE; WHO-DIET</t>
        </is>
      </c>
      <c r="M323" s="5" t="inlineStr">
        <is>
          <t>10-13 추가(추가문구 검수표 146번 · 끼니 추천). 근거: 국민 공통 식생활지침(보건복지부 2021) 1. 채소 등 다양한 식품 골고루 · WHO 채소·과일 하루 400g 이상 권고</t>
        </is>
      </c>
      <c r="N323" s="6" t="inlineStr">
        <is>
          <t>검수표 146</t>
        </is>
      </c>
    </row>
    <row r="324" ht="37.5" customHeight="1">
      <c r="A324" s="6" t="inlineStr">
        <is>
          <t>DIET-P-0420</t>
        </is>
      </c>
      <c r="B324" s="6" t="inlineStr">
        <is>
          <t>1.0.0</t>
        </is>
      </c>
      <c r="C324" s="6" t="inlineStr">
        <is>
          <t>사용</t>
        </is>
      </c>
      <c r="D324" s="6" t="inlineStr">
        <is>
          <t>AXIS_STAGE</t>
        </is>
      </c>
      <c r="E324" s="6" t="inlineStr">
        <is>
          <t>DIET-Q-01</t>
        </is>
      </c>
      <c r="F324" s="6" t="inlineStr">
        <is>
          <t>INTRO</t>
        </is>
      </c>
      <c r="G324" s="6" t="inlineStr">
        <is>
          <t>아침추천: 비빔밥/쌈밥</t>
        </is>
      </c>
      <c r="H324" s="5" t="inlineStr">
        <is>
          <t>아침을 나물 비빔밥이나 쌈밥으로 드세요.</t>
        </is>
      </c>
      <c r="I324" s="5" t="inlineStr">
        <is>
          <t>나물이나 쌈으로 채소를 넉넉히 먹어요.</t>
        </is>
      </c>
      <c r="J324" s="6" t="n"/>
      <c r="K324" s="6" t="n"/>
      <c r="L324" s="6" t="inlineStr">
        <is>
          <t>MOHW-DIETGUIDE; WHO-DIET</t>
        </is>
      </c>
      <c r="M324" s="5" t="inlineStr">
        <is>
          <t>10-13 추가(추가문구 검수표 147번 · 끼니 추천). 근거: 국민 공통 식생활지침(보건복지부 2021) 1. 채소 등 다양한 식품 골고루 · WHO 채소·과일 하루 400g 이상 권고</t>
        </is>
      </c>
      <c r="N324" s="6" t="inlineStr">
        <is>
          <t>검수표 147</t>
        </is>
      </c>
    </row>
    <row r="325" ht="37.5" customHeight="1">
      <c r="A325" s="6" t="inlineStr">
        <is>
          <t>DIET-P-0421</t>
        </is>
      </c>
      <c r="B325" s="6" t="inlineStr">
        <is>
          <t>1.0.0</t>
        </is>
      </c>
      <c r="C325" s="6" t="inlineStr">
        <is>
          <t>사용</t>
        </is>
      </c>
      <c r="D325" s="6" t="inlineStr">
        <is>
          <t>AXIS_STAGE</t>
        </is>
      </c>
      <c r="E325" s="6" t="inlineStr">
        <is>
          <t>DIET-Q-01</t>
        </is>
      </c>
      <c r="F325" s="6" t="inlineStr">
        <is>
          <t>INTRO</t>
        </is>
      </c>
      <c r="G325" s="6" t="inlineStr">
        <is>
          <t>두부샐러드+1/2소스</t>
        </is>
      </c>
      <c r="H325" s="5" t="inlineStr">
        <is>
          <t>두부를 올린 샐러드를 드시고, 소스는 평소의 절반만 뿌리세요.</t>
        </is>
      </c>
      <c r="I325" s="5" t="inlineStr">
        <is>
          <t>두부를 올린 샐러드로 채소와 단백질을 함께 챙겨요. 소스는 절반만 뿌려요.</t>
        </is>
      </c>
      <c r="J325" s="6" t="inlineStr">
        <is>
          <t>REDUCE</t>
        </is>
      </c>
      <c r="K325" s="6" t="n"/>
      <c r="L325" s="6" t="inlineStr">
        <is>
          <t>MOHW-DIETGUIDE; WHO-DIET</t>
        </is>
      </c>
      <c r="M325" s="5" t="inlineStr">
        <is>
          <t>10-13 추가(추가문구 검수표 148번 · 끼니 추천). 근거: 국민 공통 식생활지침(보건복지부 2021) 1. 채소 등 다양한 식품 골고루 · WHO 채소·과일 하루 400g 이상 권고</t>
        </is>
      </c>
      <c r="N325" s="6" t="inlineStr">
        <is>
          <t>검수표 148</t>
        </is>
      </c>
    </row>
    <row r="326" ht="37.5" customHeight="1">
      <c r="A326" s="6" t="inlineStr">
        <is>
          <t>DIET-P-0422</t>
        </is>
      </c>
      <c r="B326" s="6" t="inlineStr">
        <is>
          <t>1.0.0</t>
        </is>
      </c>
      <c r="C326" s="6" t="inlineStr">
        <is>
          <t>사용</t>
        </is>
      </c>
      <c r="D326" s="6" t="inlineStr">
        <is>
          <t>AXIS_STAGE</t>
        </is>
      </c>
      <c r="E326" s="6" t="inlineStr">
        <is>
          <t>DIET-Q-06</t>
        </is>
      </c>
      <c r="F326" s="6" t="inlineStr">
        <is>
          <t>INTRO</t>
        </is>
      </c>
      <c r="G326" s="6" t="inlineStr">
        <is>
          <t>아침추천: 달걀찜/두부</t>
        </is>
      </c>
      <c r="H326" s="5" t="inlineStr">
        <is>
          <t>아침에 달걀찜이나 두부 반찬을 곁들여 드세요.</t>
        </is>
      </c>
      <c r="I326" s="5" t="inlineStr">
        <is>
          <t>달걀로 간단히 아침 단백질을 챙겨요.</t>
        </is>
      </c>
      <c r="J326" s="6" t="inlineStr">
        <is>
          <t>INCREASE</t>
        </is>
      </c>
      <c r="K326" s="6" t="n"/>
      <c r="L326" s="6" t="inlineStr">
        <is>
          <t>MOHW-DIETGUIDE; WHO-DIET</t>
        </is>
      </c>
      <c r="M326" s="5" t="inlineStr">
        <is>
          <t>10-13 추가(추가문구 검수표 149번 · 끼니 추천). 근거: 국민 공통 식생활지침(보건복지부 2021) 1. 다양한 식품 골고루 · 2020 한국인 영양소 섭취기준(단백질 끼니별 고른 섭취)</t>
        </is>
      </c>
      <c r="N326" s="6" t="inlineStr">
        <is>
          <t>검수표 149</t>
        </is>
      </c>
    </row>
    <row r="327" ht="37.5" customHeight="1">
      <c r="A327" s="6" t="inlineStr">
        <is>
          <t>DIET-P-0423</t>
        </is>
      </c>
      <c r="B327" s="6" t="inlineStr">
        <is>
          <t>1.0.0</t>
        </is>
      </c>
      <c r="C327" s="6" t="inlineStr">
        <is>
          <t>사용</t>
        </is>
      </c>
      <c r="D327" s="6" t="inlineStr">
        <is>
          <t>AXIS_STAGE</t>
        </is>
      </c>
      <c r="E327" s="6" t="inlineStr">
        <is>
          <t>DIET-Q-06</t>
        </is>
      </c>
      <c r="F327" s="6" t="inlineStr">
        <is>
          <t>INTRO</t>
        </is>
      </c>
      <c r="G327" s="6" t="inlineStr">
        <is>
          <t>아침추천: 순두부/두유</t>
        </is>
      </c>
      <c r="H327" s="5" t="inlineStr">
        <is>
          <t>아침에 순두부나 두유를 곁들여 드세요.</t>
        </is>
      </c>
      <c r="I327" s="5" t="inlineStr">
        <is>
          <t>부드러운 두부는 아침에 먹기 좋아요.</t>
        </is>
      </c>
      <c r="J327" s="6" t="inlineStr">
        <is>
          <t>INCREASE</t>
        </is>
      </c>
      <c r="K327" s="6" t="n"/>
      <c r="L327" s="6" t="inlineStr">
        <is>
          <t>MOHW-DIETGUIDE; WHO-DIET</t>
        </is>
      </c>
      <c r="M327" s="5" t="inlineStr">
        <is>
          <t>10-13 추가(추가문구 검수표 150번 · 끼니 추천). 근거: 국민 공통 식생활지침(보건복지부 2021) 1. 다양한 식품 골고루 · 2020 한국인 영양소 섭취기준(단백질 끼니별 고른 섭취)</t>
        </is>
      </c>
      <c r="N327" s="6" t="inlineStr">
        <is>
          <t>검수표 150</t>
        </is>
      </c>
    </row>
    <row r="328" ht="37.5" customHeight="1">
      <c r="A328" s="6" t="inlineStr">
        <is>
          <t>DIET-P-0424</t>
        </is>
      </c>
      <c r="B328" s="6" t="inlineStr">
        <is>
          <t>1.0.0</t>
        </is>
      </c>
      <c r="C328" s="6" t="inlineStr">
        <is>
          <t>사용</t>
        </is>
      </c>
      <c r="D328" s="6" t="inlineStr">
        <is>
          <t>AXIS_STAGE</t>
        </is>
      </c>
      <c r="E328" s="6" t="inlineStr">
        <is>
          <t>DIET-Q-06</t>
        </is>
      </c>
      <c r="F328" s="6" t="inlineStr">
        <is>
          <t>INTRO</t>
        </is>
      </c>
      <c r="G328" s="6" t="inlineStr">
        <is>
          <t>아침추천: 두유/우유</t>
        </is>
      </c>
      <c r="H328" s="5" t="inlineStr">
        <is>
          <t>아침에 두유나 우유를 한 잔 곁들여 드세요.</t>
        </is>
      </c>
      <c r="I328" s="5" t="inlineStr">
        <is>
          <t>한 잔으로 간편하게 단백질을 더해요.</t>
        </is>
      </c>
      <c r="J328" s="6" t="inlineStr">
        <is>
          <t>INCREASE</t>
        </is>
      </c>
      <c r="K328" s="6" t="n"/>
      <c r="L328" s="6" t="inlineStr">
        <is>
          <t>MOHW-DIETGUIDE; WHO-DIET</t>
        </is>
      </c>
      <c r="M328" s="5" t="inlineStr">
        <is>
          <t>10-13 추가(추가문구 검수표 151번 · 끼니 추천). 근거: 국민 공통 식생활지침(보건복지부 2021) 1. 다양한 식품 골고루 · 2020 한국인 영양소 섭취기준(단백질 끼니별 고른 섭취)</t>
        </is>
      </c>
      <c r="N328" s="6" t="inlineStr">
        <is>
          <t>검수표 151</t>
        </is>
      </c>
    </row>
    <row r="329" ht="37.5" customHeight="1">
      <c r="A329" s="6" t="inlineStr">
        <is>
          <t>DIET-P-0425</t>
        </is>
      </c>
      <c r="B329" s="6" t="inlineStr">
        <is>
          <t>1.0.0</t>
        </is>
      </c>
      <c r="C329" s="6" t="inlineStr">
        <is>
          <t>사용</t>
        </is>
      </c>
      <c r="D329" s="6" t="inlineStr">
        <is>
          <t>AXIS_STAGE</t>
        </is>
      </c>
      <c r="E329" s="6" t="inlineStr">
        <is>
          <t>DIET-Q-06</t>
        </is>
      </c>
      <c r="F329" s="6" t="inlineStr">
        <is>
          <t>INTRO</t>
        </is>
      </c>
      <c r="G329" s="6" t="inlineStr">
        <is>
          <t>아침추천: 달걀/두유</t>
        </is>
      </c>
      <c r="H329" s="5" t="inlineStr">
        <is>
          <t>아침에 달걀 하나나 두유 한 잔을 곁들여 드세요.</t>
        </is>
      </c>
      <c r="I329" s="5" t="inlineStr">
        <is>
          <t>바쁜 아침에도 단백질을 챙길 수 있어요.</t>
        </is>
      </c>
      <c r="J329" s="6" t="inlineStr">
        <is>
          <t>INCREASE</t>
        </is>
      </c>
      <c r="K329" s="6" t="n"/>
      <c r="L329" s="6" t="inlineStr">
        <is>
          <t>MOHW-DIETGUIDE; WHO-DIET</t>
        </is>
      </c>
      <c r="M329" s="5" t="inlineStr">
        <is>
          <t>10-13 추가(추가문구 검수표 152번 · 끼니 추천). 근거: 국민 공통 식생활지침(보건복지부 2021) 1. 다양한 식품 골고루 · 2020 한국인 영양소 섭취기준(단백질 끼니별 고른 섭취)</t>
        </is>
      </c>
      <c r="N329" s="6" t="inlineStr">
        <is>
          <t>검수표 152</t>
        </is>
      </c>
    </row>
    <row r="330" ht="37.5" customHeight="1">
      <c r="A330" s="6" t="inlineStr">
        <is>
          <t>DIET-P-0426</t>
        </is>
      </c>
      <c r="B330" s="6" t="inlineStr">
        <is>
          <t>1.0.0</t>
        </is>
      </c>
      <c r="C330" s="6" t="inlineStr">
        <is>
          <t>사용</t>
        </is>
      </c>
      <c r="D330" s="6" t="inlineStr">
        <is>
          <t>AXIS_STAGE</t>
        </is>
      </c>
      <c r="E330" s="6" t="inlineStr">
        <is>
          <t>DIET-Q-06</t>
        </is>
      </c>
      <c r="F330" s="6" t="inlineStr">
        <is>
          <t>INTRO</t>
        </is>
      </c>
      <c r="G330" s="6" t="inlineStr">
        <is>
          <t>아침추천: 연두부/두유</t>
        </is>
      </c>
      <c r="H330" s="5" t="inlineStr">
        <is>
          <t>아침에 연두부나 두유를 곁들여 드세요.</t>
        </is>
      </c>
      <c r="I330" s="5" t="inlineStr">
        <is>
          <t>부드러운 두부나 두유로 단백질을 더해요.</t>
        </is>
      </c>
      <c r="J330" s="6" t="inlineStr">
        <is>
          <t>INCREASE</t>
        </is>
      </c>
      <c r="K330" s="6" t="n"/>
      <c r="L330" s="6" t="inlineStr">
        <is>
          <t>MOHW-DIETGUIDE; WHO-DIET</t>
        </is>
      </c>
      <c r="M330" s="5" t="inlineStr">
        <is>
          <t>10-13 추가(추가문구 검수표 153번 · 끼니 추천). 근거: 국민 공통 식생활지침(보건복지부 2021) 1. 다양한 식품 골고루 · 2020 한국인 영양소 섭취기준(단백질 끼니별 고른 섭취)</t>
        </is>
      </c>
      <c r="N330" s="6" t="inlineStr">
        <is>
          <t>검수표 153</t>
        </is>
      </c>
    </row>
    <row r="331" ht="37.5" customHeight="1">
      <c r="A331" s="6" t="inlineStr">
        <is>
          <t>DIET-P-0427</t>
        </is>
      </c>
      <c r="B331" s="6" t="inlineStr">
        <is>
          <t>1.0.0</t>
        </is>
      </c>
      <c r="C331" s="6" t="inlineStr">
        <is>
          <t>사용</t>
        </is>
      </c>
      <c r="D331" s="6" t="inlineStr">
        <is>
          <t>AXIS_STAGE</t>
        </is>
      </c>
      <c r="E331" s="6" t="inlineStr">
        <is>
          <t>DIET-Q-06</t>
        </is>
      </c>
      <c r="F331" s="6" t="inlineStr">
        <is>
          <t>INTRO</t>
        </is>
      </c>
      <c r="G331" s="6" t="inlineStr">
        <is>
          <t>아침추천: 연어/두부</t>
        </is>
      </c>
      <c r="H331" s="5" t="inlineStr">
        <is>
          <t>아침에 연어나 두부 반찬을 곁들여 드세요.</t>
        </is>
      </c>
      <c r="I331" s="5" t="inlineStr">
        <is>
          <t>연어나 두부로 국물 없이 단백질을 챙겨요.</t>
        </is>
      </c>
      <c r="J331" s="6" t="inlineStr">
        <is>
          <t>INCREASE</t>
        </is>
      </c>
      <c r="K331" s="6" t="n"/>
      <c r="L331" s="6" t="inlineStr">
        <is>
          <t>MOHW-DIETGUIDE; WHO-DIET</t>
        </is>
      </c>
      <c r="M331" s="5" t="inlineStr">
        <is>
          <t>10-13 추가(추가문구 검수표 154번 · 끼니 추천). 근거: 국민 공통 식생활지침(보건복지부 2021) 1. 다양한 식품 골고루 · 2020 한국인 영양소 섭취기준(단백질 끼니별 고른 섭취)</t>
        </is>
      </c>
      <c r="N331" s="6" t="inlineStr">
        <is>
          <t>검수표 154</t>
        </is>
      </c>
    </row>
    <row r="332" ht="25" customHeight="1">
      <c r="A332" s="6" t="inlineStr">
        <is>
          <t>DIET-P-0428</t>
        </is>
      </c>
      <c r="B332" s="6" t="inlineStr">
        <is>
          <t>1.0.0</t>
        </is>
      </c>
      <c r="C332" s="6" t="inlineStr">
        <is>
          <t>사용</t>
        </is>
      </c>
      <c r="D332" s="6" t="inlineStr">
        <is>
          <t>AXIS_STAGE</t>
        </is>
      </c>
      <c r="E332" s="6" t="inlineStr">
        <is>
          <t>DIET-Q-07</t>
        </is>
      </c>
      <c r="F332" s="6" t="inlineStr">
        <is>
          <t>INTRO</t>
        </is>
      </c>
      <c r="G332" s="6" t="inlineStr">
        <is>
          <t>아침추천: 생선/나물</t>
        </is>
      </c>
      <c r="H332" s="5" t="inlineStr">
        <is>
          <t>아침에 생선구이나 나물 반찬을 곁들여 드세요.</t>
        </is>
      </c>
      <c r="I332" s="5" t="inlineStr">
        <is>
          <t>생선구이와 나물은 기름을 덜 쓰는 반찬이에요.</t>
        </is>
      </c>
      <c r="J332" s="6" t="n"/>
      <c r="K332" s="6" t="n"/>
      <c r="L332" s="6" t="inlineStr">
        <is>
          <t>MOHW-DIETGUIDE; WHO-FAT-2023; KSoLA-2022</t>
        </is>
      </c>
      <c r="M332" s="5" t="inlineStr">
        <is>
          <t>10-13 추가(추가문구 검수표 155번 · 끼니 추천). 근거: 국민 공통 식생활지침(보건복지부 2021) 4. 덜 기름지게 · WHO 포화지방 하루 열량 10% 미만 권고</t>
        </is>
      </c>
      <c r="N332" s="6" t="inlineStr">
        <is>
          <t>검수표 155</t>
        </is>
      </c>
    </row>
    <row r="333" ht="37.5" customHeight="1">
      <c r="A333" s="6" t="inlineStr">
        <is>
          <t>DIET-P-0429</t>
        </is>
      </c>
      <c r="B333" s="6" t="inlineStr">
        <is>
          <t>1.0.0</t>
        </is>
      </c>
      <c r="C333" s="6" t="inlineStr">
        <is>
          <t>사용</t>
        </is>
      </c>
      <c r="D333" s="6" t="inlineStr">
        <is>
          <t>AXIS_STAGE</t>
        </is>
      </c>
      <c r="E333" s="6" t="inlineStr">
        <is>
          <t>DIET-Q-03</t>
        </is>
      </c>
      <c r="F333" s="6" t="inlineStr">
        <is>
          <t>INTRO</t>
        </is>
      </c>
      <c r="G333" s="6" t="inlineStr">
        <is>
          <t>아침추천: 생채/샐러드</t>
        </is>
      </c>
      <c r="H333" s="5" t="inlineStr">
        <is>
          <t>아침에 생채나 샐러드처럼 절이지 않은 채소를 곁들여 드세요.</t>
        </is>
      </c>
      <c r="I333" s="5" t="inlineStr">
        <is>
          <t>절이지 않은 생채소라 염분이 적어요.</t>
        </is>
      </c>
      <c r="J333" s="6" t="n"/>
      <c r="K333" s="6" t="n"/>
      <c r="L333" s="6" t="inlineStr">
        <is>
          <t>MOHW-DIETGUIDE; WHO-DIET; MFDS-SODIUM; KSH-2022</t>
        </is>
      </c>
      <c r="M333" s="5" t="inlineStr">
        <is>
          <t>10-13 추가(추가문구 검수표 156번 · 끼니 추천). 근거: 국민 공통 식생활지침(보건복지부 2021) 4. 덜 짜게 · WHO 나트륨 하루 2,000mg 미만 권고 · 국·찌개가 나트륨 주 공급원(국민건강영양조사)</t>
        </is>
      </c>
      <c r="N333" s="6" t="inlineStr">
        <is>
          <t>검수표 156</t>
        </is>
      </c>
    </row>
    <row r="334" ht="25" customHeight="1">
      <c r="A334" s="6" t="inlineStr">
        <is>
          <t>DIET-P-0430</t>
        </is>
      </c>
      <c r="B334" s="6" t="inlineStr">
        <is>
          <t>1.0.0</t>
        </is>
      </c>
      <c r="C334" s="6" t="inlineStr">
        <is>
          <t>사용</t>
        </is>
      </c>
      <c r="D334" s="6" t="inlineStr">
        <is>
          <t>AXIS_STAGE</t>
        </is>
      </c>
      <c r="E334" s="6" t="inlineStr">
        <is>
          <t>DIET-Q-07</t>
        </is>
      </c>
      <c r="F334" s="6" t="inlineStr">
        <is>
          <t>INTRO</t>
        </is>
      </c>
      <c r="G334" s="6" t="inlineStr">
        <is>
          <t>저녁추천: 생선/수육</t>
        </is>
      </c>
      <c r="H334" s="5" t="inlineStr">
        <is>
          <t>저녁에 생선구이나 수육을 드세요.</t>
        </is>
      </c>
      <c r="I334" s="5" t="inlineStr">
        <is>
          <t>구이와 수육은 튀김보다 기름이 덜해요.</t>
        </is>
      </c>
      <c r="J334" s="6" t="inlineStr">
        <is>
          <t>TEXTURE</t>
        </is>
      </c>
      <c r="K334" s="6" t="n"/>
      <c r="L334" s="6" t="inlineStr">
        <is>
          <t>MOHW-DIETGUIDE; WHO-FAT-2023; KSoLA-2022</t>
        </is>
      </c>
      <c r="M334" s="5" t="inlineStr">
        <is>
          <t>10-13 추가(추가문구 검수표 157번 · 끼니 추천). 근거: 국민 공통 식생활지침(보건복지부 2021) 4. 덜 기름지게 · WHO 포화지방 하루 열량 10% 미만 권고</t>
        </is>
      </c>
      <c r="N334" s="6" t="inlineStr">
        <is>
          <t>검수표 157</t>
        </is>
      </c>
    </row>
    <row r="335" ht="25" customHeight="1">
      <c r="A335" s="6" t="inlineStr">
        <is>
          <t>DIET-P-0431</t>
        </is>
      </c>
      <c r="B335" s="6" t="inlineStr">
        <is>
          <t>1.0.0</t>
        </is>
      </c>
      <c r="C335" s="6" t="inlineStr">
        <is>
          <t>사용</t>
        </is>
      </c>
      <c r="D335" s="6" t="inlineStr">
        <is>
          <t>AXIS_STAGE</t>
        </is>
      </c>
      <c r="E335" s="6" t="inlineStr">
        <is>
          <t>DIET-Q-07</t>
        </is>
      </c>
      <c r="F335" s="6" t="inlineStr">
        <is>
          <t>INTRO</t>
        </is>
      </c>
      <c r="G335" s="6" t="inlineStr">
        <is>
          <t>저녁추천: 수육/닭찜</t>
        </is>
      </c>
      <c r="H335" s="5" t="inlineStr">
        <is>
          <t>저녁에 수육이나 닭찜을 드세요.</t>
        </is>
      </c>
      <c r="I335" s="5" t="inlineStr">
        <is>
          <t>삶거나 찐 고기는 기름과 양념이 적어요.</t>
        </is>
      </c>
      <c r="J335" s="6" t="inlineStr">
        <is>
          <t>TEXTURE</t>
        </is>
      </c>
      <c r="K335" s="6" t="n"/>
      <c r="L335" s="6" t="inlineStr">
        <is>
          <t>MOHW-DIETGUIDE; WHO-FAT-2023; KSoLA-2022</t>
        </is>
      </c>
      <c r="M335" s="5" t="inlineStr">
        <is>
          <t>10-13 추가(추가문구 검수표 158번 · 끼니 추천). 근거: 국민 공통 식생활지침(보건복지부 2021) 4. 덜 기름지게 · WHO 포화지방 하루 열량 10% 미만 권고</t>
        </is>
      </c>
      <c r="N335" s="6" t="inlineStr">
        <is>
          <t>검수표 158</t>
        </is>
      </c>
    </row>
    <row r="336" ht="25" customHeight="1">
      <c r="A336" s="6" t="inlineStr">
        <is>
          <t>DIET-P-0432</t>
        </is>
      </c>
      <c r="B336" s="6" t="inlineStr">
        <is>
          <t>1.0.0</t>
        </is>
      </c>
      <c r="C336" s="6" t="inlineStr">
        <is>
          <t>사용</t>
        </is>
      </c>
      <c r="D336" s="6" t="inlineStr">
        <is>
          <t>AXIS_STAGE</t>
        </is>
      </c>
      <c r="E336" s="6" t="inlineStr">
        <is>
          <t>DIET-Q-07</t>
        </is>
      </c>
      <c r="F336" s="6" t="inlineStr">
        <is>
          <t>INTRO</t>
        </is>
      </c>
      <c r="G336" s="6" t="inlineStr">
        <is>
          <t>저녁추천: 백숙/닭구이</t>
        </is>
      </c>
      <c r="H336" s="5" t="inlineStr">
        <is>
          <t>저녁에 닭백숙이나 닭구이를 드세요.</t>
        </is>
      </c>
      <c r="I336" s="5" t="inlineStr">
        <is>
          <t>삶거나 구운 닭은 기름이 적어요.</t>
        </is>
      </c>
      <c r="J336" s="6" t="inlineStr">
        <is>
          <t>TEXTURE</t>
        </is>
      </c>
      <c r="K336" s="6" t="n"/>
      <c r="L336" s="6" t="inlineStr">
        <is>
          <t>MOHW-DIETGUIDE; WHO-FAT-2023; KSoLA-2022</t>
        </is>
      </c>
      <c r="M336" s="5" t="inlineStr">
        <is>
          <t>10-13 추가(추가문구 검수표 159번 · 끼니 추천). 근거: 국민 공통 식생활지침(보건복지부 2021) 4. 덜 기름지게 · WHO 포화지방 하루 열량 10% 미만 권고</t>
        </is>
      </c>
      <c r="N336" s="6" t="inlineStr">
        <is>
          <t>검수표 159</t>
        </is>
      </c>
    </row>
    <row r="337" ht="25" customHeight="1">
      <c r="A337" s="6" t="inlineStr">
        <is>
          <t>DIET-P-0433</t>
        </is>
      </c>
      <c r="B337" s="6" t="inlineStr">
        <is>
          <t>1.0.0</t>
        </is>
      </c>
      <c r="C337" s="6" t="inlineStr">
        <is>
          <t>사용</t>
        </is>
      </c>
      <c r="D337" s="6" t="inlineStr">
        <is>
          <t>AXIS_STAGE</t>
        </is>
      </c>
      <c r="E337" s="6" t="inlineStr">
        <is>
          <t>DIET-Q-07</t>
        </is>
      </c>
      <c r="F337" s="6" t="inlineStr">
        <is>
          <t>INTRO</t>
        </is>
      </c>
      <c r="G337" s="6" t="inlineStr">
        <is>
          <t>저녁추천: 숙회/수육</t>
        </is>
      </c>
      <c r="H337" s="5" t="inlineStr">
        <is>
          <t>저녁에 데친 숙회나 삶은 수육을 드세요.</t>
        </is>
      </c>
      <c r="I337" s="5" t="inlineStr">
        <is>
          <t>데친 요리는 기름 없이 먹을 수 있어요.</t>
        </is>
      </c>
      <c r="J337" s="6" t="inlineStr">
        <is>
          <t>TEXTURE</t>
        </is>
      </c>
      <c r="K337" s="6" t="n"/>
      <c r="L337" s="6" t="inlineStr">
        <is>
          <t>MOHW-DIETGUIDE; WHO-FAT-2023; KSoLA-2022</t>
        </is>
      </c>
      <c r="M337" s="5" t="inlineStr">
        <is>
          <t>10-13 추가(추가문구 검수표 160번 · 끼니 추천). 근거: 국민 공통 식생활지침(보건복지부 2021) 4. 덜 기름지게 · WHO 포화지방 하루 열량 10% 미만 권고</t>
        </is>
      </c>
      <c r="N337" s="6" t="inlineStr">
        <is>
          <t>검수표 160</t>
        </is>
      </c>
    </row>
    <row r="338" ht="25" customHeight="1">
      <c r="A338" s="6" t="inlineStr">
        <is>
          <t>DIET-P-0434</t>
        </is>
      </c>
      <c r="B338" s="6" t="inlineStr">
        <is>
          <t>1.0.0</t>
        </is>
      </c>
      <c r="C338" s="6" t="inlineStr">
        <is>
          <t>사용</t>
        </is>
      </c>
      <c r="D338" s="6" t="inlineStr">
        <is>
          <t>AXIS_STAGE</t>
        </is>
      </c>
      <c r="E338" s="6" t="inlineStr">
        <is>
          <t>DIET-Q-07</t>
        </is>
      </c>
      <c r="F338" s="6" t="inlineStr">
        <is>
          <t>INTRO</t>
        </is>
      </c>
      <c r="G338" s="6" t="inlineStr">
        <is>
          <t>저녁추천: 고등어/갈치</t>
        </is>
      </c>
      <c r="H338" s="5" t="inlineStr">
        <is>
          <t>저녁에 고등어구이나 갈치구이를 드세요.</t>
        </is>
      </c>
      <c r="I338" s="5" t="inlineStr">
        <is>
          <t>구운 생선은 튀김보다 기름이 덜 들어가요.</t>
        </is>
      </c>
      <c r="J338" s="6" t="n"/>
      <c r="K338" s="6" t="n"/>
      <c r="L338" s="6" t="inlineStr">
        <is>
          <t>MOHW-DIETGUIDE; WHO-FAT-2023; KSoLA-2022</t>
        </is>
      </c>
      <c r="M338" s="5" t="inlineStr">
        <is>
          <t>10-13 추가(추가문구 검수표 161번 · 끼니 추천). 근거: 국민 공통 식생활지침(보건복지부 2021) 4. 덜 기름지게 · WHO 포화지방 하루 열량 10% 미만 권고</t>
        </is>
      </c>
      <c r="N338" s="6" t="inlineStr">
        <is>
          <t>검수표 161</t>
        </is>
      </c>
    </row>
    <row r="339" ht="25" customHeight="1">
      <c r="A339" s="6" t="inlineStr">
        <is>
          <t>DIET-P-0435</t>
        </is>
      </c>
      <c r="B339" s="6" t="inlineStr">
        <is>
          <t>1.0.0</t>
        </is>
      </c>
      <c r="C339" s="6" t="inlineStr">
        <is>
          <t>사용</t>
        </is>
      </c>
      <c r="D339" s="6" t="inlineStr">
        <is>
          <t>AXIS_STAGE</t>
        </is>
      </c>
      <c r="E339" s="6" t="inlineStr">
        <is>
          <t>DIET-Q-07</t>
        </is>
      </c>
      <c r="F339" s="6" t="inlineStr">
        <is>
          <t>INTRO</t>
        </is>
      </c>
      <c r="G339" s="6" t="inlineStr">
        <is>
          <t>저녁추천: 삼치/조기</t>
        </is>
      </c>
      <c r="H339" s="5" t="inlineStr">
        <is>
          <t>저녁에 삼치구이나 조기구이를 드세요.</t>
        </is>
      </c>
      <c r="I339" s="5" t="inlineStr">
        <is>
          <t>담백한 생선구이로 저녁을 먹어요.</t>
        </is>
      </c>
      <c r="J339" s="6" t="n"/>
      <c r="K339" s="6" t="n"/>
      <c r="L339" s="6" t="inlineStr">
        <is>
          <t>MOHW-DIETGUIDE; WHO-FAT-2023; KSoLA-2022</t>
        </is>
      </c>
      <c r="M339" s="5" t="inlineStr">
        <is>
          <t>10-13 추가(추가문구 검수표 162번 · 끼니 추천). 근거: 국민 공통 식생활지침(보건복지부 2021) 4. 덜 기름지게 · WHO 포화지방 하루 열량 10% 미만 권고</t>
        </is>
      </c>
      <c r="N339" s="6" t="inlineStr">
        <is>
          <t>검수표 162</t>
        </is>
      </c>
    </row>
    <row r="340" ht="37.5" customHeight="1">
      <c r="A340" s="6" t="inlineStr">
        <is>
          <t>DIET-P-0436</t>
        </is>
      </c>
      <c r="B340" s="6" t="inlineStr">
        <is>
          <t>1.0.0</t>
        </is>
      </c>
      <c r="C340" s="6" t="inlineStr">
        <is>
          <t>사용</t>
        </is>
      </c>
      <c r="D340" s="6" t="inlineStr">
        <is>
          <t>AXIS_STAGE</t>
        </is>
      </c>
      <c r="E340" s="6" t="inlineStr">
        <is>
          <t>DIET-Q-06</t>
        </is>
      </c>
      <c r="F340" s="6" t="inlineStr">
        <is>
          <t>INTRO</t>
        </is>
      </c>
      <c r="G340" s="6" t="inlineStr">
        <is>
          <t>저녁추천: 두부/달걀찜</t>
        </is>
      </c>
      <c r="H340" s="5" t="inlineStr">
        <is>
          <t>저녁에 두부 반찬이나 달걀찜을 곁들여 드세요.</t>
        </is>
      </c>
      <c r="I340" s="5" t="inlineStr">
        <is>
          <t>부드러운 단백질 반찬으로 저녁을 채워요.</t>
        </is>
      </c>
      <c r="J340" s="6" t="inlineStr">
        <is>
          <t>INCREASE</t>
        </is>
      </c>
      <c r="K340" s="6" t="n"/>
      <c r="L340" s="6" t="inlineStr">
        <is>
          <t>MOHW-DIETGUIDE; WHO-DIET</t>
        </is>
      </c>
      <c r="M340" s="5" t="inlineStr">
        <is>
          <t>10-13 추가(추가문구 검수표 163번 · 끼니 추천). 근거: 국민 공통 식생활지침(보건복지부 2021) 1. 다양한 식품 골고루 · 2020 한국인 영양소 섭취기준(단백질 끼니별 고른 섭취)</t>
        </is>
      </c>
      <c r="N340" s="6" t="inlineStr">
        <is>
          <t>검수표 163</t>
        </is>
      </c>
    </row>
    <row r="341" ht="37.5" customHeight="1">
      <c r="A341" s="6" t="inlineStr">
        <is>
          <t>DIET-P-0437</t>
        </is>
      </c>
      <c r="B341" s="6" t="inlineStr">
        <is>
          <t>1.0.0</t>
        </is>
      </c>
      <c r="C341" s="6" t="inlineStr">
        <is>
          <t>사용</t>
        </is>
      </c>
      <c r="D341" s="6" t="inlineStr">
        <is>
          <t>AXIS_STAGE</t>
        </is>
      </c>
      <c r="E341" s="6" t="inlineStr">
        <is>
          <t>DIET-Q-06</t>
        </is>
      </c>
      <c r="F341" s="6" t="inlineStr">
        <is>
          <t>INTRO</t>
        </is>
      </c>
      <c r="G341" s="6" t="inlineStr">
        <is>
          <t>저녁추천: 연어/닭안심</t>
        </is>
      </c>
      <c r="H341" s="5" t="inlineStr">
        <is>
          <t>저녁에 연어나 닭안심 요리를 드세요.</t>
        </is>
      </c>
      <c r="I341" s="5" t="inlineStr">
        <is>
          <t>기름 적은 단백질로 저녁을 챙겨요.</t>
        </is>
      </c>
      <c r="J341" s="6" t="inlineStr">
        <is>
          <t>INCREASE</t>
        </is>
      </c>
      <c r="K341" s="6" t="n"/>
      <c r="L341" s="6" t="inlineStr">
        <is>
          <t>MOHW-DIETGUIDE; WHO-DIET</t>
        </is>
      </c>
      <c r="M341" s="5" t="inlineStr">
        <is>
          <t>10-13 추가(추가문구 검수표 164번 · 끼니 추천). 근거: 국민 공통 식생활지침(보건복지부 2021) 1. 다양한 식품 골고루 · 2020 한국인 영양소 섭취기준(단백질 끼니별 고른 섭취)</t>
        </is>
      </c>
      <c r="N341" s="6" t="inlineStr">
        <is>
          <t>검수표 164</t>
        </is>
      </c>
    </row>
    <row r="342" ht="37.5" customHeight="1">
      <c r="A342" s="6" t="inlineStr">
        <is>
          <t>DIET-P-0438</t>
        </is>
      </c>
      <c r="B342" s="6" t="inlineStr">
        <is>
          <t>1.0.0</t>
        </is>
      </c>
      <c r="C342" s="6" t="inlineStr">
        <is>
          <t>사용</t>
        </is>
      </c>
      <c r="D342" s="6" t="inlineStr">
        <is>
          <t>AXIS_STAGE</t>
        </is>
      </c>
      <c r="E342" s="6" t="inlineStr">
        <is>
          <t>DIET-Q-06</t>
        </is>
      </c>
      <c r="F342" s="6" t="inlineStr">
        <is>
          <t>INTRO</t>
        </is>
      </c>
      <c r="G342" s="6" t="inlineStr">
        <is>
          <t>저녁추천: 닭안심/두부</t>
        </is>
      </c>
      <c r="H342" s="5" t="inlineStr">
        <is>
          <t>저녁에 닭안심이나 두부 반찬을 드세요.</t>
        </is>
      </c>
      <c r="I342" s="5" t="inlineStr">
        <is>
          <t>담백한 단백질 반찬이에요.</t>
        </is>
      </c>
      <c r="J342" s="6" t="inlineStr">
        <is>
          <t>INCREASE</t>
        </is>
      </c>
      <c r="K342" s="6" t="n"/>
      <c r="L342" s="6" t="inlineStr">
        <is>
          <t>MOHW-DIETGUIDE; WHO-DIET</t>
        </is>
      </c>
      <c r="M342" s="5" t="inlineStr">
        <is>
          <t>10-13 추가(추가문구 검수표 165번 · 끼니 추천). 근거: 국민 공통 식생활지침(보건복지부 2021) 1. 다양한 식품 골고루 · 2020 한국인 영양소 섭취기준(단백질 끼니별 고른 섭취)</t>
        </is>
      </c>
      <c r="N342" s="6" t="inlineStr">
        <is>
          <t>검수표 165</t>
        </is>
      </c>
    </row>
    <row r="343" ht="37.5" customHeight="1">
      <c r="A343" s="6" t="inlineStr">
        <is>
          <t>DIET-P-0439</t>
        </is>
      </c>
      <c r="B343" s="6" t="inlineStr">
        <is>
          <t>1.0.0</t>
        </is>
      </c>
      <c r="C343" s="6" t="inlineStr">
        <is>
          <t>사용</t>
        </is>
      </c>
      <c r="D343" s="6" t="inlineStr">
        <is>
          <t>AXIS_STAGE</t>
        </is>
      </c>
      <c r="E343" s="6" t="inlineStr">
        <is>
          <t>DIET-Q-06</t>
        </is>
      </c>
      <c r="F343" s="6" t="inlineStr">
        <is>
          <t>INTRO</t>
        </is>
      </c>
      <c r="G343" s="6" t="inlineStr">
        <is>
          <t>저녁추천: 두부/백숙</t>
        </is>
      </c>
      <c r="H343" s="5" t="inlineStr">
        <is>
          <t>저녁에 두부 반찬이나 닭백숙을 드세요.</t>
        </is>
      </c>
      <c r="I343" s="5" t="inlineStr">
        <is>
          <t>두부나 백숙으로 담백하게 단백질을 챙겨요.</t>
        </is>
      </c>
      <c r="J343" s="6" t="inlineStr">
        <is>
          <t>INCREASE</t>
        </is>
      </c>
      <c r="K343" s="6" t="n"/>
      <c r="L343" s="6" t="inlineStr">
        <is>
          <t>MOHW-DIETGUIDE; WHO-DIET</t>
        </is>
      </c>
      <c r="M343" s="5" t="inlineStr">
        <is>
          <t>10-13 추가(추가문구 검수표 166번 · 끼니 추천). 근거: 국민 공통 식생활지침(보건복지부 2021) 1. 다양한 식품 골고루 · 2020 한국인 영양소 섭취기준(단백질 끼니별 고른 섭취)</t>
        </is>
      </c>
      <c r="N343" s="6" t="inlineStr">
        <is>
          <t>검수표 166</t>
        </is>
      </c>
    </row>
    <row r="344" ht="37.5" customHeight="1">
      <c r="A344" s="6" t="inlineStr">
        <is>
          <t>DIET-P-0440</t>
        </is>
      </c>
      <c r="B344" s="6" t="inlineStr">
        <is>
          <t>1.0.0</t>
        </is>
      </c>
      <c r="C344" s="6" t="inlineStr">
        <is>
          <t>사용</t>
        </is>
      </c>
      <c r="D344" s="6" t="inlineStr">
        <is>
          <t>AXIS_STAGE</t>
        </is>
      </c>
      <c r="E344" s="6" t="inlineStr">
        <is>
          <t>DIET-Q-06</t>
        </is>
      </c>
      <c r="F344" s="6" t="inlineStr">
        <is>
          <t>INTRO</t>
        </is>
      </c>
      <c r="G344" s="6" t="inlineStr">
        <is>
          <t>저녁추천: 두부/생선찜</t>
        </is>
      </c>
      <c r="H344" s="5" t="inlineStr">
        <is>
          <t>저녁에 두부 반찬이나 생선찜을 드세요.</t>
        </is>
      </c>
      <c r="I344" s="5" t="inlineStr">
        <is>
          <t>손쉬운 두부 반찬으로 단백질을 더해요.</t>
        </is>
      </c>
      <c r="J344" s="6" t="inlineStr">
        <is>
          <t>INCREASE</t>
        </is>
      </c>
      <c r="K344" s="6" t="n"/>
      <c r="L344" s="6" t="inlineStr">
        <is>
          <t>MOHW-DIETGUIDE; WHO-DIET</t>
        </is>
      </c>
      <c r="M344" s="5" t="inlineStr">
        <is>
          <t>10-13 추가(추가문구 검수표 167번 · 끼니 추천). 근거: 국민 공통 식생활지침(보건복지부 2021) 1. 다양한 식품 골고루 · 2020 한국인 영양소 섭취기준(단백질 끼니별 고른 섭취)</t>
        </is>
      </c>
      <c r="N344" s="6" t="inlineStr">
        <is>
          <t>검수표 167</t>
        </is>
      </c>
    </row>
    <row r="345" ht="37.5" customHeight="1">
      <c r="A345" s="6" t="inlineStr">
        <is>
          <t>DIET-P-0441</t>
        </is>
      </c>
      <c r="B345" s="6" t="inlineStr">
        <is>
          <t>1.0.0</t>
        </is>
      </c>
      <c r="C345" s="6" t="inlineStr">
        <is>
          <t>사용</t>
        </is>
      </c>
      <c r="D345" s="6" t="inlineStr">
        <is>
          <t>AXIS_STAGE</t>
        </is>
      </c>
      <c r="E345" s="6" t="inlineStr">
        <is>
          <t>DIET-Q-01</t>
        </is>
      </c>
      <c r="F345" s="6" t="inlineStr">
        <is>
          <t>INTRO</t>
        </is>
      </c>
      <c r="G345" s="6" t="inlineStr">
        <is>
          <t>저녁추천: 샤브샤브/쌈</t>
        </is>
      </c>
      <c r="H345" s="5" t="inlineStr">
        <is>
          <t>저녁에 채소를 듬뿍 넣은 샤브샤브나 쌈을 드세요.</t>
        </is>
      </c>
      <c r="I345" s="5" t="inlineStr">
        <is>
          <t>채소를 듬뿍 먹을 수 있는 저녁이에요.</t>
        </is>
      </c>
      <c r="J345" s="6" t="n"/>
      <c r="K345" s="6" t="n"/>
      <c r="L345" s="6" t="inlineStr">
        <is>
          <t>MOHW-DIETGUIDE; WHO-DIET</t>
        </is>
      </c>
      <c r="M345" s="5" t="inlineStr">
        <is>
          <t>10-13 추가(추가문구 검수표 168번 · 끼니 추천). 근거: 국민 공통 식생활지침(보건복지부 2021) 1. 채소 등 다양한 식품 골고루 · WHO 채소·과일 하루 400g 이상 권고</t>
        </is>
      </c>
      <c r="N345" s="6" t="inlineStr">
        <is>
          <t>검수표 168</t>
        </is>
      </c>
    </row>
    <row r="346" ht="37.5" customHeight="1">
      <c r="A346" s="6" t="inlineStr">
        <is>
          <t>DIET-P-0442</t>
        </is>
      </c>
      <c r="B346" s="6" t="inlineStr">
        <is>
          <t>1.0.0</t>
        </is>
      </c>
      <c r="C346" s="6" t="inlineStr">
        <is>
          <t>사용</t>
        </is>
      </c>
      <c r="D346" s="6" t="inlineStr">
        <is>
          <t>AXIS_STAGE</t>
        </is>
      </c>
      <c r="E346" s="6" t="inlineStr">
        <is>
          <t>DIET-Q-01</t>
        </is>
      </c>
      <c r="F346" s="6" t="inlineStr">
        <is>
          <t>INTRO</t>
        </is>
      </c>
      <c r="G346" s="6" t="inlineStr">
        <is>
          <t>저녁추천: 월남쌈/쌈밥</t>
        </is>
      </c>
      <c r="H346" s="5" t="inlineStr">
        <is>
          <t>저녁에 월남쌈이나 쌈밥으로 채소를 싸서 드세요.</t>
        </is>
      </c>
      <c r="I346" s="5" t="inlineStr">
        <is>
          <t>채소를 싸 먹으면 자연스럽게 많이 먹어요.</t>
        </is>
      </c>
      <c r="J346" s="6" t="n"/>
      <c r="K346" s="6" t="n"/>
      <c r="L346" s="6" t="inlineStr">
        <is>
          <t>MOHW-DIETGUIDE; WHO-DIET</t>
        </is>
      </c>
      <c r="M346" s="5" t="inlineStr">
        <is>
          <t>10-13 추가(추가문구 검수표 169번 · 끼니 추천). 근거: 국민 공통 식생활지침(보건복지부 2021) 1. 채소 등 다양한 식품 골고루 · WHO 채소·과일 하루 400g 이상 권고</t>
        </is>
      </c>
      <c r="N346" s="6" t="inlineStr">
        <is>
          <t>검수표 169</t>
        </is>
      </c>
    </row>
    <row r="347" ht="37.5" customHeight="1">
      <c r="A347" s="6" t="inlineStr">
        <is>
          <t>DIET-P-0443</t>
        </is>
      </c>
      <c r="B347" s="6" t="inlineStr">
        <is>
          <t>1.0.0</t>
        </is>
      </c>
      <c r="C347" s="6" t="inlineStr">
        <is>
          <t>사용</t>
        </is>
      </c>
      <c r="D347" s="6" t="inlineStr">
        <is>
          <t>AXIS_STAGE</t>
        </is>
      </c>
      <c r="E347" s="6" t="inlineStr">
        <is>
          <t>DIET-Q-01</t>
        </is>
      </c>
      <c r="F347" s="6" t="inlineStr">
        <is>
          <t>INTRO</t>
        </is>
      </c>
      <c r="G347" s="6" t="inlineStr">
        <is>
          <t>저녁추천: 가지/버섯</t>
        </is>
      </c>
      <c r="H347" s="5" t="inlineStr">
        <is>
          <t>저녁에 기름 없이 구운 가지나 버섯을 반찬으로 드세요.</t>
        </is>
      </c>
      <c r="I347" s="5" t="inlineStr">
        <is>
          <t>기름 없이 구운 채소 반찬이에요.</t>
        </is>
      </c>
      <c r="J347" s="6" t="n"/>
      <c r="K347" s="6" t="n"/>
      <c r="L347" s="6" t="inlineStr">
        <is>
          <t>MOHW-DIETGUIDE; WHO-DIET</t>
        </is>
      </c>
      <c r="M347" s="5" t="inlineStr">
        <is>
          <t>10-13 추가(추가문구 검수표 170번 · 끼니 추천). 근거: 국민 공통 식생활지침(보건복지부 2021) 1. 채소 등 다양한 식품 골고루 · WHO 채소·과일 하루 400g 이상 권고</t>
        </is>
      </c>
      <c r="N347" s="6" t="inlineStr">
        <is>
          <t>검수표 170</t>
        </is>
      </c>
    </row>
    <row r="348" ht="37.5" customHeight="1">
      <c r="A348" s="6" t="inlineStr">
        <is>
          <t>DIET-P-0444</t>
        </is>
      </c>
      <c r="B348" s="6" t="inlineStr">
        <is>
          <t>1.0.0</t>
        </is>
      </c>
      <c r="C348" s="6" t="inlineStr">
        <is>
          <t>사용</t>
        </is>
      </c>
      <c r="D348" s="6" t="inlineStr">
        <is>
          <t>AXIS_STAGE</t>
        </is>
      </c>
      <c r="E348" s="6" t="inlineStr">
        <is>
          <t>DIET-Q-01</t>
        </is>
      </c>
      <c r="F348" s="6" t="inlineStr">
        <is>
          <t>INTRO</t>
        </is>
      </c>
      <c r="G348" s="6" t="inlineStr">
        <is>
          <t>저녁추천: 나물/생채</t>
        </is>
      </c>
      <c r="H348" s="5" t="inlineStr">
        <is>
          <t>저녁에 나물이나 생채 반찬을 한 가지 곁들여 드세요.</t>
        </is>
      </c>
      <c r="I348" s="5" t="inlineStr">
        <is>
          <t>무침 반찬 하나로 저녁 채소가 채워져요.</t>
        </is>
      </c>
      <c r="J348" s="6" t="n"/>
      <c r="K348" s="6" t="n"/>
      <c r="L348" s="6" t="inlineStr">
        <is>
          <t>MOHW-DIETGUIDE; WHO-DIET</t>
        </is>
      </c>
      <c r="M348" s="5" t="inlineStr">
        <is>
          <t>10-13 추가(추가문구 검수표 171번 · 끼니 추천). 근거: 국민 공통 식생활지침(보건복지부 2021) 1. 채소 등 다양한 식품 골고루 · WHO 채소·과일 하루 400g 이상 권고</t>
        </is>
      </c>
      <c r="N348" s="6" t="inlineStr">
        <is>
          <t>검수표 171</t>
        </is>
      </c>
    </row>
    <row r="349" ht="37.5" customHeight="1">
      <c r="A349" s="6" t="inlineStr">
        <is>
          <t>DIET-P-0445</t>
        </is>
      </c>
      <c r="B349" s="6" t="inlineStr">
        <is>
          <t>1.0.0</t>
        </is>
      </c>
      <c r="C349" s="6" t="inlineStr">
        <is>
          <t>사용</t>
        </is>
      </c>
      <c r="D349" s="6" t="inlineStr">
        <is>
          <t>AXIS_STAGE</t>
        </is>
      </c>
      <c r="E349" s="6" t="inlineStr">
        <is>
          <t>DIET-Q-01</t>
        </is>
      </c>
      <c r="F349" s="6" t="inlineStr">
        <is>
          <t>INTRO</t>
        </is>
      </c>
      <c r="G349" s="6" t="inlineStr">
        <is>
          <t>저녁추천: 숙주/시금치</t>
        </is>
      </c>
      <c r="H349" s="5" t="inlineStr">
        <is>
          <t>저녁에 숙주나물이나 시금치나물을 곁들여 드세요.</t>
        </is>
      </c>
      <c r="I349" s="5" t="inlineStr">
        <is>
          <t>나물 한 가지로 저녁 채소를 더해요.</t>
        </is>
      </c>
      <c r="J349" s="6" t="n"/>
      <c r="K349" s="6" t="n"/>
      <c r="L349" s="6" t="inlineStr">
        <is>
          <t>MOHW-DIETGUIDE; WHO-DIET</t>
        </is>
      </c>
      <c r="M349" s="5" t="inlineStr">
        <is>
          <t>10-13 추가(추가문구 검수표 172번 · 끼니 추천). 근거: 국민 공통 식생활지침(보건복지부 2021) 1. 채소 등 다양한 식품 골고루 · WHO 채소·과일 하루 400g 이상 권고</t>
        </is>
      </c>
      <c r="N349" s="6" t="inlineStr">
        <is>
          <t>검수표 172</t>
        </is>
      </c>
    </row>
    <row r="350" ht="37.5" customHeight="1">
      <c r="A350" s="6" t="inlineStr">
        <is>
          <t>DIET-P-0446</t>
        </is>
      </c>
      <c r="B350" s="6" t="inlineStr">
        <is>
          <t>1.0.0</t>
        </is>
      </c>
      <c r="C350" s="6" t="inlineStr">
        <is>
          <t>사용</t>
        </is>
      </c>
      <c r="D350" s="6" t="inlineStr">
        <is>
          <t>AXIS_STAGE</t>
        </is>
      </c>
      <c r="E350" s="6" t="inlineStr">
        <is>
          <t>DIET-Q-01</t>
        </is>
      </c>
      <c r="F350" s="6" t="inlineStr">
        <is>
          <t>INTRO</t>
        </is>
      </c>
      <c r="G350" s="6" t="inlineStr">
        <is>
          <t>저녁추천: 쌈/나물무침</t>
        </is>
      </c>
      <c r="H350" s="5" t="inlineStr">
        <is>
          <t>저녁에 쌈이나 나물무침을 곁들여 드세요.</t>
        </is>
      </c>
      <c r="I350" s="5" t="inlineStr">
        <is>
          <t>쌈이나 나물로 국물 없이 채소를 먹어요.</t>
        </is>
      </c>
      <c r="J350" s="6" t="n"/>
      <c r="K350" s="6" t="n"/>
      <c r="L350" s="6" t="inlineStr">
        <is>
          <t>MOHW-DIETGUIDE; WHO-DIET</t>
        </is>
      </c>
      <c r="M350" s="5" t="inlineStr">
        <is>
          <t>10-13 추가(추가문구 검수표 173번 · 끼니 추천). 근거: 국민 공통 식생활지침(보건복지부 2021) 1. 채소 등 다양한 식품 골고루 · WHO 채소·과일 하루 400g 이상 권고</t>
        </is>
      </c>
      <c r="N350" s="6" t="inlineStr">
        <is>
          <t>검수표 173</t>
        </is>
      </c>
    </row>
    <row r="351" ht="37.5" customHeight="1">
      <c r="A351" s="6" t="inlineStr">
        <is>
          <t>DIET-P-0447</t>
        </is>
      </c>
      <c r="B351" s="6" t="inlineStr">
        <is>
          <t>1.0.0</t>
        </is>
      </c>
      <c r="C351" s="6" t="inlineStr">
        <is>
          <t>사용</t>
        </is>
      </c>
      <c r="D351" s="6" t="inlineStr">
        <is>
          <t>AXIS_STAGE</t>
        </is>
      </c>
      <c r="E351" s="6" t="inlineStr">
        <is>
          <t>DIET-Q-03</t>
        </is>
      </c>
      <c r="F351" s="6" t="inlineStr">
        <is>
          <t>INTRO</t>
        </is>
      </c>
      <c r="G351" s="6" t="inlineStr">
        <is>
          <t>저녁추천: 생선찜/생채</t>
        </is>
      </c>
      <c r="H351" s="5" t="inlineStr">
        <is>
          <t>저녁에 찌개 대신 생선찜이나 생채 반찬을 드세요.</t>
        </is>
      </c>
      <c r="I351" s="5" t="inlineStr">
        <is>
          <t>찜과 생채는 양념이 적어 덜 짜요.</t>
        </is>
      </c>
      <c r="J351" s="6" t="n"/>
      <c r="K351" s="6" t="n"/>
      <c r="L351" s="6" t="inlineStr">
        <is>
          <t>MOHW-DIETGUIDE; WHO-DIET; MFDS-SODIUM; KSH-2022</t>
        </is>
      </c>
      <c r="M351" s="5" t="inlineStr">
        <is>
          <t>10-13 추가(추가문구 검수표 174번 · 끼니 추천). 근거: 국민 공통 식생활지침(보건복지부 2021) 4. 덜 짜게 · WHO 나트륨 하루 2,000mg 미만 권고 · 국·찌개가 나트륨 주 공급원(국민건강영양조사)</t>
        </is>
      </c>
      <c r="N351" s="6" t="inlineStr">
        <is>
          <t>검수표 174</t>
        </is>
      </c>
    </row>
    <row r="352" ht="37.5" customHeight="1">
      <c r="A352" s="6" t="inlineStr">
        <is>
          <t>DIET-P-0448</t>
        </is>
      </c>
      <c r="B352" s="6" t="inlineStr">
        <is>
          <t>1.0.0</t>
        </is>
      </c>
      <c r="C352" s="6" t="inlineStr">
        <is>
          <t>사용</t>
        </is>
      </c>
      <c r="D352" s="6" t="inlineStr">
        <is>
          <t>AXIS_STAGE</t>
        </is>
      </c>
      <c r="E352" s="6" t="inlineStr">
        <is>
          <t>DIET-Q-03</t>
        </is>
      </c>
      <c r="F352" s="6" t="inlineStr">
        <is>
          <t>INTRO</t>
        </is>
      </c>
      <c r="G352" s="6" t="inlineStr">
        <is>
          <t>저녁추천: 두부찜/생채</t>
        </is>
      </c>
      <c r="H352" s="5" t="inlineStr">
        <is>
          <t>저녁에 찌개 대신 두부찜이나 생채 반찬을 드세요.</t>
        </is>
      </c>
      <c r="I352" s="5" t="inlineStr">
        <is>
          <t>찜과 생채는 찌개보다 훨씬 덜 짜요.</t>
        </is>
      </c>
      <c r="J352" s="6" t="n"/>
      <c r="K352" s="6" t="n"/>
      <c r="L352" s="6" t="inlineStr">
        <is>
          <t>MOHW-DIETGUIDE; WHO-DIET; MFDS-SODIUM; KSH-2022</t>
        </is>
      </c>
      <c r="M352" s="5" t="inlineStr">
        <is>
          <t>10-13 추가(추가문구 검수표 175번 · 끼니 추천). 근거: 국민 공통 식생활지침(보건복지부 2021) 4. 덜 짜게 · WHO 나트륨 하루 2,000mg 미만 권고 · 국·찌개가 나트륨 주 공급원(국민건강영양조사)</t>
        </is>
      </c>
      <c r="N352" s="6" t="inlineStr">
        <is>
          <t>검수표 175</t>
        </is>
      </c>
    </row>
    <row r="353" ht="25" customHeight="1">
      <c r="A353" s="6" t="inlineStr">
        <is>
          <t>DIET-P-0449</t>
        </is>
      </c>
      <c r="B353" s="6" t="inlineStr">
        <is>
          <t>1.0.0</t>
        </is>
      </c>
      <c r="C353" s="6" t="inlineStr">
        <is>
          <t>사용</t>
        </is>
      </c>
      <c r="D353" s="6" t="inlineStr">
        <is>
          <t>AXIS_STAGE</t>
        </is>
      </c>
      <c r="E353" s="6" t="inlineStr">
        <is>
          <t>DIET-Q-00</t>
        </is>
      </c>
      <c r="F353" s="6" t="inlineStr">
        <is>
          <t>INTRO</t>
        </is>
      </c>
      <c r="G353" s="6" t="inlineStr">
        <is>
          <t>저녁추천: 잡곡밥/쌈밥</t>
        </is>
      </c>
      <c r="H353" s="5" t="inlineStr">
        <is>
          <t>저녁을 잡곡밥이나 쌈밥으로 든든하게 드세요.</t>
        </is>
      </c>
      <c r="I353" s="5" t="inlineStr">
        <is>
          <t>잡곡밥이나 현미밥은 저녁까지 든든해요.</t>
        </is>
      </c>
      <c r="J353" s="6" t="n"/>
      <c r="K353" s="6" t="n"/>
      <c r="L353" s="6" t="inlineStr">
        <is>
          <t>MOHW-DIETGUIDE</t>
        </is>
      </c>
      <c r="M353" s="5" t="inlineStr">
        <is>
          <t>10-13 추가(추가문구 검수표 176번 · 끼니 추천). 근거: 국민 공통 식생활지침(보건복지부 2021) 2. 아침밥 꼭 먹기 · 규칙적인 식사</t>
        </is>
      </c>
      <c r="N353" s="6" t="inlineStr">
        <is>
          <t>검수표 176</t>
        </is>
      </c>
    </row>
    <row r="354" ht="25" customHeight="1">
      <c r="A354" s="6" t="inlineStr">
        <is>
          <t>DIET-P-0450</t>
        </is>
      </c>
      <c r="B354" s="6" t="inlineStr">
        <is>
          <t>1.0.0</t>
        </is>
      </c>
      <c r="C354" s="6" t="inlineStr">
        <is>
          <t>사용</t>
        </is>
      </c>
      <c r="D354" s="6" t="inlineStr">
        <is>
          <t>AXIS_STAGE</t>
        </is>
      </c>
      <c r="E354" s="6" t="inlineStr">
        <is>
          <t>DIET-Q-07</t>
        </is>
      </c>
      <c r="F354" s="6" t="inlineStr">
        <is>
          <t>INTRO</t>
        </is>
      </c>
      <c r="G354" s="6" t="inlineStr">
        <is>
          <t>저녁추천: 닭찜/수육</t>
        </is>
      </c>
      <c r="H354" s="5" t="inlineStr">
        <is>
          <t>저녁에 튀긴 고기 대신 닭찜이나 수육을 드세요.</t>
        </is>
      </c>
      <c r="I354" s="5" t="inlineStr">
        <is>
          <t>찜이나 수육은 튀김보다 기름이 덜해요.</t>
        </is>
      </c>
      <c r="J354" s="6" t="inlineStr">
        <is>
          <t>TEXTURE</t>
        </is>
      </c>
      <c r="K354" s="6" t="n"/>
      <c r="L354" s="6" t="inlineStr">
        <is>
          <t>MOHW-DIETGUIDE; WHO-FAT-2023; KSoLA-2022</t>
        </is>
      </c>
      <c r="M354" s="5" t="inlineStr">
        <is>
          <t>10-13 추가(추가문구 검수표 177번 · 끼니 추천). 근거: 국민 공통 식생활지침(보건복지부 2021) 4. 덜 기름지게 · WHO 포화지방 하루 열량 10% 미만 권고</t>
        </is>
      </c>
      <c r="N354" s="6" t="inlineStr">
        <is>
          <t>검수표 177</t>
        </is>
      </c>
    </row>
    <row r="355" ht="25" customHeight="1">
      <c r="A355" s="6" t="inlineStr">
        <is>
          <t>DIET-P-0451</t>
        </is>
      </c>
      <c r="B355" s="6" t="inlineStr">
        <is>
          <t>1.0.0</t>
        </is>
      </c>
      <c r="C355" s="6" t="inlineStr">
        <is>
          <t>사용</t>
        </is>
      </c>
      <c r="D355" s="6" t="inlineStr">
        <is>
          <t>AXIS_STAGE</t>
        </is>
      </c>
      <c r="E355" s="6" t="inlineStr">
        <is>
          <t>DIET-Q-07</t>
        </is>
      </c>
      <c r="F355" s="6" t="inlineStr">
        <is>
          <t>INTRO</t>
        </is>
      </c>
      <c r="G355" s="6" t="inlineStr">
        <is>
          <t>저녁추천: 가자미/조기</t>
        </is>
      </c>
      <c r="H355" s="5" t="inlineStr">
        <is>
          <t>저녁에 가자미구이나 조기구이를 드세요.</t>
        </is>
      </c>
      <c r="I355" s="5" t="inlineStr">
        <is>
          <t>구운 흰살생선은 담백하고 기름이 적어요.</t>
        </is>
      </c>
      <c r="J355" s="6" t="n"/>
      <c r="K355" s="6" t="n"/>
      <c r="L355" s="6" t="inlineStr">
        <is>
          <t>MOHW-DIETGUIDE; WHO-FAT-2023; KSoLA-2022</t>
        </is>
      </c>
      <c r="M355" s="5" t="inlineStr">
        <is>
          <t>10-13 추가(추가문구 검수표 178번 · 끼니 추천). 근거: 국민 공통 식생활지침(보건복지부 2021) 4. 덜 기름지게 · WHO 포화지방 하루 열량 10% 미만 권고</t>
        </is>
      </c>
      <c r="N355" s="6" t="inlineStr">
        <is>
          <t>검수표 178</t>
        </is>
      </c>
    </row>
    <row r="356" ht="25" customHeight="1">
      <c r="A356" s="6" t="inlineStr">
        <is>
          <t>DIET-P-0452</t>
        </is>
      </c>
      <c r="B356" s="6" t="inlineStr">
        <is>
          <t>1.0.0</t>
        </is>
      </c>
      <c r="C356" s="6" t="inlineStr">
        <is>
          <t>사용</t>
        </is>
      </c>
      <c r="D356" s="6" t="inlineStr">
        <is>
          <t>AXIS_STAGE</t>
        </is>
      </c>
      <c r="E356" s="6" t="inlineStr">
        <is>
          <t>DIET-Q-07</t>
        </is>
      </c>
      <c r="F356" s="6" t="inlineStr">
        <is>
          <t>INTRO</t>
        </is>
      </c>
      <c r="G356" s="6" t="inlineStr">
        <is>
          <t>저녁추천: 임연수/삼치</t>
        </is>
      </c>
      <c r="H356" s="5" t="inlineStr">
        <is>
          <t>저녁에 임연수구이나 삼치구이를 드세요.</t>
        </is>
      </c>
      <c r="I356" s="5" t="inlineStr">
        <is>
          <t>생선구이로 기름 적은 저녁을 먹어요.</t>
        </is>
      </c>
      <c r="J356" s="6" t="n"/>
      <c r="K356" s="6" t="n"/>
      <c r="L356" s="6" t="inlineStr">
        <is>
          <t>MOHW-DIETGUIDE; WHO-FAT-2023; KSoLA-2022</t>
        </is>
      </c>
      <c r="M356" s="5" t="inlineStr">
        <is>
          <t>10-13 추가(추가문구 검수표 179번 · 끼니 추천). 근거: 국민 공통 식생활지침(보건복지부 2021) 4. 덜 기름지게 · WHO 포화지방 하루 열량 10% 미만 권고</t>
        </is>
      </c>
      <c r="N356" s="6" t="inlineStr">
        <is>
          <t>검수표 179</t>
        </is>
      </c>
    </row>
    <row r="357" ht="25" customHeight="1">
      <c r="A357" s="6" t="inlineStr">
        <is>
          <t>DIET-P-0453</t>
        </is>
      </c>
      <c r="B357" s="6" t="inlineStr">
        <is>
          <t>1.0.0</t>
        </is>
      </c>
      <c r="C357" s="6" t="inlineStr">
        <is>
          <t>사용</t>
        </is>
      </c>
      <c r="D357" s="6" t="inlineStr">
        <is>
          <t>AXIS_STAGE</t>
        </is>
      </c>
      <c r="E357" s="6" t="inlineStr">
        <is>
          <t>DIET-Q-07</t>
        </is>
      </c>
      <c r="F357" s="6" t="inlineStr">
        <is>
          <t>INTRO</t>
        </is>
      </c>
      <c r="G357" s="6" t="inlineStr">
        <is>
          <t>저녁추천: 닭구이/수육</t>
        </is>
      </c>
      <c r="H357" s="5" t="inlineStr">
        <is>
          <t>저녁에 닭구이나 수육을 드세요.</t>
        </is>
      </c>
      <c r="I357" s="5" t="inlineStr">
        <is>
          <t>구이와 수육은 튀긴 고기보다 기름이 덜해요.</t>
        </is>
      </c>
      <c r="J357" s="6" t="inlineStr">
        <is>
          <t>TEXTURE</t>
        </is>
      </c>
      <c r="K357" s="6" t="n"/>
      <c r="L357" s="6" t="inlineStr">
        <is>
          <t>MOHW-DIETGUIDE; WHO-FAT-2023; KSoLA-2022</t>
        </is>
      </c>
      <c r="M357" s="5" t="inlineStr">
        <is>
          <t>10-13 추가(추가문구 검수표 180번 · 끼니 추천). 근거: 국민 공통 식생활지침(보건복지부 2021) 4. 덜 기름지게 · WHO 포화지방 하루 열량 10% 미만 권고</t>
        </is>
      </c>
      <c r="N357" s="6" t="inlineStr">
        <is>
          <t>검수표 180</t>
        </is>
      </c>
    </row>
    <row r="358" ht="25" customHeight="1">
      <c r="A358" s="6" t="inlineStr">
        <is>
          <t>DIET-P-0454</t>
        </is>
      </c>
      <c r="B358" s="6" t="inlineStr">
        <is>
          <t>1.0.0</t>
        </is>
      </c>
      <c r="C358" s="6" t="inlineStr">
        <is>
          <t>사용</t>
        </is>
      </c>
      <c r="D358" s="6" t="inlineStr">
        <is>
          <t>AXIS_STAGE</t>
        </is>
      </c>
      <c r="E358" s="6" t="inlineStr">
        <is>
          <t>DIET-Q-07</t>
        </is>
      </c>
      <c r="F358" s="6" t="inlineStr">
        <is>
          <t>INTRO</t>
        </is>
      </c>
      <c r="G358" s="6" t="inlineStr">
        <is>
          <t>저녁추천: 새우/오징어</t>
        </is>
      </c>
      <c r="H358" s="5" t="inlineStr">
        <is>
          <t>저녁에 데친 새우나 오징어를 드세요.</t>
        </is>
      </c>
      <c r="I358" s="5" t="inlineStr">
        <is>
          <t>데친 해산물은 기름 없이 먹을 수 있어요.</t>
        </is>
      </c>
      <c r="J358" s="6" t="n"/>
      <c r="K358" s="6" t="n"/>
      <c r="L358" s="6" t="inlineStr">
        <is>
          <t>MOHW-DIETGUIDE; WHO-FAT-2023; KSoLA-2022</t>
        </is>
      </c>
      <c r="M358" s="5" t="inlineStr">
        <is>
          <t>10-13 추가(추가문구 검수표 181번 · 끼니 추천). 근거: 국민 공통 식생활지침(보건복지부 2021) 4. 덜 기름지게 · WHO 포화지방 하루 열량 10% 미만 권고</t>
        </is>
      </c>
      <c r="N358" s="6" t="inlineStr">
        <is>
          <t>검수표 181</t>
        </is>
      </c>
    </row>
    <row r="359" ht="37.5" customHeight="1">
      <c r="A359" s="6" t="inlineStr">
        <is>
          <t>DIET-P-0455</t>
        </is>
      </c>
      <c r="B359" s="6" t="inlineStr">
        <is>
          <t>1.0.0</t>
        </is>
      </c>
      <c r="C359" s="6" t="inlineStr">
        <is>
          <t>사용</t>
        </is>
      </c>
      <c r="D359" s="6" t="inlineStr">
        <is>
          <t>AXIS_STAGE</t>
        </is>
      </c>
      <c r="E359" s="6" t="inlineStr">
        <is>
          <t>DIET-Q-06</t>
        </is>
      </c>
      <c r="F359" s="6" t="inlineStr">
        <is>
          <t>INTRO</t>
        </is>
      </c>
      <c r="G359" s="6" t="inlineStr">
        <is>
          <t>저녁추천: 살코기/생선</t>
        </is>
      </c>
      <c r="H359" s="5" t="inlineStr">
        <is>
          <t>저녁에 기름 적은 살코기나 생선을 드세요.</t>
        </is>
      </c>
      <c r="I359" s="5" t="inlineStr">
        <is>
          <t>기름 적은 고기나 생선으로 단백질을 챙겨요.</t>
        </is>
      </c>
      <c r="J359" s="6" t="inlineStr">
        <is>
          <t>INCREASE</t>
        </is>
      </c>
      <c r="K359" s="6" t="n"/>
      <c r="L359" s="6" t="inlineStr">
        <is>
          <t>MOHW-DIETGUIDE; WHO-DIET</t>
        </is>
      </c>
      <c r="M359" s="5" t="inlineStr">
        <is>
          <t>10-13 추가(추가문구 검수표 182번 · 끼니 추천). 근거: 국민 공통 식생활지침(보건복지부 2021) 1. 다양한 식품 골고루 · 2020 한국인 영양소 섭취기준(단백질 끼니별 고른 섭취)</t>
        </is>
      </c>
      <c r="N359" s="6" t="inlineStr">
        <is>
          <t>검수표 182</t>
        </is>
      </c>
    </row>
    <row r="360" ht="37.5" customHeight="1">
      <c r="A360" s="6" t="inlineStr">
        <is>
          <t>DIET-P-0456</t>
        </is>
      </c>
      <c r="B360" s="6" t="inlineStr">
        <is>
          <t>1.0.0</t>
        </is>
      </c>
      <c r="C360" s="6" t="inlineStr">
        <is>
          <t>사용</t>
        </is>
      </c>
      <c r="D360" s="6" t="inlineStr">
        <is>
          <t>AXIS_STAGE</t>
        </is>
      </c>
      <c r="E360" s="6" t="inlineStr">
        <is>
          <t>DIET-Q-06</t>
        </is>
      </c>
      <c r="F360" s="6" t="inlineStr">
        <is>
          <t>INTRO</t>
        </is>
      </c>
      <c r="G360" s="6" t="inlineStr">
        <is>
          <t>저녁추천: 조개/생선</t>
        </is>
      </c>
      <c r="H360" s="5" t="inlineStr">
        <is>
          <t>저녁에 조개나 생선 요리를 드세요.</t>
        </is>
      </c>
      <c r="I360" s="5" t="inlineStr">
        <is>
          <t>조개나 생선으로 담백하게 단백질을 더해요.</t>
        </is>
      </c>
      <c r="J360" s="6" t="inlineStr">
        <is>
          <t>INCREASE</t>
        </is>
      </c>
      <c r="K360" s="6" t="n"/>
      <c r="L360" s="6" t="inlineStr">
        <is>
          <t>MOHW-DIETGUIDE; WHO-DIET</t>
        </is>
      </c>
      <c r="M360" s="5" t="inlineStr">
        <is>
          <t>10-13 추가(추가문구 검수표 183번 · 끼니 추천). 근거: 국민 공통 식생활지침(보건복지부 2021) 1. 다양한 식품 골고루 · 2020 한국인 영양소 섭취기준(단백질 끼니별 고른 섭취)</t>
        </is>
      </c>
      <c r="N360" s="6" t="inlineStr">
        <is>
          <t>검수표 183</t>
        </is>
      </c>
    </row>
    <row r="361" ht="37.5" customHeight="1">
      <c r="A361" s="6" t="inlineStr">
        <is>
          <t>DIET-P-0457</t>
        </is>
      </c>
      <c r="B361" s="6" t="inlineStr">
        <is>
          <t>1.0.0</t>
        </is>
      </c>
      <c r="C361" s="6" t="inlineStr">
        <is>
          <t>사용</t>
        </is>
      </c>
      <c r="D361" s="6" t="inlineStr">
        <is>
          <t>AXIS_STAGE</t>
        </is>
      </c>
      <c r="E361" s="6" t="inlineStr">
        <is>
          <t>DIET-Q-06</t>
        </is>
      </c>
      <c r="F361" s="6" t="inlineStr">
        <is>
          <t>INTRO</t>
        </is>
      </c>
      <c r="G361" s="6" t="inlineStr">
        <is>
          <t>저녁추천: 두부/닭찜</t>
        </is>
      </c>
      <c r="H361" s="5" t="inlineStr">
        <is>
          <t>저녁에 두부 반찬이나 닭찜을 드세요.</t>
        </is>
      </c>
      <c r="I361" s="5" t="inlineStr">
        <is>
          <t>두부나 닭찜으로 부드럽게 단백질을 챙겨요.</t>
        </is>
      </c>
      <c r="J361" s="6" t="inlineStr">
        <is>
          <t>INCREASE</t>
        </is>
      </c>
      <c r="K361" s="6" t="n"/>
      <c r="L361" s="6" t="inlineStr">
        <is>
          <t>MOHW-DIETGUIDE; WHO-DIET</t>
        </is>
      </c>
      <c r="M361" s="5" t="inlineStr">
        <is>
          <t>10-13 추가(추가문구 검수표 184번 · 끼니 추천). 근거: 국민 공통 식생활지침(보건복지부 2021) 1. 다양한 식품 골고루 · 2020 한국인 영양소 섭취기준(단백질 끼니별 고른 섭취)</t>
        </is>
      </c>
      <c r="N361" s="6" t="inlineStr">
        <is>
          <t>검수표 184</t>
        </is>
      </c>
    </row>
    <row r="362" ht="37.5" customHeight="1">
      <c r="A362" s="6" t="inlineStr">
        <is>
          <t>DIET-P-0458</t>
        </is>
      </c>
      <c r="B362" s="6" t="inlineStr">
        <is>
          <t>1.0.0</t>
        </is>
      </c>
      <c r="C362" s="6" t="inlineStr">
        <is>
          <t>사용</t>
        </is>
      </c>
      <c r="D362" s="6" t="inlineStr">
        <is>
          <t>AXIS_STAGE</t>
        </is>
      </c>
      <c r="E362" s="6" t="inlineStr">
        <is>
          <t>DIET-Q-01</t>
        </is>
      </c>
      <c r="F362" s="6" t="inlineStr">
        <is>
          <t>INTRO</t>
        </is>
      </c>
      <c r="G362" s="6" t="inlineStr">
        <is>
          <t>저녁추천: 곤드레밥/쌈</t>
        </is>
      </c>
      <c r="H362" s="5" t="inlineStr">
        <is>
          <t>저녁을 곤드레나물밥이나 쌈으로 드세요.</t>
        </is>
      </c>
      <c r="I362" s="5" t="inlineStr">
        <is>
          <t>나물밥이나 쌈으로 채소를 넉넉히 먹어요.</t>
        </is>
      </c>
      <c r="J362" s="6" t="n"/>
      <c r="K362" s="6" t="n"/>
      <c r="L362" s="6" t="inlineStr">
        <is>
          <t>MOHW-DIETGUIDE; WHO-DIET</t>
        </is>
      </c>
      <c r="M362" s="5" t="inlineStr">
        <is>
          <t>10-13 추가(추가문구 검수표 185번 · 끼니 추천). 근거: 국민 공통 식생활지침(보건복지부 2021) 1. 채소 등 다양한 식품 골고루 · WHO 채소·과일 하루 400g 이상 권고</t>
        </is>
      </c>
      <c r="N362" s="6" t="inlineStr">
        <is>
          <t>검수표 185</t>
        </is>
      </c>
    </row>
    <row r="363" ht="37.5" customHeight="1">
      <c r="A363" s="6" t="inlineStr">
        <is>
          <t>DIET-P-0459</t>
        </is>
      </c>
      <c r="B363" s="6" t="inlineStr">
        <is>
          <t>1.0.0</t>
        </is>
      </c>
      <c r="C363" s="6" t="inlineStr">
        <is>
          <t>사용</t>
        </is>
      </c>
      <c r="D363" s="6" t="inlineStr">
        <is>
          <t>AXIS_STAGE</t>
        </is>
      </c>
      <c r="E363" s="6" t="inlineStr">
        <is>
          <t>DIET-Q-01</t>
        </is>
      </c>
      <c r="F363" s="6" t="inlineStr">
        <is>
          <t>INTRO</t>
        </is>
      </c>
      <c r="G363" s="6" t="inlineStr">
        <is>
          <t>저녁추천: 버섯밥/쌈</t>
        </is>
      </c>
      <c r="H363" s="5" t="inlineStr">
        <is>
          <t>저녁을 버섯밥이나 쌈으로 드세요.</t>
        </is>
      </c>
      <c r="I363" s="5" t="inlineStr">
        <is>
          <t>버섯밥과 쌈으로 저녁 채소를 챙겨요.</t>
        </is>
      </c>
      <c r="J363" s="6" t="n"/>
      <c r="K363" s="6" t="n"/>
      <c r="L363" s="6" t="inlineStr">
        <is>
          <t>MOHW-DIETGUIDE; WHO-DIET</t>
        </is>
      </c>
      <c r="M363" s="5" t="inlineStr">
        <is>
          <t>10-13 추가(추가문구 검수표 186번 · 끼니 추천). 근거: 국민 공통 식생활지침(보건복지부 2021) 1. 채소 등 다양한 식품 골고루 · WHO 채소·과일 하루 400g 이상 권고</t>
        </is>
      </c>
      <c r="N363" s="6" t="inlineStr">
        <is>
          <t>검수표 186</t>
        </is>
      </c>
    </row>
    <row r="364" ht="37.5" customHeight="1">
      <c r="A364" s="6" t="inlineStr">
        <is>
          <t>DIET-P-0460</t>
        </is>
      </c>
      <c r="B364" s="6" t="inlineStr">
        <is>
          <t>1.0.0</t>
        </is>
      </c>
      <c r="C364" s="6" t="inlineStr">
        <is>
          <t>사용</t>
        </is>
      </c>
      <c r="D364" s="6" t="inlineStr">
        <is>
          <t>AXIS_STAGE</t>
        </is>
      </c>
      <c r="E364" s="6" t="inlineStr">
        <is>
          <t>DIET-Q-01</t>
        </is>
      </c>
      <c r="F364" s="6" t="inlineStr">
        <is>
          <t>INTRO</t>
        </is>
      </c>
      <c r="G364" s="6" t="inlineStr">
        <is>
          <t>저녁추천: 가지/호박</t>
        </is>
      </c>
      <c r="H364" s="5" t="inlineStr">
        <is>
          <t>저녁에 구운 가지나 호박을 반찬으로 드세요.</t>
        </is>
      </c>
      <c r="I364" s="5" t="inlineStr">
        <is>
          <t>구운 가지나 호박으로 채소를 더해요.</t>
        </is>
      </c>
      <c r="J364" s="6" t="n"/>
      <c r="K364" s="6" t="n"/>
      <c r="L364" s="6" t="inlineStr">
        <is>
          <t>MOHW-DIETGUIDE; WHO-DIET</t>
        </is>
      </c>
      <c r="M364" s="5" t="inlineStr">
        <is>
          <t>10-13 추가(추가문구 검수표 187번 · 끼니 추천). 근거: 국민 공통 식생활지침(보건복지부 2021) 1. 채소 등 다양한 식품 골고루 · WHO 채소·과일 하루 400g 이상 권고</t>
        </is>
      </c>
      <c r="N364" s="6" t="inlineStr">
        <is>
          <t>검수표 187</t>
        </is>
      </c>
    </row>
    <row r="365" ht="37.5" customHeight="1">
      <c r="A365" s="6" t="inlineStr">
        <is>
          <t>DIET-P-0461</t>
        </is>
      </c>
      <c r="B365" s="6" t="inlineStr">
        <is>
          <t>1.0.0</t>
        </is>
      </c>
      <c r="C365" s="6" t="inlineStr">
        <is>
          <t>사용</t>
        </is>
      </c>
      <c r="D365" s="6" t="inlineStr">
        <is>
          <t>AXIS_STAGE</t>
        </is>
      </c>
      <c r="E365" s="6" t="inlineStr">
        <is>
          <t>DIET-Q-01</t>
        </is>
      </c>
      <c r="F365" s="6" t="inlineStr">
        <is>
          <t>INTRO</t>
        </is>
      </c>
      <c r="G365" s="6" t="inlineStr">
        <is>
          <t>연어샐러드+1/2소스</t>
        </is>
      </c>
      <c r="H365" s="5" t="inlineStr">
        <is>
          <t>연어를 올린 샐러드를 드시고, 소스는 평소의 절반만 뿌리세요.</t>
        </is>
      </c>
      <c r="I365" s="5" t="inlineStr">
        <is>
          <t>연어샐러드로 채소와 좋은 지방을 함께 먹어요. 소스는 절반만 뿌려요.</t>
        </is>
      </c>
      <c r="J365" s="6" t="inlineStr">
        <is>
          <t>REDUCE</t>
        </is>
      </c>
      <c r="K365" s="6" t="n"/>
      <c r="L365" s="6" t="inlineStr">
        <is>
          <t>MOHW-DIETGUIDE; WHO-DIET</t>
        </is>
      </c>
      <c r="M365" s="5" t="inlineStr">
        <is>
          <t>10-13 추가(추가문구 검수표 188번 · 끼니 추천). 근거: 국민 공통 식생활지침(보건복지부 2021) 1. 채소 등 다양한 식품 골고루 · WHO 채소·과일 하루 400g 이상 권고</t>
        </is>
      </c>
      <c r="N365" s="6" t="inlineStr">
        <is>
          <t>검수표 188</t>
        </is>
      </c>
    </row>
    <row r="366" ht="37.5" customHeight="1">
      <c r="A366" s="6" t="inlineStr">
        <is>
          <t>DIET-P-0462</t>
        </is>
      </c>
      <c r="B366" s="6" t="inlineStr">
        <is>
          <t>1.0.0</t>
        </is>
      </c>
      <c r="C366" s="6" t="inlineStr">
        <is>
          <t>사용</t>
        </is>
      </c>
      <c r="D366" s="6" t="inlineStr">
        <is>
          <t>AXIS_STAGE</t>
        </is>
      </c>
      <c r="E366" s="6" t="inlineStr">
        <is>
          <t>DIET-Q-01</t>
        </is>
      </c>
      <c r="F366" s="6" t="inlineStr">
        <is>
          <t>INTRO</t>
        </is>
      </c>
      <c r="G366" s="6" t="inlineStr">
        <is>
          <t>저녁추천: 청경채/버섯</t>
        </is>
      </c>
      <c r="H366" s="5" t="inlineStr">
        <is>
          <t>저녁에 데친 청경채나 버섯을 반찬으로 드세요.</t>
        </is>
      </c>
      <c r="I366" s="5" t="inlineStr">
        <is>
          <t>데친 채소 한 가지로 저녁 채소를 더해요.</t>
        </is>
      </c>
      <c r="J366" s="6" t="n"/>
      <c r="K366" s="6" t="n"/>
      <c r="L366" s="6" t="inlineStr">
        <is>
          <t>MOHW-DIETGUIDE; WHO-DIET</t>
        </is>
      </c>
      <c r="M366" s="5" t="inlineStr">
        <is>
          <t>10-13 추가(추가문구 검수표 189번 · 끼니 추천). 근거: 국민 공통 식생활지침(보건복지부 2021) 1. 채소 등 다양한 식품 골고루 · WHO 채소·과일 하루 400g 이상 권고</t>
        </is>
      </c>
      <c r="N366" s="6" t="inlineStr">
        <is>
          <t>검수표 189</t>
        </is>
      </c>
    </row>
    <row r="367" ht="37.5" customHeight="1">
      <c r="A367" s="6" t="inlineStr">
        <is>
          <t>DIET-P-0463</t>
        </is>
      </c>
      <c r="B367" s="6" t="inlineStr">
        <is>
          <t>1.0.0</t>
        </is>
      </c>
      <c r="C367" s="6" t="inlineStr">
        <is>
          <t>사용</t>
        </is>
      </c>
      <c r="D367" s="6" t="inlineStr">
        <is>
          <t>AXIS_STAGE</t>
        </is>
      </c>
      <c r="E367" s="6" t="inlineStr">
        <is>
          <t>DIET-Q-01</t>
        </is>
      </c>
      <c r="F367" s="6" t="inlineStr">
        <is>
          <t>INTRO</t>
        </is>
      </c>
      <c r="G367" s="6" t="inlineStr">
        <is>
          <t>저녁추천: 브로콜리/쌈</t>
        </is>
      </c>
      <c r="H367" s="5" t="inlineStr">
        <is>
          <t>저녁에 데친 브로콜리나 쌈 채소를 곁들여 드세요.</t>
        </is>
      </c>
      <c r="I367" s="5" t="inlineStr">
        <is>
          <t>데친 브로콜리나 쌈으로 채소를 챙겨요.</t>
        </is>
      </c>
      <c r="J367" s="6" t="n"/>
      <c r="K367" s="6" t="n"/>
      <c r="L367" s="6" t="inlineStr">
        <is>
          <t>MOHW-DIETGUIDE; WHO-DIET</t>
        </is>
      </c>
      <c r="M367" s="5" t="inlineStr">
        <is>
          <t>10-13 추가(추가문구 검수표 190번 · 끼니 추천). 근거: 국민 공통 식생활지침(보건복지부 2021) 1. 채소 등 다양한 식품 골고루 · WHO 채소·과일 하루 400g 이상 권고</t>
        </is>
      </c>
      <c r="N367" s="6" t="inlineStr">
        <is>
          <t>검수표 190</t>
        </is>
      </c>
    </row>
    <row r="368" ht="37.5" customHeight="1">
      <c r="A368" s="6" t="inlineStr">
        <is>
          <t>DIET-P-0464</t>
        </is>
      </c>
      <c r="B368" s="6" t="inlineStr">
        <is>
          <t>1.0.0</t>
        </is>
      </c>
      <c r="C368" s="6" t="inlineStr">
        <is>
          <t>사용</t>
        </is>
      </c>
      <c r="D368" s="6" t="inlineStr">
        <is>
          <t>AXIS_STAGE</t>
        </is>
      </c>
      <c r="E368" s="6" t="inlineStr">
        <is>
          <t>DIET-Q-01</t>
        </is>
      </c>
      <c r="F368" s="6" t="inlineStr">
        <is>
          <t>INTRO</t>
        </is>
      </c>
      <c r="G368" s="6" t="inlineStr">
        <is>
          <t>저녁추천: 양배추/나물</t>
        </is>
      </c>
      <c r="H368" s="5" t="inlineStr">
        <is>
          <t>저녁에 양배추쌈이나 나물 반찬을 곁들여 드세요.</t>
        </is>
      </c>
      <c r="I368" s="5" t="inlineStr">
        <is>
          <t>양배추쌈이나 나물로 채소를 더해요.</t>
        </is>
      </c>
      <c r="J368" s="6" t="n"/>
      <c r="K368" s="6" t="n"/>
      <c r="L368" s="6" t="inlineStr">
        <is>
          <t>MOHW-DIETGUIDE; WHO-DIET</t>
        </is>
      </c>
      <c r="M368" s="5" t="inlineStr">
        <is>
          <t>10-13 추가(추가문구 검수표 191번 · 끼니 추천). 근거: 국민 공통 식생활지침(보건복지부 2021) 1. 채소 등 다양한 식품 골고루 · WHO 채소·과일 하루 400g 이상 권고</t>
        </is>
      </c>
      <c r="N368" s="6" t="inlineStr">
        <is>
          <t>검수표 191</t>
        </is>
      </c>
    </row>
    <row r="369" ht="37.5" customHeight="1">
      <c r="A369" s="6" t="inlineStr">
        <is>
          <t>DIET-P-0465</t>
        </is>
      </c>
      <c r="B369" s="6" t="inlineStr">
        <is>
          <t>1.0.0</t>
        </is>
      </c>
      <c r="C369" s="6" t="inlineStr">
        <is>
          <t>사용</t>
        </is>
      </c>
      <c r="D369" s="6" t="inlineStr">
        <is>
          <t>AXIS_STAGE</t>
        </is>
      </c>
      <c r="E369" s="6" t="inlineStr">
        <is>
          <t>DIET-Q-01</t>
        </is>
      </c>
      <c r="F369" s="6" t="inlineStr">
        <is>
          <t>INTRO</t>
        </is>
      </c>
      <c r="G369" s="6" t="inlineStr">
        <is>
          <t>저녁추천: 미나리/숙주</t>
        </is>
      </c>
      <c r="H369" s="5" t="inlineStr">
        <is>
          <t>저녁에 미나리나 숙주나물을 곁들여 드세요.</t>
        </is>
      </c>
      <c r="I369" s="5" t="inlineStr">
        <is>
          <t>향긋한 나물로 저녁 채소를 챙겨요.</t>
        </is>
      </c>
      <c r="J369" s="6" t="n"/>
      <c r="K369" s="6" t="n"/>
      <c r="L369" s="6" t="inlineStr">
        <is>
          <t>MOHW-DIETGUIDE; WHO-DIET</t>
        </is>
      </c>
      <c r="M369" s="5" t="inlineStr">
        <is>
          <t>10-13 추가(추가문구 검수표 192번 · 끼니 추천). 근거: 국민 공통 식생활지침(보건복지부 2021) 1. 채소 등 다양한 식품 골고루 · WHO 채소·과일 하루 400g 이상 권고</t>
        </is>
      </c>
      <c r="N369" s="6" t="inlineStr">
        <is>
          <t>검수표 192</t>
        </is>
      </c>
    </row>
    <row r="370" ht="37.5" customHeight="1">
      <c r="A370" s="6" t="inlineStr">
        <is>
          <t>DIET-P-0466</t>
        </is>
      </c>
      <c r="B370" s="6" t="inlineStr">
        <is>
          <t>1.0.0</t>
        </is>
      </c>
      <c r="C370" s="6" t="inlineStr">
        <is>
          <t>사용</t>
        </is>
      </c>
      <c r="D370" s="6" t="inlineStr">
        <is>
          <t>AXIS_STAGE</t>
        </is>
      </c>
      <c r="E370" s="6" t="inlineStr">
        <is>
          <t>DIET-Q-01</t>
        </is>
      </c>
      <c r="F370" s="6" t="inlineStr">
        <is>
          <t>INTRO</t>
        </is>
      </c>
      <c r="G370" s="6" t="inlineStr">
        <is>
          <t>저녁추천: 상추쌈/나물</t>
        </is>
      </c>
      <c r="H370" s="5" t="inlineStr">
        <is>
          <t>저녁에 상추쌈이나 나물 반찬을 곁들여 드세요.</t>
        </is>
      </c>
      <c r="I370" s="5" t="inlineStr">
        <is>
          <t>쌈 한 접시로 채소를 듬뿍 먹어요.</t>
        </is>
      </c>
      <c r="J370" s="6" t="n"/>
      <c r="K370" s="6" t="n"/>
      <c r="L370" s="6" t="inlineStr">
        <is>
          <t>MOHW-DIETGUIDE; WHO-DIET</t>
        </is>
      </c>
      <c r="M370" s="5" t="inlineStr">
        <is>
          <t>10-13 추가(추가문구 검수표 193번 · 끼니 추천). 근거: 국민 공통 식생활지침(보건복지부 2021) 1. 채소 등 다양한 식품 골고루 · WHO 채소·과일 하루 400g 이상 권고</t>
        </is>
      </c>
      <c r="N370" s="6" t="inlineStr">
        <is>
          <t>검수표 193</t>
        </is>
      </c>
    </row>
    <row r="371" ht="37.5" customHeight="1">
      <c r="A371" s="6" t="inlineStr">
        <is>
          <t>DIET-P-0467</t>
        </is>
      </c>
      <c r="B371" s="6" t="inlineStr">
        <is>
          <t>1.0.0</t>
        </is>
      </c>
      <c r="C371" s="6" t="inlineStr">
        <is>
          <t>사용</t>
        </is>
      </c>
      <c r="D371" s="6" t="inlineStr">
        <is>
          <t>AXIS_STAGE</t>
        </is>
      </c>
      <c r="E371" s="6" t="inlineStr">
        <is>
          <t>DIET-Q-03</t>
        </is>
      </c>
      <c r="F371" s="6" t="inlineStr">
        <is>
          <t>INTRO</t>
        </is>
      </c>
      <c r="G371" s="6" t="inlineStr">
        <is>
          <t>저녁추천: 생선/두부찜</t>
        </is>
      </c>
      <c r="H371" s="5" t="inlineStr">
        <is>
          <t>저녁에 국물 요리 대신 생선구이나 두부찜을 드세요.</t>
        </is>
      </c>
      <c r="I371" s="5" t="inlineStr">
        <is>
          <t>양념이 적은 구이와 찜은 덜 짜요.</t>
        </is>
      </c>
      <c r="J371" s="6" t="n"/>
      <c r="K371" s="6" t="n"/>
      <c r="L371" s="6" t="inlineStr">
        <is>
          <t>MOHW-DIETGUIDE; WHO-DIET; MFDS-SODIUM; KSH-2022</t>
        </is>
      </c>
      <c r="M371" s="5" t="inlineStr">
        <is>
          <t>10-13 추가(추가문구 검수표 194번 · 끼니 추천). 근거: 국민 공통 식생활지침(보건복지부 2021) 4. 덜 짜게 · WHO 나트륨 하루 2,000mg 미만 권고 · 국·찌개가 나트륨 주 공급원(국민건강영양조사)</t>
        </is>
      </c>
      <c r="N371" s="6" t="inlineStr">
        <is>
          <t>검수표 194</t>
        </is>
      </c>
    </row>
    <row r="372" ht="37.5" customHeight="1">
      <c r="A372" s="6" t="inlineStr">
        <is>
          <t>DIET-P-0468</t>
        </is>
      </c>
      <c r="B372" s="6" t="inlineStr">
        <is>
          <t>1.0.0</t>
        </is>
      </c>
      <c r="C372" s="6" t="inlineStr">
        <is>
          <t>사용</t>
        </is>
      </c>
      <c r="D372" s="6" t="inlineStr">
        <is>
          <t>AXIS_STAGE</t>
        </is>
      </c>
      <c r="E372" s="6" t="inlineStr">
        <is>
          <t>DIET-Q-03</t>
        </is>
      </c>
      <c r="F372" s="6" t="inlineStr">
        <is>
          <t>INTRO</t>
        </is>
      </c>
      <c r="G372" s="6" t="inlineStr">
        <is>
          <t>저녁추천: 생채소/쌈</t>
        </is>
      </c>
      <c r="H372" s="5" t="inlineStr">
        <is>
          <t>저녁에 절이지 않은 생채소나 쌈 채소를 곁들여 드세요.</t>
        </is>
      </c>
      <c r="I372" s="5" t="inlineStr">
        <is>
          <t>절이지 않은 생채소는 염분이 거의 없어요.</t>
        </is>
      </c>
      <c r="J372" s="6" t="n"/>
      <c r="K372" s="6" t="n"/>
      <c r="L372" s="6" t="inlineStr">
        <is>
          <t>MOHW-DIETGUIDE; WHO-DIET; MFDS-SODIUM; KSH-2022</t>
        </is>
      </c>
      <c r="M372" s="5" t="inlineStr">
        <is>
          <t>10-13 추가(추가문구 검수표 195번 · 끼니 추천). 근거: 국민 공통 식생활지침(보건복지부 2021) 4. 덜 짜게 · WHO 나트륨 하루 2,000mg 미만 권고 · 국·찌개가 나트륨 주 공급원(국민건강영양조사)</t>
        </is>
      </c>
      <c r="N372" s="6" t="inlineStr">
        <is>
          <t>검수표 195</t>
        </is>
      </c>
    </row>
    <row r="373" ht="37.5" customHeight="1">
      <c r="A373" s="6" t="inlineStr">
        <is>
          <t>DIET-P-0469</t>
        </is>
      </c>
      <c r="B373" s="6" t="inlineStr">
        <is>
          <t>1.0.0</t>
        </is>
      </c>
      <c r="C373" s="6" t="inlineStr">
        <is>
          <t>사용</t>
        </is>
      </c>
      <c r="D373" s="6" t="inlineStr">
        <is>
          <t>AXIS_STAGE</t>
        </is>
      </c>
      <c r="E373" s="6" t="inlineStr">
        <is>
          <t>DIET-Q-03</t>
        </is>
      </c>
      <c r="F373" s="6" t="inlineStr">
        <is>
          <t>INTRO</t>
        </is>
      </c>
      <c r="G373" s="6" t="inlineStr">
        <is>
          <t>저녁추천: 생선찜/구이</t>
        </is>
      </c>
      <c r="H373" s="5" t="inlineStr">
        <is>
          <t>저녁에 국물 요리 대신 생선찜이나 생선구이를 드세요.</t>
        </is>
      </c>
      <c r="I373" s="5" t="inlineStr">
        <is>
          <t>찜과 구이는 국물 요리보다 덜 짜요.</t>
        </is>
      </c>
      <c r="J373" s="6" t="n"/>
      <c r="K373" s="6" t="n"/>
      <c r="L373" s="6" t="inlineStr">
        <is>
          <t>MOHW-DIETGUIDE; WHO-DIET; MFDS-SODIUM; KSH-2022</t>
        </is>
      </c>
      <c r="M373" s="5" t="inlineStr">
        <is>
          <t>10-13 추가(추가문구 검수표 196번 · 끼니 추천). 근거: 국민 공통 식생활지침(보건복지부 2021) 4. 덜 짜게 · WHO 나트륨 하루 2,000mg 미만 권고 · 국·찌개가 나트륨 주 공급원(국민건강영양조사)</t>
        </is>
      </c>
      <c r="N373" s="6" t="inlineStr">
        <is>
          <t>검수표 196</t>
        </is>
      </c>
    </row>
    <row r="374" ht="25" customHeight="1">
      <c r="A374" s="6" t="inlineStr">
        <is>
          <t>DIET-P-0470</t>
        </is>
      </c>
      <c r="B374" s="6" t="inlineStr">
        <is>
          <t>1.0.0</t>
        </is>
      </c>
      <c r="C374" s="6" t="inlineStr">
        <is>
          <t>사용</t>
        </is>
      </c>
      <c r="D374" s="6" t="inlineStr">
        <is>
          <t>AXIS_STAGE</t>
        </is>
      </c>
      <c r="E374" s="6" t="inlineStr">
        <is>
          <t>DIET-Q-00</t>
        </is>
      </c>
      <c r="F374" s="6" t="inlineStr">
        <is>
          <t>INTRO</t>
        </is>
      </c>
      <c r="G374" s="6" t="inlineStr">
        <is>
          <t>저녁추천: 보리밥/쌈밥</t>
        </is>
      </c>
      <c r="H374" s="5" t="inlineStr">
        <is>
          <t>저녁을 보리밥이나 쌈밥으로 든든하게 드세요.</t>
        </is>
      </c>
      <c r="I374" s="5" t="inlineStr">
        <is>
          <t>든든한 밥 한 그릇으로 저녁을 챙겨요.</t>
        </is>
      </c>
      <c r="J374" s="6" t="n"/>
      <c r="K374" s="6" t="n"/>
      <c r="L374" s="6" t="inlineStr">
        <is>
          <t>MOHW-DIETGUIDE</t>
        </is>
      </c>
      <c r="M374" s="5" t="inlineStr">
        <is>
          <t>10-13 추가(추가문구 검수표 197번 · 끼니 추천). 근거: 국민 공통 식생활지침(보건복지부 2021) 2. 아침밥 꼭 먹기 · 규칙적인 식사</t>
        </is>
      </c>
      <c r="N374" s="6" t="inlineStr">
        <is>
          <t>검수표 197</t>
        </is>
      </c>
    </row>
    <row r="375" ht="37.5" customHeight="1">
      <c r="A375" s="6" t="inlineStr">
        <is>
          <t>DIET-P-0471</t>
        </is>
      </c>
      <c r="B375" s="6" t="inlineStr">
        <is>
          <t>1.0.0</t>
        </is>
      </c>
      <c r="C375" s="6" t="inlineStr">
        <is>
          <t>사용</t>
        </is>
      </c>
      <c r="D375" s="6" t="inlineStr">
        <is>
          <t>AXIS_STAGE</t>
        </is>
      </c>
      <c r="E375" s="6" t="inlineStr">
        <is>
          <t>DIET-Q-00</t>
        </is>
      </c>
      <c r="F375" s="6" t="inlineStr">
        <is>
          <t>INTRO</t>
        </is>
      </c>
      <c r="G375" s="6" t="inlineStr">
        <is>
          <t>아침추천: 감자+요거트</t>
        </is>
      </c>
      <c r="H375" s="5" t="inlineStr">
        <is>
          <t>아침에 찐 감자에 달지 않은 요거트를 곁들여 드세요.</t>
        </is>
      </c>
      <c r="I375" s="5" t="inlineStr">
        <is>
          <t>찐 감자에 요거트를 곁들이면 단백질이 더해져요.</t>
        </is>
      </c>
      <c r="J375" s="6" t="n"/>
      <c r="K375" s="6" t="n"/>
      <c r="L375" s="6" t="inlineStr">
        <is>
          <t>KDA-2023; MOHW-DIETGUIDE</t>
        </is>
      </c>
      <c r="M375" s="5" t="inlineStr">
        <is>
          <t>10-13 추가(추가문구 검수표 198번 · 끼니 추천). 근거: 국민 공통 식생활지침(보건복지부 2021) 1. 다양한 식품 골고루 · 당뇨병 식사요법(대한당뇨병학회): 탄수화물에 단백질·채소 곁들이기</t>
        </is>
      </c>
      <c r="N375" s="6" t="inlineStr">
        <is>
          <t>검수표 198</t>
        </is>
      </c>
    </row>
    <row r="376" ht="37.5" customHeight="1">
      <c r="A376" s="6" t="inlineStr">
        <is>
          <t>DIET-P-0472</t>
        </is>
      </c>
      <c r="B376" s="6" t="inlineStr">
        <is>
          <t>1.0.0</t>
        </is>
      </c>
      <c r="C376" s="6" t="inlineStr">
        <is>
          <t>사용</t>
        </is>
      </c>
      <c r="D376" s="6" t="inlineStr">
        <is>
          <t>AXIS_STAGE</t>
        </is>
      </c>
      <c r="E376" s="6" t="inlineStr">
        <is>
          <t>DIET-Q-00</t>
        </is>
      </c>
      <c r="F376" s="6" t="inlineStr">
        <is>
          <t>INTRO</t>
        </is>
      </c>
      <c r="G376" s="6" t="inlineStr">
        <is>
          <t>아침추천: 통밀빵+채소</t>
        </is>
      </c>
      <c r="H376" s="5" t="inlineStr">
        <is>
          <t>아침에 통밀빵에 채소를 곁들여 드세요.</t>
        </is>
      </c>
      <c r="I376" s="5" t="inlineStr">
        <is>
          <t>통밀빵에 채소를 곁들이면 든든하고 가벼워요.</t>
        </is>
      </c>
      <c r="J376" s="6" t="n"/>
      <c r="K376" s="6" t="n"/>
      <c r="L376" s="6" t="inlineStr">
        <is>
          <t>KDA-2023; MOHW-DIETGUIDE</t>
        </is>
      </c>
      <c r="M376" s="5" t="inlineStr">
        <is>
          <t>10-13 추가(추가문구 검수표 199번 · 끼니 추천). 근거: 국민 공통 식생활지침(보건복지부 2021) 1. 다양한 식품 골고루 · 당뇨병 식사요법(대한당뇨병학회): 탄수화물에 단백질·채소 곁들이기</t>
        </is>
      </c>
      <c r="N376" s="6" t="inlineStr">
        <is>
          <t>검수표 199</t>
        </is>
      </c>
    </row>
    <row r="377" ht="37.5" customHeight="1">
      <c r="A377" s="6" t="inlineStr">
        <is>
          <t>DIET-P-0473</t>
        </is>
      </c>
      <c r="B377" s="6" t="inlineStr">
        <is>
          <t>1.0.0</t>
        </is>
      </c>
      <c r="C377" s="6" t="inlineStr">
        <is>
          <t>사용</t>
        </is>
      </c>
      <c r="D377" s="6" t="inlineStr">
        <is>
          <t>AXIS_STAGE</t>
        </is>
      </c>
      <c r="E377" s="6" t="inlineStr">
        <is>
          <t>DIET-Q-00</t>
        </is>
      </c>
      <c r="F377" s="6" t="inlineStr">
        <is>
          <t>INTRO</t>
        </is>
      </c>
      <c r="G377" s="6" t="inlineStr">
        <is>
          <t>아침추천: 단호박+우유</t>
        </is>
      </c>
      <c r="H377" s="5" t="inlineStr">
        <is>
          <t>아침에 찐 단호박과 우유 한 잔을 함께 드세요.</t>
        </is>
      </c>
      <c r="I377" s="5" t="inlineStr">
        <is>
          <t>찐 단호박에 우유를 곁들여 든든하게 먹어요.</t>
        </is>
      </c>
      <c r="J377" s="6" t="n"/>
      <c r="K377" s="6" t="n"/>
      <c r="L377" s="6" t="inlineStr">
        <is>
          <t>KDA-2023; MOHW-DIETGUIDE</t>
        </is>
      </c>
      <c r="M377" s="5" t="inlineStr">
        <is>
          <t>10-13 추가(추가문구 검수표 200번 · 끼니 추천). 근거: 국민 공통 식생활지침(보건복지부 2021) 1. 다양한 식품 골고루 · 당뇨병 식사요법(대한당뇨병학회): 탄수화물에 단백질·채소 곁들이기</t>
        </is>
      </c>
      <c r="N377" s="6" t="inlineStr">
        <is>
          <t>검수표 200</t>
        </is>
      </c>
    </row>
    <row r="378" ht="37.5" customHeight="1">
      <c r="A378" s="6" t="inlineStr">
        <is>
          <t>DIET-P-0474</t>
        </is>
      </c>
      <c r="B378" s="6" t="inlineStr">
        <is>
          <t>1.0.0</t>
        </is>
      </c>
      <c r="C378" s="6" t="inlineStr">
        <is>
          <t>사용</t>
        </is>
      </c>
      <c r="D378" s="6" t="inlineStr">
        <is>
          <t>AXIS_STAGE</t>
        </is>
      </c>
      <c r="E378" s="6" t="inlineStr">
        <is>
          <t>DIET-Q-00</t>
        </is>
      </c>
      <c r="F378" s="6" t="inlineStr">
        <is>
          <t>INTRO</t>
        </is>
      </c>
      <c r="G378" s="6" t="inlineStr">
        <is>
          <t>아침추천: 흑미밥+나물</t>
        </is>
      </c>
      <c r="H378" s="5" t="inlineStr">
        <is>
          <t>아침에 흑미밥에 나물 반찬을 곁들여 드세요.</t>
        </is>
      </c>
      <c r="I378" s="5" t="inlineStr">
        <is>
          <t>흑미밥에 나물을 곁들이면 아침 채소도 챙겨요.</t>
        </is>
      </c>
      <c r="J378" s="6" t="n"/>
      <c r="K378" s="6" t="n"/>
      <c r="L378" s="6" t="inlineStr">
        <is>
          <t>KDA-2023; MOHW-DIETGUIDE</t>
        </is>
      </c>
      <c r="M378" s="5" t="inlineStr">
        <is>
          <t>10-13 추가(추가문구 검수표 201번 · 끼니 추천). 근거: 국민 공통 식생활지침(보건복지부 2021) 1. 다양한 식품 골고루 · 당뇨병 식사요법(대한당뇨병학회): 탄수화물에 단백질·채소 곁들이기</t>
        </is>
      </c>
      <c r="N378" s="6" t="inlineStr">
        <is>
          <t>검수표 201</t>
        </is>
      </c>
    </row>
    <row r="379" ht="37.5" customHeight="1">
      <c r="A379" s="6" t="inlineStr">
        <is>
          <t>DIET-P-0475</t>
        </is>
      </c>
      <c r="B379" s="6" t="inlineStr">
        <is>
          <t>1.0.0</t>
        </is>
      </c>
      <c r="C379" s="6" t="inlineStr">
        <is>
          <t>사용</t>
        </is>
      </c>
      <c r="D379" s="6" t="inlineStr">
        <is>
          <t>AXIS_STAGE</t>
        </is>
      </c>
      <c r="E379" s="6" t="inlineStr">
        <is>
          <t>DIET-Q-01</t>
        </is>
      </c>
      <c r="F379" s="6" t="inlineStr">
        <is>
          <t>INTRO</t>
        </is>
      </c>
      <c r="G379" s="6" t="inlineStr">
        <is>
          <t>아침추천: 시금치/쌈</t>
        </is>
      </c>
      <c r="H379" s="5" t="inlineStr">
        <is>
          <t>아침에 시금치나물이나 쌈 채소를 곁들여 드세요.</t>
        </is>
      </c>
      <c r="I379" s="5" t="inlineStr">
        <is>
          <t>국물 없이 채소를 먹을 수 있어요.</t>
        </is>
      </c>
      <c r="J379" s="6" t="n"/>
      <c r="K379" s="6" t="n"/>
      <c r="L379" s="6" t="inlineStr">
        <is>
          <t>MOHW-DIETGUIDE; WHO-DIET</t>
        </is>
      </c>
      <c r="M379" s="5" t="inlineStr">
        <is>
          <t>10-13 추가(추가문구 검수표 202번 · 끼니 추천). 근거: 국민 공통 식생활지침(보건복지부 2021) 1. 채소 등 다양한 식품 골고루 · WHO 채소·과일 하루 400g 이상 권고</t>
        </is>
      </c>
      <c r="N379" s="6" t="inlineStr">
        <is>
          <t>검수표 202</t>
        </is>
      </c>
    </row>
    <row r="380" ht="37.5" customHeight="1">
      <c r="A380" s="6" t="inlineStr">
        <is>
          <t>DIET-P-0476</t>
        </is>
      </c>
      <c r="B380" s="6" t="inlineStr">
        <is>
          <t>1.0.0</t>
        </is>
      </c>
      <c r="C380" s="6" t="inlineStr">
        <is>
          <t>사용</t>
        </is>
      </c>
      <c r="D380" s="6" t="inlineStr">
        <is>
          <t>AXIS_STAGE</t>
        </is>
      </c>
      <c r="E380" s="6" t="inlineStr">
        <is>
          <t>DIET-Q-01</t>
        </is>
      </c>
      <c r="F380" s="6" t="inlineStr">
        <is>
          <t>INTRO</t>
        </is>
      </c>
      <c r="G380" s="6" t="inlineStr">
        <is>
          <t>양배추샐러드+1/2소스</t>
        </is>
      </c>
      <c r="H380" s="5" t="inlineStr">
        <is>
          <t>양배추샐러드를 드시고, 소스는 평소의 절반만 뿌리세요.</t>
        </is>
      </c>
      <c r="I380" s="5" t="inlineStr">
        <is>
          <t>아삭한 양배추샐러드로 아침 채소를 더해요. 소스는 절반만 뿌려요.</t>
        </is>
      </c>
      <c r="J380" s="6" t="inlineStr">
        <is>
          <t>REDUCE</t>
        </is>
      </c>
      <c r="K380" s="6" t="n"/>
      <c r="L380" s="6" t="inlineStr">
        <is>
          <t>MOHW-DIETGUIDE; WHO-DIET</t>
        </is>
      </c>
      <c r="M380" s="5" t="inlineStr">
        <is>
          <t>10-13 추가(추가문구 검수표 203번 · 끼니 추천). 근거: 국민 공통 식생활지침(보건복지부 2021) 1. 채소 등 다양한 식품 골고루 · WHO 채소·과일 하루 400g 이상 권고</t>
        </is>
      </c>
      <c r="N380" s="6" t="inlineStr">
        <is>
          <t>검수표 203</t>
        </is>
      </c>
    </row>
    <row r="381" ht="37.5" customHeight="1">
      <c r="A381" s="6" t="inlineStr">
        <is>
          <t>DIET-P-0477</t>
        </is>
      </c>
      <c r="B381" s="6" t="inlineStr">
        <is>
          <t>1.0.0</t>
        </is>
      </c>
      <c r="C381" s="6" t="inlineStr">
        <is>
          <t>사용</t>
        </is>
      </c>
      <c r="D381" s="6" t="inlineStr">
        <is>
          <t>AXIS_STAGE</t>
        </is>
      </c>
      <c r="E381" s="6" t="inlineStr">
        <is>
          <t>DIET-Q-01</t>
        </is>
      </c>
      <c r="F381" s="6" t="inlineStr">
        <is>
          <t>INTRO</t>
        </is>
      </c>
      <c r="G381" s="6" t="inlineStr">
        <is>
          <t>아침추천: 비빔밥/나물</t>
        </is>
      </c>
      <c r="H381" s="5" t="inlineStr">
        <is>
          <t>아침을 나물 비빔밥으로 드시거나 나물 반찬을 곁들이세요.</t>
        </is>
      </c>
      <c r="I381" s="5" t="inlineStr">
        <is>
          <t>나물을 곁들이면 아침 채소가 넉넉해요.</t>
        </is>
      </c>
      <c r="J381" s="6" t="n"/>
      <c r="K381" s="6" t="n"/>
      <c r="L381" s="6" t="inlineStr">
        <is>
          <t>MOHW-DIETGUIDE; WHO-DIET</t>
        </is>
      </c>
      <c r="M381" s="5" t="inlineStr">
        <is>
          <t>10-13 추가(추가문구 검수표 204번 · 끼니 추천). 근거: 국민 공통 식생활지침(보건복지부 2021) 1. 채소 등 다양한 식품 골고루 · WHO 채소·과일 하루 400g 이상 권고</t>
        </is>
      </c>
      <c r="N381" s="6" t="inlineStr">
        <is>
          <t>검수표 204</t>
        </is>
      </c>
    </row>
    <row r="382" ht="37.5" customHeight="1">
      <c r="A382" s="6" t="inlineStr">
        <is>
          <t>DIET-P-0478</t>
        </is>
      </c>
      <c r="B382" s="6" t="inlineStr">
        <is>
          <t>1.0.0</t>
        </is>
      </c>
      <c r="C382" s="6" t="inlineStr">
        <is>
          <t>사용</t>
        </is>
      </c>
      <c r="D382" s="6" t="inlineStr">
        <is>
          <t>AXIS_STAGE</t>
        </is>
      </c>
      <c r="E382" s="6" t="inlineStr">
        <is>
          <t>DIET-Q-06</t>
        </is>
      </c>
      <c r="F382" s="6" t="inlineStr">
        <is>
          <t>INTRO</t>
        </is>
      </c>
      <c r="G382" s="6" t="inlineStr">
        <is>
          <t>아침추천: 요거트/두유</t>
        </is>
      </c>
      <c r="H382" s="5" t="inlineStr">
        <is>
          <t>아침에 달지 않은 요거트나 두유를 곁들여 드세요.</t>
        </is>
      </c>
      <c r="I382" s="5" t="inlineStr">
        <is>
          <t>달지 않은 요거트나 두유로 단백질을 더해요.</t>
        </is>
      </c>
      <c r="J382" s="6" t="inlineStr">
        <is>
          <t>INCREASE</t>
        </is>
      </c>
      <c r="K382" s="6" t="n"/>
      <c r="L382" s="6" t="inlineStr">
        <is>
          <t>MOHW-DIETGUIDE; WHO-DIET</t>
        </is>
      </c>
      <c r="M382" s="5" t="inlineStr">
        <is>
          <t>10-13 추가(추가문구 검수표 205번 · 끼니 추천). 근거: 국민 공통 식생활지침(보건복지부 2021) 1. 다양한 식품 골고루 · 2020 한국인 영양소 섭취기준(단백질 끼니별 고른 섭취)</t>
        </is>
      </c>
      <c r="N382" s="6" t="inlineStr">
        <is>
          <t>검수표 205</t>
        </is>
      </c>
    </row>
    <row r="383" ht="37.5" customHeight="1">
      <c r="A383" s="6" t="inlineStr">
        <is>
          <t>DIET-P-0479</t>
        </is>
      </c>
      <c r="B383" s="6" t="inlineStr">
        <is>
          <t>1.0.0</t>
        </is>
      </c>
      <c r="C383" s="6" t="inlineStr">
        <is>
          <t>사용</t>
        </is>
      </c>
      <c r="D383" s="6" t="inlineStr">
        <is>
          <t>AXIS_STAGE</t>
        </is>
      </c>
      <c r="E383" s="6" t="inlineStr">
        <is>
          <t>DIET-Q-06</t>
        </is>
      </c>
      <c r="F383" s="6" t="inlineStr">
        <is>
          <t>INTRO</t>
        </is>
      </c>
      <c r="G383" s="6" t="inlineStr">
        <is>
          <t>아침추천: 우유/요거트</t>
        </is>
      </c>
      <c r="H383" s="5" t="inlineStr">
        <is>
          <t>아침에 우유 한 잔이나 요거트 한 컵을 곁들여 드세요.</t>
        </is>
      </c>
      <c r="I383" s="5" t="inlineStr">
        <is>
          <t>한 잔이나 한 컵으로 아침 단백질을 챙겨요.</t>
        </is>
      </c>
      <c r="J383" s="6" t="inlineStr">
        <is>
          <t>INCREASE</t>
        </is>
      </c>
      <c r="K383" s="6" t="n"/>
      <c r="L383" s="6" t="inlineStr">
        <is>
          <t>MOHW-DIETGUIDE; WHO-DIET</t>
        </is>
      </c>
      <c r="M383" s="5" t="inlineStr">
        <is>
          <t>10-13 추가(추가문구 검수표 206번 · 끼니 추천). 근거: 국민 공통 식생활지침(보건복지부 2021) 1. 다양한 식품 골고루 · 2020 한국인 영양소 섭취기준(단백질 끼니별 고른 섭취)</t>
        </is>
      </c>
      <c r="N383" s="6" t="inlineStr">
        <is>
          <t>검수표 206</t>
        </is>
      </c>
    </row>
    <row r="384" ht="37.5" customHeight="1">
      <c r="A384" s="6" t="inlineStr">
        <is>
          <t>DIET-P-0480</t>
        </is>
      </c>
      <c r="B384" s="6" t="inlineStr">
        <is>
          <t>1.0.0</t>
        </is>
      </c>
      <c r="C384" s="6" t="inlineStr">
        <is>
          <t>사용</t>
        </is>
      </c>
      <c r="D384" s="6" t="inlineStr">
        <is>
          <t>AXIS_STAGE</t>
        </is>
      </c>
      <c r="E384" s="6" t="inlineStr">
        <is>
          <t>DIET-Q-06</t>
        </is>
      </c>
      <c r="F384" s="6" t="inlineStr">
        <is>
          <t>INTRO</t>
        </is>
      </c>
      <c r="G384" s="6" t="inlineStr">
        <is>
          <t>아침추천: 닭안심/두유</t>
        </is>
      </c>
      <c r="H384" s="5" t="inlineStr">
        <is>
          <t>아침에 닭안심 요리나 두유를 곁들여 드세요.</t>
        </is>
      </c>
      <c r="I384" s="5" t="inlineStr">
        <is>
          <t>담백한 단백질로 아침을 든든하게 해요.</t>
        </is>
      </c>
      <c r="J384" s="6" t="inlineStr">
        <is>
          <t>INCREASE</t>
        </is>
      </c>
      <c r="K384" s="6" t="n"/>
      <c r="L384" s="6" t="inlineStr">
        <is>
          <t>MOHW-DIETGUIDE; WHO-DIET</t>
        </is>
      </c>
      <c r="M384" s="5" t="inlineStr">
        <is>
          <t>10-13 추가(추가문구 검수표 207번 · 끼니 추천). 근거: 국민 공통 식생활지침(보건복지부 2021) 1. 다양한 식품 골고루 · 2020 한국인 영양소 섭취기준(단백질 끼니별 고른 섭취)</t>
        </is>
      </c>
      <c r="N384" s="6" t="inlineStr">
        <is>
          <t>검수표 207</t>
        </is>
      </c>
    </row>
    <row r="385" ht="25" customHeight="1">
      <c r="A385" s="6" t="inlineStr">
        <is>
          <t>DIET-P-0481</t>
        </is>
      </c>
      <c r="B385" s="6" t="inlineStr">
        <is>
          <t>1.0.0</t>
        </is>
      </c>
      <c r="C385" s="6" t="inlineStr">
        <is>
          <t>사용</t>
        </is>
      </c>
      <c r="D385" s="6" t="inlineStr">
        <is>
          <t>AXIS_STAGE</t>
        </is>
      </c>
      <c r="E385" s="6" t="inlineStr">
        <is>
          <t>DIET-Q-07</t>
        </is>
      </c>
      <c r="F385" s="6" t="inlineStr">
        <is>
          <t>INTRO</t>
        </is>
      </c>
      <c r="G385" s="6" t="inlineStr">
        <is>
          <t>아침추천: 생선/두부</t>
        </is>
      </c>
      <c r="H385" s="5" t="inlineStr">
        <is>
          <t>아침에 생선구이나 두부 반찬을 곁들여 드세요.</t>
        </is>
      </c>
      <c r="I385" s="5" t="inlineStr">
        <is>
          <t>기름을 덜 쓰는 반찬으로 아침을 먹어요.</t>
        </is>
      </c>
      <c r="J385" s="6" t="n"/>
      <c r="K385" s="6" t="n"/>
      <c r="L385" s="6" t="inlineStr">
        <is>
          <t>MOHW-DIETGUIDE; WHO-FAT-2023; KSoLA-2022</t>
        </is>
      </c>
      <c r="M385" s="5" t="inlineStr">
        <is>
          <t>10-13 추가(추가문구 검수표 208번 · 끼니 추천). 근거: 국민 공통 식생활지침(보건복지부 2021) 4. 덜 기름지게 · WHO 포화지방 하루 열량 10% 미만 권고</t>
        </is>
      </c>
      <c r="N385" s="6" t="inlineStr">
        <is>
          <t>검수표 208</t>
        </is>
      </c>
    </row>
    <row r="386" ht="25" customHeight="1">
      <c r="A386" s="6" t="inlineStr">
        <is>
          <t>DIET-P-0482</t>
        </is>
      </c>
      <c r="B386" s="6" t="inlineStr">
        <is>
          <t>1.0.0</t>
        </is>
      </c>
      <c r="C386" s="6" t="inlineStr">
        <is>
          <t>사용</t>
        </is>
      </c>
      <c r="D386" s="6" t="inlineStr">
        <is>
          <t>AXIS_STAGE</t>
        </is>
      </c>
      <c r="E386" s="6" t="inlineStr">
        <is>
          <t>DIET-Q-07</t>
        </is>
      </c>
      <c r="F386" s="6" t="inlineStr">
        <is>
          <t>INTRO</t>
        </is>
      </c>
      <c r="G386" s="6" t="inlineStr">
        <is>
          <t>아침추천: 생선찜/두부</t>
        </is>
      </c>
      <c r="H386" s="5" t="inlineStr">
        <is>
          <t>아침에 생선찜이나 두부 반찬을 곁들여 드세요.</t>
        </is>
      </c>
      <c r="I386" s="5" t="inlineStr">
        <is>
          <t>찜과 두부는 기름을 덜 쓰는 반찬이에요.</t>
        </is>
      </c>
      <c r="J386" s="6" t="n"/>
      <c r="K386" s="6" t="n"/>
      <c r="L386" s="6" t="inlineStr">
        <is>
          <t>MOHW-DIETGUIDE; WHO-FAT-2023; KSoLA-2022</t>
        </is>
      </c>
      <c r="M386" s="5" t="inlineStr">
        <is>
          <t>10-13 추가(추가문구 검수표 209번 · 끼니 추천). 근거: 국민 공통 식생활지침(보건복지부 2021) 4. 덜 기름지게 · WHO 포화지방 하루 열량 10% 미만 권고</t>
        </is>
      </c>
      <c r="N386" s="6" t="inlineStr">
        <is>
          <t>검수표 209</t>
        </is>
      </c>
    </row>
    <row r="387" ht="37.5" customHeight="1">
      <c r="A387" s="6" t="inlineStr">
        <is>
          <t>DIET-P-0483</t>
        </is>
      </c>
      <c r="B387" s="6" t="inlineStr">
        <is>
          <t>1.0.0</t>
        </is>
      </c>
      <c r="C387" s="6" t="inlineStr">
        <is>
          <t>사용</t>
        </is>
      </c>
      <c r="D387" s="6" t="inlineStr">
        <is>
          <t>AXIS_STAGE</t>
        </is>
      </c>
      <c r="E387" s="6" t="inlineStr">
        <is>
          <t>DIET-Q-03</t>
        </is>
      </c>
      <c r="F387" s="6" t="inlineStr">
        <is>
          <t>INTRO</t>
        </is>
      </c>
      <c r="G387" s="6" t="inlineStr">
        <is>
          <t>아침추천: 오이/생채</t>
        </is>
      </c>
      <c r="H387" s="5" t="inlineStr">
        <is>
          <t>아침에 김치 대신 오이나 생채를 곁들여 드세요.</t>
        </is>
      </c>
      <c r="I387" s="5" t="inlineStr">
        <is>
          <t>절이지 않은 채소는 염분이 적어요.</t>
        </is>
      </c>
      <c r="J387" s="6" t="n"/>
      <c r="K387" s="6" t="n"/>
      <c r="L387" s="6" t="inlineStr">
        <is>
          <t>MOHW-DIETGUIDE; WHO-DIET; MFDS-SODIUM; KSH-2022</t>
        </is>
      </c>
      <c r="M387" s="5" t="inlineStr">
        <is>
          <t>10-13 추가(추가문구 검수표 210번 · 끼니 추천). 근거: 국민 공통 식생활지침(보건복지부 2021) 4. 덜 짜게 · WHO 나트륨 하루 2,000mg 미만 권고 · 국·찌개가 나트륨 주 공급원(국민건강영양조사)</t>
        </is>
      </c>
      <c r="N387" s="6" t="inlineStr">
        <is>
          <t>검수표 210</t>
        </is>
      </c>
    </row>
    <row r="388" ht="37.5" customHeight="1">
      <c r="A388" s="6" t="inlineStr">
        <is>
          <t>DIET-P-0484</t>
        </is>
      </c>
      <c r="B388" s="6" t="inlineStr">
        <is>
          <t>1.0.0</t>
        </is>
      </c>
      <c r="C388" s="6" t="inlineStr">
        <is>
          <t>사용</t>
        </is>
      </c>
      <c r="D388" s="6" t="inlineStr">
        <is>
          <t>AXIS_STAGE</t>
        </is>
      </c>
      <c r="E388" s="6" t="inlineStr">
        <is>
          <t>DIET-Q-03</t>
        </is>
      </c>
      <c r="F388" s="6" t="inlineStr">
        <is>
          <t>INTRO</t>
        </is>
      </c>
      <c r="G388" s="6" t="inlineStr">
        <is>
          <t>아침추천: 무생채/나물</t>
        </is>
      </c>
      <c r="H388" s="5" t="inlineStr">
        <is>
          <t>아침에 김치 대신 무생채나 나물을 곁들여 드세요.</t>
        </is>
      </c>
      <c r="I388" s="5" t="inlineStr">
        <is>
          <t>김치 대신 생채와 나물은 염분이 적어요.</t>
        </is>
      </c>
      <c r="J388" s="6" t="n"/>
      <c r="K388" s="6" t="n"/>
      <c r="L388" s="6" t="inlineStr">
        <is>
          <t>MOHW-DIETGUIDE; WHO-DIET; MFDS-SODIUM; KSH-2022</t>
        </is>
      </c>
      <c r="M388" s="5" t="inlineStr">
        <is>
          <t>10-13 추가(추가문구 검수표 211번 · 끼니 추천). 근거: 국민 공통 식생활지침(보건복지부 2021) 4. 덜 짜게 · WHO 나트륨 하루 2,000mg 미만 권고 · 국·찌개가 나트륨 주 공급원(국민건강영양조사)</t>
        </is>
      </c>
      <c r="N388" s="6" t="inlineStr">
        <is>
          <t>검수표 211</t>
        </is>
      </c>
    </row>
    <row r="389" ht="37.5" customHeight="1">
      <c r="A389" s="6" t="inlineStr">
        <is>
          <t>DIET-P-0485</t>
        </is>
      </c>
      <c r="B389" s="6" t="inlineStr">
        <is>
          <t>1.0.0</t>
        </is>
      </c>
      <c r="C389" s="6" t="inlineStr">
        <is>
          <t>사용</t>
        </is>
      </c>
      <c r="D389" s="6" t="inlineStr">
        <is>
          <t>AXIS_STAGE</t>
        </is>
      </c>
      <c r="E389" s="6" t="inlineStr">
        <is>
          <t>DIET-Q-00</t>
        </is>
      </c>
      <c r="F389" s="6" t="inlineStr">
        <is>
          <t>INTRO</t>
        </is>
      </c>
      <c r="G389" s="6" t="inlineStr">
        <is>
          <t>아침추천: 옥수수+두유</t>
        </is>
      </c>
      <c r="H389" s="5" t="inlineStr">
        <is>
          <t>아침에 찐 옥수수와 두유 한 잔을 함께 드세요.</t>
        </is>
      </c>
      <c r="I389" s="5" t="inlineStr">
        <is>
          <t>찐 옥수수에 두유를 곁들이면 단백질이 더해져요.</t>
        </is>
      </c>
      <c r="J389" s="6" t="n"/>
      <c r="K389" s="6" t="n"/>
      <c r="L389" s="6" t="inlineStr">
        <is>
          <t>KDA-2023; MOHW-DIETGUIDE</t>
        </is>
      </c>
      <c r="M389" s="5" t="inlineStr">
        <is>
          <t>10-13 추가(추가문구 검수표 212번 · 끼니 추천). 근거: 국민 공통 식생활지침(보건복지부 2021) 1. 다양한 식품 골고루 · 당뇨병 식사요법(대한당뇨병학회): 탄수화물에 단백질·채소 곁들이기</t>
        </is>
      </c>
      <c r="N389" s="6" t="inlineStr">
        <is>
          <t>검수표 212</t>
        </is>
      </c>
    </row>
    <row r="390" ht="37.5" customHeight="1">
      <c r="A390" s="6" t="inlineStr">
        <is>
          <t>DIET-P-0486</t>
        </is>
      </c>
      <c r="B390" s="6" t="inlineStr">
        <is>
          <t>1.0.0</t>
        </is>
      </c>
      <c r="C390" s="6" t="inlineStr">
        <is>
          <t>사용</t>
        </is>
      </c>
      <c r="D390" s="6" t="inlineStr">
        <is>
          <t>AXIS_STAGE</t>
        </is>
      </c>
      <c r="E390" s="6" t="inlineStr">
        <is>
          <t>DIET-Q-00</t>
        </is>
      </c>
      <c r="F390" s="6" t="inlineStr">
        <is>
          <t>INTRO</t>
        </is>
      </c>
      <c r="G390" s="6" t="inlineStr">
        <is>
          <t>아침추천: 보리밥+나물</t>
        </is>
      </c>
      <c r="H390" s="5" t="inlineStr">
        <is>
          <t>아침에 보리밥에 나물 반찬을 곁들여 드세요.</t>
        </is>
      </c>
      <c r="I390" s="5" t="inlineStr">
        <is>
          <t>보리밥에 나물을 곁들이면 오래 든든해요.</t>
        </is>
      </c>
      <c r="J390" s="6" t="n"/>
      <c r="K390" s="6" t="n"/>
      <c r="L390" s="6" t="inlineStr">
        <is>
          <t>KDA-2023; MOHW-DIETGUIDE</t>
        </is>
      </c>
      <c r="M390" s="5" t="inlineStr">
        <is>
          <t>10-13 추가(추가문구 검수표 213번 · 끼니 추천). 근거: 국민 공통 식생활지침(보건복지부 2021) 1. 다양한 식품 골고루 · 당뇨병 식사요법(대한당뇨병학회): 탄수화물에 단백질·채소 곁들이기</t>
        </is>
      </c>
      <c r="N390" s="6" t="inlineStr">
        <is>
          <t>검수표 213</t>
        </is>
      </c>
    </row>
    <row r="391" ht="37.5" customHeight="1">
      <c r="A391" s="6" t="inlineStr">
        <is>
          <t>DIET-P-0487</t>
        </is>
      </c>
      <c r="B391" s="6" t="inlineStr">
        <is>
          <t>1.0.0</t>
        </is>
      </c>
      <c r="C391" s="6" t="inlineStr">
        <is>
          <t>사용</t>
        </is>
      </c>
      <c r="D391" s="6" t="inlineStr">
        <is>
          <t>AXIS_STAGE</t>
        </is>
      </c>
      <c r="E391" s="6" t="inlineStr">
        <is>
          <t>DIET-Q-01</t>
        </is>
      </c>
      <c r="F391" s="6" t="inlineStr">
        <is>
          <t>INTRO</t>
        </is>
      </c>
      <c r="G391" s="6" t="inlineStr">
        <is>
          <t>아침추천: 콩나물/쌈</t>
        </is>
      </c>
      <c r="H391" s="5" t="inlineStr">
        <is>
          <t>아침에 콩나물무침이나 쌈 채소를 곁들여 드세요.</t>
        </is>
      </c>
      <c r="I391" s="5" t="inlineStr">
        <is>
          <t>콩나물무침이나 쌈으로 채소를 챙겨요.</t>
        </is>
      </c>
      <c r="J391" s="6" t="n"/>
      <c r="K391" s="6" t="n"/>
      <c r="L391" s="6" t="inlineStr">
        <is>
          <t>MOHW-DIETGUIDE; WHO-DIET</t>
        </is>
      </c>
      <c r="M391" s="5" t="inlineStr">
        <is>
          <t>10-13 추가(추가문구 검수표 214번 · 끼니 추천). 근거: 국민 공통 식생활지침(보건복지부 2021) 1. 채소 등 다양한 식품 골고루 · WHO 채소·과일 하루 400g 이상 권고</t>
        </is>
      </c>
      <c r="N391" s="6" t="inlineStr">
        <is>
          <t>검수표 214</t>
        </is>
      </c>
    </row>
    <row r="392" ht="37.5" customHeight="1">
      <c r="A392" s="6" t="inlineStr">
        <is>
          <t>DIET-P-0488</t>
        </is>
      </c>
      <c r="B392" s="6" t="inlineStr">
        <is>
          <t>1.0.0</t>
        </is>
      </c>
      <c r="C392" s="6" t="inlineStr">
        <is>
          <t>사용</t>
        </is>
      </c>
      <c r="D392" s="6" t="inlineStr">
        <is>
          <t>AXIS_STAGE</t>
        </is>
      </c>
      <c r="E392" s="6" t="inlineStr">
        <is>
          <t>DIET-Q-01</t>
        </is>
      </c>
      <c r="F392" s="6" t="inlineStr">
        <is>
          <t>INTRO</t>
        </is>
      </c>
      <c r="G392" s="6" t="inlineStr">
        <is>
          <t>아침추천: 호박/나물</t>
        </is>
      </c>
      <c r="H392" s="5" t="inlineStr">
        <is>
          <t>아침에 호박 반찬이나 나물을 곁들여 드세요.</t>
        </is>
      </c>
      <c r="I392" s="5" t="inlineStr">
        <is>
          <t>호박이나 나물로 국물 없이 채소를 먹어요.</t>
        </is>
      </c>
      <c r="J392" s="6" t="n"/>
      <c r="K392" s="6" t="n"/>
      <c r="L392" s="6" t="inlineStr">
        <is>
          <t>MOHW-DIETGUIDE; WHO-DIET</t>
        </is>
      </c>
      <c r="M392" s="5" t="inlineStr">
        <is>
          <t>10-13 추가(추가문구 검수표 215번 · 끼니 추천). 근거: 국민 공통 식생활지침(보건복지부 2021) 1. 채소 등 다양한 식품 골고루 · WHO 채소·과일 하루 400g 이상 권고</t>
        </is>
      </c>
      <c r="N392" s="6" t="inlineStr">
        <is>
          <t>검수표 215</t>
        </is>
      </c>
    </row>
    <row r="393" ht="37.5" customHeight="1">
      <c r="A393" s="6" t="inlineStr">
        <is>
          <t>DIET-P-0489</t>
        </is>
      </c>
      <c r="B393" s="6" t="inlineStr">
        <is>
          <t>1.0.0</t>
        </is>
      </c>
      <c r="C393" s="6" t="inlineStr">
        <is>
          <t>사용</t>
        </is>
      </c>
      <c r="D393" s="6" t="inlineStr">
        <is>
          <t>AXIS_STAGE</t>
        </is>
      </c>
      <c r="E393" s="6" t="inlineStr">
        <is>
          <t>DIET-Q-01</t>
        </is>
      </c>
      <c r="F393" s="6" t="inlineStr">
        <is>
          <t>INTRO</t>
        </is>
      </c>
      <c r="G393" s="6" t="inlineStr">
        <is>
          <t>아침추천: 양배추/오이</t>
        </is>
      </c>
      <c r="H393" s="5" t="inlineStr">
        <is>
          <t>아침에 양배추나 오이를 곁들여 드세요.</t>
        </is>
      </c>
      <c r="I393" s="5" t="inlineStr">
        <is>
          <t>아삭한 채소 한 가지로 아침 채소를 더해요.</t>
        </is>
      </c>
      <c r="J393" s="6" t="n"/>
      <c r="K393" s="6" t="n"/>
      <c r="L393" s="6" t="inlineStr">
        <is>
          <t>MOHW-DIETGUIDE; WHO-DIET</t>
        </is>
      </c>
      <c r="M393" s="5" t="inlineStr">
        <is>
          <t>10-13 추가(추가문구 검수표 216번 · 끼니 추천). 근거: 국민 공통 식생활지침(보건복지부 2021) 1. 채소 등 다양한 식품 골고루 · WHO 채소·과일 하루 400g 이상 권고</t>
        </is>
      </c>
      <c r="N393" s="6" t="inlineStr">
        <is>
          <t>검수표 216</t>
        </is>
      </c>
    </row>
    <row r="394" ht="37.5" customHeight="1">
      <c r="A394" s="6" t="inlineStr">
        <is>
          <t>DIET-P-0490</t>
        </is>
      </c>
      <c r="B394" s="6" t="inlineStr">
        <is>
          <t>1.0.0</t>
        </is>
      </c>
      <c r="C394" s="6" t="inlineStr">
        <is>
          <t>사용</t>
        </is>
      </c>
      <c r="D394" s="6" t="inlineStr">
        <is>
          <t>AXIS_STAGE</t>
        </is>
      </c>
      <c r="E394" s="6" t="inlineStr">
        <is>
          <t>DIET-Q-06</t>
        </is>
      </c>
      <c r="F394" s="6" t="inlineStr">
        <is>
          <t>INTRO</t>
        </is>
      </c>
      <c r="G394" s="6" t="inlineStr">
        <is>
          <t>아침추천: 요거트/두부</t>
        </is>
      </c>
      <c r="H394" s="5" t="inlineStr">
        <is>
          <t>아침에 달지 않은 요거트나 두부 반찬을 곁들여 드세요.</t>
        </is>
      </c>
      <c r="I394" s="5" t="inlineStr">
        <is>
          <t>달지 않은 요거트나 두부로 단백질을 더해요.</t>
        </is>
      </c>
      <c r="J394" s="6" t="inlineStr">
        <is>
          <t>INCREASE</t>
        </is>
      </c>
      <c r="K394" s="6" t="n"/>
      <c r="L394" s="6" t="inlineStr">
        <is>
          <t>MOHW-DIETGUIDE; WHO-DIET</t>
        </is>
      </c>
      <c r="M394" s="5" t="inlineStr">
        <is>
          <t>10-13 추가(추가문구 검수표 217번 · 끼니 추천). 근거: 국민 공통 식생활지침(보건복지부 2021) 1. 다양한 식품 골고루 · 2020 한국인 영양소 섭취기준(단백질 끼니별 고른 섭취)</t>
        </is>
      </c>
      <c r="N394" s="6" t="inlineStr">
        <is>
          <t>검수표 217</t>
        </is>
      </c>
    </row>
    <row r="395" ht="37.5" customHeight="1">
      <c r="A395" s="6" t="inlineStr">
        <is>
          <t>DIET-P-0491</t>
        </is>
      </c>
      <c r="B395" s="6" t="inlineStr">
        <is>
          <t>1.0.0</t>
        </is>
      </c>
      <c r="C395" s="6" t="inlineStr">
        <is>
          <t>사용</t>
        </is>
      </c>
      <c r="D395" s="6" t="inlineStr">
        <is>
          <t>AXIS_STAGE</t>
        </is>
      </c>
      <c r="E395" s="6" t="inlineStr">
        <is>
          <t>DIET-Q-06</t>
        </is>
      </c>
      <c r="F395" s="6" t="inlineStr">
        <is>
          <t>INTRO</t>
        </is>
      </c>
      <c r="G395" s="6" t="inlineStr">
        <is>
          <t>아침추천: 순두부/우유</t>
        </is>
      </c>
      <c r="H395" s="5" t="inlineStr">
        <is>
          <t>아침에 순두부나 우유 한 잔을 곁들여 드세요.</t>
        </is>
      </c>
      <c r="I395" s="5" t="inlineStr">
        <is>
          <t>부드러운 순두부나 우유로 단백질을 챙겨요.</t>
        </is>
      </c>
      <c r="J395" s="6" t="inlineStr">
        <is>
          <t>INCREASE</t>
        </is>
      </c>
      <c r="K395" s="6" t="n"/>
      <c r="L395" s="6" t="inlineStr">
        <is>
          <t>MOHW-DIETGUIDE; WHO-DIET</t>
        </is>
      </c>
      <c r="M395" s="5" t="inlineStr">
        <is>
          <t>10-13 추가(추가문구 검수표 218번 · 끼니 추천). 근거: 국민 공통 식생활지침(보건복지부 2021) 1. 다양한 식품 골고루 · 2020 한국인 영양소 섭취기준(단백질 끼니별 고른 섭취)</t>
        </is>
      </c>
      <c r="N395" s="6" t="inlineStr">
        <is>
          <t>검수표 218</t>
        </is>
      </c>
    </row>
    <row r="396" ht="37.5" customHeight="1">
      <c r="A396" s="6" t="inlineStr">
        <is>
          <t>DIET-P-0492</t>
        </is>
      </c>
      <c r="B396" s="6" t="inlineStr">
        <is>
          <t>1.0.0</t>
        </is>
      </c>
      <c r="C396" s="6" t="inlineStr">
        <is>
          <t>사용</t>
        </is>
      </c>
      <c r="D396" s="6" t="inlineStr">
        <is>
          <t>AXIS_STAGE</t>
        </is>
      </c>
      <c r="E396" s="6" t="inlineStr">
        <is>
          <t>DIET-Q-06</t>
        </is>
      </c>
      <c r="F396" s="6" t="inlineStr">
        <is>
          <t>INTRO</t>
        </is>
      </c>
      <c r="G396" s="6" t="inlineStr">
        <is>
          <t>아침추천: 닭안심/두부</t>
        </is>
      </c>
      <c r="H396" s="5" t="inlineStr">
        <is>
          <t>아침에 닭안심 요리나 두부 반찬을 곁들여 드세요.</t>
        </is>
      </c>
      <c r="I396" s="5" t="inlineStr">
        <is>
          <t>담백한 단백질로 아침을 든든하게 해요.</t>
        </is>
      </c>
      <c r="J396" s="6" t="inlineStr">
        <is>
          <t>INCREASE</t>
        </is>
      </c>
      <c r="K396" s="6" t="n"/>
      <c r="L396" s="6" t="inlineStr">
        <is>
          <t>MOHW-DIETGUIDE; WHO-DIET</t>
        </is>
      </c>
      <c r="M396" s="5" t="inlineStr">
        <is>
          <t>10-13 추가(추가문구 검수표 219번 · 끼니 추천). 근거: 국민 공통 식생활지침(보건복지부 2021) 1. 다양한 식품 골고루 · 2020 한국인 영양소 섭취기준(단백질 끼니별 고른 섭취)</t>
        </is>
      </c>
      <c r="N396" s="6" t="inlineStr">
        <is>
          <t>검수표 219</t>
        </is>
      </c>
    </row>
    <row r="397" ht="37.5" customHeight="1">
      <c r="A397" s="6" t="inlineStr">
        <is>
          <t>DIET-P-0493</t>
        </is>
      </c>
      <c r="B397" s="6" t="inlineStr">
        <is>
          <t>1.0.0</t>
        </is>
      </c>
      <c r="C397" s="6" t="inlineStr">
        <is>
          <t>사용</t>
        </is>
      </c>
      <c r="D397" s="6" t="inlineStr">
        <is>
          <t>AXIS_STAGE</t>
        </is>
      </c>
      <c r="E397" s="6" t="inlineStr">
        <is>
          <t>DIET-Q-01</t>
        </is>
      </c>
      <c r="F397" s="6" t="inlineStr">
        <is>
          <t>INTRO</t>
        </is>
      </c>
      <c r="G397" s="6" t="inlineStr">
        <is>
          <t>오이샐러드+1/2소스</t>
        </is>
      </c>
      <c r="H397" s="5" t="inlineStr">
        <is>
          <t>오이샐러드를 드시고, 소스는 평소의 절반만 뿌리세요.</t>
        </is>
      </c>
      <c r="I397" s="5" t="inlineStr">
        <is>
          <t>상큼한 오이샐러드로 아침 채소를 챙겨요. 소스는 절반만 뿌려요.</t>
        </is>
      </c>
      <c r="J397" s="6" t="inlineStr">
        <is>
          <t>REDUCE</t>
        </is>
      </c>
      <c r="K397" s="6" t="n"/>
      <c r="L397" s="6" t="inlineStr">
        <is>
          <t>MOHW-DIETGUIDE; WHO-DIET</t>
        </is>
      </c>
      <c r="M397" s="5" t="inlineStr">
        <is>
          <t>10-13 추가(추가문구 검수표 220번 · 끼니 추천). 근거: 국민 공통 식생활지침(보건복지부 2021) 1. 채소 등 다양한 식품 골고루 · WHO 채소·과일 하루 400g 이상 권고</t>
        </is>
      </c>
      <c r="N397" s="6" t="inlineStr">
        <is>
          <t>검수표 220</t>
        </is>
      </c>
    </row>
    <row r="398" ht="37.5" customHeight="1">
      <c r="A398" s="6" t="inlineStr">
        <is>
          <t>DIET-P-0494</t>
        </is>
      </c>
      <c r="B398" s="6" t="inlineStr">
        <is>
          <t>1.0.0</t>
        </is>
      </c>
      <c r="C398" s="6" t="inlineStr">
        <is>
          <t>사용</t>
        </is>
      </c>
      <c r="D398" s="6" t="inlineStr">
        <is>
          <t>AXIS_STAGE</t>
        </is>
      </c>
      <c r="E398" s="6" t="inlineStr">
        <is>
          <t>DIET-Q-01</t>
        </is>
      </c>
      <c r="F398" s="6" t="inlineStr">
        <is>
          <t>INTRO</t>
        </is>
      </c>
      <c r="G398" s="6" t="inlineStr">
        <is>
          <t>연두부샐러드+1/2소스</t>
        </is>
      </c>
      <c r="H398" s="5" t="inlineStr">
        <is>
          <t>연두부를 올린 샐러드를 드시고, 소스는 평소의 절반만 뿌리세요.</t>
        </is>
      </c>
      <c r="I398" s="5" t="inlineStr">
        <is>
          <t>연두부를 올리면 샐러드가 든든해져요. 소스는 절반만 뿌려요.</t>
        </is>
      </c>
      <c r="J398" s="6" t="inlineStr">
        <is>
          <t>REDUCE</t>
        </is>
      </c>
      <c r="K398" s="6" t="n"/>
      <c r="L398" s="6" t="inlineStr">
        <is>
          <t>MOHW-DIETGUIDE; WHO-DIET</t>
        </is>
      </c>
      <c r="M398" s="5" t="inlineStr">
        <is>
          <t>10-13 추가(추가문구 검수표 221번 · 끼니 추천). 근거: 국민 공통 식생활지침(보건복지부 2021) 1. 채소 등 다양한 식품 골고루 · WHO 채소·과일 하루 400g 이상 권고</t>
        </is>
      </c>
      <c r="N398" s="6" t="inlineStr">
        <is>
          <t>검수표 221</t>
        </is>
      </c>
    </row>
    <row r="399" ht="37.5" customHeight="1">
      <c r="A399" s="6" t="inlineStr">
        <is>
          <t>DIET-P-0495</t>
        </is>
      </c>
      <c r="B399" s="6" t="inlineStr">
        <is>
          <t>1.0.0</t>
        </is>
      </c>
      <c r="C399" s="6" t="inlineStr">
        <is>
          <t>사용</t>
        </is>
      </c>
      <c r="D399" s="6" t="inlineStr">
        <is>
          <t>AXIS_STAGE</t>
        </is>
      </c>
      <c r="E399" s="6" t="inlineStr">
        <is>
          <t>DIET-Q-01</t>
        </is>
      </c>
      <c r="F399" s="6" t="inlineStr">
        <is>
          <t>INTRO</t>
        </is>
      </c>
      <c r="G399" s="6" t="inlineStr">
        <is>
          <t>버섯샐러드+1/2소스</t>
        </is>
      </c>
      <c r="H399" s="5" t="inlineStr">
        <is>
          <t>구운 버섯을 올린 샐러드를 드시고, 소스는 평소의 절반만 뿌리세요.</t>
        </is>
      </c>
      <c r="I399" s="5" t="inlineStr">
        <is>
          <t>구운 버섯을 올린 샐러드로 채소를 더해요. 소스는 절반만 뿌려요.</t>
        </is>
      </c>
      <c r="J399" s="6" t="inlineStr">
        <is>
          <t>REDUCE</t>
        </is>
      </c>
      <c r="K399" s="6" t="n"/>
      <c r="L399" s="6" t="inlineStr">
        <is>
          <t>MOHW-DIETGUIDE; WHO-DIET</t>
        </is>
      </c>
      <c r="M399" s="5" t="inlineStr">
        <is>
          <t>10-13 추가(추가문구 검수표 222번 · 끼니 추천). 근거: 국민 공통 식생활지침(보건복지부 2021) 1. 채소 등 다양한 식품 골고루 · WHO 채소·과일 하루 400g 이상 권고</t>
        </is>
      </c>
      <c r="N399" s="6" t="inlineStr">
        <is>
          <t>검수표 222</t>
        </is>
      </c>
    </row>
    <row r="400" ht="37.5" customHeight="1">
      <c r="A400" s="6" t="inlineStr">
        <is>
          <t>DIET-P-0496</t>
        </is>
      </c>
      <c r="B400" s="6" t="inlineStr">
        <is>
          <t>1.0.0</t>
        </is>
      </c>
      <c r="C400" s="6" t="inlineStr">
        <is>
          <t>사용</t>
        </is>
      </c>
      <c r="D400" s="6" t="inlineStr">
        <is>
          <t>AXIS_STAGE</t>
        </is>
      </c>
      <c r="E400" s="6" t="inlineStr">
        <is>
          <t>DIET-Q-01</t>
        </is>
      </c>
      <c r="F400" s="6" t="inlineStr">
        <is>
          <t>INTRO</t>
        </is>
      </c>
      <c r="G400" s="6" t="inlineStr">
        <is>
          <t>가지샐러드+1/2소스</t>
        </is>
      </c>
      <c r="H400" s="5" t="inlineStr">
        <is>
          <t>구운 가지를 올린 샐러드를 드시고, 소스는 평소의 절반만 뿌리세요.</t>
        </is>
      </c>
      <c r="I400" s="5" t="inlineStr">
        <is>
          <t>구운 가지샐러드로 저녁 채소를 더해요. 소스는 절반만 뿌려요.</t>
        </is>
      </c>
      <c r="J400" s="6" t="inlineStr">
        <is>
          <t>REDUCE</t>
        </is>
      </c>
      <c r="K400" s="6" t="n"/>
      <c r="L400" s="6" t="inlineStr">
        <is>
          <t>MOHW-DIETGUIDE; WHO-DIET</t>
        </is>
      </c>
      <c r="M400" s="5" t="inlineStr">
        <is>
          <t>10-13 추가(추가문구 검수표 223번 · 끼니 추천). 근거: 국민 공통 식생활지침(보건복지부 2021) 1. 채소 등 다양한 식품 골고루 · WHO 채소·과일 하루 400g 이상 권고</t>
        </is>
      </c>
      <c r="N400" s="6" t="inlineStr">
        <is>
          <t>검수표 223</t>
        </is>
      </c>
    </row>
    <row r="401" ht="37.5" customHeight="1">
      <c r="A401" s="6" t="inlineStr">
        <is>
          <t>DIET-P-0497</t>
        </is>
      </c>
      <c r="B401" s="6" t="inlineStr">
        <is>
          <t>1.0.0</t>
        </is>
      </c>
      <c r="C401" s="6" t="inlineStr">
        <is>
          <t>사용</t>
        </is>
      </c>
      <c r="D401" s="6" t="inlineStr">
        <is>
          <t>AXIS_STAGE</t>
        </is>
      </c>
      <c r="E401" s="6" t="inlineStr">
        <is>
          <t>DIET-Q-01</t>
        </is>
      </c>
      <c r="F401" s="6" t="inlineStr">
        <is>
          <t>INTRO</t>
        </is>
      </c>
      <c r="G401" s="6" t="inlineStr">
        <is>
          <t>닭샐러드+1/2소스</t>
        </is>
      </c>
      <c r="H401" s="5" t="inlineStr">
        <is>
          <t>닭가슴살을 올린 샐러드를 드시고, 소스는 평소의 절반만 뿌리세요.</t>
        </is>
      </c>
      <c r="I401" s="5" t="inlineStr">
        <is>
          <t>닭가슴살을 올린 샐러드로 채소와 단백질을 챙겨요. 소스는 절반만 뿌려요.</t>
        </is>
      </c>
      <c r="J401" s="6" t="inlineStr">
        <is>
          <t>REDUCE</t>
        </is>
      </c>
      <c r="K401" s="6" t="n"/>
      <c r="L401" s="6" t="inlineStr">
        <is>
          <t>MOHW-DIETGUIDE; WHO-DIET</t>
        </is>
      </c>
      <c r="M401" s="5" t="inlineStr">
        <is>
          <t>10-13 추가(추가문구 검수표 224번 · 끼니 추천). 근거: 국민 공통 식생활지침(보건복지부 2021) 1. 채소 등 다양한 식품 골고루 · WHO 채소·과일 하루 400g 이상 권고</t>
        </is>
      </c>
      <c r="N401" s="6" t="inlineStr">
        <is>
          <t>검수표 224</t>
        </is>
      </c>
    </row>
    <row r="402" ht="37.5" customHeight="1">
      <c r="A402" s="6" t="inlineStr">
        <is>
          <t>DIET-P-0498</t>
        </is>
      </c>
      <c r="B402" s="6" t="inlineStr">
        <is>
          <t>1.0.0</t>
        </is>
      </c>
      <c r="C402" s="6" t="inlineStr">
        <is>
          <t>사용</t>
        </is>
      </c>
      <c r="D402" s="6" t="inlineStr">
        <is>
          <t>AXIS_STAGE</t>
        </is>
      </c>
      <c r="E402" s="6" t="inlineStr">
        <is>
          <t>DIET-Q-01</t>
        </is>
      </c>
      <c r="F402" s="6" t="inlineStr">
        <is>
          <t>INTRO</t>
        </is>
      </c>
      <c r="G402" s="6" t="inlineStr">
        <is>
          <t>새우샐러드+1/2소스</t>
        </is>
      </c>
      <c r="H402" s="5" t="inlineStr">
        <is>
          <t>데친 새우를 올린 샐러드를 드시고, 소스는 평소의 절반만 뿌리세요.</t>
        </is>
      </c>
      <c r="I402" s="5" t="inlineStr">
        <is>
          <t>데친 새우를 올린 샐러드로 담백하게 먹어요. 소스는 절반만 뿌려요.</t>
        </is>
      </c>
      <c r="J402" s="6" t="inlineStr">
        <is>
          <t>REDUCE</t>
        </is>
      </c>
      <c r="K402" s="6" t="n"/>
      <c r="L402" s="6" t="inlineStr">
        <is>
          <t>MOHW-DIETGUIDE; WHO-DIET</t>
        </is>
      </c>
      <c r="M402" s="5" t="inlineStr">
        <is>
          <t>10-13 추가(추가문구 검수표 225번 · 끼니 추천). 근거: 국민 공통 식생활지침(보건복지부 2021) 1. 채소 등 다양한 식품 골고루 · WHO 채소·과일 하루 400g 이상 권고</t>
        </is>
      </c>
      <c r="N402" s="6" t="inlineStr">
        <is>
          <t>검수표 225</t>
        </is>
      </c>
    </row>
    <row r="403" ht="37.5" customHeight="1">
      <c r="A403" s="6" t="inlineStr">
        <is>
          <t>DIET-P-0499</t>
        </is>
      </c>
      <c r="B403" s="6" t="inlineStr">
        <is>
          <t>1.0.0</t>
        </is>
      </c>
      <c r="C403" s="6" t="inlineStr">
        <is>
          <t>사용</t>
        </is>
      </c>
      <c r="D403" s="6" t="inlineStr">
        <is>
          <t>AXIS_STAGE</t>
        </is>
      </c>
      <c r="E403" s="6" t="inlineStr">
        <is>
          <t>DIET-Q-01</t>
        </is>
      </c>
      <c r="F403" s="6" t="inlineStr">
        <is>
          <t>INTRO</t>
        </is>
      </c>
      <c r="G403" s="6" t="inlineStr">
        <is>
          <t>해초샐러드+1/2소스</t>
        </is>
      </c>
      <c r="H403" s="5" t="inlineStr">
        <is>
          <t>해초샐러드를 드시고, 소스는 평소의 절반만 뿌리세요.</t>
        </is>
      </c>
      <c r="I403" s="5" t="inlineStr">
        <is>
          <t>해초샐러드로 저녁 채소를 가볍게 챙겨요. 소스는 절반만 뿌려요.</t>
        </is>
      </c>
      <c r="J403" s="6" t="inlineStr">
        <is>
          <t>REDUCE</t>
        </is>
      </c>
      <c r="K403" s="6" t="n"/>
      <c r="L403" s="6" t="inlineStr">
        <is>
          <t>MOHW-DIETGUIDE; WHO-DIET</t>
        </is>
      </c>
      <c r="M403" s="5" t="inlineStr">
        <is>
          <t>10-13 추가(추가문구 검수표 226번 · 끼니 추천). 근거: 국민 공통 식생활지침(보건복지부 2021) 1. 채소 등 다양한 식품 골고루 · WHO 채소·과일 하루 400g 이상 권고</t>
        </is>
      </c>
      <c r="N403" s="6" t="inlineStr">
        <is>
          <t>검수표 226</t>
        </is>
      </c>
    </row>
    <row r="404" ht="37.5" customHeight="1">
      <c r="A404" s="6" t="inlineStr">
        <is>
          <t>DIET-P-0500</t>
        </is>
      </c>
      <c r="B404" s="6" t="inlineStr">
        <is>
          <t>1.0.0</t>
        </is>
      </c>
      <c r="C404" s="6" t="inlineStr">
        <is>
          <t>사용</t>
        </is>
      </c>
      <c r="D404" s="6" t="inlineStr">
        <is>
          <t>AXIS_STAGE</t>
        </is>
      </c>
      <c r="E404" s="6" t="inlineStr">
        <is>
          <t>DIET-Q-01</t>
        </is>
      </c>
      <c r="F404" s="6" t="inlineStr">
        <is>
          <t>INTRO</t>
        </is>
      </c>
      <c r="G404" s="6" t="inlineStr">
        <is>
          <t>참치샐러드+1/2소스</t>
        </is>
      </c>
      <c r="H404" s="5" t="inlineStr">
        <is>
          <t>참치를 올린 샐러드를 드시고, 소스는 평소의 절반만 뿌리세요.</t>
        </is>
      </c>
      <c r="I404" s="5" t="inlineStr">
        <is>
          <t>참치를 올린 샐러드로 단백질을 함께 챙겨요. 소스는 절반만 뿌려요.</t>
        </is>
      </c>
      <c r="J404" s="6" t="inlineStr">
        <is>
          <t>REDUCE</t>
        </is>
      </c>
      <c r="K404" s="6" t="n"/>
      <c r="L404" s="6" t="inlineStr">
        <is>
          <t>MOHW-DIETGUIDE; WHO-DIET</t>
        </is>
      </c>
      <c r="M404" s="5" t="inlineStr">
        <is>
          <t>10-13 추가(추가문구 검수표 227번 · 끼니 추천). 근거: 국민 공통 식생활지침(보건복지부 2021) 1. 채소 등 다양한 식품 골고루 · WHO 채소·과일 하루 400g 이상 권고</t>
        </is>
      </c>
      <c r="N404" s="6" t="inlineStr">
        <is>
          <t>검수표 227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4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4.58203125" customWidth="1" min="1" max="1"/>
    <col width="19.58203125" customWidth="1" min="2" max="2"/>
    <col width="16.58203125" customWidth="1" min="3" max="3"/>
    <col width="20.58203125" customWidth="1" min="4" max="4"/>
    <col width="24.58203125" customWidth="1" min="5" max="5"/>
    <col width="18.58203125" customWidth="1" min="6" max="6"/>
    <col width="23.58203125" customWidth="1" min="7" max="7"/>
    <col width="17.58203125" customWidth="1" min="8" max="8"/>
    <col width="24.58203125" customWidth="1" min="9" max="9"/>
    <col width="19.58203125" customWidth="1" min="10" max="10"/>
    <col width="16.58203125" customWidth="1" min="11" max="11"/>
  </cols>
  <sheetData>
    <row r="1" ht="28" customHeight="1">
      <c r="A1" s="7" t="inlineStr">
        <is>
          <t>phrase_id</t>
        </is>
      </c>
      <c r="B1" s="7" t="inlineStr">
        <is>
          <t>phrase_version</t>
        </is>
      </c>
      <c r="C1" s="7" t="inlineStr">
        <is>
          <t>raw_tag</t>
        </is>
      </c>
      <c r="D1" s="7" t="inlineStr">
        <is>
          <t>time_code</t>
        </is>
      </c>
      <c r="E1" s="7" t="inlineStr">
        <is>
          <t>calendar_code</t>
        </is>
      </c>
      <c r="F1" s="7" t="inlineStr">
        <is>
          <t>context_code</t>
        </is>
      </c>
      <c r="G1" s="7" t="inlineStr">
        <is>
          <t>after_dinner_eligible</t>
        </is>
      </c>
      <c r="H1" s="7" t="inlineStr">
        <is>
          <t>parse_status</t>
        </is>
      </c>
      <c r="I1" s="7" t="inlineStr">
        <is>
          <t>context_match_mode</t>
        </is>
      </c>
      <c r="J1" s="7" t="inlineStr">
        <is>
          <t>context_codes</t>
        </is>
      </c>
      <c r="K1" s="7" t="inlineStr">
        <is>
          <t>source_row</t>
        </is>
      </c>
    </row>
    <row r="2">
      <c r="A2" s="15" t="inlineStr">
        <is>
          <t>DIET-P-0001</t>
        </is>
      </c>
      <c r="B2" s="15" t="inlineStr">
        <is>
          <t>1.0.0</t>
        </is>
      </c>
      <c r="C2" s="15" t="inlineStr">
        <is>
          <t>오전 진입</t>
        </is>
      </c>
      <c r="D2" s="15" t="inlineStr">
        <is>
          <t>MORNING_ENTRY</t>
        </is>
      </c>
      <c r="E2" s="15" t="inlineStr">
        <is>
          <t>ANY</t>
        </is>
      </c>
      <c r="F2" s="15" t="inlineStr">
        <is>
          <t>ANY</t>
        </is>
      </c>
      <c r="G2" s="15" t="b">
        <v>0</v>
      </c>
      <c r="H2" s="15" t="inlineStr">
        <is>
          <t>READY</t>
        </is>
      </c>
      <c r="I2" s="15" t="n"/>
      <c r="J2" s="15" t="n"/>
      <c r="K2" s="15" t="n">
        <v>2</v>
      </c>
    </row>
    <row r="3">
      <c r="A3" s="15" t="inlineStr">
        <is>
          <t>DIET-P-0002</t>
        </is>
      </c>
      <c r="B3" s="15" t="inlineStr">
        <is>
          <t>1.0.0</t>
        </is>
      </c>
      <c r="C3" s="15" t="inlineStr">
        <is>
          <t>오전 진입</t>
        </is>
      </c>
      <c r="D3" s="15" t="inlineStr">
        <is>
          <t>MORNING_ENTRY</t>
        </is>
      </c>
      <c r="E3" s="15" t="inlineStr">
        <is>
          <t>ANY</t>
        </is>
      </c>
      <c r="F3" s="15" t="inlineStr">
        <is>
          <t>ANY</t>
        </is>
      </c>
      <c r="G3" s="15" t="b">
        <v>0</v>
      </c>
      <c r="H3" s="15" t="inlineStr">
        <is>
          <t>READY</t>
        </is>
      </c>
      <c r="I3" s="15" t="n"/>
      <c r="J3" s="15" t="n"/>
      <c r="K3" s="15" t="n">
        <v>3</v>
      </c>
    </row>
    <row r="4">
      <c r="A4" s="15" t="inlineStr">
        <is>
          <t>DIET-P-0003</t>
        </is>
      </c>
      <c r="B4" s="15" t="inlineStr">
        <is>
          <t>1.0.0</t>
        </is>
      </c>
      <c r="C4" s="15" t="n"/>
      <c r="D4" s="15" t="inlineStr">
        <is>
          <t>ANY</t>
        </is>
      </c>
      <c r="E4" s="15" t="inlineStr">
        <is>
          <t>ANY</t>
        </is>
      </c>
      <c r="F4" s="15" t="inlineStr">
        <is>
          <t>ANY</t>
        </is>
      </c>
      <c r="G4" s="15" t="b">
        <v>0</v>
      </c>
      <c r="H4" s="15" t="inlineStr">
        <is>
          <t>READY</t>
        </is>
      </c>
      <c r="I4" s="15" t="n"/>
      <c r="J4" s="15" t="n"/>
      <c r="K4" s="15" t="n">
        <v>4</v>
      </c>
    </row>
    <row r="5">
      <c r="A5" s="15" t="inlineStr">
        <is>
          <t>DIET-P-0004</t>
        </is>
      </c>
      <c r="B5" s="15" t="inlineStr">
        <is>
          <t>1.0.0</t>
        </is>
      </c>
      <c r="C5" s="15" t="n"/>
      <c r="D5" s="15" t="inlineStr">
        <is>
          <t>ANY</t>
        </is>
      </c>
      <c r="E5" s="15" t="inlineStr">
        <is>
          <t>ANY</t>
        </is>
      </c>
      <c r="F5" s="15" t="inlineStr">
        <is>
          <t>ANY</t>
        </is>
      </c>
      <c r="G5" s="15" t="b">
        <v>0</v>
      </c>
      <c r="H5" s="15" t="inlineStr">
        <is>
          <t>READY</t>
        </is>
      </c>
      <c r="I5" s="15" t="n"/>
      <c r="J5" s="15" t="n"/>
      <c r="K5" s="15" t="n">
        <v>5</v>
      </c>
    </row>
    <row r="6">
      <c r="A6" s="15" t="inlineStr">
        <is>
          <t>DIET-P-0005</t>
        </is>
      </c>
      <c r="B6" s="15" t="inlineStr">
        <is>
          <t>1.0.0</t>
        </is>
      </c>
      <c r="C6" s="15" t="n"/>
      <c r="D6" s="15" t="inlineStr">
        <is>
          <t>ANY</t>
        </is>
      </c>
      <c r="E6" s="15" t="inlineStr">
        <is>
          <t>ANY</t>
        </is>
      </c>
      <c r="F6" s="15" t="inlineStr">
        <is>
          <t>ANY</t>
        </is>
      </c>
      <c r="G6" s="15" t="b">
        <v>0</v>
      </c>
      <c r="H6" s="15" t="inlineStr">
        <is>
          <t>READY</t>
        </is>
      </c>
      <c r="I6" s="15" t="n"/>
      <c r="J6" s="15" t="n"/>
      <c r="K6" s="15" t="n">
        <v>6</v>
      </c>
    </row>
    <row r="7">
      <c r="A7" s="15" t="inlineStr">
        <is>
          <t>DIET-P-0006</t>
        </is>
      </c>
      <c r="B7" s="15" t="inlineStr">
        <is>
          <t>1.0.0</t>
        </is>
      </c>
      <c r="C7" s="15" t="n"/>
      <c r="D7" s="15" t="inlineStr">
        <is>
          <t>ANY</t>
        </is>
      </c>
      <c r="E7" s="15" t="inlineStr">
        <is>
          <t>ANY</t>
        </is>
      </c>
      <c r="F7" s="15" t="inlineStr">
        <is>
          <t>ANY</t>
        </is>
      </c>
      <c r="G7" s="15" t="b">
        <v>0</v>
      </c>
      <c r="H7" s="15" t="inlineStr">
        <is>
          <t>READY</t>
        </is>
      </c>
      <c r="I7" s="15" t="n"/>
      <c r="J7" s="15" t="n"/>
      <c r="K7" s="15" t="n">
        <v>7</v>
      </c>
    </row>
    <row r="8">
      <c r="A8" s="15" t="inlineStr">
        <is>
          <t>DIET-P-0007</t>
        </is>
      </c>
      <c r="B8" s="15" t="inlineStr">
        <is>
          <t>1.0.0</t>
        </is>
      </c>
      <c r="C8" s="15" t="inlineStr">
        <is>
          <t>저녁</t>
        </is>
      </c>
      <c r="D8" s="26" t="inlineStr">
        <is>
          <t>ANY</t>
        </is>
      </c>
      <c r="E8" s="15" t="inlineStr">
        <is>
          <t>ANY</t>
        </is>
      </c>
      <c r="F8" s="15" t="inlineStr">
        <is>
          <t>ANY</t>
        </is>
      </c>
      <c r="G8" s="15" t="b">
        <v>0</v>
      </c>
      <c r="H8" s="15" t="inlineStr">
        <is>
          <t>READY</t>
        </is>
      </c>
      <c r="I8" s="15" t="n"/>
      <c r="J8" s="15" t="n"/>
      <c r="K8" s="15" t="n">
        <v>8</v>
      </c>
    </row>
    <row r="9">
      <c r="A9" s="15" t="inlineStr">
        <is>
          <t>DIET-P-0008</t>
        </is>
      </c>
      <c r="B9" s="15" t="inlineStr">
        <is>
          <t>1.0.0</t>
        </is>
      </c>
      <c r="C9" s="15" t="n"/>
      <c r="D9" s="15" t="inlineStr">
        <is>
          <t>ANY</t>
        </is>
      </c>
      <c r="E9" s="15" t="inlineStr">
        <is>
          <t>ANY</t>
        </is>
      </c>
      <c r="F9" s="15" t="inlineStr">
        <is>
          <t>ANY</t>
        </is>
      </c>
      <c r="G9" s="15" t="b">
        <v>0</v>
      </c>
      <c r="H9" s="15" t="inlineStr">
        <is>
          <t>READY</t>
        </is>
      </c>
      <c r="I9" s="15" t="n"/>
      <c r="J9" s="15" t="n"/>
      <c r="K9" s="15" t="n">
        <v>9</v>
      </c>
    </row>
    <row r="10">
      <c r="A10" s="15" t="inlineStr">
        <is>
          <t>DIET-P-0009</t>
        </is>
      </c>
      <c r="B10" s="15" t="inlineStr">
        <is>
          <t>1.0.0</t>
        </is>
      </c>
      <c r="C10" s="15" t="n"/>
      <c r="D10" s="15" t="inlineStr">
        <is>
          <t>ANY</t>
        </is>
      </c>
      <c r="E10" s="15" t="inlineStr">
        <is>
          <t>ANY</t>
        </is>
      </c>
      <c r="F10" s="15" t="inlineStr">
        <is>
          <t>ANY</t>
        </is>
      </c>
      <c r="G10" s="15" t="b">
        <v>0</v>
      </c>
      <c r="H10" s="15" t="inlineStr">
        <is>
          <t>READY</t>
        </is>
      </c>
      <c r="I10" s="15" t="n"/>
      <c r="J10" s="15" t="n"/>
      <c r="K10" s="15" t="n">
        <v>10</v>
      </c>
    </row>
    <row r="11">
      <c r="A11" s="15" t="inlineStr">
        <is>
          <t>DIET-P-0010</t>
        </is>
      </c>
      <c r="B11" s="15" t="inlineStr">
        <is>
          <t>1.0.0</t>
        </is>
      </c>
      <c r="C11" s="15" t="n"/>
      <c r="D11" s="15" t="inlineStr">
        <is>
          <t>ANY</t>
        </is>
      </c>
      <c r="E11" s="15" t="inlineStr">
        <is>
          <t>ANY</t>
        </is>
      </c>
      <c r="F11" s="15" t="inlineStr">
        <is>
          <t>ANY</t>
        </is>
      </c>
      <c r="G11" s="15" t="b">
        <v>0</v>
      </c>
      <c r="H11" s="15" t="inlineStr">
        <is>
          <t>READY</t>
        </is>
      </c>
      <c r="I11" s="15" t="n"/>
      <c r="J11" s="15" t="n"/>
      <c r="K11" s="15" t="n">
        <v>11</v>
      </c>
    </row>
    <row r="12">
      <c r="A12" s="15" t="inlineStr">
        <is>
          <t>DIET-P-0011</t>
        </is>
      </c>
      <c r="B12" s="15" t="inlineStr">
        <is>
          <t>1.0.0</t>
        </is>
      </c>
      <c r="C12" s="15" t="inlineStr">
        <is>
          <t>저녁</t>
        </is>
      </c>
      <c r="D12" s="26" t="inlineStr">
        <is>
          <t>ANY</t>
        </is>
      </c>
      <c r="E12" s="15" t="inlineStr">
        <is>
          <t>ANY</t>
        </is>
      </c>
      <c r="F12" s="15" t="inlineStr">
        <is>
          <t>ANY</t>
        </is>
      </c>
      <c r="G12" s="15" t="b">
        <v>0</v>
      </c>
      <c r="H12" s="15" t="inlineStr">
        <is>
          <t>READY</t>
        </is>
      </c>
      <c r="I12" s="15" t="n"/>
      <c r="J12" s="15" t="n"/>
      <c r="K12" s="15" t="n">
        <v>12</v>
      </c>
    </row>
    <row r="13">
      <c r="A13" s="15" t="inlineStr">
        <is>
          <t>DIET-P-0012</t>
        </is>
      </c>
      <c r="B13" s="15" t="inlineStr">
        <is>
          <t>1.0.0</t>
        </is>
      </c>
      <c r="C13" s="15" t="n"/>
      <c r="D13" s="15" t="inlineStr">
        <is>
          <t>ANY</t>
        </is>
      </c>
      <c r="E13" s="15" t="inlineStr">
        <is>
          <t>ANY</t>
        </is>
      </c>
      <c r="F13" s="15" t="inlineStr">
        <is>
          <t>ANY</t>
        </is>
      </c>
      <c r="G13" s="15" t="b">
        <v>0</v>
      </c>
      <c r="H13" s="15" t="inlineStr">
        <is>
          <t>READY</t>
        </is>
      </c>
      <c r="I13" s="15" t="n"/>
      <c r="J13" s="15" t="n"/>
      <c r="K13" s="15" t="n">
        <v>13</v>
      </c>
    </row>
    <row r="14">
      <c r="A14" s="15" t="inlineStr">
        <is>
          <t>DIET-P-0014</t>
        </is>
      </c>
      <c r="B14" s="15" t="inlineStr">
        <is>
          <t>1.0.0</t>
        </is>
      </c>
      <c r="C14" s="15" t="n"/>
      <c r="D14" s="15" t="inlineStr">
        <is>
          <t>ANY</t>
        </is>
      </c>
      <c r="E14" s="15" t="inlineStr">
        <is>
          <t>ANY</t>
        </is>
      </c>
      <c r="F14" s="15" t="inlineStr">
        <is>
          <t>ANY</t>
        </is>
      </c>
      <c r="G14" s="15" t="b">
        <v>0</v>
      </c>
      <c r="H14" s="15" t="inlineStr">
        <is>
          <t>READY</t>
        </is>
      </c>
      <c r="I14" s="15" t="n"/>
      <c r="J14" s="15" t="n"/>
      <c r="K14" s="15" t="n">
        <v>14</v>
      </c>
    </row>
    <row r="15">
      <c r="A15" s="15" t="inlineStr">
        <is>
          <t>DIET-P-0015</t>
        </is>
      </c>
      <c r="B15" s="15" t="inlineStr">
        <is>
          <t>1.0.0</t>
        </is>
      </c>
      <c r="C15" s="15" t="n"/>
      <c r="D15" s="15" t="inlineStr">
        <is>
          <t>ANY</t>
        </is>
      </c>
      <c r="E15" s="15" t="inlineStr">
        <is>
          <t>ANY</t>
        </is>
      </c>
      <c r="F15" s="15" t="inlineStr">
        <is>
          <t>ANY</t>
        </is>
      </c>
      <c r="G15" s="15" t="b">
        <v>0</v>
      </c>
      <c r="H15" s="15" t="inlineStr">
        <is>
          <t>READY</t>
        </is>
      </c>
      <c r="I15" s="15" t="n"/>
      <c r="J15" s="15" t="n"/>
      <c r="K15" s="15" t="n">
        <v>15</v>
      </c>
    </row>
    <row r="16">
      <c r="A16" s="15" t="inlineStr">
        <is>
          <t>DIET-P-0016</t>
        </is>
      </c>
      <c r="B16" s="15" t="inlineStr">
        <is>
          <t>1.0.0</t>
        </is>
      </c>
      <c r="C16" s="15" t="n"/>
      <c r="D16" s="15" t="inlineStr">
        <is>
          <t>ANY</t>
        </is>
      </c>
      <c r="E16" s="15" t="inlineStr">
        <is>
          <t>ANY</t>
        </is>
      </c>
      <c r="F16" s="15" t="inlineStr">
        <is>
          <t>ANY</t>
        </is>
      </c>
      <c r="G16" s="15" t="b">
        <v>0</v>
      </c>
      <c r="H16" s="15" t="inlineStr">
        <is>
          <t>READY</t>
        </is>
      </c>
      <c r="I16" s="15" t="n"/>
      <c r="J16" s="15" t="n"/>
      <c r="K16" s="15" t="n">
        <v>16</v>
      </c>
    </row>
    <row r="17">
      <c r="A17" s="15" t="inlineStr">
        <is>
          <t>DIET-P-0017</t>
        </is>
      </c>
      <c r="B17" s="15" t="inlineStr">
        <is>
          <t>1.0.0</t>
        </is>
      </c>
      <c r="C17" s="15" t="n"/>
      <c r="D17" s="15" t="inlineStr">
        <is>
          <t>ANY</t>
        </is>
      </c>
      <c r="E17" s="15" t="inlineStr">
        <is>
          <t>ANY</t>
        </is>
      </c>
      <c r="F17" s="15" t="inlineStr">
        <is>
          <t>ANY</t>
        </is>
      </c>
      <c r="G17" s="15" t="b">
        <v>0</v>
      </c>
      <c r="H17" s="15" t="inlineStr">
        <is>
          <t>READY</t>
        </is>
      </c>
      <c r="I17" s="15" t="n"/>
      <c r="J17" s="15" t="n"/>
      <c r="K17" s="15" t="n">
        <v>17</v>
      </c>
    </row>
    <row r="18">
      <c r="A18" s="15" t="inlineStr">
        <is>
          <t>DIET-P-0022</t>
        </is>
      </c>
      <c r="B18" s="15" t="inlineStr">
        <is>
          <t>1.0.0</t>
        </is>
      </c>
      <c r="C18" s="15" t="n"/>
      <c r="D18" s="15" t="inlineStr">
        <is>
          <t>ANY</t>
        </is>
      </c>
      <c r="E18" s="15" t="inlineStr">
        <is>
          <t>ANY</t>
        </is>
      </c>
      <c r="F18" s="15" t="inlineStr">
        <is>
          <t>ANY</t>
        </is>
      </c>
      <c r="G18" s="15" t="b">
        <v>0</v>
      </c>
      <c r="H18" s="15" t="inlineStr">
        <is>
          <t>READY</t>
        </is>
      </c>
      <c r="I18" s="15" t="n"/>
      <c r="J18" s="15" t="n"/>
      <c r="K18" s="15" t="n">
        <v>18</v>
      </c>
    </row>
    <row r="19">
      <c r="A19" s="15" t="inlineStr">
        <is>
          <t>DIET-P-0023</t>
        </is>
      </c>
      <c r="B19" s="15" t="inlineStr">
        <is>
          <t>1.0.0</t>
        </is>
      </c>
      <c r="C19" s="15" t="n"/>
      <c r="D19" s="15" t="inlineStr">
        <is>
          <t>ANY</t>
        </is>
      </c>
      <c r="E19" s="15" t="inlineStr">
        <is>
          <t>ANY</t>
        </is>
      </c>
      <c r="F19" s="15" t="inlineStr">
        <is>
          <t>ANY</t>
        </is>
      </c>
      <c r="G19" s="15" t="b">
        <v>0</v>
      </c>
      <c r="H19" s="15" t="inlineStr">
        <is>
          <t>READY</t>
        </is>
      </c>
      <c r="I19" s="15" t="n"/>
      <c r="J19" s="15" t="n"/>
      <c r="K19" s="15" t="n">
        <v>19</v>
      </c>
    </row>
    <row r="20">
      <c r="A20" s="15" t="inlineStr">
        <is>
          <t>DIET-P-0025</t>
        </is>
      </c>
      <c r="B20" s="15" t="inlineStr">
        <is>
          <t>1.0.0</t>
        </is>
      </c>
      <c r="C20" s="15" t="n"/>
      <c r="D20" s="15" t="inlineStr">
        <is>
          <t>ANY</t>
        </is>
      </c>
      <c r="E20" s="15" t="inlineStr">
        <is>
          <t>ANY</t>
        </is>
      </c>
      <c r="F20" s="15" t="inlineStr">
        <is>
          <t>ANY</t>
        </is>
      </c>
      <c r="G20" s="15" t="b">
        <v>0</v>
      </c>
      <c r="H20" s="15" t="inlineStr">
        <is>
          <t>READY</t>
        </is>
      </c>
      <c r="I20" s="15" t="n"/>
      <c r="J20" s="15" t="n"/>
      <c r="K20" s="15" t="n">
        <v>20</v>
      </c>
    </row>
    <row r="21">
      <c r="A21" s="15" t="inlineStr">
        <is>
          <t>DIET-P-0027</t>
        </is>
      </c>
      <c r="B21" s="15" t="inlineStr">
        <is>
          <t>1.0.0</t>
        </is>
      </c>
      <c r="C21" s="15" t="n"/>
      <c r="D21" s="15" t="inlineStr">
        <is>
          <t>ANY</t>
        </is>
      </c>
      <c r="E21" s="15" t="inlineStr">
        <is>
          <t>ANY</t>
        </is>
      </c>
      <c r="F21" s="15" t="inlineStr">
        <is>
          <t>ANY</t>
        </is>
      </c>
      <c r="G21" s="15" t="b">
        <v>0</v>
      </c>
      <c r="H21" s="15" t="inlineStr">
        <is>
          <t>READY</t>
        </is>
      </c>
      <c r="I21" s="15" t="n"/>
      <c r="J21" s="15" t="n"/>
      <c r="K21" s="15" t="n">
        <v>21</v>
      </c>
    </row>
    <row r="22">
      <c r="A22" s="15" t="inlineStr">
        <is>
          <t>DIET-P-0028</t>
        </is>
      </c>
      <c r="B22" s="15" t="inlineStr">
        <is>
          <t>1.0.0</t>
        </is>
      </c>
      <c r="C22" s="15" t="n"/>
      <c r="D22" s="15" t="inlineStr">
        <is>
          <t>ANY</t>
        </is>
      </c>
      <c r="E22" s="15" t="inlineStr">
        <is>
          <t>ANY</t>
        </is>
      </c>
      <c r="F22" s="15" t="inlineStr">
        <is>
          <t>ANY</t>
        </is>
      </c>
      <c r="G22" s="15" t="b">
        <v>0</v>
      </c>
      <c r="H22" s="15" t="inlineStr">
        <is>
          <t>READY</t>
        </is>
      </c>
      <c r="I22" s="15" t="n"/>
      <c r="J22" s="15" t="n"/>
      <c r="K22" s="15" t="n">
        <v>22</v>
      </c>
    </row>
    <row r="23">
      <c r="A23" s="15" t="inlineStr">
        <is>
          <t>DIET-P-0029</t>
        </is>
      </c>
      <c r="B23" s="15" t="inlineStr">
        <is>
          <t>1.0.0</t>
        </is>
      </c>
      <c r="C23" s="15" t="n"/>
      <c r="D23" s="15" t="inlineStr">
        <is>
          <t>ANY</t>
        </is>
      </c>
      <c r="E23" s="15" t="inlineStr">
        <is>
          <t>ANY</t>
        </is>
      </c>
      <c r="F23" s="15" t="inlineStr">
        <is>
          <t>ANY</t>
        </is>
      </c>
      <c r="G23" s="15" t="b">
        <v>0</v>
      </c>
      <c r="H23" s="15" t="inlineStr">
        <is>
          <t>READY</t>
        </is>
      </c>
      <c r="I23" s="15" t="n"/>
      <c r="J23" s="15" t="n"/>
      <c r="K23" s="15" t="n">
        <v>23</v>
      </c>
    </row>
    <row r="24">
      <c r="A24" s="15" t="inlineStr">
        <is>
          <t>DIET-P-0030</t>
        </is>
      </c>
      <c r="B24" s="15" t="inlineStr">
        <is>
          <t>1.0.0</t>
        </is>
      </c>
      <c r="C24" s="15" t="n"/>
      <c r="D24" s="15" t="inlineStr">
        <is>
          <t>ANY</t>
        </is>
      </c>
      <c r="E24" s="15" t="inlineStr">
        <is>
          <t>ANY</t>
        </is>
      </c>
      <c r="F24" s="15" t="inlineStr">
        <is>
          <t>ANY</t>
        </is>
      </c>
      <c r="G24" s="15" t="b">
        <v>0</v>
      </c>
      <c r="H24" s="15" t="inlineStr">
        <is>
          <t>READY</t>
        </is>
      </c>
      <c r="I24" s="15" t="n"/>
      <c r="J24" s="15" t="n"/>
      <c r="K24" s="15" t="n">
        <v>24</v>
      </c>
    </row>
    <row r="25">
      <c r="A25" s="15" t="inlineStr">
        <is>
          <t>DIET-P-0031</t>
        </is>
      </c>
      <c r="B25" s="15" t="inlineStr">
        <is>
          <t>1.0.0</t>
        </is>
      </c>
      <c r="C25" s="15" t="n"/>
      <c r="D25" s="15" t="inlineStr">
        <is>
          <t>ANY</t>
        </is>
      </c>
      <c r="E25" s="15" t="inlineStr">
        <is>
          <t>ANY</t>
        </is>
      </c>
      <c r="F25" s="15" t="inlineStr">
        <is>
          <t>ANY</t>
        </is>
      </c>
      <c r="G25" s="15" t="b">
        <v>0</v>
      </c>
      <c r="H25" s="15" t="inlineStr">
        <is>
          <t>READY</t>
        </is>
      </c>
      <c r="I25" s="15" t="n"/>
      <c r="J25" s="15" t="n"/>
      <c r="K25" s="15" t="n">
        <v>25</v>
      </c>
    </row>
    <row r="26">
      <c r="A26" s="15" t="inlineStr">
        <is>
          <t>DIET-P-0032</t>
        </is>
      </c>
      <c r="B26" s="15" t="inlineStr">
        <is>
          <t>1.0.0</t>
        </is>
      </c>
      <c r="C26" s="15" t="n"/>
      <c r="D26" s="15" t="inlineStr">
        <is>
          <t>ANY</t>
        </is>
      </c>
      <c r="E26" s="15" t="inlineStr">
        <is>
          <t>ANY</t>
        </is>
      </c>
      <c r="F26" s="15" t="inlineStr">
        <is>
          <t>ANY</t>
        </is>
      </c>
      <c r="G26" s="15" t="b">
        <v>0</v>
      </c>
      <c r="H26" s="15" t="inlineStr">
        <is>
          <t>READY</t>
        </is>
      </c>
      <c r="I26" s="15" t="n"/>
      <c r="J26" s="15" t="n"/>
      <c r="K26" s="15" t="n">
        <v>26</v>
      </c>
    </row>
    <row r="27">
      <c r="A27" s="15" t="inlineStr">
        <is>
          <t>DIET-P-0033</t>
        </is>
      </c>
      <c r="B27" s="15" t="inlineStr">
        <is>
          <t>1.0.0</t>
        </is>
      </c>
      <c r="C27" s="15" t="inlineStr">
        <is>
          <t>저녁</t>
        </is>
      </c>
      <c r="D27" s="15" t="inlineStr">
        <is>
          <t>EVENING</t>
        </is>
      </c>
      <c r="E27" s="15" t="inlineStr">
        <is>
          <t>ANY</t>
        </is>
      </c>
      <c r="F27" s="15" t="inlineStr">
        <is>
          <t>ANY</t>
        </is>
      </c>
      <c r="G27" s="19" t="b">
        <v>1</v>
      </c>
      <c r="H27" s="15" t="inlineStr">
        <is>
          <t>READY</t>
        </is>
      </c>
      <c r="I27" s="15" t="n"/>
      <c r="J27" s="15" t="n"/>
      <c r="K27" s="15" t="n">
        <v>27</v>
      </c>
    </row>
    <row r="28">
      <c r="A28" s="15" t="inlineStr">
        <is>
          <t>DIET-P-0034</t>
        </is>
      </c>
      <c r="B28" s="15" t="inlineStr">
        <is>
          <t>1.0.0</t>
        </is>
      </c>
      <c r="C28" s="15" t="n"/>
      <c r="D28" s="15" t="inlineStr">
        <is>
          <t>ANY</t>
        </is>
      </c>
      <c r="E28" s="15" t="inlineStr">
        <is>
          <t>ANY</t>
        </is>
      </c>
      <c r="F28" s="15" t="inlineStr">
        <is>
          <t>ANY</t>
        </is>
      </c>
      <c r="G28" s="15" t="b">
        <v>0</v>
      </c>
      <c r="H28" s="15" t="inlineStr">
        <is>
          <t>READY</t>
        </is>
      </c>
      <c r="I28" s="15" t="n"/>
      <c r="J28" s="15" t="n"/>
      <c r="K28" s="15" t="n">
        <v>28</v>
      </c>
    </row>
    <row r="29">
      <c r="A29" s="15" t="inlineStr">
        <is>
          <t>DIET-P-0035</t>
        </is>
      </c>
      <c r="B29" s="15" t="inlineStr">
        <is>
          <t>1.0.0</t>
        </is>
      </c>
      <c r="C29" s="15" t="inlineStr">
        <is>
          <t>오후 진입</t>
        </is>
      </c>
      <c r="D29" s="15" t="inlineStr">
        <is>
          <t>AFTERNOON_ENTRY</t>
        </is>
      </c>
      <c r="E29" s="15" t="inlineStr">
        <is>
          <t>ANY</t>
        </is>
      </c>
      <c r="F29" s="15" t="inlineStr">
        <is>
          <t>ANY</t>
        </is>
      </c>
      <c r="G29" s="15" t="b">
        <v>0</v>
      </c>
      <c r="H29" s="15" t="inlineStr">
        <is>
          <t>READY</t>
        </is>
      </c>
      <c r="I29" s="15" t="n"/>
      <c r="J29" s="15" t="n"/>
      <c r="K29" s="15" t="n">
        <v>29</v>
      </c>
    </row>
    <row r="30">
      <c r="A30" s="15" t="inlineStr">
        <is>
          <t>DIET-P-0036</t>
        </is>
      </c>
      <c r="B30" s="15" t="inlineStr">
        <is>
          <t>1.0.0</t>
        </is>
      </c>
      <c r="C30" s="15" t="n"/>
      <c r="D30" s="15" t="inlineStr">
        <is>
          <t>ANY</t>
        </is>
      </c>
      <c r="E30" s="15" t="inlineStr">
        <is>
          <t>ANY</t>
        </is>
      </c>
      <c r="F30" s="15" t="inlineStr">
        <is>
          <t>ANY</t>
        </is>
      </c>
      <c r="G30" s="15" t="b">
        <v>0</v>
      </c>
      <c r="H30" s="15" t="inlineStr">
        <is>
          <t>READY</t>
        </is>
      </c>
      <c r="I30" s="15" t="n"/>
      <c r="J30" s="15" t="n"/>
      <c r="K30" s="15" t="n">
        <v>30</v>
      </c>
    </row>
    <row r="31">
      <c r="A31" s="15" t="inlineStr">
        <is>
          <t>DIET-P-0037</t>
        </is>
      </c>
      <c r="B31" s="15" t="inlineStr">
        <is>
          <t>1.0.0</t>
        </is>
      </c>
      <c r="C31" s="15" t="inlineStr">
        <is>
          <t>저녁</t>
        </is>
      </c>
      <c r="D31" s="26" t="inlineStr">
        <is>
          <t>ANY</t>
        </is>
      </c>
      <c r="E31" s="15" t="inlineStr">
        <is>
          <t>ANY</t>
        </is>
      </c>
      <c r="F31" s="15" t="inlineStr">
        <is>
          <t>ANY</t>
        </is>
      </c>
      <c r="G31" s="15" t="b">
        <v>0</v>
      </c>
      <c r="H31" s="15" t="inlineStr">
        <is>
          <t>READY</t>
        </is>
      </c>
      <c r="I31" s="15" t="n"/>
      <c r="J31" s="15" t="n"/>
      <c r="K31" s="15" t="n">
        <v>31</v>
      </c>
    </row>
    <row r="32">
      <c r="A32" s="15" t="inlineStr">
        <is>
          <t>DIET-P-0039</t>
        </is>
      </c>
      <c r="B32" s="15" t="inlineStr">
        <is>
          <t>1.0.0</t>
        </is>
      </c>
      <c r="C32" s="15" t="inlineStr">
        <is>
          <t>오전 진입</t>
        </is>
      </c>
      <c r="D32" s="15" t="inlineStr">
        <is>
          <t>MORNING_ENTRY</t>
        </is>
      </c>
      <c r="E32" s="15" t="inlineStr">
        <is>
          <t>ANY</t>
        </is>
      </c>
      <c r="F32" s="15" t="inlineStr">
        <is>
          <t>ANY</t>
        </is>
      </c>
      <c r="G32" s="15" t="b">
        <v>0</v>
      </c>
      <c r="H32" s="15" t="inlineStr">
        <is>
          <t>READY</t>
        </is>
      </c>
      <c r="I32" s="15" t="n"/>
      <c r="J32" s="15" t="n"/>
      <c r="K32" s="15" t="n">
        <v>32</v>
      </c>
    </row>
    <row r="33">
      <c r="A33" s="15" t="inlineStr">
        <is>
          <t>DIET-P-0040</t>
        </is>
      </c>
      <c r="B33" s="15" t="inlineStr">
        <is>
          <t>1.0.0</t>
        </is>
      </c>
      <c r="C33" s="15" t="inlineStr">
        <is>
          <t>오전 진입</t>
        </is>
      </c>
      <c r="D33" s="15" t="inlineStr">
        <is>
          <t>MORNING_ENTRY</t>
        </is>
      </c>
      <c r="E33" s="15" t="inlineStr">
        <is>
          <t>ANY</t>
        </is>
      </c>
      <c r="F33" s="15" t="inlineStr">
        <is>
          <t>ANY</t>
        </is>
      </c>
      <c r="G33" s="15" t="b">
        <v>0</v>
      </c>
      <c r="H33" s="15" t="inlineStr">
        <is>
          <t>READY</t>
        </is>
      </c>
      <c r="I33" s="15" t="n"/>
      <c r="J33" s="15" t="n"/>
      <c r="K33" s="15" t="n">
        <v>33</v>
      </c>
    </row>
    <row r="34">
      <c r="A34" s="15" t="inlineStr">
        <is>
          <t>DIET-P-0041</t>
        </is>
      </c>
      <c r="B34" s="15" t="inlineStr">
        <is>
          <t>1.0.0</t>
        </is>
      </c>
      <c r="C34" s="15" t="inlineStr">
        <is>
          <t>—</t>
        </is>
      </c>
      <c r="D34" s="15" t="inlineStr">
        <is>
          <t>ANY</t>
        </is>
      </c>
      <c r="E34" s="15" t="inlineStr">
        <is>
          <t>ANY</t>
        </is>
      </c>
      <c r="F34" s="15" t="inlineStr">
        <is>
          <t>ANY</t>
        </is>
      </c>
      <c r="G34" s="15" t="b">
        <v>0</v>
      </c>
      <c r="H34" s="15" t="inlineStr">
        <is>
          <t>READY</t>
        </is>
      </c>
      <c r="I34" s="15" t="n"/>
      <c r="J34" s="15" t="n"/>
      <c r="K34" s="15" t="n">
        <v>34</v>
      </c>
    </row>
    <row r="35">
      <c r="A35" s="15" t="inlineStr">
        <is>
          <t>DIET-P-0042</t>
        </is>
      </c>
      <c r="B35" s="15" t="inlineStr">
        <is>
          <t>1.0.0</t>
        </is>
      </c>
      <c r="C35" s="15" t="inlineStr">
        <is>
          <t>—</t>
        </is>
      </c>
      <c r="D35" s="15" t="inlineStr">
        <is>
          <t>ANY</t>
        </is>
      </c>
      <c r="E35" s="15" t="inlineStr">
        <is>
          <t>ANY</t>
        </is>
      </c>
      <c r="F35" s="15" t="inlineStr">
        <is>
          <t>ANY</t>
        </is>
      </c>
      <c r="G35" s="15" t="b">
        <v>0</v>
      </c>
      <c r="H35" s="15" t="inlineStr">
        <is>
          <t>READY</t>
        </is>
      </c>
      <c r="I35" s="15" t="n"/>
      <c r="J35" s="15" t="n"/>
      <c r="K35" s="15" t="n">
        <v>35</v>
      </c>
    </row>
    <row r="36">
      <c r="A36" s="15" t="inlineStr">
        <is>
          <t>DIET-P-0044</t>
        </is>
      </c>
      <c r="B36" s="15" t="inlineStr">
        <is>
          <t>1.0.0</t>
        </is>
      </c>
      <c r="C36" s="15" t="inlineStr">
        <is>
          <t>—</t>
        </is>
      </c>
      <c r="D36" s="15" t="inlineStr">
        <is>
          <t>ANY</t>
        </is>
      </c>
      <c r="E36" s="15" t="inlineStr">
        <is>
          <t>ANY</t>
        </is>
      </c>
      <c r="F36" s="15" t="inlineStr">
        <is>
          <t>ANY</t>
        </is>
      </c>
      <c r="G36" s="15" t="b">
        <v>0</v>
      </c>
      <c r="H36" s="15" t="inlineStr">
        <is>
          <t>READY</t>
        </is>
      </c>
      <c r="I36" s="15" t="n"/>
      <c r="J36" s="15" t="n"/>
      <c r="K36" s="15" t="n">
        <v>37</v>
      </c>
    </row>
    <row r="37">
      <c r="A37" s="15" t="inlineStr">
        <is>
          <t>DIET-P-0045</t>
        </is>
      </c>
      <c r="B37" s="15" t="inlineStr">
        <is>
          <t>1.0.0</t>
        </is>
      </c>
      <c r="C37" s="15" t="inlineStr">
        <is>
          <t>—</t>
        </is>
      </c>
      <c r="D37" s="15" t="inlineStr">
        <is>
          <t>ANY</t>
        </is>
      </c>
      <c r="E37" s="15" t="inlineStr">
        <is>
          <t>ANY</t>
        </is>
      </c>
      <c r="F37" s="15" t="inlineStr">
        <is>
          <t>ANY</t>
        </is>
      </c>
      <c r="G37" s="15" t="b">
        <v>0</v>
      </c>
      <c r="H37" s="15" t="inlineStr">
        <is>
          <t>READY</t>
        </is>
      </c>
      <c r="I37" s="15" t="n"/>
      <c r="J37" s="15" t="n"/>
      <c r="K37" s="15" t="n">
        <v>38</v>
      </c>
    </row>
    <row r="38">
      <c r="A38" s="15" t="inlineStr">
        <is>
          <t>DIET-P-0046</t>
        </is>
      </c>
      <c r="B38" s="15" t="inlineStr">
        <is>
          <t>1.0.0</t>
        </is>
      </c>
      <c r="C38" s="15" t="inlineStr">
        <is>
          <t>—</t>
        </is>
      </c>
      <c r="D38" s="15" t="inlineStr">
        <is>
          <t>ANY</t>
        </is>
      </c>
      <c r="E38" s="15" t="inlineStr">
        <is>
          <t>ANY</t>
        </is>
      </c>
      <c r="F38" s="15" t="inlineStr">
        <is>
          <t>ANY</t>
        </is>
      </c>
      <c r="G38" s="15" t="b">
        <v>0</v>
      </c>
      <c r="H38" s="15" t="inlineStr">
        <is>
          <t>READY</t>
        </is>
      </c>
      <c r="I38" s="15" t="n"/>
      <c r="J38" s="15" t="n"/>
      <c r="K38" s="15" t="n">
        <v>39</v>
      </c>
    </row>
    <row r="39">
      <c r="A39" s="15" t="inlineStr">
        <is>
          <t>DIET-P-0047</t>
        </is>
      </c>
      <c r="B39" s="15" t="inlineStr">
        <is>
          <t>1.0.0</t>
        </is>
      </c>
      <c r="C39" s="15" t="inlineStr">
        <is>
          <t>—</t>
        </is>
      </c>
      <c r="D39" s="15" t="inlineStr">
        <is>
          <t>ANY</t>
        </is>
      </c>
      <c r="E39" s="15" t="inlineStr">
        <is>
          <t>ANY</t>
        </is>
      </c>
      <c r="F39" s="15" t="inlineStr">
        <is>
          <t>ANY</t>
        </is>
      </c>
      <c r="G39" s="15" t="b">
        <v>0</v>
      </c>
      <c r="H39" s="15" t="inlineStr">
        <is>
          <t>READY</t>
        </is>
      </c>
      <c r="I39" s="15" t="n"/>
      <c r="J39" s="15" t="n"/>
      <c r="K39" s="15" t="n">
        <v>40</v>
      </c>
    </row>
    <row r="40">
      <c r="A40" s="15" t="inlineStr">
        <is>
          <t>DIET-P-0048</t>
        </is>
      </c>
      <c r="B40" s="15" t="inlineStr">
        <is>
          <t>1.0.0</t>
        </is>
      </c>
      <c r="C40" s="15" t="inlineStr">
        <is>
          <t>—</t>
        </is>
      </c>
      <c r="D40" s="15" t="inlineStr">
        <is>
          <t>ANY</t>
        </is>
      </c>
      <c r="E40" s="15" t="inlineStr">
        <is>
          <t>ANY</t>
        </is>
      </c>
      <c r="F40" s="15" t="inlineStr">
        <is>
          <t>ANY</t>
        </is>
      </c>
      <c r="G40" s="15" t="b">
        <v>0</v>
      </c>
      <c r="H40" s="15" t="inlineStr">
        <is>
          <t>READY</t>
        </is>
      </c>
      <c r="I40" s="15" t="n"/>
      <c r="J40" s="15" t="n"/>
      <c r="K40" s="15" t="n">
        <v>41</v>
      </c>
    </row>
    <row r="41">
      <c r="A41" s="15" t="inlineStr">
        <is>
          <t>DIET-P-0049</t>
        </is>
      </c>
      <c r="B41" s="15" t="inlineStr">
        <is>
          <t>1.0.0</t>
        </is>
      </c>
      <c r="C41" s="15" t="inlineStr">
        <is>
          <t>—</t>
        </is>
      </c>
      <c r="D41" s="15" t="inlineStr">
        <is>
          <t>ANY</t>
        </is>
      </c>
      <c r="E41" s="15" t="inlineStr">
        <is>
          <t>ANY</t>
        </is>
      </c>
      <c r="F41" s="15" t="inlineStr">
        <is>
          <t>ANY</t>
        </is>
      </c>
      <c r="G41" s="15" t="b">
        <v>0</v>
      </c>
      <c r="H41" s="15" t="inlineStr">
        <is>
          <t>READY</t>
        </is>
      </c>
      <c r="I41" s="15" t="n"/>
      <c r="J41" s="15" t="n"/>
      <c r="K41" s="15" t="n">
        <v>42</v>
      </c>
    </row>
    <row r="42">
      <c r="A42" s="15" t="inlineStr">
        <is>
          <t>DIET-P-0050</t>
        </is>
      </c>
      <c r="B42" s="15" t="inlineStr">
        <is>
          <t>1.0.0</t>
        </is>
      </c>
      <c r="C42" s="15" t="inlineStr">
        <is>
          <t>—</t>
        </is>
      </c>
      <c r="D42" s="15" t="inlineStr">
        <is>
          <t>ANY</t>
        </is>
      </c>
      <c r="E42" s="15" t="inlineStr">
        <is>
          <t>ANY</t>
        </is>
      </c>
      <c r="F42" s="15" t="inlineStr">
        <is>
          <t>ANY</t>
        </is>
      </c>
      <c r="G42" s="15" t="b">
        <v>0</v>
      </c>
      <c r="H42" s="15" t="inlineStr">
        <is>
          <t>READY</t>
        </is>
      </c>
      <c r="I42" s="15" t="n"/>
      <c r="J42" s="15" t="n"/>
      <c r="K42" s="15" t="n">
        <v>43</v>
      </c>
    </row>
    <row r="43">
      <c r="A43" s="15" t="inlineStr">
        <is>
          <t>DIET-P-0051</t>
        </is>
      </c>
      <c r="B43" s="15" t="inlineStr">
        <is>
          <t>1.0.0</t>
        </is>
      </c>
      <c r="C43" s="15" t="inlineStr">
        <is>
          <t>—</t>
        </is>
      </c>
      <c r="D43" s="15" t="inlineStr">
        <is>
          <t>ANY</t>
        </is>
      </c>
      <c r="E43" s="15" t="inlineStr">
        <is>
          <t>ANY</t>
        </is>
      </c>
      <c r="F43" s="15" t="inlineStr">
        <is>
          <t>ANY</t>
        </is>
      </c>
      <c r="G43" s="15" t="b">
        <v>0</v>
      </c>
      <c r="H43" s="15" t="inlineStr">
        <is>
          <t>READY</t>
        </is>
      </c>
      <c r="I43" s="15" t="n"/>
      <c r="J43" s="15" t="n"/>
      <c r="K43" s="15" t="n">
        <v>44</v>
      </c>
    </row>
    <row r="44">
      <c r="A44" s="15" t="inlineStr">
        <is>
          <t>DIET-P-0053</t>
        </is>
      </c>
      <c r="B44" s="15" t="inlineStr">
        <is>
          <t>1.0.0</t>
        </is>
      </c>
      <c r="C44" s="15" t="inlineStr">
        <is>
          <t>—</t>
        </is>
      </c>
      <c r="D44" s="15" t="inlineStr">
        <is>
          <t>ANY</t>
        </is>
      </c>
      <c r="E44" s="15" t="inlineStr">
        <is>
          <t>ANY</t>
        </is>
      </c>
      <c r="F44" s="15" t="inlineStr">
        <is>
          <t>ANY</t>
        </is>
      </c>
      <c r="G44" s="15" t="b">
        <v>0</v>
      </c>
      <c r="H44" s="15" t="inlineStr">
        <is>
          <t>READY</t>
        </is>
      </c>
      <c r="I44" s="15" t="n"/>
      <c r="J44" s="15" t="n"/>
      <c r="K44" s="15" t="n">
        <v>45</v>
      </c>
    </row>
    <row r="45">
      <c r="A45" s="15" t="inlineStr">
        <is>
          <t>DIET-P-0054</t>
        </is>
      </c>
      <c r="B45" s="15" t="inlineStr">
        <is>
          <t>1.0.0</t>
        </is>
      </c>
      <c r="C45" s="15" t="inlineStr">
        <is>
          <t>—</t>
        </is>
      </c>
      <c r="D45" s="15" t="inlineStr">
        <is>
          <t>ANY</t>
        </is>
      </c>
      <c r="E45" s="15" t="inlineStr">
        <is>
          <t>ANY</t>
        </is>
      </c>
      <c r="F45" s="15" t="inlineStr">
        <is>
          <t>ANY</t>
        </is>
      </c>
      <c r="G45" s="15" t="b">
        <v>0</v>
      </c>
      <c r="H45" s="15" t="inlineStr">
        <is>
          <t>READY</t>
        </is>
      </c>
      <c r="I45" s="15" t="n"/>
      <c r="J45" s="15" t="n"/>
      <c r="K45" s="15" t="n">
        <v>46</v>
      </c>
    </row>
    <row r="46">
      <c r="A46" s="15" t="inlineStr">
        <is>
          <t>DIET-P-0055</t>
        </is>
      </c>
      <c r="B46" s="15" t="inlineStr">
        <is>
          <t>1.0.0</t>
        </is>
      </c>
      <c r="C46" s="15" t="inlineStr">
        <is>
          <t>—</t>
        </is>
      </c>
      <c r="D46" s="15" t="inlineStr">
        <is>
          <t>ANY</t>
        </is>
      </c>
      <c r="E46" s="15" t="inlineStr">
        <is>
          <t>ANY</t>
        </is>
      </c>
      <c r="F46" s="15" t="inlineStr">
        <is>
          <t>ANY</t>
        </is>
      </c>
      <c r="G46" s="15" t="b">
        <v>0</v>
      </c>
      <c r="H46" s="15" t="inlineStr">
        <is>
          <t>READY</t>
        </is>
      </c>
      <c r="I46" s="15" t="n"/>
      <c r="J46" s="15" t="n"/>
      <c r="K46" s="15" t="n">
        <v>47</v>
      </c>
    </row>
    <row r="47">
      <c r="A47" s="15" t="inlineStr">
        <is>
          <t>DIET-P-0056</t>
        </is>
      </c>
      <c r="B47" s="15" t="inlineStr">
        <is>
          <t>1.0.0</t>
        </is>
      </c>
      <c r="C47" s="15" t="inlineStr">
        <is>
          <t>—</t>
        </is>
      </c>
      <c r="D47" s="15" t="inlineStr">
        <is>
          <t>ANY</t>
        </is>
      </c>
      <c r="E47" s="15" t="inlineStr">
        <is>
          <t>ANY</t>
        </is>
      </c>
      <c r="F47" s="15" t="inlineStr">
        <is>
          <t>ANY</t>
        </is>
      </c>
      <c r="G47" s="15" t="b">
        <v>0</v>
      </c>
      <c r="H47" s="15" t="inlineStr">
        <is>
          <t>READY</t>
        </is>
      </c>
      <c r="I47" s="15" t="n"/>
      <c r="J47" s="15" t="n"/>
      <c r="K47" s="15" t="n">
        <v>48</v>
      </c>
    </row>
    <row r="48">
      <c r="A48" s="15" t="inlineStr">
        <is>
          <t>DIET-P-0057</t>
        </is>
      </c>
      <c r="B48" s="15" t="inlineStr">
        <is>
          <t>1.0.0</t>
        </is>
      </c>
      <c r="C48" s="15" t="inlineStr">
        <is>
          <t>—</t>
        </is>
      </c>
      <c r="D48" s="15" t="inlineStr">
        <is>
          <t>ANY</t>
        </is>
      </c>
      <c r="E48" s="15" t="inlineStr">
        <is>
          <t>ANY</t>
        </is>
      </c>
      <c r="F48" s="15" t="inlineStr">
        <is>
          <t>ANY</t>
        </is>
      </c>
      <c r="G48" s="15" t="b">
        <v>0</v>
      </c>
      <c r="H48" s="15" t="inlineStr">
        <is>
          <t>READY</t>
        </is>
      </c>
      <c r="I48" s="15" t="n"/>
      <c r="J48" s="15" t="n"/>
      <c r="K48" s="15" t="n">
        <v>49</v>
      </c>
    </row>
    <row r="49">
      <c r="A49" s="15" t="inlineStr">
        <is>
          <t>DIET-P-0058</t>
        </is>
      </c>
      <c r="B49" s="15" t="inlineStr">
        <is>
          <t>1.0.0</t>
        </is>
      </c>
      <c r="C49" s="15" t="inlineStr">
        <is>
          <t>—</t>
        </is>
      </c>
      <c r="D49" s="15" t="inlineStr">
        <is>
          <t>ANY</t>
        </is>
      </c>
      <c r="E49" s="15" t="inlineStr">
        <is>
          <t>ANY</t>
        </is>
      </c>
      <c r="F49" s="15" t="inlineStr">
        <is>
          <t>ANY</t>
        </is>
      </c>
      <c r="G49" s="15" t="b">
        <v>0</v>
      </c>
      <c r="H49" s="15" t="inlineStr">
        <is>
          <t>READY</t>
        </is>
      </c>
      <c r="I49" s="15" t="n"/>
      <c r="J49" s="15" t="n"/>
      <c r="K49" s="15" t="n">
        <v>50</v>
      </c>
    </row>
    <row r="50">
      <c r="A50" s="15" t="inlineStr">
        <is>
          <t>DIET-P-0059</t>
        </is>
      </c>
      <c r="B50" s="15" t="inlineStr">
        <is>
          <t>1.0.0</t>
        </is>
      </c>
      <c r="C50" s="15" t="inlineStr">
        <is>
          <t>—</t>
        </is>
      </c>
      <c r="D50" s="15" t="inlineStr">
        <is>
          <t>ANY</t>
        </is>
      </c>
      <c r="E50" s="15" t="inlineStr">
        <is>
          <t>ANY</t>
        </is>
      </c>
      <c r="F50" s="15" t="inlineStr">
        <is>
          <t>ANY</t>
        </is>
      </c>
      <c r="G50" s="15" t="b">
        <v>0</v>
      </c>
      <c r="H50" s="15" t="inlineStr">
        <is>
          <t>READY</t>
        </is>
      </c>
      <c r="I50" s="15" t="n"/>
      <c r="J50" s="15" t="n"/>
      <c r="K50" s="15" t="n">
        <v>51</v>
      </c>
    </row>
    <row r="51">
      <c r="A51" s="15" t="inlineStr">
        <is>
          <t>DIET-P-0066</t>
        </is>
      </c>
      <c r="B51" s="15" t="inlineStr">
        <is>
          <t>1.0.0</t>
        </is>
      </c>
      <c r="C51" s="15" t="inlineStr">
        <is>
          <t>—</t>
        </is>
      </c>
      <c r="D51" s="15" t="inlineStr">
        <is>
          <t>ANY</t>
        </is>
      </c>
      <c r="E51" s="15" t="inlineStr">
        <is>
          <t>ANY</t>
        </is>
      </c>
      <c r="F51" s="15" t="inlineStr">
        <is>
          <t>ANY</t>
        </is>
      </c>
      <c r="G51" s="15" t="b">
        <v>0</v>
      </c>
      <c r="H51" s="15" t="inlineStr">
        <is>
          <t>READY</t>
        </is>
      </c>
      <c r="I51" s="15" t="n"/>
      <c r="J51" s="15" t="n"/>
      <c r="K51" s="15" t="n">
        <v>52</v>
      </c>
    </row>
    <row r="52">
      <c r="A52" s="15" t="inlineStr">
        <is>
          <t>DIET-P-0070</t>
        </is>
      </c>
      <c r="B52" s="15" t="inlineStr">
        <is>
          <t>1.0.0</t>
        </is>
      </c>
      <c r="C52" s="15" t="inlineStr">
        <is>
          <t>오전 진입</t>
        </is>
      </c>
      <c r="D52" s="15" t="inlineStr">
        <is>
          <t>MORNING_ENTRY</t>
        </is>
      </c>
      <c r="E52" s="15" t="inlineStr">
        <is>
          <t>ANY</t>
        </is>
      </c>
      <c r="F52" s="15" t="inlineStr">
        <is>
          <t>ANY</t>
        </is>
      </c>
      <c r="G52" s="15" t="b">
        <v>0</v>
      </c>
      <c r="H52" s="15" t="inlineStr">
        <is>
          <t>READY</t>
        </is>
      </c>
      <c r="I52" s="15" t="n"/>
      <c r="J52" s="15" t="n"/>
      <c r="K52" s="15" t="n">
        <v>53</v>
      </c>
    </row>
    <row r="53">
      <c r="A53" s="15" t="inlineStr">
        <is>
          <t>DIET-P-0071</t>
        </is>
      </c>
      <c r="B53" s="15" t="inlineStr">
        <is>
          <t>1.0.0</t>
        </is>
      </c>
      <c r="C53" s="15" t="inlineStr">
        <is>
          <t>—</t>
        </is>
      </c>
      <c r="D53" s="15" t="inlineStr">
        <is>
          <t>ANY</t>
        </is>
      </c>
      <c r="E53" s="15" t="inlineStr">
        <is>
          <t>ANY</t>
        </is>
      </c>
      <c r="F53" s="15" t="inlineStr">
        <is>
          <t>ANY</t>
        </is>
      </c>
      <c r="G53" s="15" t="b">
        <v>0</v>
      </c>
      <c r="H53" s="15" t="inlineStr">
        <is>
          <t>READY</t>
        </is>
      </c>
      <c r="I53" s="15" t="n"/>
      <c r="J53" s="15" t="n"/>
      <c r="K53" s="15" t="n">
        <v>54</v>
      </c>
    </row>
    <row r="54">
      <c r="A54" s="15" t="inlineStr">
        <is>
          <t>DIET-P-0072</t>
        </is>
      </c>
      <c r="B54" s="15" t="inlineStr">
        <is>
          <t>1.0.0</t>
        </is>
      </c>
      <c r="C54" s="15" t="inlineStr">
        <is>
          <t>—</t>
        </is>
      </c>
      <c r="D54" s="15" t="inlineStr">
        <is>
          <t>ANY</t>
        </is>
      </c>
      <c r="E54" s="15" t="inlineStr">
        <is>
          <t>ANY</t>
        </is>
      </c>
      <c r="F54" s="15" t="inlineStr">
        <is>
          <t>ANY</t>
        </is>
      </c>
      <c r="G54" s="15" t="b">
        <v>0</v>
      </c>
      <c r="H54" s="15" t="inlineStr">
        <is>
          <t>READY</t>
        </is>
      </c>
      <c r="I54" s="15" t="n"/>
      <c r="J54" s="15" t="n"/>
      <c r="K54" s="15" t="n">
        <v>55</v>
      </c>
    </row>
    <row r="55">
      <c r="A55" s="15" t="inlineStr">
        <is>
          <t>DIET-P-0073</t>
        </is>
      </c>
      <c r="B55" s="15" t="inlineStr">
        <is>
          <t>1.0.0</t>
        </is>
      </c>
      <c r="C55" s="15" t="inlineStr">
        <is>
          <t>—</t>
        </is>
      </c>
      <c r="D55" s="15" t="inlineStr">
        <is>
          <t>ANY</t>
        </is>
      </c>
      <c r="E55" s="15" t="inlineStr">
        <is>
          <t>ANY</t>
        </is>
      </c>
      <c r="F55" s="15" t="inlineStr">
        <is>
          <t>ANY</t>
        </is>
      </c>
      <c r="G55" s="15" t="b">
        <v>0</v>
      </c>
      <c r="H55" s="15" t="inlineStr">
        <is>
          <t>READY</t>
        </is>
      </c>
      <c r="I55" s="15" t="n"/>
      <c r="J55" s="15" t="n"/>
      <c r="K55" s="15" t="n">
        <v>56</v>
      </c>
    </row>
    <row r="56">
      <c r="A56" s="15" t="inlineStr">
        <is>
          <t>DIET-P-0074</t>
        </is>
      </c>
      <c r="B56" s="15" t="inlineStr">
        <is>
          <t>1.0.0</t>
        </is>
      </c>
      <c r="C56" s="15" t="inlineStr">
        <is>
          <t>—</t>
        </is>
      </c>
      <c r="D56" s="15" t="inlineStr">
        <is>
          <t>ANY</t>
        </is>
      </c>
      <c r="E56" s="15" t="inlineStr">
        <is>
          <t>ANY</t>
        </is>
      </c>
      <c r="F56" s="15" t="inlineStr">
        <is>
          <t>ANY</t>
        </is>
      </c>
      <c r="G56" s="15" t="b">
        <v>0</v>
      </c>
      <c r="H56" s="15" t="inlineStr">
        <is>
          <t>READY</t>
        </is>
      </c>
      <c r="I56" s="15" t="n"/>
      <c r="J56" s="15" t="n"/>
      <c r="K56" s="15" t="n">
        <v>57</v>
      </c>
    </row>
    <row r="57">
      <c r="A57" s="15" t="inlineStr">
        <is>
          <t>DIET-P-0075</t>
        </is>
      </c>
      <c r="B57" s="15" t="inlineStr">
        <is>
          <t>1.0.0</t>
        </is>
      </c>
      <c r="C57" s="15" t="inlineStr">
        <is>
          <t>—</t>
        </is>
      </c>
      <c r="D57" s="15" t="inlineStr">
        <is>
          <t>ANY</t>
        </is>
      </c>
      <c r="E57" s="15" t="inlineStr">
        <is>
          <t>ANY</t>
        </is>
      </c>
      <c r="F57" s="15" t="inlineStr">
        <is>
          <t>ANY</t>
        </is>
      </c>
      <c r="G57" s="15" t="b">
        <v>0</v>
      </c>
      <c r="H57" s="15" t="inlineStr">
        <is>
          <t>READY</t>
        </is>
      </c>
      <c r="I57" s="15" t="n"/>
      <c r="J57" s="15" t="n"/>
      <c r="K57" s="15" t="n">
        <v>58</v>
      </c>
    </row>
    <row r="58">
      <c r="A58" s="15" t="inlineStr">
        <is>
          <t>DIET-P-0076</t>
        </is>
      </c>
      <c r="B58" s="15" t="inlineStr">
        <is>
          <t>1.0.0</t>
        </is>
      </c>
      <c r="C58" s="15" t="inlineStr">
        <is>
          <t>—</t>
        </is>
      </c>
      <c r="D58" s="15" t="inlineStr">
        <is>
          <t>ANY</t>
        </is>
      </c>
      <c r="E58" s="15" t="inlineStr">
        <is>
          <t>ANY</t>
        </is>
      </c>
      <c r="F58" s="15" t="inlineStr">
        <is>
          <t>ANY</t>
        </is>
      </c>
      <c r="G58" s="15" t="b">
        <v>0</v>
      </c>
      <c r="H58" s="15" t="inlineStr">
        <is>
          <t>READY</t>
        </is>
      </c>
      <c r="I58" s="15" t="n"/>
      <c r="J58" s="15" t="n"/>
      <c r="K58" s="15" t="n">
        <v>59</v>
      </c>
    </row>
    <row r="59">
      <c r="A59" s="15" t="inlineStr">
        <is>
          <t>DIET-P-0077</t>
        </is>
      </c>
      <c r="B59" s="15" t="inlineStr">
        <is>
          <t>1.0.0</t>
        </is>
      </c>
      <c r="C59" s="15" t="inlineStr">
        <is>
          <t>—</t>
        </is>
      </c>
      <c r="D59" s="15" t="inlineStr">
        <is>
          <t>ANY</t>
        </is>
      </c>
      <c r="E59" s="15" t="inlineStr">
        <is>
          <t>ANY</t>
        </is>
      </c>
      <c r="F59" s="15" t="inlineStr">
        <is>
          <t>ANY</t>
        </is>
      </c>
      <c r="G59" s="15" t="b">
        <v>0</v>
      </c>
      <c r="H59" s="15" t="inlineStr">
        <is>
          <t>READY</t>
        </is>
      </c>
      <c r="I59" s="15" t="n"/>
      <c r="J59" s="15" t="n"/>
      <c r="K59" s="15" t="n">
        <v>60</v>
      </c>
    </row>
    <row r="60">
      <c r="A60" s="15" t="inlineStr">
        <is>
          <t>DIET-P-0078</t>
        </is>
      </c>
      <c r="B60" s="15" t="inlineStr">
        <is>
          <t>1.0.0</t>
        </is>
      </c>
      <c r="C60" s="15" t="inlineStr">
        <is>
          <t>—</t>
        </is>
      </c>
      <c r="D60" s="15" t="inlineStr">
        <is>
          <t>ANY</t>
        </is>
      </c>
      <c r="E60" s="15" t="inlineStr">
        <is>
          <t>ANY</t>
        </is>
      </c>
      <c r="F60" s="15" t="inlineStr">
        <is>
          <t>ANY</t>
        </is>
      </c>
      <c r="G60" s="15" t="b">
        <v>0</v>
      </c>
      <c r="H60" s="15" t="inlineStr">
        <is>
          <t>READY</t>
        </is>
      </c>
      <c r="I60" s="15" t="n"/>
      <c r="J60" s="15" t="n"/>
      <c r="K60" s="15" t="n">
        <v>61</v>
      </c>
    </row>
    <row r="61">
      <c r="A61" s="15" t="inlineStr">
        <is>
          <t>DIET-P-0079</t>
        </is>
      </c>
      <c r="B61" s="15" t="inlineStr">
        <is>
          <t>1.0.0</t>
        </is>
      </c>
      <c r="C61" s="15" t="inlineStr">
        <is>
          <t>—</t>
        </is>
      </c>
      <c r="D61" s="15" t="inlineStr">
        <is>
          <t>ANY</t>
        </is>
      </c>
      <c r="E61" s="15" t="inlineStr">
        <is>
          <t>ANY</t>
        </is>
      </c>
      <c r="F61" s="15" t="inlineStr">
        <is>
          <t>ANY</t>
        </is>
      </c>
      <c r="G61" s="15" t="b">
        <v>0</v>
      </c>
      <c r="H61" s="15" t="inlineStr">
        <is>
          <t>READY</t>
        </is>
      </c>
      <c r="I61" s="15" t="n"/>
      <c r="J61" s="15" t="n"/>
      <c r="K61" s="15" t="n">
        <v>62</v>
      </c>
    </row>
    <row r="62">
      <c r="A62" s="15" t="inlineStr">
        <is>
          <t>DIET-P-0082</t>
        </is>
      </c>
      <c r="B62" s="15" t="inlineStr">
        <is>
          <t>1.0.0</t>
        </is>
      </c>
      <c r="C62" s="15" t="inlineStr">
        <is>
          <t>오후 진입</t>
        </is>
      </c>
      <c r="D62" s="15" t="inlineStr">
        <is>
          <t>AFTERNOON_ENTRY</t>
        </is>
      </c>
      <c r="E62" s="15" t="inlineStr">
        <is>
          <t>ANY</t>
        </is>
      </c>
      <c r="F62" s="15" t="inlineStr">
        <is>
          <t>ANY</t>
        </is>
      </c>
      <c r="G62" s="15" t="b">
        <v>0</v>
      </c>
      <c r="H62" s="15" t="inlineStr">
        <is>
          <t>READY</t>
        </is>
      </c>
      <c r="I62" s="15" t="n"/>
      <c r="J62" s="15" t="n"/>
      <c r="K62" s="15" t="n">
        <v>63</v>
      </c>
    </row>
    <row r="63">
      <c r="A63" s="15" t="inlineStr">
        <is>
          <t>DIET-P-0083</t>
        </is>
      </c>
      <c r="B63" s="15" t="inlineStr">
        <is>
          <t>1.0.0</t>
        </is>
      </c>
      <c r="C63" s="15" t="inlineStr">
        <is>
          <t>—</t>
        </is>
      </c>
      <c r="D63" s="15" t="inlineStr">
        <is>
          <t>ANY</t>
        </is>
      </c>
      <c r="E63" s="15" t="inlineStr">
        <is>
          <t>ANY</t>
        </is>
      </c>
      <c r="F63" s="15" t="inlineStr">
        <is>
          <t>ANY</t>
        </is>
      </c>
      <c r="G63" s="15" t="b">
        <v>0</v>
      </c>
      <c r="H63" s="15" t="inlineStr">
        <is>
          <t>READY</t>
        </is>
      </c>
      <c r="I63" s="15" t="n"/>
      <c r="J63" s="15" t="n"/>
      <c r="K63" s="15" t="n">
        <v>64</v>
      </c>
    </row>
    <row r="64">
      <c r="A64" s="15" t="inlineStr">
        <is>
          <t>DIET-P-0087</t>
        </is>
      </c>
      <c r="B64" s="15" t="inlineStr">
        <is>
          <t>1.0.0</t>
        </is>
      </c>
      <c r="C64" s="15" t="inlineStr">
        <is>
          <t>저녁</t>
        </is>
      </c>
      <c r="D64" s="26" t="inlineStr">
        <is>
          <t>ANY</t>
        </is>
      </c>
      <c r="E64" s="15" t="inlineStr">
        <is>
          <t>ANY</t>
        </is>
      </c>
      <c r="F64" s="15" t="inlineStr">
        <is>
          <t>ANY</t>
        </is>
      </c>
      <c r="G64" s="15" t="b">
        <v>0</v>
      </c>
      <c r="H64" s="15" t="inlineStr">
        <is>
          <t>READY</t>
        </is>
      </c>
      <c r="I64" s="15" t="n"/>
      <c r="J64" s="15" t="n"/>
      <c r="K64" s="15" t="n">
        <v>66</v>
      </c>
    </row>
    <row r="65">
      <c r="A65" s="15" t="inlineStr">
        <is>
          <t>DIET-P-0088</t>
        </is>
      </c>
      <c r="B65" s="15" t="inlineStr">
        <is>
          <t>1.0.0</t>
        </is>
      </c>
      <c r="C65" s="15" t="inlineStr">
        <is>
          <t>오전 진입 평일</t>
        </is>
      </c>
      <c r="D65" s="15" t="inlineStr">
        <is>
          <t>MORNING_ENTRY</t>
        </is>
      </c>
      <c r="E65" s="15" t="inlineStr">
        <is>
          <t>WEEKDAY</t>
        </is>
      </c>
      <c r="F65" s="15" t="inlineStr">
        <is>
          <t>ANY</t>
        </is>
      </c>
      <c r="G65" s="15" t="b">
        <v>0</v>
      </c>
      <c r="H65" s="15" t="inlineStr">
        <is>
          <t>READY</t>
        </is>
      </c>
      <c r="I65" s="15" t="n"/>
      <c r="J65" s="15" t="n"/>
      <c r="K65" s="15" t="n">
        <v>67</v>
      </c>
    </row>
    <row r="66">
      <c r="A66" s="15" t="inlineStr">
        <is>
          <t>DIET-P-0089</t>
        </is>
      </c>
      <c r="B66" s="15" t="inlineStr">
        <is>
          <t>1.0.0</t>
        </is>
      </c>
      <c r="C66" s="15" t="inlineStr">
        <is>
          <t>—</t>
        </is>
      </c>
      <c r="D66" s="15" t="inlineStr">
        <is>
          <t>ANY</t>
        </is>
      </c>
      <c r="E66" s="15" t="inlineStr">
        <is>
          <t>ANY</t>
        </is>
      </c>
      <c r="F66" s="15" t="inlineStr">
        <is>
          <t>ANY</t>
        </is>
      </c>
      <c r="G66" s="15" t="b">
        <v>0</v>
      </c>
      <c r="H66" s="15" t="inlineStr">
        <is>
          <t>READY</t>
        </is>
      </c>
      <c r="I66" s="15" t="n"/>
      <c r="J66" s="15" t="n"/>
      <c r="K66" s="15" t="n">
        <v>68</v>
      </c>
    </row>
    <row r="67">
      <c r="A67" s="15" t="inlineStr">
        <is>
          <t>DIET-P-0093</t>
        </is>
      </c>
      <c r="B67" s="15" t="inlineStr">
        <is>
          <t>1.0.0</t>
        </is>
      </c>
      <c r="C67" s="15" t="inlineStr">
        <is>
          <t>—</t>
        </is>
      </c>
      <c r="D67" s="15" t="inlineStr">
        <is>
          <t>ANY</t>
        </is>
      </c>
      <c r="E67" s="15" t="inlineStr">
        <is>
          <t>ANY</t>
        </is>
      </c>
      <c r="F67" s="15" t="inlineStr">
        <is>
          <t>ANY</t>
        </is>
      </c>
      <c r="G67" s="15" t="b">
        <v>0</v>
      </c>
      <c r="H67" s="15" t="inlineStr">
        <is>
          <t>READY</t>
        </is>
      </c>
      <c r="I67" s="15" t="n"/>
      <c r="J67" s="15" t="n"/>
      <c r="K67" s="15" t="n">
        <v>72</v>
      </c>
    </row>
    <row r="68">
      <c r="A68" s="15" t="inlineStr">
        <is>
          <t>DIET-P-0094</t>
        </is>
      </c>
      <c r="B68" s="15" t="inlineStr">
        <is>
          <t>1.0.0</t>
        </is>
      </c>
      <c r="C68" s="15" t="inlineStr">
        <is>
          <t>—</t>
        </is>
      </c>
      <c r="D68" s="15" t="inlineStr">
        <is>
          <t>ANY</t>
        </is>
      </c>
      <c r="E68" s="15" t="inlineStr">
        <is>
          <t>ANY</t>
        </is>
      </c>
      <c r="F68" s="15" t="inlineStr">
        <is>
          <t>ANY</t>
        </is>
      </c>
      <c r="G68" s="15" t="b">
        <v>0</v>
      </c>
      <c r="H68" s="15" t="inlineStr">
        <is>
          <t>READY</t>
        </is>
      </c>
      <c r="I68" s="15" t="n"/>
      <c r="J68" s="15" t="n"/>
      <c r="K68" s="15" t="n">
        <v>73</v>
      </c>
    </row>
    <row r="69">
      <c r="A69" s="15" t="inlineStr">
        <is>
          <t>DIET-P-0095</t>
        </is>
      </c>
      <c r="B69" s="15" t="inlineStr">
        <is>
          <t>1.0.0</t>
        </is>
      </c>
      <c r="C69" s="15" t="inlineStr">
        <is>
          <t>저녁</t>
        </is>
      </c>
      <c r="D69" s="26" t="inlineStr">
        <is>
          <t>ANY</t>
        </is>
      </c>
      <c r="E69" s="15" t="inlineStr">
        <is>
          <t>ANY</t>
        </is>
      </c>
      <c r="F69" s="15" t="inlineStr">
        <is>
          <t>ANY</t>
        </is>
      </c>
      <c r="G69" s="15" t="b">
        <v>0</v>
      </c>
      <c r="H69" s="15" t="inlineStr">
        <is>
          <t>READY</t>
        </is>
      </c>
      <c r="I69" s="15" t="n"/>
      <c r="J69" s="15" t="n"/>
      <c r="K69" s="15" t="n">
        <v>74</v>
      </c>
    </row>
    <row r="70">
      <c r="A70" s="15" t="inlineStr">
        <is>
          <t>DIET-P-0100</t>
        </is>
      </c>
      <c r="B70" s="15" t="inlineStr">
        <is>
          <t>1.0.0</t>
        </is>
      </c>
      <c r="C70" s="15" t="inlineStr">
        <is>
          <t>—</t>
        </is>
      </c>
      <c r="D70" s="15" t="inlineStr">
        <is>
          <t>ANY</t>
        </is>
      </c>
      <c r="E70" s="15" t="inlineStr">
        <is>
          <t>ANY</t>
        </is>
      </c>
      <c r="F70" s="15" t="inlineStr">
        <is>
          <t>ANY</t>
        </is>
      </c>
      <c r="G70" s="15" t="b">
        <v>0</v>
      </c>
      <c r="H70" s="15" t="inlineStr">
        <is>
          <t>READY</t>
        </is>
      </c>
      <c r="I70" s="15" t="n"/>
      <c r="J70" s="15" t="n"/>
      <c r="K70" s="15" t="n">
        <v>78</v>
      </c>
    </row>
    <row r="71">
      <c r="A71" s="15" t="inlineStr">
        <is>
          <t>DIET-P-0102</t>
        </is>
      </c>
      <c r="B71" s="15" t="inlineStr">
        <is>
          <t>1.0.0</t>
        </is>
      </c>
      <c r="C71" s="15" t="inlineStr">
        <is>
          <t>—</t>
        </is>
      </c>
      <c r="D71" s="15" t="inlineStr">
        <is>
          <t>ANY</t>
        </is>
      </c>
      <c r="E71" s="15" t="inlineStr">
        <is>
          <t>ANY</t>
        </is>
      </c>
      <c r="F71" s="15" t="inlineStr">
        <is>
          <t>ANY</t>
        </is>
      </c>
      <c r="G71" s="15" t="b">
        <v>0</v>
      </c>
      <c r="H71" s="15" t="inlineStr">
        <is>
          <t>READY</t>
        </is>
      </c>
      <c r="I71" s="15" t="n"/>
      <c r="J71" s="15" t="n"/>
      <c r="K71" s="15" t="n">
        <v>79</v>
      </c>
    </row>
    <row r="72">
      <c r="A72" s="15" t="inlineStr">
        <is>
          <t>DIET-P-0103</t>
        </is>
      </c>
      <c r="B72" s="15" t="inlineStr">
        <is>
          <t>1.0.0</t>
        </is>
      </c>
      <c r="C72" s="15" t="inlineStr">
        <is>
          <t>—</t>
        </is>
      </c>
      <c r="D72" s="15" t="inlineStr">
        <is>
          <t>ANY</t>
        </is>
      </c>
      <c r="E72" s="15" t="inlineStr">
        <is>
          <t>ANY</t>
        </is>
      </c>
      <c r="F72" s="15" t="inlineStr">
        <is>
          <t>ANY</t>
        </is>
      </c>
      <c r="G72" s="15" t="b">
        <v>0</v>
      </c>
      <c r="H72" s="15" t="inlineStr">
        <is>
          <t>READY</t>
        </is>
      </c>
      <c r="I72" s="15" t="n"/>
      <c r="J72" s="15" t="n"/>
      <c r="K72" s="15" t="n">
        <v>80</v>
      </c>
    </row>
    <row r="73">
      <c r="A73" s="15" t="inlineStr">
        <is>
          <t>DIET-P-0104</t>
        </is>
      </c>
      <c r="B73" s="15" t="inlineStr">
        <is>
          <t>1.0.0</t>
        </is>
      </c>
      <c r="C73" s="15" t="inlineStr">
        <is>
          <t>—</t>
        </is>
      </c>
      <c r="D73" s="15" t="inlineStr">
        <is>
          <t>ANY</t>
        </is>
      </c>
      <c r="E73" s="15" t="inlineStr">
        <is>
          <t>ANY</t>
        </is>
      </c>
      <c r="F73" s="15" t="inlineStr">
        <is>
          <t>ANY</t>
        </is>
      </c>
      <c r="G73" s="15" t="b">
        <v>0</v>
      </c>
      <c r="H73" s="15" t="inlineStr">
        <is>
          <t>READY</t>
        </is>
      </c>
      <c r="I73" s="15" t="n"/>
      <c r="J73" s="15" t="n"/>
      <c r="K73" s="15" t="n">
        <v>81</v>
      </c>
    </row>
    <row r="74">
      <c r="A74" s="15" t="inlineStr">
        <is>
          <t>DIET-P-0105</t>
        </is>
      </c>
      <c r="B74" s="15" t="inlineStr">
        <is>
          <t>1.0.0</t>
        </is>
      </c>
      <c r="C74" s="15" t="inlineStr">
        <is>
          <t>—</t>
        </is>
      </c>
      <c r="D74" s="15" t="inlineStr">
        <is>
          <t>ANY</t>
        </is>
      </c>
      <c r="E74" s="15" t="inlineStr">
        <is>
          <t>ANY</t>
        </is>
      </c>
      <c r="F74" s="15" t="inlineStr">
        <is>
          <t>ANY</t>
        </is>
      </c>
      <c r="G74" s="15" t="b">
        <v>0</v>
      </c>
      <c r="H74" s="15" t="inlineStr">
        <is>
          <t>READY</t>
        </is>
      </c>
      <c r="I74" s="15" t="n"/>
      <c r="J74" s="15" t="n"/>
      <c r="K74" s="15" t="n">
        <v>82</v>
      </c>
    </row>
    <row r="75">
      <c r="A75" s="15" t="inlineStr">
        <is>
          <t>DIET-P-0107</t>
        </is>
      </c>
      <c r="B75" s="15" t="inlineStr">
        <is>
          <t>1.0.0</t>
        </is>
      </c>
      <c r="C75" s="15" t="inlineStr">
        <is>
          <t>—</t>
        </is>
      </c>
      <c r="D75" s="15" t="inlineStr">
        <is>
          <t>ANY</t>
        </is>
      </c>
      <c r="E75" s="15" t="inlineStr">
        <is>
          <t>ANY</t>
        </is>
      </c>
      <c r="F75" s="15" t="inlineStr">
        <is>
          <t>ANY</t>
        </is>
      </c>
      <c r="G75" s="15" t="b">
        <v>0</v>
      </c>
      <c r="H75" s="15" t="inlineStr">
        <is>
          <t>READY</t>
        </is>
      </c>
      <c r="I75" s="15" t="n"/>
      <c r="J75" s="15" t="n"/>
      <c r="K75" s="15" t="n">
        <v>84</v>
      </c>
    </row>
    <row r="76">
      <c r="A76" s="15" t="inlineStr">
        <is>
          <t>DIET-P-0110</t>
        </is>
      </c>
      <c r="B76" s="15" t="inlineStr">
        <is>
          <t>1.0.0</t>
        </is>
      </c>
      <c r="C76" s="15" t="inlineStr">
        <is>
          <t>저녁</t>
        </is>
      </c>
      <c r="D76" s="26" t="inlineStr">
        <is>
          <t>ANY</t>
        </is>
      </c>
      <c r="E76" s="15" t="inlineStr">
        <is>
          <t>ANY</t>
        </is>
      </c>
      <c r="F76" s="15" t="inlineStr">
        <is>
          <t>ANY</t>
        </is>
      </c>
      <c r="G76" s="15" t="b">
        <v>0</v>
      </c>
      <c r="H76" s="15" t="inlineStr">
        <is>
          <t>READY</t>
        </is>
      </c>
      <c r="I76" s="15" t="n"/>
      <c r="J76" s="15" t="n"/>
      <c r="K76" s="15" t="n">
        <v>85</v>
      </c>
    </row>
    <row r="77">
      <c r="A77" s="15" t="inlineStr">
        <is>
          <t>DIET-P-0114</t>
        </is>
      </c>
      <c r="B77" s="15" t="inlineStr">
        <is>
          <t>1.0.0</t>
        </is>
      </c>
      <c r="C77" s="15" t="inlineStr">
        <is>
          <t>—</t>
        </is>
      </c>
      <c r="D77" s="15" t="inlineStr">
        <is>
          <t>ANY</t>
        </is>
      </c>
      <c r="E77" s="15" t="inlineStr">
        <is>
          <t>ANY</t>
        </is>
      </c>
      <c r="F77" s="15" t="inlineStr">
        <is>
          <t>ANY</t>
        </is>
      </c>
      <c r="G77" s="15" t="b">
        <v>0</v>
      </c>
      <c r="H77" s="15" t="inlineStr">
        <is>
          <t>READY</t>
        </is>
      </c>
      <c r="I77" s="15" t="n"/>
      <c r="J77" s="15" t="n"/>
      <c r="K77" s="15" t="n">
        <v>87</v>
      </c>
    </row>
    <row r="78">
      <c r="A78" s="15" t="inlineStr">
        <is>
          <t>DIET-P-0115</t>
        </is>
      </c>
      <c r="B78" s="15" t="inlineStr">
        <is>
          <t>1.0.0</t>
        </is>
      </c>
      <c r="C78" s="15" t="inlineStr">
        <is>
          <t>—</t>
        </is>
      </c>
      <c r="D78" s="15" t="inlineStr">
        <is>
          <t>ANY</t>
        </is>
      </c>
      <c r="E78" s="15" t="inlineStr">
        <is>
          <t>ANY</t>
        </is>
      </c>
      <c r="F78" s="15" t="inlineStr">
        <is>
          <t>ANY</t>
        </is>
      </c>
      <c r="G78" s="15" t="b">
        <v>0</v>
      </c>
      <c r="H78" s="15" t="inlineStr">
        <is>
          <t>READY</t>
        </is>
      </c>
      <c r="I78" s="15" t="n"/>
      <c r="J78" s="15" t="n"/>
      <c r="K78" s="15" t="n">
        <v>88</v>
      </c>
    </row>
    <row r="79">
      <c r="A79" s="15" t="inlineStr">
        <is>
          <t>DIET-P-0118</t>
        </is>
      </c>
      <c r="B79" s="15" t="inlineStr">
        <is>
          <t>1.0.0</t>
        </is>
      </c>
      <c r="C79" s="15" t="inlineStr">
        <is>
          <t>—</t>
        </is>
      </c>
      <c r="D79" s="15" t="inlineStr">
        <is>
          <t>ANY</t>
        </is>
      </c>
      <c r="E79" s="15" t="inlineStr">
        <is>
          <t>ANY</t>
        </is>
      </c>
      <c r="F79" s="15" t="inlineStr">
        <is>
          <t>ANY</t>
        </is>
      </c>
      <c r="G79" s="15" t="b">
        <v>0</v>
      </c>
      <c r="H79" s="15" t="inlineStr">
        <is>
          <t>READY</t>
        </is>
      </c>
      <c r="I79" s="15" t="n"/>
      <c r="J79" s="15" t="n"/>
      <c r="K79" s="15" t="n">
        <v>90</v>
      </c>
    </row>
    <row r="80">
      <c r="A80" s="15" t="inlineStr">
        <is>
          <t>DIET-P-0119</t>
        </is>
      </c>
      <c r="B80" s="15" t="inlineStr">
        <is>
          <t>1.0.0</t>
        </is>
      </c>
      <c r="C80" s="15" t="inlineStr">
        <is>
          <t>—</t>
        </is>
      </c>
      <c r="D80" s="15" t="inlineStr">
        <is>
          <t>ANY</t>
        </is>
      </c>
      <c r="E80" s="15" t="inlineStr">
        <is>
          <t>ANY</t>
        </is>
      </c>
      <c r="F80" s="15" t="inlineStr">
        <is>
          <t>ANY</t>
        </is>
      </c>
      <c r="G80" s="15" t="b">
        <v>0</v>
      </c>
      <c r="H80" s="15" t="inlineStr">
        <is>
          <t>READY</t>
        </is>
      </c>
      <c r="I80" s="15" t="n"/>
      <c r="J80" s="15" t="n"/>
      <c r="K80" s="15" t="n">
        <v>91</v>
      </c>
    </row>
    <row r="81">
      <c r="A81" s="15" t="inlineStr">
        <is>
          <t>DIET-P-0121</t>
        </is>
      </c>
      <c r="B81" s="15" t="inlineStr">
        <is>
          <t>1.0.0</t>
        </is>
      </c>
      <c r="C81" s="15" t="inlineStr">
        <is>
          <t>—</t>
        </is>
      </c>
      <c r="D81" s="15" t="inlineStr">
        <is>
          <t>ANY</t>
        </is>
      </c>
      <c r="E81" s="15" t="inlineStr">
        <is>
          <t>ANY</t>
        </is>
      </c>
      <c r="F81" s="15" t="inlineStr">
        <is>
          <t>ANY</t>
        </is>
      </c>
      <c r="G81" s="15" t="b">
        <v>0</v>
      </c>
      <c r="H81" s="15" t="inlineStr">
        <is>
          <t>READY</t>
        </is>
      </c>
      <c r="I81" s="15" t="n"/>
      <c r="J81" s="15" t="n"/>
      <c r="K81" s="15" t="n">
        <v>93</v>
      </c>
    </row>
    <row r="82">
      <c r="A82" s="15" t="inlineStr">
        <is>
          <t>DIET-P-0122</t>
        </is>
      </c>
      <c r="B82" s="15" t="inlineStr">
        <is>
          <t>1.0.0</t>
        </is>
      </c>
      <c r="C82" s="15" t="inlineStr">
        <is>
          <t>—</t>
        </is>
      </c>
      <c r="D82" s="15" t="inlineStr">
        <is>
          <t>ANY</t>
        </is>
      </c>
      <c r="E82" s="15" t="inlineStr">
        <is>
          <t>ANY</t>
        </is>
      </c>
      <c r="F82" s="15" t="inlineStr">
        <is>
          <t>ANY</t>
        </is>
      </c>
      <c r="G82" s="15" t="b">
        <v>0</v>
      </c>
      <c r="H82" s="15" t="inlineStr">
        <is>
          <t>READY</t>
        </is>
      </c>
      <c r="I82" s="15" t="n"/>
      <c r="J82" s="15" t="n"/>
      <c r="K82" s="15" t="n">
        <v>94</v>
      </c>
    </row>
    <row r="83">
      <c r="A83" s="15" t="inlineStr">
        <is>
          <t>DIET-P-0124</t>
        </is>
      </c>
      <c r="B83" s="15" t="inlineStr">
        <is>
          <t>1.0.0</t>
        </is>
      </c>
      <c r="C83" s="15" t="inlineStr">
        <is>
          <t>저녁</t>
        </is>
      </c>
      <c r="D83" s="26" t="inlineStr">
        <is>
          <t>ANY</t>
        </is>
      </c>
      <c r="E83" s="15" t="inlineStr">
        <is>
          <t>ANY</t>
        </is>
      </c>
      <c r="F83" s="15" t="inlineStr">
        <is>
          <t>ANY</t>
        </is>
      </c>
      <c r="G83" s="15" t="b">
        <v>0</v>
      </c>
      <c r="H83" s="15" t="inlineStr">
        <is>
          <t>READY</t>
        </is>
      </c>
      <c r="I83" s="15" t="n"/>
      <c r="J83" s="15" t="n"/>
      <c r="K83" s="15" t="n">
        <v>95</v>
      </c>
    </row>
    <row r="84">
      <c r="A84" s="15" t="inlineStr">
        <is>
          <t>DIET-P-0126</t>
        </is>
      </c>
      <c r="B84" s="15" t="inlineStr">
        <is>
          <t>1.0.0</t>
        </is>
      </c>
      <c r="C84" s="15" t="inlineStr">
        <is>
          <t>—</t>
        </is>
      </c>
      <c r="D84" s="15" t="inlineStr">
        <is>
          <t>ANY</t>
        </is>
      </c>
      <c r="E84" s="15" t="inlineStr">
        <is>
          <t>ANY</t>
        </is>
      </c>
      <c r="F84" s="15" t="inlineStr">
        <is>
          <t>ANY</t>
        </is>
      </c>
      <c r="G84" s="15" t="b">
        <v>0</v>
      </c>
      <c r="H84" s="15" t="inlineStr">
        <is>
          <t>READY</t>
        </is>
      </c>
      <c r="I84" s="15" t="n"/>
      <c r="J84" s="15" t="n"/>
      <c r="K84" s="15" t="n">
        <v>97</v>
      </c>
    </row>
    <row r="85">
      <c r="A85" s="15" t="inlineStr">
        <is>
          <t>DIET-P-0131</t>
        </is>
      </c>
      <c r="B85" s="15" t="inlineStr">
        <is>
          <t>1.0.0</t>
        </is>
      </c>
      <c r="C85" s="15" t="inlineStr">
        <is>
          <t>저녁</t>
        </is>
      </c>
      <c r="D85" s="15" t="inlineStr">
        <is>
          <t>EVENING</t>
        </is>
      </c>
      <c r="E85" s="15" t="inlineStr">
        <is>
          <t>ANY</t>
        </is>
      </c>
      <c r="F85" s="15" t="inlineStr">
        <is>
          <t>ANY</t>
        </is>
      </c>
      <c r="G85" s="15" t="b">
        <v>1</v>
      </c>
      <c r="H85" s="15" t="inlineStr">
        <is>
          <t>READY</t>
        </is>
      </c>
      <c r="I85" s="15" t="n"/>
      <c r="J85" s="15" t="n"/>
      <c r="K85" s="15" t="n">
        <v>98</v>
      </c>
    </row>
    <row r="86">
      <c r="A86" s="15" t="inlineStr">
        <is>
          <t>DIET-P-0136</t>
        </is>
      </c>
      <c r="B86" s="15" t="inlineStr">
        <is>
          <t>1.0.0</t>
        </is>
      </c>
      <c r="C86" s="15" t="inlineStr">
        <is>
          <t>명절 · 연휴</t>
        </is>
      </c>
      <c r="D86" s="15" t="inlineStr">
        <is>
          <t>ANY</t>
        </is>
      </c>
      <c r="E86" s="15" t="inlineStr">
        <is>
          <t>HOLIDAY_OR_EXTENDED</t>
        </is>
      </c>
      <c r="F86" s="15" t="inlineStr">
        <is>
          <t>ANY</t>
        </is>
      </c>
      <c r="G86" s="15" t="b">
        <v>0</v>
      </c>
      <c r="H86" s="15" t="inlineStr">
        <is>
          <t>READY</t>
        </is>
      </c>
      <c r="I86" s="15" t="n"/>
      <c r="J86" s="15" t="n"/>
      <c r="K86" s="15" t="n">
        <v>103</v>
      </c>
    </row>
    <row r="87">
      <c r="A87" s="15" t="inlineStr">
        <is>
          <t>DIET-P-0139</t>
        </is>
      </c>
      <c r="B87" s="15" t="inlineStr">
        <is>
          <t>1.0.0</t>
        </is>
      </c>
      <c r="C87" s="15" t="inlineStr">
        <is>
          <t>오전 진입</t>
        </is>
      </c>
      <c r="D87" s="15" t="inlineStr">
        <is>
          <t>MORNING_ENTRY</t>
        </is>
      </c>
      <c r="E87" s="15" t="inlineStr">
        <is>
          <t>ANY</t>
        </is>
      </c>
      <c r="F87" s="15" t="inlineStr">
        <is>
          <t>ANY</t>
        </is>
      </c>
      <c r="G87" s="15" t="b">
        <v>0</v>
      </c>
      <c r="H87" s="15" t="inlineStr">
        <is>
          <t>READY</t>
        </is>
      </c>
      <c r="I87" s="15" t="n"/>
      <c r="J87" s="15" t="n"/>
      <c r="K87" s="15" t="n">
        <v>106</v>
      </c>
    </row>
    <row r="88">
      <c r="A88" s="15" t="inlineStr">
        <is>
          <t>DIET-P-0141</t>
        </is>
      </c>
      <c r="B88" s="15" t="inlineStr">
        <is>
          <t>1.0.0</t>
        </is>
      </c>
      <c r="C88" s="15" t="inlineStr">
        <is>
          <t>명절</t>
        </is>
      </c>
      <c r="D88" s="15" t="inlineStr">
        <is>
          <t>ANY</t>
        </is>
      </c>
      <c r="E88" s="15" t="inlineStr">
        <is>
          <t>HOLIDAY</t>
        </is>
      </c>
      <c r="F88" s="15" t="inlineStr">
        <is>
          <t>ANY</t>
        </is>
      </c>
      <c r="G88" s="15" t="b">
        <v>0</v>
      </c>
      <c r="H88" s="15" t="inlineStr">
        <is>
          <t>READY</t>
        </is>
      </c>
      <c r="I88" s="15" t="n"/>
      <c r="J88" s="15" t="n"/>
      <c r="K88" s="15" t="n">
        <v>108</v>
      </c>
    </row>
    <row r="89">
      <c r="A89" s="15" t="inlineStr">
        <is>
          <t>DIET-P-0146</t>
        </is>
      </c>
      <c r="B89" s="15" t="inlineStr">
        <is>
          <t>1.0.0</t>
        </is>
      </c>
      <c r="C89" s="15" t="inlineStr">
        <is>
          <t>명절</t>
        </is>
      </c>
      <c r="D89" s="15" t="inlineStr">
        <is>
          <t>ANY</t>
        </is>
      </c>
      <c r="E89" s="15" t="inlineStr">
        <is>
          <t>HOLIDAY</t>
        </is>
      </c>
      <c r="F89" s="15" t="inlineStr">
        <is>
          <t>ANY</t>
        </is>
      </c>
      <c r="G89" s="15" t="b">
        <v>0</v>
      </c>
      <c r="H89" s="15" t="inlineStr">
        <is>
          <t>READY</t>
        </is>
      </c>
      <c r="I89" s="15" t="n"/>
      <c r="J89" s="15" t="n"/>
      <c r="K89" s="15" t="n">
        <v>112</v>
      </c>
    </row>
    <row r="90">
      <c r="A90" s="15" t="inlineStr">
        <is>
          <t>DIET-P-0147</t>
        </is>
      </c>
      <c r="B90" s="15" t="inlineStr">
        <is>
          <t>1.0.0</t>
        </is>
      </c>
      <c r="C90" s="15" t="inlineStr">
        <is>
          <t>오전 진입</t>
        </is>
      </c>
      <c r="D90" s="15" t="inlineStr">
        <is>
          <t>MORNING_ENTRY</t>
        </is>
      </c>
      <c r="E90" s="15" t="inlineStr">
        <is>
          <t>ANY</t>
        </is>
      </c>
      <c r="F90" s="15" t="inlineStr">
        <is>
          <t>ANY</t>
        </is>
      </c>
      <c r="G90" s="15" t="b">
        <v>0</v>
      </c>
      <c r="H90" s="15" t="inlineStr">
        <is>
          <t>READY</t>
        </is>
      </c>
      <c r="I90" s="15" t="n"/>
      <c r="J90" s="15" t="n"/>
      <c r="K90" s="15" t="n">
        <v>113</v>
      </c>
    </row>
    <row r="91">
      <c r="A91" s="15" t="inlineStr">
        <is>
          <t>DIET-P-0148</t>
        </is>
      </c>
      <c r="B91" s="15" t="inlineStr">
        <is>
          <t>1.0.0</t>
        </is>
      </c>
      <c r="C91" s="15" t="inlineStr">
        <is>
          <t>—</t>
        </is>
      </c>
      <c r="D91" s="15" t="inlineStr">
        <is>
          <t>ANY</t>
        </is>
      </c>
      <c r="E91" s="15" t="inlineStr">
        <is>
          <t>ANY</t>
        </is>
      </c>
      <c r="F91" s="15" t="inlineStr">
        <is>
          <t>ANY</t>
        </is>
      </c>
      <c r="G91" s="15" t="b">
        <v>0</v>
      </c>
      <c r="H91" s="15" t="inlineStr">
        <is>
          <t>READY</t>
        </is>
      </c>
      <c r="I91" s="15" t="n"/>
      <c r="J91" s="15" t="n"/>
      <c r="K91" s="15" t="n">
        <v>114</v>
      </c>
    </row>
    <row r="92">
      <c r="A92" s="15" t="inlineStr">
        <is>
          <t>DIET-P-0149</t>
        </is>
      </c>
      <c r="B92" s="15" t="inlineStr">
        <is>
          <t>1.0.0</t>
        </is>
      </c>
      <c r="C92" s="15" t="inlineStr">
        <is>
          <t>—</t>
        </is>
      </c>
      <c r="D92" s="15" t="inlineStr">
        <is>
          <t>ANY</t>
        </is>
      </c>
      <c r="E92" s="15" t="inlineStr">
        <is>
          <t>ANY</t>
        </is>
      </c>
      <c r="F92" s="15" t="inlineStr">
        <is>
          <t>ANY</t>
        </is>
      </c>
      <c r="G92" s="15" t="b">
        <v>0</v>
      </c>
      <c r="H92" s="15" t="inlineStr">
        <is>
          <t>READY</t>
        </is>
      </c>
      <c r="I92" s="15" t="n"/>
      <c r="J92" s="15" t="n"/>
      <c r="K92" s="15" t="n">
        <v>115</v>
      </c>
    </row>
    <row r="93">
      <c r="A93" s="15" t="inlineStr">
        <is>
          <t>DIET-P-0150</t>
        </is>
      </c>
      <c r="B93" s="15" t="inlineStr">
        <is>
          <t>1.0.0</t>
        </is>
      </c>
      <c r="C93" s="15" t="inlineStr">
        <is>
          <t>—</t>
        </is>
      </c>
      <c r="D93" s="15" t="inlineStr">
        <is>
          <t>ANY</t>
        </is>
      </c>
      <c r="E93" s="15" t="inlineStr">
        <is>
          <t>ANY</t>
        </is>
      </c>
      <c r="F93" s="15" t="inlineStr">
        <is>
          <t>ANY</t>
        </is>
      </c>
      <c r="G93" s="15" t="b">
        <v>0</v>
      </c>
      <c r="H93" s="15" t="inlineStr">
        <is>
          <t>READY</t>
        </is>
      </c>
      <c r="I93" s="15" t="n"/>
      <c r="J93" s="15" t="n"/>
      <c r="K93" s="15" t="n">
        <v>116</v>
      </c>
    </row>
    <row r="94">
      <c r="A94" s="15" t="inlineStr">
        <is>
          <t>DIET-P-0153</t>
        </is>
      </c>
      <c r="B94" s="15" t="inlineStr">
        <is>
          <t>1.0.0</t>
        </is>
      </c>
      <c r="C94" s="15" t="inlineStr">
        <is>
          <t>—</t>
        </is>
      </c>
      <c r="D94" s="15" t="inlineStr">
        <is>
          <t>ANY</t>
        </is>
      </c>
      <c r="E94" s="15" t="inlineStr">
        <is>
          <t>ANY</t>
        </is>
      </c>
      <c r="F94" s="15" t="inlineStr">
        <is>
          <t>ANY</t>
        </is>
      </c>
      <c r="G94" s="15" t="b">
        <v>0</v>
      </c>
      <c r="H94" s="15" t="inlineStr">
        <is>
          <t>READY</t>
        </is>
      </c>
      <c r="I94" s="15" t="n"/>
      <c r="J94" s="15" t="n"/>
      <c r="K94" s="15" t="n">
        <v>119</v>
      </c>
    </row>
    <row r="95">
      <c r="A95" s="15" t="inlineStr">
        <is>
          <t>DIET-P-0154</t>
        </is>
      </c>
      <c r="B95" s="15" t="inlineStr">
        <is>
          <t>1.0.0</t>
        </is>
      </c>
      <c r="C95" s="15" t="inlineStr">
        <is>
          <t>명절</t>
        </is>
      </c>
      <c r="D95" s="15" t="inlineStr">
        <is>
          <t>ANY</t>
        </is>
      </c>
      <c r="E95" s="15" t="inlineStr">
        <is>
          <t>HOLIDAY</t>
        </is>
      </c>
      <c r="F95" s="15" t="inlineStr">
        <is>
          <t>ANY</t>
        </is>
      </c>
      <c r="G95" s="15" t="b">
        <v>0</v>
      </c>
      <c r="H95" s="15" t="inlineStr">
        <is>
          <t>READY</t>
        </is>
      </c>
      <c r="I95" s="15" t="n"/>
      <c r="J95" s="15" t="n"/>
      <c r="K95" s="15" t="n">
        <v>120</v>
      </c>
    </row>
    <row r="96">
      <c r="A96" s="15" t="inlineStr">
        <is>
          <t>DIET-P-0156</t>
        </is>
      </c>
      <c r="B96" s="15" t="inlineStr">
        <is>
          <t>1.0.0</t>
        </is>
      </c>
      <c r="C96" s="15" t="inlineStr">
        <is>
          <t>저녁</t>
        </is>
      </c>
      <c r="D96" s="15" t="inlineStr">
        <is>
          <t>EVENING</t>
        </is>
      </c>
      <c r="E96" s="15" t="inlineStr">
        <is>
          <t>ANY</t>
        </is>
      </c>
      <c r="F96" s="15" t="inlineStr">
        <is>
          <t>ANY</t>
        </is>
      </c>
      <c r="G96" s="15" t="b">
        <v>1</v>
      </c>
      <c r="H96" s="15" t="inlineStr">
        <is>
          <t>READY</t>
        </is>
      </c>
      <c r="I96" s="15" t="n"/>
      <c r="J96" s="15" t="n"/>
      <c r="K96" s="15" t="n">
        <v>122</v>
      </c>
    </row>
    <row r="97">
      <c r="A97" s="15" t="inlineStr">
        <is>
          <t>DIET-P-0157</t>
        </is>
      </c>
      <c r="B97" s="15" t="inlineStr">
        <is>
          <t>1.0.0</t>
        </is>
      </c>
      <c r="C97" s="26" t="inlineStr">
        <is>
          <t>토 · 일</t>
        </is>
      </c>
      <c r="D97" s="26" t="inlineStr">
        <is>
          <t>ANY</t>
        </is>
      </c>
      <c r="E97" s="15" t="inlineStr">
        <is>
          <t>WEEKEND</t>
        </is>
      </c>
      <c r="F97" s="15" t="inlineStr">
        <is>
          <t>ANY</t>
        </is>
      </c>
      <c r="G97" s="15" t="b">
        <v>0</v>
      </c>
      <c r="H97" s="15" t="inlineStr">
        <is>
          <t>READY</t>
        </is>
      </c>
      <c r="I97" s="15" t="n"/>
      <c r="J97" s="15" t="n"/>
      <c r="K97" s="15" t="n">
        <v>123</v>
      </c>
    </row>
    <row r="98">
      <c r="A98" s="15" t="inlineStr">
        <is>
          <t>DIET-P-0161</t>
        </is>
      </c>
      <c r="B98" s="15" t="inlineStr">
        <is>
          <t>1.0.0</t>
        </is>
      </c>
      <c r="C98" s="15" t="inlineStr">
        <is>
          <t>명절</t>
        </is>
      </c>
      <c r="D98" s="15" t="inlineStr">
        <is>
          <t>ANY</t>
        </is>
      </c>
      <c r="E98" s="15" t="inlineStr">
        <is>
          <t>HOLIDAY</t>
        </is>
      </c>
      <c r="F98" s="15" t="inlineStr">
        <is>
          <t>ANY</t>
        </is>
      </c>
      <c r="G98" s="15" t="b">
        <v>0</v>
      </c>
      <c r="H98" s="15" t="inlineStr">
        <is>
          <t>READY</t>
        </is>
      </c>
      <c r="I98" s="15" t="n"/>
      <c r="J98" s="15" t="n"/>
      <c r="K98" s="15" t="n">
        <v>125</v>
      </c>
    </row>
    <row r="99">
      <c r="A99" s="15" t="inlineStr">
        <is>
          <t>DIET-P-0165</t>
        </is>
      </c>
      <c r="B99" s="15" t="inlineStr">
        <is>
          <t>1.0.0</t>
        </is>
      </c>
      <c r="C99" s="15" t="inlineStr">
        <is>
          <t>저녁</t>
        </is>
      </c>
      <c r="D99" s="26" t="inlineStr">
        <is>
          <t>ANY</t>
        </is>
      </c>
      <c r="E99" s="15" t="inlineStr">
        <is>
          <t>ANY</t>
        </is>
      </c>
      <c r="F99" s="15" t="inlineStr">
        <is>
          <t>ANY</t>
        </is>
      </c>
      <c r="G99" s="15" t="b">
        <v>0</v>
      </c>
      <c r="H99" s="15" t="inlineStr">
        <is>
          <t>READY</t>
        </is>
      </c>
      <c r="I99" s="15" t="n"/>
      <c r="J99" s="15" t="n"/>
      <c r="K99" s="15" t="n">
        <v>127</v>
      </c>
    </row>
    <row r="100">
      <c r="A100" s="15" t="inlineStr">
        <is>
          <t>DIET-P-0169</t>
        </is>
      </c>
      <c r="B100" s="15" t="inlineStr">
        <is>
          <t>1.0.0</t>
        </is>
      </c>
      <c r="C100" s="15" t="inlineStr">
        <is>
          <t>오전 진입</t>
        </is>
      </c>
      <c r="D100" s="15" t="inlineStr">
        <is>
          <t>MORNING_ENTRY</t>
        </is>
      </c>
      <c r="E100" s="15" t="inlineStr">
        <is>
          <t>ANY</t>
        </is>
      </c>
      <c r="F100" s="15" t="inlineStr">
        <is>
          <t>ANY</t>
        </is>
      </c>
      <c r="G100" s="15" t="b">
        <v>0</v>
      </c>
      <c r="H100" s="15" t="inlineStr">
        <is>
          <t>READY</t>
        </is>
      </c>
      <c r="I100" s="15" t="n"/>
      <c r="J100" s="15" t="n"/>
      <c r="K100" s="15" t="n">
        <v>131</v>
      </c>
    </row>
    <row r="101">
      <c r="A101" s="15" t="inlineStr">
        <is>
          <t>DIET-P-0172</t>
        </is>
      </c>
      <c r="B101" s="15" t="inlineStr">
        <is>
          <t>1.0.0</t>
        </is>
      </c>
      <c r="C101" s="15" t="inlineStr">
        <is>
          <t>—</t>
        </is>
      </c>
      <c r="D101" s="15" t="inlineStr">
        <is>
          <t>ANY</t>
        </is>
      </c>
      <c r="E101" s="15" t="inlineStr">
        <is>
          <t>ANY</t>
        </is>
      </c>
      <c r="F101" s="15" t="inlineStr">
        <is>
          <t>ANY</t>
        </is>
      </c>
      <c r="G101" s="15" t="b">
        <v>0</v>
      </c>
      <c r="H101" s="15" t="inlineStr">
        <is>
          <t>READY</t>
        </is>
      </c>
      <c r="I101" s="15" t="n"/>
      <c r="J101" s="15" t="n"/>
      <c r="K101" s="15" t="n">
        <v>134</v>
      </c>
    </row>
    <row r="102">
      <c r="A102" s="15" t="inlineStr">
        <is>
          <t>DIET-P-0173</t>
        </is>
      </c>
      <c r="B102" s="15" t="inlineStr">
        <is>
          <t>1.0.0</t>
        </is>
      </c>
      <c r="C102" s="15" t="inlineStr">
        <is>
          <t>명절</t>
        </is>
      </c>
      <c r="D102" s="15" t="inlineStr">
        <is>
          <t>ANY</t>
        </is>
      </c>
      <c r="E102" s="15" t="inlineStr">
        <is>
          <t>HOLIDAY</t>
        </is>
      </c>
      <c r="F102" s="15" t="inlineStr">
        <is>
          <t>ANY</t>
        </is>
      </c>
      <c r="G102" s="15" t="b">
        <v>0</v>
      </c>
      <c r="H102" s="15" t="inlineStr">
        <is>
          <t>READY</t>
        </is>
      </c>
      <c r="I102" s="15" t="n"/>
      <c r="J102" s="15" t="n"/>
      <c r="K102" s="15" t="n">
        <v>135</v>
      </c>
    </row>
    <row r="103">
      <c r="A103" s="15" t="inlineStr">
        <is>
          <t>DIET-P-0180</t>
        </is>
      </c>
      <c r="B103" s="15" t="inlineStr">
        <is>
          <t>1.0.0</t>
        </is>
      </c>
      <c r="C103" s="15" t="inlineStr">
        <is>
          <t>—</t>
        </is>
      </c>
      <c r="D103" s="15" t="inlineStr">
        <is>
          <t>ANY</t>
        </is>
      </c>
      <c r="E103" s="15" t="inlineStr">
        <is>
          <t>ANY</t>
        </is>
      </c>
      <c r="F103" s="15" t="inlineStr">
        <is>
          <t>ANY</t>
        </is>
      </c>
      <c r="G103" s="15" t="b">
        <v>0</v>
      </c>
      <c r="H103" s="15" t="inlineStr">
        <is>
          <t>READY</t>
        </is>
      </c>
      <c r="I103" s="15" t="n"/>
      <c r="J103" s="15" t="n"/>
      <c r="K103" s="15" t="n">
        <v>137</v>
      </c>
    </row>
    <row r="104">
      <c r="A104" s="15" t="inlineStr">
        <is>
          <t>DIET-P-0181</t>
        </is>
      </c>
      <c r="B104" s="15" t="inlineStr">
        <is>
          <t>1.0.0</t>
        </is>
      </c>
      <c r="C104" s="15" t="inlineStr">
        <is>
          <t>—</t>
        </is>
      </c>
      <c r="D104" s="15" t="inlineStr">
        <is>
          <t>ANY</t>
        </is>
      </c>
      <c r="E104" s="15" t="inlineStr">
        <is>
          <t>ANY</t>
        </is>
      </c>
      <c r="F104" s="15" t="inlineStr">
        <is>
          <t>ANY</t>
        </is>
      </c>
      <c r="G104" s="15" t="b">
        <v>0</v>
      </c>
      <c r="H104" s="15" t="inlineStr">
        <is>
          <t>READY</t>
        </is>
      </c>
      <c r="I104" s="15" t="n"/>
      <c r="J104" s="15" t="n"/>
      <c r="K104" s="15" t="n">
        <v>138</v>
      </c>
    </row>
    <row r="105">
      <c r="A105" s="15" t="inlineStr">
        <is>
          <t>DIET-P-0182</t>
        </is>
      </c>
      <c r="B105" s="15" t="inlineStr">
        <is>
          <t>1.0.0</t>
        </is>
      </c>
      <c r="C105" s="15" t="inlineStr">
        <is>
          <t>저녁</t>
        </is>
      </c>
      <c r="D105" s="26" t="inlineStr">
        <is>
          <t>ANY</t>
        </is>
      </c>
      <c r="E105" s="15" t="inlineStr">
        <is>
          <t>ANY</t>
        </is>
      </c>
      <c r="F105" s="15" t="inlineStr">
        <is>
          <t>ANY</t>
        </is>
      </c>
      <c r="G105" s="15" t="b">
        <v>0</v>
      </c>
      <c r="H105" s="15" t="inlineStr">
        <is>
          <t>READY</t>
        </is>
      </c>
      <c r="I105" s="15" t="n"/>
      <c r="J105" s="15" t="n"/>
      <c r="K105" s="15" t="n">
        <v>139</v>
      </c>
    </row>
    <row r="106">
      <c r="A106" s="15" t="inlineStr">
        <is>
          <t>DIET-P-0183</t>
        </is>
      </c>
      <c r="B106" s="15" t="inlineStr">
        <is>
          <t>1.0.0</t>
        </is>
      </c>
      <c r="C106" s="15" t="inlineStr">
        <is>
          <t>저녁</t>
        </is>
      </c>
      <c r="D106" s="26" t="inlineStr">
        <is>
          <t>ANY</t>
        </is>
      </c>
      <c r="E106" s="15" t="inlineStr">
        <is>
          <t>ANY</t>
        </is>
      </c>
      <c r="F106" s="15" t="inlineStr">
        <is>
          <t>ANY</t>
        </is>
      </c>
      <c r="G106" s="15" t="b">
        <v>0</v>
      </c>
      <c r="H106" s="15" t="inlineStr">
        <is>
          <t>READY</t>
        </is>
      </c>
      <c r="I106" s="15" t="n"/>
      <c r="J106" s="15" t="n"/>
      <c r="K106" s="15" t="n">
        <v>140</v>
      </c>
    </row>
    <row r="107">
      <c r="A107" s="15" t="inlineStr">
        <is>
          <t>DIET-P-0198</t>
        </is>
      </c>
      <c r="B107" s="15" t="inlineStr">
        <is>
          <t>1.0.0</t>
        </is>
      </c>
      <c r="C107" s="15" t="inlineStr">
        <is>
          <t>저녁</t>
        </is>
      </c>
      <c r="D107" s="26" t="inlineStr">
        <is>
          <t>ANY</t>
        </is>
      </c>
      <c r="E107" s="15" t="inlineStr">
        <is>
          <t>ANY</t>
        </is>
      </c>
      <c r="F107" s="15" t="inlineStr">
        <is>
          <t>ANY</t>
        </is>
      </c>
      <c r="G107" s="15" t="b">
        <v>0</v>
      </c>
      <c r="H107" s="15" t="inlineStr">
        <is>
          <t>READY</t>
        </is>
      </c>
      <c r="I107" s="15" t="n"/>
      <c r="J107" s="15" t="n"/>
      <c r="K107" s="15" t="n">
        <v>141</v>
      </c>
    </row>
    <row r="108">
      <c r="A108" s="15" t="inlineStr">
        <is>
          <t>DIET-P-0199</t>
        </is>
      </c>
      <c r="B108" s="15" t="inlineStr">
        <is>
          <t>1.0.0</t>
        </is>
      </c>
      <c r="C108" s="15" t="inlineStr">
        <is>
          <t>저녁</t>
        </is>
      </c>
      <c r="D108" s="26" t="inlineStr">
        <is>
          <t>ANY</t>
        </is>
      </c>
      <c r="E108" s="15" t="inlineStr">
        <is>
          <t>ANY</t>
        </is>
      </c>
      <c r="F108" s="15" t="inlineStr">
        <is>
          <t>ANY</t>
        </is>
      </c>
      <c r="G108" s="15" t="b">
        <v>0</v>
      </c>
      <c r="H108" s="15" t="inlineStr">
        <is>
          <t>READY</t>
        </is>
      </c>
      <c r="I108" s="15" t="n"/>
      <c r="J108" s="15" t="n"/>
      <c r="K108" s="15" t="n">
        <v>142</v>
      </c>
    </row>
    <row r="109">
      <c r="A109" s="15" t="inlineStr">
        <is>
          <t>DIET-P-0200</t>
        </is>
      </c>
      <c r="B109" s="15" t="inlineStr">
        <is>
          <t>1.0.0</t>
        </is>
      </c>
      <c r="C109" s="15" t="inlineStr">
        <is>
          <t>—</t>
        </is>
      </c>
      <c r="D109" s="15" t="inlineStr">
        <is>
          <t>ANY</t>
        </is>
      </c>
      <c r="E109" s="15" t="inlineStr">
        <is>
          <t>ANY</t>
        </is>
      </c>
      <c r="F109" s="15" t="inlineStr">
        <is>
          <t>ANY</t>
        </is>
      </c>
      <c r="G109" s="15" t="b">
        <v>0</v>
      </c>
      <c r="H109" s="15" t="inlineStr">
        <is>
          <t>READY</t>
        </is>
      </c>
      <c r="I109" s="15" t="n"/>
      <c r="J109" s="15" t="n"/>
      <c r="K109" s="15" t="n">
        <v>143</v>
      </c>
    </row>
    <row r="110">
      <c r="A110" s="15" t="inlineStr">
        <is>
          <t>DIET-P-0201</t>
        </is>
      </c>
      <c r="B110" s="15" t="inlineStr">
        <is>
          <t>1.0.0</t>
        </is>
      </c>
      <c r="C110" s="15" t="inlineStr">
        <is>
          <t>—</t>
        </is>
      </c>
      <c r="D110" s="15" t="inlineStr">
        <is>
          <t>ANY</t>
        </is>
      </c>
      <c r="E110" s="15" t="inlineStr">
        <is>
          <t>ANY</t>
        </is>
      </c>
      <c r="F110" s="15" t="inlineStr">
        <is>
          <t>ANY</t>
        </is>
      </c>
      <c r="G110" s="15" t="b">
        <v>0</v>
      </c>
      <c r="H110" s="15" t="inlineStr">
        <is>
          <t>READY</t>
        </is>
      </c>
      <c r="I110" s="15" t="n"/>
      <c r="J110" s="15" t="n"/>
      <c r="K110" s="15" t="n">
        <v>144</v>
      </c>
    </row>
    <row r="111">
      <c r="A111" s="15" t="inlineStr">
        <is>
          <t>DIET-P-0202</t>
        </is>
      </c>
      <c r="B111" s="15" t="inlineStr">
        <is>
          <t>1.0.0</t>
        </is>
      </c>
      <c r="C111" s="15" t="inlineStr">
        <is>
          <t>—</t>
        </is>
      </c>
      <c r="D111" s="15" t="inlineStr">
        <is>
          <t>ANY</t>
        </is>
      </c>
      <c r="E111" s="15" t="inlineStr">
        <is>
          <t>ANY</t>
        </is>
      </c>
      <c r="F111" s="15" t="inlineStr">
        <is>
          <t>ANY</t>
        </is>
      </c>
      <c r="G111" s="15" t="b">
        <v>0</v>
      </c>
      <c r="H111" s="15" t="inlineStr">
        <is>
          <t>READY</t>
        </is>
      </c>
      <c r="I111" s="15" t="n"/>
      <c r="J111" s="15" t="n"/>
      <c r="K111" s="15" t="n">
        <v>145</v>
      </c>
    </row>
    <row r="112">
      <c r="A112" s="15" t="inlineStr">
        <is>
          <t>DIET-P-0204</t>
        </is>
      </c>
      <c r="B112" s="15" t="inlineStr">
        <is>
          <t>1.0.0</t>
        </is>
      </c>
      <c r="C112" s="15" t="inlineStr">
        <is>
          <t>—</t>
        </is>
      </c>
      <c r="D112" s="15" t="inlineStr">
        <is>
          <t>ANY</t>
        </is>
      </c>
      <c r="E112" s="15" t="inlineStr">
        <is>
          <t>ANY</t>
        </is>
      </c>
      <c r="F112" s="15" t="inlineStr">
        <is>
          <t>ANY</t>
        </is>
      </c>
      <c r="G112" s="15" t="b">
        <v>0</v>
      </c>
      <c r="H112" s="15" t="inlineStr">
        <is>
          <t>READY</t>
        </is>
      </c>
      <c r="I112" s="15" t="n"/>
      <c r="J112" s="15" t="n"/>
      <c r="K112" s="15" t="n">
        <v>146</v>
      </c>
    </row>
    <row r="113">
      <c r="A113" s="15" t="inlineStr">
        <is>
          <t>DIET-P-0205</t>
        </is>
      </c>
      <c r="B113" s="15" t="inlineStr">
        <is>
          <t>1.0.0</t>
        </is>
      </c>
      <c r="C113" s="15" t="inlineStr">
        <is>
          <t>—</t>
        </is>
      </c>
      <c r="D113" s="15" t="inlineStr">
        <is>
          <t>ANY</t>
        </is>
      </c>
      <c r="E113" s="15" t="inlineStr">
        <is>
          <t>ANY</t>
        </is>
      </c>
      <c r="F113" s="15" t="inlineStr">
        <is>
          <t>ANY</t>
        </is>
      </c>
      <c r="G113" s="15" t="b">
        <v>0</v>
      </c>
      <c r="H113" s="15" t="inlineStr">
        <is>
          <t>READY</t>
        </is>
      </c>
      <c r="I113" s="15" t="n"/>
      <c r="J113" s="15" t="n"/>
      <c r="K113" s="15" t="n">
        <v>147</v>
      </c>
    </row>
    <row r="114">
      <c r="A114" s="15" t="inlineStr">
        <is>
          <t>DIET-P-0206</t>
        </is>
      </c>
      <c r="B114" s="15" t="inlineStr">
        <is>
          <t>1.0.0</t>
        </is>
      </c>
      <c r="C114" s="15" t="inlineStr">
        <is>
          <t>—</t>
        </is>
      </c>
      <c r="D114" s="15" t="inlineStr">
        <is>
          <t>ANY</t>
        </is>
      </c>
      <c r="E114" s="15" t="inlineStr">
        <is>
          <t>ANY</t>
        </is>
      </c>
      <c r="F114" s="15" t="inlineStr">
        <is>
          <t>ANY</t>
        </is>
      </c>
      <c r="G114" s="15" t="b">
        <v>0</v>
      </c>
      <c r="H114" s="15" t="inlineStr">
        <is>
          <t>READY</t>
        </is>
      </c>
      <c r="I114" s="15" t="n"/>
      <c r="J114" s="15" t="n"/>
      <c r="K114" s="15" t="n">
        <v>148</v>
      </c>
    </row>
    <row r="115">
      <c r="A115" s="15" t="inlineStr">
        <is>
          <t>DIET-P-0207</t>
        </is>
      </c>
      <c r="B115" s="15" t="inlineStr">
        <is>
          <t>1.0.0</t>
        </is>
      </c>
      <c r="C115" s="15" t="inlineStr">
        <is>
          <t>—</t>
        </is>
      </c>
      <c r="D115" s="15" t="inlineStr">
        <is>
          <t>ANY</t>
        </is>
      </c>
      <c r="E115" s="15" t="inlineStr">
        <is>
          <t>ANY</t>
        </is>
      </c>
      <c r="F115" s="15" t="inlineStr">
        <is>
          <t>ANY</t>
        </is>
      </c>
      <c r="G115" s="15" t="b">
        <v>0</v>
      </c>
      <c r="H115" s="15" t="inlineStr">
        <is>
          <t>READY</t>
        </is>
      </c>
      <c r="I115" s="15" t="n"/>
      <c r="J115" s="15" t="n"/>
      <c r="K115" s="15" t="n">
        <v>149</v>
      </c>
    </row>
    <row r="116">
      <c r="A116" s="15" t="inlineStr">
        <is>
          <t>DIET-P-0208</t>
        </is>
      </c>
      <c r="B116" s="15" t="inlineStr">
        <is>
          <t>1.0.0</t>
        </is>
      </c>
      <c r="C116" s="15" t="inlineStr">
        <is>
          <t>—</t>
        </is>
      </c>
      <c r="D116" s="15" t="inlineStr">
        <is>
          <t>ANY</t>
        </is>
      </c>
      <c r="E116" s="15" t="inlineStr">
        <is>
          <t>ANY</t>
        </is>
      </c>
      <c r="F116" s="15" t="inlineStr">
        <is>
          <t>ANY</t>
        </is>
      </c>
      <c r="G116" s="15" t="b">
        <v>0</v>
      </c>
      <c r="H116" s="15" t="inlineStr">
        <is>
          <t>READY</t>
        </is>
      </c>
      <c r="I116" s="15" t="n"/>
      <c r="J116" s="15" t="n"/>
      <c r="K116" s="15" t="n">
        <v>150</v>
      </c>
    </row>
    <row r="117">
      <c r="A117" s="15" t="inlineStr">
        <is>
          <t>DIET-P-0209</t>
        </is>
      </c>
      <c r="B117" s="15" t="inlineStr">
        <is>
          <t>1.0.0</t>
        </is>
      </c>
      <c r="C117" s="15" t="inlineStr">
        <is>
          <t>—</t>
        </is>
      </c>
      <c r="D117" s="15" t="inlineStr">
        <is>
          <t>ANY</t>
        </is>
      </c>
      <c r="E117" s="15" t="inlineStr">
        <is>
          <t>ANY</t>
        </is>
      </c>
      <c r="F117" s="15" t="inlineStr">
        <is>
          <t>ANY</t>
        </is>
      </c>
      <c r="G117" s="15" t="b">
        <v>0</v>
      </c>
      <c r="H117" s="15" t="inlineStr">
        <is>
          <t>READY</t>
        </is>
      </c>
      <c r="I117" s="15" t="n"/>
      <c r="J117" s="15" t="n"/>
      <c r="K117" s="15" t="n">
        <v>151</v>
      </c>
    </row>
    <row r="118">
      <c r="A118" s="15" t="inlineStr">
        <is>
          <t>DIET-P-0210</t>
        </is>
      </c>
      <c r="B118" s="15" t="inlineStr">
        <is>
          <t>1.0.0</t>
        </is>
      </c>
      <c r="C118" s="15" t="inlineStr">
        <is>
          <t>—</t>
        </is>
      </c>
      <c r="D118" s="15" t="inlineStr">
        <is>
          <t>ANY</t>
        </is>
      </c>
      <c r="E118" s="15" t="inlineStr">
        <is>
          <t>ANY</t>
        </is>
      </c>
      <c r="F118" s="15" t="inlineStr">
        <is>
          <t>ANY</t>
        </is>
      </c>
      <c r="G118" s="15" t="b">
        <v>0</v>
      </c>
      <c r="H118" s="15" t="inlineStr">
        <is>
          <t>READY</t>
        </is>
      </c>
      <c r="I118" s="15" t="n"/>
      <c r="J118" s="15" t="n"/>
      <c r="K118" s="15" t="n">
        <v>152</v>
      </c>
    </row>
    <row r="119">
      <c r="A119" s="15" t="inlineStr">
        <is>
          <t>DIET-P-0211</t>
        </is>
      </c>
      <c r="B119" s="15" t="inlineStr">
        <is>
          <t>1.0.0</t>
        </is>
      </c>
      <c r="C119" s="15" t="inlineStr">
        <is>
          <t>—</t>
        </is>
      </c>
      <c r="D119" s="15" t="inlineStr">
        <is>
          <t>ANY</t>
        </is>
      </c>
      <c r="E119" s="15" t="inlineStr">
        <is>
          <t>ANY</t>
        </is>
      </c>
      <c r="F119" s="15" t="inlineStr">
        <is>
          <t>ANY</t>
        </is>
      </c>
      <c r="G119" s="15" t="b">
        <v>0</v>
      </c>
      <c r="H119" s="15" t="inlineStr">
        <is>
          <t>READY</t>
        </is>
      </c>
      <c r="I119" s="15" t="n"/>
      <c r="J119" s="15" t="n"/>
      <c r="K119" s="15" t="n">
        <v>153</v>
      </c>
    </row>
    <row r="120">
      <c r="A120" s="15" t="inlineStr">
        <is>
          <t>DIET-P-0212</t>
        </is>
      </c>
      <c r="B120" s="15" t="inlineStr">
        <is>
          <t>1.0.0</t>
        </is>
      </c>
      <c r="C120" s="15" t="inlineStr">
        <is>
          <t>—</t>
        </is>
      </c>
      <c r="D120" s="15" t="inlineStr">
        <is>
          <t>ANY</t>
        </is>
      </c>
      <c r="E120" s="15" t="inlineStr">
        <is>
          <t>ANY</t>
        </is>
      </c>
      <c r="F120" s="15" t="inlineStr">
        <is>
          <t>ANY</t>
        </is>
      </c>
      <c r="G120" s="15" t="b">
        <v>0</v>
      </c>
      <c r="H120" s="15" t="inlineStr">
        <is>
          <t>READY</t>
        </is>
      </c>
      <c r="I120" s="15" t="n"/>
      <c r="J120" s="15" t="n"/>
      <c r="K120" s="15" t="n">
        <v>154</v>
      </c>
    </row>
    <row r="121">
      <c r="A121" s="15" t="inlineStr">
        <is>
          <t>DIET-P-0213</t>
        </is>
      </c>
      <c r="B121" s="15" t="inlineStr">
        <is>
          <t>1.0.0</t>
        </is>
      </c>
      <c r="C121" s="15" t="inlineStr">
        <is>
          <t>—</t>
        </is>
      </c>
      <c r="D121" s="15" t="inlineStr">
        <is>
          <t>ANY</t>
        </is>
      </c>
      <c r="E121" s="15" t="inlineStr">
        <is>
          <t>ANY</t>
        </is>
      </c>
      <c r="F121" s="15" t="inlineStr">
        <is>
          <t>ANY</t>
        </is>
      </c>
      <c r="G121" s="15" t="b">
        <v>0</v>
      </c>
      <c r="H121" s="15" t="inlineStr">
        <is>
          <t>READY</t>
        </is>
      </c>
      <c r="I121" s="15" t="n"/>
      <c r="J121" s="15" t="n"/>
      <c r="K121" s="15" t="n">
        <v>155</v>
      </c>
    </row>
    <row r="122">
      <c r="A122" s="15" t="inlineStr">
        <is>
          <t>DIET-P-0214</t>
        </is>
      </c>
      <c r="B122" s="15" t="inlineStr">
        <is>
          <t>1.0.0</t>
        </is>
      </c>
      <c r="C122" s="15" t="inlineStr">
        <is>
          <t>—</t>
        </is>
      </c>
      <c r="D122" s="15" t="inlineStr">
        <is>
          <t>ANY</t>
        </is>
      </c>
      <c r="E122" s="15" t="inlineStr">
        <is>
          <t>ANY</t>
        </is>
      </c>
      <c r="F122" s="15" t="inlineStr">
        <is>
          <t>ANY</t>
        </is>
      </c>
      <c r="G122" s="15" t="b">
        <v>0</v>
      </c>
      <c r="H122" s="15" t="inlineStr">
        <is>
          <t>READY</t>
        </is>
      </c>
      <c r="I122" s="15" t="n"/>
      <c r="J122" s="15" t="n"/>
      <c r="K122" s="15" t="n">
        <v>156</v>
      </c>
    </row>
    <row r="123">
      <c r="A123" s="15" t="inlineStr">
        <is>
          <t>DIET-P-0215</t>
        </is>
      </c>
      <c r="B123" s="15" t="inlineStr">
        <is>
          <t>1.0.0</t>
        </is>
      </c>
      <c r="C123" s="15" t="inlineStr">
        <is>
          <t>—</t>
        </is>
      </c>
      <c r="D123" s="15" t="inlineStr">
        <is>
          <t>ANY</t>
        </is>
      </c>
      <c r="E123" s="15" t="inlineStr">
        <is>
          <t>ANY</t>
        </is>
      </c>
      <c r="F123" s="15" t="inlineStr">
        <is>
          <t>ANY</t>
        </is>
      </c>
      <c r="G123" s="15" t="b">
        <v>0</v>
      </c>
      <c r="H123" s="15" t="inlineStr">
        <is>
          <t>READY</t>
        </is>
      </c>
      <c r="I123" s="15" t="n"/>
      <c r="J123" s="15" t="n"/>
      <c r="K123" s="15" t="n">
        <v>157</v>
      </c>
    </row>
    <row r="124">
      <c r="A124" s="15" t="inlineStr">
        <is>
          <t>DIET-P-0217</t>
        </is>
      </c>
      <c r="B124" s="15" t="inlineStr">
        <is>
          <t>1.0.0</t>
        </is>
      </c>
      <c r="C124" s="15" t="inlineStr">
        <is>
          <t>—</t>
        </is>
      </c>
      <c r="D124" s="15" t="inlineStr">
        <is>
          <t>ANY</t>
        </is>
      </c>
      <c r="E124" s="15" t="inlineStr">
        <is>
          <t>ANY</t>
        </is>
      </c>
      <c r="F124" s="15" t="inlineStr">
        <is>
          <t>ANY</t>
        </is>
      </c>
      <c r="G124" s="15" t="b">
        <v>0</v>
      </c>
      <c r="H124" s="15" t="inlineStr">
        <is>
          <t>READY</t>
        </is>
      </c>
      <c r="I124" s="15" t="n"/>
      <c r="J124" s="15" t="n"/>
      <c r="K124" s="15" t="n">
        <v>158</v>
      </c>
    </row>
    <row r="125">
      <c r="A125" s="15" t="inlineStr">
        <is>
          <t>DIET-P-0218</t>
        </is>
      </c>
      <c r="B125" s="15" t="inlineStr">
        <is>
          <t>1.0.0</t>
        </is>
      </c>
      <c r="C125" s="15" t="inlineStr">
        <is>
          <t>—</t>
        </is>
      </c>
      <c r="D125" s="15" t="inlineStr">
        <is>
          <t>ANY</t>
        </is>
      </c>
      <c r="E125" s="15" t="inlineStr">
        <is>
          <t>ANY</t>
        </is>
      </c>
      <c r="F125" s="15" t="inlineStr">
        <is>
          <t>ANY</t>
        </is>
      </c>
      <c r="G125" s="15" t="b">
        <v>0</v>
      </c>
      <c r="H125" s="15" t="inlineStr">
        <is>
          <t>READY</t>
        </is>
      </c>
      <c r="I125" s="15" t="n"/>
      <c r="J125" s="15" t="n"/>
      <c r="K125" s="15" t="n">
        <v>159</v>
      </c>
    </row>
    <row r="126">
      <c r="A126" s="15" t="inlineStr">
        <is>
          <t>DIET-P-0219</t>
        </is>
      </c>
      <c r="B126" s="15" t="inlineStr">
        <is>
          <t>1.0.0</t>
        </is>
      </c>
      <c r="C126" s="15" t="inlineStr">
        <is>
          <t>—</t>
        </is>
      </c>
      <c r="D126" s="15" t="inlineStr">
        <is>
          <t>ANY</t>
        </is>
      </c>
      <c r="E126" s="15" t="inlineStr">
        <is>
          <t>ANY</t>
        </is>
      </c>
      <c r="F126" s="15" t="inlineStr">
        <is>
          <t>ANY</t>
        </is>
      </c>
      <c r="G126" s="15" t="b">
        <v>0</v>
      </c>
      <c r="H126" s="15" t="inlineStr">
        <is>
          <t>READY</t>
        </is>
      </c>
      <c r="I126" s="15" t="n"/>
      <c r="J126" s="15" t="n"/>
      <c r="K126" s="15" t="n">
        <v>160</v>
      </c>
    </row>
    <row r="127">
      <c r="A127" s="15" t="inlineStr">
        <is>
          <t>DIET-P-0220</t>
        </is>
      </c>
      <c r="B127" s="15" t="inlineStr">
        <is>
          <t>1.0.0</t>
        </is>
      </c>
      <c r="C127" s="15" t="inlineStr">
        <is>
          <t>—</t>
        </is>
      </c>
      <c r="D127" s="15" t="inlineStr">
        <is>
          <t>ANY</t>
        </is>
      </c>
      <c r="E127" s="15" t="inlineStr">
        <is>
          <t>ANY</t>
        </is>
      </c>
      <c r="F127" s="15" t="inlineStr">
        <is>
          <t>ANY</t>
        </is>
      </c>
      <c r="G127" s="15" t="b">
        <v>0</v>
      </c>
      <c r="H127" s="15" t="inlineStr">
        <is>
          <t>READY</t>
        </is>
      </c>
      <c r="I127" s="15" t="n"/>
      <c r="J127" s="15" t="n"/>
      <c r="K127" s="15" t="n">
        <v>161</v>
      </c>
    </row>
    <row r="128">
      <c r="A128" s="15" t="inlineStr">
        <is>
          <t>DIET-P-0222</t>
        </is>
      </c>
      <c r="B128" s="15" t="inlineStr">
        <is>
          <t>1.0.0</t>
        </is>
      </c>
      <c r="C128" s="15" t="inlineStr">
        <is>
          <t>—</t>
        </is>
      </c>
      <c r="D128" s="15" t="inlineStr">
        <is>
          <t>ANY</t>
        </is>
      </c>
      <c r="E128" s="15" t="inlineStr">
        <is>
          <t>ANY</t>
        </is>
      </c>
      <c r="F128" s="15" t="inlineStr">
        <is>
          <t>ANY</t>
        </is>
      </c>
      <c r="G128" s="15" t="b">
        <v>0</v>
      </c>
      <c r="H128" s="15" t="inlineStr">
        <is>
          <t>READY</t>
        </is>
      </c>
      <c r="I128" s="15" t="n"/>
      <c r="J128" s="15" t="n"/>
      <c r="K128" s="15" t="n">
        <v>162</v>
      </c>
    </row>
    <row r="129">
      <c r="A129" s="15" t="inlineStr">
        <is>
          <t>DIET-P-0224</t>
        </is>
      </c>
      <c r="B129" s="15" t="inlineStr">
        <is>
          <t>1.0.0</t>
        </is>
      </c>
      <c r="C129" s="15" t="inlineStr">
        <is>
          <t>—</t>
        </is>
      </c>
      <c r="D129" s="15" t="inlineStr">
        <is>
          <t>ANY</t>
        </is>
      </c>
      <c r="E129" s="15" t="inlineStr">
        <is>
          <t>ANY</t>
        </is>
      </c>
      <c r="F129" s="15" t="inlineStr">
        <is>
          <t>ANY</t>
        </is>
      </c>
      <c r="G129" s="15" t="b">
        <v>0</v>
      </c>
      <c r="H129" s="15" t="inlineStr">
        <is>
          <t>READY</t>
        </is>
      </c>
      <c r="I129" s="15" t="n"/>
      <c r="J129" s="15" t="n"/>
      <c r="K129" s="15" t="n">
        <v>163</v>
      </c>
    </row>
    <row r="130">
      <c r="A130" s="15" t="inlineStr">
        <is>
          <t>DIET-P-0225</t>
        </is>
      </c>
      <c r="B130" s="15" t="inlineStr">
        <is>
          <t>1.0.0</t>
        </is>
      </c>
      <c r="C130" s="15" t="inlineStr">
        <is>
          <t>저녁</t>
        </is>
      </c>
      <c r="D130" s="26" t="inlineStr">
        <is>
          <t>ANY</t>
        </is>
      </c>
      <c r="E130" s="15" t="inlineStr">
        <is>
          <t>ANY</t>
        </is>
      </c>
      <c r="F130" s="15" t="inlineStr">
        <is>
          <t>ANY</t>
        </is>
      </c>
      <c r="G130" s="15" t="b">
        <v>0</v>
      </c>
      <c r="H130" s="15" t="inlineStr">
        <is>
          <t>READY</t>
        </is>
      </c>
      <c r="I130" s="15" t="n"/>
      <c r="J130" s="15" t="n"/>
      <c r="K130" s="15" t="n">
        <v>164</v>
      </c>
    </row>
    <row r="131">
      <c r="A131" s="15" t="inlineStr">
        <is>
          <t>DIET-P-0234</t>
        </is>
      </c>
      <c r="B131" s="15" t="inlineStr">
        <is>
          <t>1.0.0</t>
        </is>
      </c>
      <c r="C131" s="15" t="inlineStr">
        <is>
          <t>—</t>
        </is>
      </c>
      <c r="D131" s="15" t="inlineStr">
        <is>
          <t>ANY</t>
        </is>
      </c>
      <c r="E131" s="15" t="inlineStr">
        <is>
          <t>ANY</t>
        </is>
      </c>
      <c r="F131" s="15" t="inlineStr">
        <is>
          <t>ANY</t>
        </is>
      </c>
      <c r="G131" s="15" t="b">
        <v>0</v>
      </c>
      <c r="H131" s="15" t="inlineStr">
        <is>
          <t>READY</t>
        </is>
      </c>
      <c r="I131" s="15" t="n"/>
      <c r="J131" s="15" t="n"/>
      <c r="K131" s="15" t="n">
        <v>173</v>
      </c>
    </row>
    <row r="132">
      <c r="A132" s="15" t="inlineStr">
        <is>
          <t>DIET-P-0235</t>
        </is>
      </c>
      <c r="B132" s="15" t="inlineStr">
        <is>
          <t>1.0.0</t>
        </is>
      </c>
      <c r="C132" s="15" t="inlineStr">
        <is>
          <t>—</t>
        </is>
      </c>
      <c r="D132" s="15" t="inlineStr">
        <is>
          <t>ANY</t>
        </is>
      </c>
      <c r="E132" s="15" t="inlineStr">
        <is>
          <t>ANY</t>
        </is>
      </c>
      <c r="F132" s="15" t="inlineStr">
        <is>
          <t>ANY</t>
        </is>
      </c>
      <c r="G132" s="15" t="b">
        <v>0</v>
      </c>
      <c r="H132" s="15" t="inlineStr">
        <is>
          <t>READY</t>
        </is>
      </c>
      <c r="I132" s="15" t="n"/>
      <c r="J132" s="15" t="n"/>
      <c r="K132" s="15" t="n">
        <v>174</v>
      </c>
    </row>
    <row r="133">
      <c r="A133" s="15" t="inlineStr">
        <is>
          <t>DIET-P-0236</t>
        </is>
      </c>
      <c r="B133" s="15" t="inlineStr">
        <is>
          <t>1.0.0</t>
        </is>
      </c>
      <c r="C133" s="15" t="inlineStr">
        <is>
          <t>—</t>
        </is>
      </c>
      <c r="D133" s="15" t="inlineStr">
        <is>
          <t>ANY</t>
        </is>
      </c>
      <c r="E133" s="15" t="inlineStr">
        <is>
          <t>ANY</t>
        </is>
      </c>
      <c r="F133" s="15" t="inlineStr">
        <is>
          <t>ANY</t>
        </is>
      </c>
      <c r="G133" s="15" t="b">
        <v>0</v>
      </c>
      <c r="H133" s="15" t="inlineStr">
        <is>
          <t>READY</t>
        </is>
      </c>
      <c r="I133" s="15" t="n"/>
      <c r="J133" s="15" t="n"/>
      <c r="K133" s="15" t="n">
        <v>175</v>
      </c>
    </row>
    <row r="134">
      <c r="A134" s="15" t="inlineStr">
        <is>
          <t>DIET-P-0237</t>
        </is>
      </c>
      <c r="B134" s="15" t="inlineStr">
        <is>
          <t>1.0.0</t>
        </is>
      </c>
      <c r="C134" s="15" t="inlineStr">
        <is>
          <t>—</t>
        </is>
      </c>
      <c r="D134" s="15" t="inlineStr">
        <is>
          <t>ANY</t>
        </is>
      </c>
      <c r="E134" s="15" t="inlineStr">
        <is>
          <t>ANY</t>
        </is>
      </c>
      <c r="F134" s="15" t="inlineStr">
        <is>
          <t>ANY</t>
        </is>
      </c>
      <c r="G134" s="15" t="b">
        <v>0</v>
      </c>
      <c r="H134" s="15" t="inlineStr">
        <is>
          <t>READY</t>
        </is>
      </c>
      <c r="I134" s="15" t="n"/>
      <c r="J134" s="15" t="n"/>
      <c r="K134" s="15" t="n">
        <v>176</v>
      </c>
    </row>
    <row r="135">
      <c r="A135" s="15" t="inlineStr">
        <is>
          <t>DIET-P-0238</t>
        </is>
      </c>
      <c r="B135" s="15" t="inlineStr">
        <is>
          <t>1.0.0</t>
        </is>
      </c>
      <c r="C135" s="15" t="inlineStr">
        <is>
          <t>—</t>
        </is>
      </c>
      <c r="D135" s="15" t="inlineStr">
        <is>
          <t>ANY</t>
        </is>
      </c>
      <c r="E135" s="15" t="inlineStr">
        <is>
          <t>ANY</t>
        </is>
      </c>
      <c r="F135" s="15" t="inlineStr">
        <is>
          <t>ANY</t>
        </is>
      </c>
      <c r="G135" s="15" t="b">
        <v>0</v>
      </c>
      <c r="H135" s="15" t="inlineStr">
        <is>
          <t>READY</t>
        </is>
      </c>
      <c r="I135" s="15" t="n"/>
      <c r="J135" s="15" t="n"/>
      <c r="K135" s="15" t="n">
        <v>177</v>
      </c>
    </row>
    <row r="136">
      <c r="A136" s="15" t="inlineStr">
        <is>
          <t>DIET-P-0226</t>
        </is>
      </c>
      <c r="B136" s="15" t="inlineStr">
        <is>
          <t>1.0.0</t>
        </is>
      </c>
      <c r="C136" s="15" t="inlineStr">
        <is>
          <t>저녁</t>
        </is>
      </c>
      <c r="D136" s="15" t="inlineStr">
        <is>
          <t>PRE_MIDNIGHT</t>
        </is>
      </c>
      <c r="E136" s="15" t="inlineStr">
        <is>
          <t>ANY</t>
        </is>
      </c>
      <c r="F136" s="15" t="inlineStr">
        <is>
          <t>ANY</t>
        </is>
      </c>
      <c r="G136" s="15" t="b">
        <v>1</v>
      </c>
      <c r="H136" s="15" t="inlineStr">
        <is>
          <t>READY</t>
        </is>
      </c>
      <c r="I136" s="15" t="n"/>
      <c r="J136" s="15" t="n"/>
      <c r="K136" s="15" t="n">
        <v>165</v>
      </c>
    </row>
    <row r="137">
      <c r="A137" s="15" t="inlineStr">
        <is>
          <t>DIET-P-0227</t>
        </is>
      </c>
      <c r="B137" s="15" t="inlineStr">
        <is>
          <t>1.0.0</t>
        </is>
      </c>
      <c r="C137" s="15" t="inlineStr">
        <is>
          <t>저녁</t>
        </is>
      </c>
      <c r="D137" s="15" t="inlineStr">
        <is>
          <t>PRE_MIDNIGHT</t>
        </is>
      </c>
      <c r="E137" s="15" t="inlineStr">
        <is>
          <t>ANY</t>
        </is>
      </c>
      <c r="F137" s="15" t="inlineStr">
        <is>
          <t>ANY</t>
        </is>
      </c>
      <c r="G137" s="15" t="b">
        <v>1</v>
      </c>
      <c r="H137" s="15" t="inlineStr">
        <is>
          <t>READY</t>
        </is>
      </c>
      <c r="I137" s="15" t="n"/>
      <c r="J137" s="15" t="n"/>
      <c r="K137" s="15" t="n">
        <v>166</v>
      </c>
    </row>
    <row r="138">
      <c r="A138" s="15" t="inlineStr">
        <is>
          <t>DIET-P-0228</t>
        </is>
      </c>
      <c r="B138" s="15" t="inlineStr">
        <is>
          <t>1.0.0</t>
        </is>
      </c>
      <c r="C138" s="15" t="inlineStr">
        <is>
          <t>저녁</t>
        </is>
      </c>
      <c r="D138" s="15" t="inlineStr">
        <is>
          <t>PRE_MIDNIGHT</t>
        </is>
      </c>
      <c r="E138" s="15" t="inlineStr">
        <is>
          <t>ANY</t>
        </is>
      </c>
      <c r="F138" s="15" t="inlineStr">
        <is>
          <t>ANY</t>
        </is>
      </c>
      <c r="G138" s="15" t="b">
        <v>1</v>
      </c>
      <c r="H138" s="15" t="inlineStr">
        <is>
          <t>READY</t>
        </is>
      </c>
      <c r="I138" s="15" t="n"/>
      <c r="J138" s="15" t="n"/>
      <c r="K138" s="15" t="n">
        <v>167</v>
      </c>
    </row>
    <row r="139">
      <c r="A139" s="15" t="inlineStr">
        <is>
          <t>DIET-P-0229</t>
        </is>
      </c>
      <c r="B139" s="15" t="inlineStr">
        <is>
          <t>1.0.0</t>
        </is>
      </c>
      <c r="C139" s="15" t="inlineStr">
        <is>
          <t>저녁</t>
        </is>
      </c>
      <c r="D139" s="15" t="inlineStr">
        <is>
          <t>PRE_MIDNIGHT</t>
        </is>
      </c>
      <c r="E139" s="15" t="inlineStr">
        <is>
          <t>ANY</t>
        </is>
      </c>
      <c r="F139" s="15" t="inlineStr">
        <is>
          <t>ANY</t>
        </is>
      </c>
      <c r="G139" s="15" t="b">
        <v>1</v>
      </c>
      <c r="H139" s="15" t="inlineStr">
        <is>
          <t>READY</t>
        </is>
      </c>
      <c r="I139" s="15" t="n"/>
      <c r="J139" s="15" t="n"/>
      <c r="K139" s="15" t="n">
        <v>168</v>
      </c>
    </row>
    <row r="140">
      <c r="A140" s="15" t="inlineStr">
        <is>
          <t>DIET-P-0230</t>
        </is>
      </c>
      <c r="B140" s="15" t="inlineStr">
        <is>
          <t>1.0.0</t>
        </is>
      </c>
      <c r="C140" s="15" t="inlineStr">
        <is>
          <t>저녁</t>
        </is>
      </c>
      <c r="D140" s="15" t="inlineStr">
        <is>
          <t>PRE_MIDNIGHT</t>
        </is>
      </c>
      <c r="E140" s="15" t="inlineStr">
        <is>
          <t>ANY</t>
        </is>
      </c>
      <c r="F140" s="15" t="inlineStr">
        <is>
          <t>ANY</t>
        </is>
      </c>
      <c r="G140" s="15" t="b">
        <v>1</v>
      </c>
      <c r="H140" s="15" t="inlineStr">
        <is>
          <t>READY</t>
        </is>
      </c>
      <c r="I140" s="15" t="n"/>
      <c r="J140" s="15" t="n"/>
      <c r="K140" s="15" t="n">
        <v>169</v>
      </c>
    </row>
    <row r="141">
      <c r="A141" s="15" t="inlineStr">
        <is>
          <t>DIET-P-0231</t>
        </is>
      </c>
      <c r="B141" s="15" t="inlineStr">
        <is>
          <t>1.0.0</t>
        </is>
      </c>
      <c r="C141" s="15" t="inlineStr">
        <is>
          <t>저녁</t>
        </is>
      </c>
      <c r="D141" s="15" t="inlineStr">
        <is>
          <t>PRE_MIDNIGHT</t>
        </is>
      </c>
      <c r="E141" s="15" t="inlineStr">
        <is>
          <t>ANY</t>
        </is>
      </c>
      <c r="F141" s="15" t="inlineStr">
        <is>
          <t>ANY</t>
        </is>
      </c>
      <c r="G141" s="15" t="b">
        <v>1</v>
      </c>
      <c r="H141" s="15" t="inlineStr">
        <is>
          <t>READY</t>
        </is>
      </c>
      <c r="I141" s="15" t="n"/>
      <c r="J141" s="15" t="n"/>
      <c r="K141" s="15" t="n">
        <v>170</v>
      </c>
    </row>
    <row r="142">
      <c r="A142" s="15" t="inlineStr">
        <is>
          <t>DIET-P-0232</t>
        </is>
      </c>
      <c r="B142" s="15" t="inlineStr">
        <is>
          <t>1.0.0</t>
        </is>
      </c>
      <c r="C142" s="15" t="inlineStr">
        <is>
          <t>저녁</t>
        </is>
      </c>
      <c r="D142" s="15" t="inlineStr">
        <is>
          <t>PRE_MIDNIGHT</t>
        </is>
      </c>
      <c r="E142" s="15" t="inlineStr">
        <is>
          <t>ANY</t>
        </is>
      </c>
      <c r="F142" s="15" t="inlineStr">
        <is>
          <t>ANY</t>
        </is>
      </c>
      <c r="G142" s="15" t="b">
        <v>1</v>
      </c>
      <c r="H142" s="15" t="inlineStr">
        <is>
          <t>READY</t>
        </is>
      </c>
      <c r="I142" s="15" t="n"/>
      <c r="J142" s="15" t="n"/>
      <c r="K142" s="15" t="n">
        <v>171</v>
      </c>
    </row>
    <row r="143">
      <c r="A143" s="15" t="inlineStr">
        <is>
          <t>DIET-P-0233</t>
        </is>
      </c>
      <c r="B143" s="15" t="inlineStr">
        <is>
          <t>1.0.0</t>
        </is>
      </c>
      <c r="C143" s="15" t="inlineStr">
        <is>
          <t>저녁</t>
        </is>
      </c>
      <c r="D143" s="15" t="inlineStr">
        <is>
          <t>PRE_MIDNIGHT</t>
        </is>
      </c>
      <c r="E143" s="15" t="inlineStr">
        <is>
          <t>ANY</t>
        </is>
      </c>
      <c r="F143" s="15" t="inlineStr">
        <is>
          <t>ANY</t>
        </is>
      </c>
      <c r="G143" s="15" t="b">
        <v>1</v>
      </c>
      <c r="H143" s="15" t="inlineStr">
        <is>
          <t>READY</t>
        </is>
      </c>
      <c r="I143" s="15" t="n"/>
      <c r="J143" s="15" t="n"/>
      <c r="K143" s="15" t="n">
        <v>172</v>
      </c>
    </row>
    <row r="144">
      <c r="A144" s="6" t="inlineStr">
        <is>
          <t>DIET-P-0239</t>
        </is>
      </c>
      <c r="B144" s="6" t="inlineStr">
        <is>
          <t>1.0.0</t>
        </is>
      </c>
      <c r="C144" s="6" t="inlineStr">
        <is>
          <t>—</t>
        </is>
      </c>
      <c r="D144" s="6" t="inlineStr">
        <is>
          <t>ANY</t>
        </is>
      </c>
      <c r="E144" s="6" t="inlineStr">
        <is>
          <t>ANY</t>
        </is>
      </c>
      <c r="F144" s="6" t="inlineStr">
        <is>
          <t>ANY</t>
        </is>
      </c>
      <c r="G144" s="6" t="b">
        <v>0</v>
      </c>
      <c r="H144" s="6" t="inlineStr">
        <is>
          <t>READY</t>
        </is>
      </c>
      <c r="I144" s="6" t="n"/>
      <c r="J144" s="6" t="n"/>
      <c r="K144" s="6" t="n">
        <v>173</v>
      </c>
    </row>
    <row r="145">
      <c r="A145" s="6" t="inlineStr">
        <is>
          <t>DIET-P-0240</t>
        </is>
      </c>
      <c r="B145" s="6" t="inlineStr">
        <is>
          <t>1.0.0</t>
        </is>
      </c>
      <c r="C145" s="6" t="inlineStr">
        <is>
          <t>—</t>
        </is>
      </c>
      <c r="D145" s="6" t="inlineStr">
        <is>
          <t>ANY</t>
        </is>
      </c>
      <c r="E145" s="6" t="inlineStr">
        <is>
          <t>ANY</t>
        </is>
      </c>
      <c r="F145" s="6" t="inlineStr">
        <is>
          <t>ANY</t>
        </is>
      </c>
      <c r="G145" s="6" t="b">
        <v>0</v>
      </c>
      <c r="H145" s="6" t="inlineStr">
        <is>
          <t>READY</t>
        </is>
      </c>
      <c r="I145" s="6" t="n"/>
      <c r="J145" s="6" t="n"/>
      <c r="K145" s="6" t="n">
        <v>174</v>
      </c>
    </row>
    <row r="146">
      <c r="A146" s="6" t="inlineStr">
        <is>
          <t>DIET-P-0241</t>
        </is>
      </c>
      <c r="B146" s="6" t="inlineStr">
        <is>
          <t>1.0.0</t>
        </is>
      </c>
      <c r="C146" s="6" t="inlineStr">
        <is>
          <t>—</t>
        </is>
      </c>
      <c r="D146" s="6" t="inlineStr">
        <is>
          <t>ANY</t>
        </is>
      </c>
      <c r="E146" s="6" t="inlineStr">
        <is>
          <t>ANY</t>
        </is>
      </c>
      <c r="F146" s="6" t="inlineStr">
        <is>
          <t>ANY</t>
        </is>
      </c>
      <c r="G146" s="6" t="b">
        <v>0</v>
      </c>
      <c r="H146" s="6" t="inlineStr">
        <is>
          <t>READY</t>
        </is>
      </c>
      <c r="I146" s="6" t="n"/>
      <c r="J146" s="6" t="n"/>
      <c r="K146" s="6" t="n">
        <v>175</v>
      </c>
    </row>
    <row r="147">
      <c r="A147" s="6" t="inlineStr">
        <is>
          <t>DIET-P-0242</t>
        </is>
      </c>
      <c r="B147" s="6" t="inlineStr">
        <is>
          <t>1.0.0</t>
        </is>
      </c>
      <c r="C147" s="6" t="inlineStr">
        <is>
          <t>—</t>
        </is>
      </c>
      <c r="D147" s="6" t="inlineStr">
        <is>
          <t>ANY</t>
        </is>
      </c>
      <c r="E147" s="6" t="inlineStr">
        <is>
          <t>ANY</t>
        </is>
      </c>
      <c r="F147" s="6" t="inlineStr">
        <is>
          <t>ANY</t>
        </is>
      </c>
      <c r="G147" s="6" t="b">
        <v>0</v>
      </c>
      <c r="H147" s="6" t="inlineStr">
        <is>
          <t>READY</t>
        </is>
      </c>
      <c r="I147" s="6" t="n"/>
      <c r="J147" s="6" t="n"/>
      <c r="K147" s="6" t="n">
        <v>176</v>
      </c>
    </row>
    <row r="148">
      <c r="A148" s="6" t="inlineStr">
        <is>
          <t>DIET-P-0243</t>
        </is>
      </c>
      <c r="B148" s="6" t="inlineStr">
        <is>
          <t>1.0.0</t>
        </is>
      </c>
      <c r="C148" s="6" t="inlineStr">
        <is>
          <t>—</t>
        </is>
      </c>
      <c r="D148" s="6" t="inlineStr">
        <is>
          <t>ANY</t>
        </is>
      </c>
      <c r="E148" s="6" t="inlineStr">
        <is>
          <t>ANY</t>
        </is>
      </c>
      <c r="F148" s="6" t="inlineStr">
        <is>
          <t>ANY</t>
        </is>
      </c>
      <c r="G148" s="6" t="b">
        <v>0</v>
      </c>
      <c r="H148" s="6" t="inlineStr">
        <is>
          <t>READY</t>
        </is>
      </c>
      <c r="I148" s="6" t="n"/>
      <c r="J148" s="6" t="n"/>
      <c r="K148" s="6" t="n">
        <v>177</v>
      </c>
    </row>
    <row r="149">
      <c r="A149" s="6" t="inlineStr">
        <is>
          <t>DIET-P-0244</t>
        </is>
      </c>
      <c r="B149" s="6" t="inlineStr">
        <is>
          <t>1.0.0</t>
        </is>
      </c>
      <c r="C149" s="6" t="inlineStr">
        <is>
          <t>—</t>
        </is>
      </c>
      <c r="D149" s="6" t="inlineStr">
        <is>
          <t>ANY</t>
        </is>
      </c>
      <c r="E149" s="6" t="inlineStr">
        <is>
          <t>ANY</t>
        </is>
      </c>
      <c r="F149" s="6" t="inlineStr">
        <is>
          <t>ANY</t>
        </is>
      </c>
      <c r="G149" s="6" t="b">
        <v>0</v>
      </c>
      <c r="H149" s="6" t="inlineStr">
        <is>
          <t>READY</t>
        </is>
      </c>
      <c r="I149" s="6" t="n"/>
      <c r="J149" s="6" t="n"/>
      <c r="K149" s="6" t="n">
        <v>178</v>
      </c>
    </row>
    <row r="150">
      <c r="A150" s="6" t="inlineStr">
        <is>
          <t>DIET-P-0245</t>
        </is>
      </c>
      <c r="B150" s="6" t="inlineStr">
        <is>
          <t>1.0.0</t>
        </is>
      </c>
      <c r="C150" s="6" t="inlineStr">
        <is>
          <t>—</t>
        </is>
      </c>
      <c r="D150" s="6" t="inlineStr">
        <is>
          <t>ANY</t>
        </is>
      </c>
      <c r="E150" s="6" t="inlineStr">
        <is>
          <t>ANY</t>
        </is>
      </c>
      <c r="F150" s="6" t="inlineStr">
        <is>
          <t>ANY</t>
        </is>
      </c>
      <c r="G150" s="6" t="b">
        <v>0</v>
      </c>
      <c r="H150" s="6" t="inlineStr">
        <is>
          <t>READY</t>
        </is>
      </c>
      <c r="I150" s="6" t="n"/>
      <c r="J150" s="6" t="n"/>
      <c r="K150" s="6" t="n">
        <v>179</v>
      </c>
    </row>
    <row r="151">
      <c r="A151" s="6" t="inlineStr">
        <is>
          <t>DIET-P-0246</t>
        </is>
      </c>
      <c r="B151" s="6" t="inlineStr">
        <is>
          <t>1.0.0</t>
        </is>
      </c>
      <c r="C151" s="6" t="inlineStr">
        <is>
          <t>—</t>
        </is>
      </c>
      <c r="D151" s="6" t="inlineStr">
        <is>
          <t>ANY</t>
        </is>
      </c>
      <c r="E151" s="6" t="inlineStr">
        <is>
          <t>ANY</t>
        </is>
      </c>
      <c r="F151" s="6" t="inlineStr">
        <is>
          <t>ANY</t>
        </is>
      </c>
      <c r="G151" s="6" t="b">
        <v>0</v>
      </c>
      <c r="H151" s="6" t="inlineStr">
        <is>
          <t>READY</t>
        </is>
      </c>
      <c r="I151" s="6" t="n"/>
      <c r="J151" s="6" t="n"/>
      <c r="K151" s="6" t="n">
        <v>180</v>
      </c>
    </row>
    <row r="152">
      <c r="A152" s="6" t="inlineStr">
        <is>
          <t>DIET-P-0247</t>
        </is>
      </c>
      <c r="B152" s="6" t="inlineStr">
        <is>
          <t>1.0.0</t>
        </is>
      </c>
      <c r="C152" s="6" t="inlineStr">
        <is>
          <t>—</t>
        </is>
      </c>
      <c r="D152" s="6" t="inlineStr">
        <is>
          <t>ANY</t>
        </is>
      </c>
      <c r="E152" s="6" t="inlineStr">
        <is>
          <t>ANY</t>
        </is>
      </c>
      <c r="F152" s="6" t="inlineStr">
        <is>
          <t>ANY</t>
        </is>
      </c>
      <c r="G152" s="6" t="b">
        <v>0</v>
      </c>
      <c r="H152" s="6" t="inlineStr">
        <is>
          <t>READY</t>
        </is>
      </c>
      <c r="I152" s="6" t="n"/>
      <c r="J152" s="6" t="n"/>
      <c r="K152" s="6" t="n">
        <v>181</v>
      </c>
    </row>
    <row r="153">
      <c r="A153" s="6" t="inlineStr">
        <is>
          <t>DIET-P-0248</t>
        </is>
      </c>
      <c r="B153" s="6" t="inlineStr">
        <is>
          <t>1.0.0</t>
        </is>
      </c>
      <c r="C153" s="6" t="inlineStr">
        <is>
          <t>—</t>
        </is>
      </c>
      <c r="D153" s="6" t="inlineStr">
        <is>
          <t>ANY</t>
        </is>
      </c>
      <c r="E153" s="6" t="inlineStr">
        <is>
          <t>ANY</t>
        </is>
      </c>
      <c r="F153" s="6" t="inlineStr">
        <is>
          <t>ANY</t>
        </is>
      </c>
      <c r="G153" s="6" t="b">
        <v>0</v>
      </c>
      <c r="H153" s="6" t="inlineStr">
        <is>
          <t>READY</t>
        </is>
      </c>
      <c r="I153" s="6" t="n"/>
      <c r="J153" s="6" t="n"/>
      <c r="K153" s="6" t="n">
        <v>182</v>
      </c>
    </row>
    <row r="154">
      <c r="A154" s="6" t="inlineStr">
        <is>
          <t>DIET-P-0249</t>
        </is>
      </c>
      <c r="B154" s="6" t="inlineStr">
        <is>
          <t>1.0.0</t>
        </is>
      </c>
      <c r="C154" s="6" t="inlineStr">
        <is>
          <t>—</t>
        </is>
      </c>
      <c r="D154" s="6" t="inlineStr">
        <is>
          <t>ANY</t>
        </is>
      </c>
      <c r="E154" s="6" t="inlineStr">
        <is>
          <t>ANY</t>
        </is>
      </c>
      <c r="F154" s="6" t="inlineStr">
        <is>
          <t>ANY</t>
        </is>
      </c>
      <c r="G154" s="6" t="b">
        <v>0</v>
      </c>
      <c r="H154" s="6" t="inlineStr">
        <is>
          <t>READY</t>
        </is>
      </c>
      <c r="I154" s="6" t="n"/>
      <c r="J154" s="6" t="n"/>
      <c r="K154" s="6" t="n">
        <v>183</v>
      </c>
    </row>
    <row r="155">
      <c r="A155" s="6" t="inlineStr">
        <is>
          <t>DIET-P-0250</t>
        </is>
      </c>
      <c r="B155" s="6" t="inlineStr">
        <is>
          <t>1.0.0</t>
        </is>
      </c>
      <c r="C155" s="6" t="inlineStr">
        <is>
          <t>저녁</t>
        </is>
      </c>
      <c r="D155" s="6" t="inlineStr">
        <is>
          <t>PRE_MIDNIGHT</t>
        </is>
      </c>
      <c r="E155" s="6" t="inlineStr">
        <is>
          <t>ANY</t>
        </is>
      </c>
      <c r="F155" s="6" t="inlineStr">
        <is>
          <t>ANY</t>
        </is>
      </c>
      <c r="G155" s="6" t="b">
        <v>1</v>
      </c>
      <c r="H155" s="6" t="inlineStr">
        <is>
          <t>READY</t>
        </is>
      </c>
      <c r="I155" s="6" t="n"/>
      <c r="J155" s="6" t="n"/>
      <c r="K155" s="6" t="n">
        <v>184</v>
      </c>
    </row>
    <row r="156">
      <c r="A156" s="6" t="inlineStr">
        <is>
          <t>DIET-P-0251</t>
        </is>
      </c>
      <c r="B156" s="6" t="inlineStr">
        <is>
          <t>1.0.0</t>
        </is>
      </c>
      <c r="C156" s="6" t="inlineStr">
        <is>
          <t>저녁</t>
        </is>
      </c>
      <c r="D156" s="6" t="inlineStr">
        <is>
          <t>PRE_MIDNIGHT</t>
        </is>
      </c>
      <c r="E156" s="6" t="inlineStr">
        <is>
          <t>ANY</t>
        </is>
      </c>
      <c r="F156" s="6" t="inlineStr">
        <is>
          <t>ANY</t>
        </is>
      </c>
      <c r="G156" s="6" t="b">
        <v>1</v>
      </c>
      <c r="H156" s="6" t="inlineStr">
        <is>
          <t>READY</t>
        </is>
      </c>
      <c r="I156" s="6" t="n"/>
      <c r="J156" s="6" t="n"/>
      <c r="K156" s="6" t="n">
        <v>185</v>
      </c>
    </row>
    <row r="157">
      <c r="A157" s="6" t="inlineStr">
        <is>
          <t>DIET-P-0252</t>
        </is>
      </c>
      <c r="B157" s="6" t="inlineStr">
        <is>
          <t>1.0.0</t>
        </is>
      </c>
      <c r="C157" s="6" t="inlineStr">
        <is>
          <t>—</t>
        </is>
      </c>
      <c r="D157" s="6" t="inlineStr">
        <is>
          <t>ANY</t>
        </is>
      </c>
      <c r="E157" s="6" t="inlineStr">
        <is>
          <t>ANY</t>
        </is>
      </c>
      <c r="F157" s="6" t="inlineStr">
        <is>
          <t>ANY</t>
        </is>
      </c>
      <c r="G157" s="6" t="b">
        <v>0</v>
      </c>
      <c r="H157" s="6" t="inlineStr">
        <is>
          <t>READY</t>
        </is>
      </c>
      <c r="I157" s="6" t="n"/>
      <c r="J157" s="6" t="n"/>
      <c r="K157" s="6" t="n">
        <v>186</v>
      </c>
    </row>
    <row r="158">
      <c r="A158" s="6" t="inlineStr">
        <is>
          <t>DIET-P-0253</t>
        </is>
      </c>
      <c r="B158" s="6" t="inlineStr">
        <is>
          <t>1.0.0</t>
        </is>
      </c>
      <c r="C158" s="6" t="inlineStr">
        <is>
          <t>—</t>
        </is>
      </c>
      <c r="D158" s="6" t="inlineStr">
        <is>
          <t>ANY</t>
        </is>
      </c>
      <c r="E158" s="6" t="inlineStr">
        <is>
          <t>ANY</t>
        </is>
      </c>
      <c r="F158" s="6" t="inlineStr">
        <is>
          <t>ANY</t>
        </is>
      </c>
      <c r="G158" s="6" t="b">
        <v>0</v>
      </c>
      <c r="H158" s="6" t="inlineStr">
        <is>
          <t>READY</t>
        </is>
      </c>
      <c r="I158" s="6" t="n"/>
      <c r="J158" s="6" t="n"/>
      <c r="K158" s="6" t="n">
        <v>187</v>
      </c>
    </row>
    <row r="159">
      <c r="A159" s="6" t="inlineStr">
        <is>
          <t>DIET-P-0254</t>
        </is>
      </c>
      <c r="B159" s="6" t="inlineStr">
        <is>
          <t>1.0.0</t>
        </is>
      </c>
      <c r="C159" s="6" t="inlineStr">
        <is>
          <t>—</t>
        </is>
      </c>
      <c r="D159" s="6" t="inlineStr">
        <is>
          <t>ANY</t>
        </is>
      </c>
      <c r="E159" s="6" t="inlineStr">
        <is>
          <t>ANY</t>
        </is>
      </c>
      <c r="F159" s="6" t="inlineStr">
        <is>
          <t>ANY</t>
        </is>
      </c>
      <c r="G159" s="6" t="b">
        <v>0</v>
      </c>
      <c r="H159" s="6" t="inlineStr">
        <is>
          <t>READY</t>
        </is>
      </c>
      <c r="I159" s="6" t="n"/>
      <c r="J159" s="6" t="n"/>
      <c r="K159" s="6" t="n">
        <v>188</v>
      </c>
    </row>
    <row r="160">
      <c r="A160" s="6" t="inlineStr">
        <is>
          <t>DIET-P-0255</t>
        </is>
      </c>
      <c r="B160" s="6" t="inlineStr">
        <is>
          <t>1.0.0</t>
        </is>
      </c>
      <c r="C160" s="6" t="inlineStr">
        <is>
          <t>—</t>
        </is>
      </c>
      <c r="D160" s="6" t="inlineStr">
        <is>
          <t>ANY</t>
        </is>
      </c>
      <c r="E160" s="6" t="inlineStr">
        <is>
          <t>ANY</t>
        </is>
      </c>
      <c r="F160" s="6" t="inlineStr">
        <is>
          <t>ANY</t>
        </is>
      </c>
      <c r="G160" s="6" t="b">
        <v>0</v>
      </c>
      <c r="H160" s="6" t="inlineStr">
        <is>
          <t>READY</t>
        </is>
      </c>
      <c r="I160" s="6" t="n"/>
      <c r="J160" s="6" t="n"/>
      <c r="K160" s="6" t="n">
        <v>189</v>
      </c>
    </row>
    <row r="161">
      <c r="A161" s="6" t="inlineStr">
        <is>
          <t>DIET-P-0256</t>
        </is>
      </c>
      <c r="B161" s="6" t="inlineStr">
        <is>
          <t>1.0.0</t>
        </is>
      </c>
      <c r="C161" s="6" t="inlineStr">
        <is>
          <t>—</t>
        </is>
      </c>
      <c r="D161" s="6" t="inlineStr">
        <is>
          <t>ANY</t>
        </is>
      </c>
      <c r="E161" s="6" t="inlineStr">
        <is>
          <t>ANY</t>
        </is>
      </c>
      <c r="F161" s="6" t="inlineStr">
        <is>
          <t>ANY</t>
        </is>
      </c>
      <c r="G161" s="6" t="b">
        <v>0</v>
      </c>
      <c r="H161" s="6" t="inlineStr">
        <is>
          <t>READY</t>
        </is>
      </c>
      <c r="I161" s="6" t="n"/>
      <c r="J161" s="6" t="n"/>
      <c r="K161" s="6" t="n">
        <v>190</v>
      </c>
    </row>
    <row r="162">
      <c r="A162" s="6" t="inlineStr">
        <is>
          <t>DIET-P-0257</t>
        </is>
      </c>
      <c r="B162" s="6" t="inlineStr">
        <is>
          <t>1.0.0</t>
        </is>
      </c>
      <c r="C162" s="6" t="inlineStr">
        <is>
          <t>—</t>
        </is>
      </c>
      <c r="D162" s="6" t="inlineStr">
        <is>
          <t>ANY</t>
        </is>
      </c>
      <c r="E162" s="6" t="inlineStr">
        <is>
          <t>ANY</t>
        </is>
      </c>
      <c r="F162" s="6" t="inlineStr">
        <is>
          <t>ANY</t>
        </is>
      </c>
      <c r="G162" s="6" t="b">
        <v>0</v>
      </c>
      <c r="H162" s="6" t="inlineStr">
        <is>
          <t>READY</t>
        </is>
      </c>
      <c r="I162" s="6" t="n"/>
      <c r="J162" s="6" t="n"/>
      <c r="K162" s="6" t="n">
        <v>191</v>
      </c>
    </row>
    <row r="163">
      <c r="A163" s="6" t="inlineStr">
        <is>
          <t>DIET-P-0258</t>
        </is>
      </c>
      <c r="B163" s="6" t="inlineStr">
        <is>
          <t>1.0.0</t>
        </is>
      </c>
      <c r="C163" s="6" t="inlineStr">
        <is>
          <t>—</t>
        </is>
      </c>
      <c r="D163" s="6" t="inlineStr">
        <is>
          <t>ANY</t>
        </is>
      </c>
      <c r="E163" s="6" t="inlineStr">
        <is>
          <t>ANY</t>
        </is>
      </c>
      <c r="F163" s="6" t="inlineStr">
        <is>
          <t>ANY</t>
        </is>
      </c>
      <c r="G163" s="6" t="b">
        <v>0</v>
      </c>
      <c r="H163" s="6" t="inlineStr">
        <is>
          <t>READY</t>
        </is>
      </c>
      <c r="I163" s="6" t="n"/>
      <c r="J163" s="6" t="n"/>
      <c r="K163" s="6" t="n">
        <v>192</v>
      </c>
    </row>
    <row r="164">
      <c r="A164" s="6" t="inlineStr">
        <is>
          <t>DIET-P-0259</t>
        </is>
      </c>
      <c r="B164" s="6" t="inlineStr">
        <is>
          <t>1.0.0</t>
        </is>
      </c>
      <c r="C164" s="6" t="inlineStr">
        <is>
          <t>—</t>
        </is>
      </c>
      <c r="D164" s="6" t="inlineStr">
        <is>
          <t>ANY</t>
        </is>
      </c>
      <c r="E164" s="6" t="inlineStr">
        <is>
          <t>ANY</t>
        </is>
      </c>
      <c r="F164" s="6" t="inlineStr">
        <is>
          <t>ANY</t>
        </is>
      </c>
      <c r="G164" s="6" t="b">
        <v>0</v>
      </c>
      <c r="H164" s="6" t="inlineStr">
        <is>
          <t>READY</t>
        </is>
      </c>
      <c r="I164" s="6" t="n"/>
      <c r="J164" s="6" t="n"/>
      <c r="K164" s="6" t="n">
        <v>193</v>
      </c>
    </row>
    <row r="165">
      <c r="A165" s="6" t="inlineStr">
        <is>
          <t>DIET-P-0260</t>
        </is>
      </c>
      <c r="B165" s="6" t="inlineStr">
        <is>
          <t>1.0.0</t>
        </is>
      </c>
      <c r="C165" s="6" t="inlineStr">
        <is>
          <t>—</t>
        </is>
      </c>
      <c r="D165" s="6" t="inlineStr">
        <is>
          <t>ANY</t>
        </is>
      </c>
      <c r="E165" s="6" t="inlineStr">
        <is>
          <t>ANY</t>
        </is>
      </c>
      <c r="F165" s="6" t="inlineStr">
        <is>
          <t>ANY</t>
        </is>
      </c>
      <c r="G165" s="6" t="b">
        <v>0</v>
      </c>
      <c r="H165" s="6" t="inlineStr">
        <is>
          <t>READY</t>
        </is>
      </c>
      <c r="I165" s="6" t="n"/>
      <c r="J165" s="6" t="n"/>
      <c r="K165" s="6" t="n">
        <v>194</v>
      </c>
    </row>
    <row r="166">
      <c r="A166" s="6" t="inlineStr">
        <is>
          <t>DIET-P-0262</t>
        </is>
      </c>
      <c r="B166" s="6" t="inlineStr">
        <is>
          <t>1.0.0</t>
        </is>
      </c>
      <c r="C166" s="6" t="inlineStr">
        <is>
          <t>—</t>
        </is>
      </c>
      <c r="D166" s="6" t="inlineStr">
        <is>
          <t>ANY</t>
        </is>
      </c>
      <c r="E166" s="6" t="inlineStr">
        <is>
          <t>ANY</t>
        </is>
      </c>
      <c r="F166" s="6" t="inlineStr">
        <is>
          <t>ANY</t>
        </is>
      </c>
      <c r="G166" s="6" t="b">
        <v>0</v>
      </c>
      <c r="H166" s="6" t="inlineStr">
        <is>
          <t>READY</t>
        </is>
      </c>
      <c r="I166" s="6" t="n"/>
      <c r="J166" s="6" t="n"/>
      <c r="K166" s="6" t="n">
        <v>196</v>
      </c>
    </row>
    <row r="167">
      <c r="A167" s="6" t="inlineStr">
        <is>
          <t>DIET-P-0263</t>
        </is>
      </c>
      <c r="B167" s="6" t="inlineStr">
        <is>
          <t>1.0.0</t>
        </is>
      </c>
      <c r="C167" s="6" t="inlineStr">
        <is>
          <t>—</t>
        </is>
      </c>
      <c r="D167" s="6" t="inlineStr">
        <is>
          <t>ANY</t>
        </is>
      </c>
      <c r="E167" s="6" t="inlineStr">
        <is>
          <t>ANY</t>
        </is>
      </c>
      <c r="F167" s="6" t="inlineStr">
        <is>
          <t>ANY</t>
        </is>
      </c>
      <c r="G167" s="6" t="b">
        <v>0</v>
      </c>
      <c r="H167" s="6" t="inlineStr">
        <is>
          <t>READY</t>
        </is>
      </c>
      <c r="I167" s="6" t="n"/>
      <c r="J167" s="6" t="n"/>
      <c r="K167" s="6" t="n">
        <v>197</v>
      </c>
    </row>
    <row r="168">
      <c r="A168" s="6" t="inlineStr">
        <is>
          <t>DIET-P-0264</t>
        </is>
      </c>
      <c r="B168" s="6" t="inlineStr">
        <is>
          <t>1.0.0</t>
        </is>
      </c>
      <c r="C168" s="19" t="inlineStr">
        <is>
          <t>토 · 일</t>
        </is>
      </c>
      <c r="D168" s="6" t="inlineStr">
        <is>
          <t>ANY</t>
        </is>
      </c>
      <c r="E168" s="19" t="inlineStr">
        <is>
          <t>WEEKEND</t>
        </is>
      </c>
      <c r="F168" s="6" t="inlineStr">
        <is>
          <t>ANY</t>
        </is>
      </c>
      <c r="G168" s="6" t="b">
        <v>0</v>
      </c>
      <c r="H168" s="6" t="inlineStr">
        <is>
          <t>READY</t>
        </is>
      </c>
      <c r="I168" s="6" t="n"/>
      <c r="J168" s="6" t="n"/>
      <c r="K168" s="6" t="n">
        <v>198</v>
      </c>
    </row>
    <row r="169">
      <c r="A169" s="6" t="inlineStr">
        <is>
          <t>DIET-P-0265</t>
        </is>
      </c>
      <c r="B169" s="6" t="inlineStr">
        <is>
          <t>1.0.0</t>
        </is>
      </c>
      <c r="C169" s="6" t="inlineStr">
        <is>
          <t>—</t>
        </is>
      </c>
      <c r="D169" s="6" t="inlineStr">
        <is>
          <t>ANY</t>
        </is>
      </c>
      <c r="E169" s="6" t="inlineStr">
        <is>
          <t>ANY</t>
        </is>
      </c>
      <c r="F169" s="6" t="inlineStr">
        <is>
          <t>ANY</t>
        </is>
      </c>
      <c r="G169" s="6" t="b">
        <v>0</v>
      </c>
      <c r="H169" s="6" t="inlineStr">
        <is>
          <t>READY</t>
        </is>
      </c>
      <c r="I169" s="6" t="n"/>
      <c r="J169" s="6" t="n"/>
      <c r="K169" s="6" t="n">
        <v>199</v>
      </c>
    </row>
    <row r="170">
      <c r="A170" s="6" t="inlineStr">
        <is>
          <t>DIET-P-0266</t>
        </is>
      </c>
      <c r="B170" s="6" t="inlineStr">
        <is>
          <t>1.0.0</t>
        </is>
      </c>
      <c r="C170" s="6" t="inlineStr">
        <is>
          <t>저녁</t>
        </is>
      </c>
      <c r="D170" s="6" t="inlineStr">
        <is>
          <t>PRE_MIDNIGHT</t>
        </is>
      </c>
      <c r="E170" s="6" t="inlineStr">
        <is>
          <t>ANY</t>
        </is>
      </c>
      <c r="F170" s="6" t="inlineStr">
        <is>
          <t>ANY</t>
        </is>
      </c>
      <c r="G170" s="6" t="b">
        <v>1</v>
      </c>
      <c r="H170" s="6" t="inlineStr">
        <is>
          <t>READY</t>
        </is>
      </c>
      <c r="I170" s="6" t="n"/>
      <c r="J170" s="6" t="n"/>
      <c r="K170" s="6" t="n">
        <v>200</v>
      </c>
    </row>
    <row r="171">
      <c r="A171" s="6" t="inlineStr">
        <is>
          <t>DIET-P-0267</t>
        </is>
      </c>
      <c r="B171" s="6" t="inlineStr">
        <is>
          <t>1.0.0</t>
        </is>
      </c>
      <c r="C171" s="6" t="inlineStr">
        <is>
          <t>—</t>
        </is>
      </c>
      <c r="D171" s="6" t="inlineStr">
        <is>
          <t>ANY</t>
        </is>
      </c>
      <c r="E171" s="6" t="inlineStr">
        <is>
          <t>ANY</t>
        </is>
      </c>
      <c r="F171" s="6" t="inlineStr">
        <is>
          <t>ANY</t>
        </is>
      </c>
      <c r="G171" s="6" t="b">
        <v>0</v>
      </c>
      <c r="H171" s="6" t="inlineStr">
        <is>
          <t>READY</t>
        </is>
      </c>
      <c r="I171" s="6" t="n"/>
      <c r="J171" s="6" t="n"/>
      <c r="K171" s="6" t="n">
        <v>201</v>
      </c>
    </row>
    <row r="172">
      <c r="A172" s="6" t="inlineStr">
        <is>
          <t>DIET-P-0268</t>
        </is>
      </c>
      <c r="B172" s="6" t="inlineStr">
        <is>
          <t>1.0.0</t>
        </is>
      </c>
      <c r="C172" s="6" t="inlineStr">
        <is>
          <t>—</t>
        </is>
      </c>
      <c r="D172" s="6" t="inlineStr">
        <is>
          <t>ANY</t>
        </is>
      </c>
      <c r="E172" s="6" t="inlineStr">
        <is>
          <t>ANY</t>
        </is>
      </c>
      <c r="F172" s="6" t="inlineStr">
        <is>
          <t>ANY</t>
        </is>
      </c>
      <c r="G172" s="6" t="b">
        <v>0</v>
      </c>
      <c r="H172" s="6" t="inlineStr">
        <is>
          <t>READY</t>
        </is>
      </c>
      <c r="I172" s="6" t="n"/>
      <c r="J172" s="6" t="n"/>
      <c r="K172" s="6" t="n">
        <v>202</v>
      </c>
    </row>
    <row r="173">
      <c r="A173" s="19" t="inlineStr">
        <is>
          <t>DIET-P-0269</t>
        </is>
      </c>
      <c r="B173" s="19" t="inlineStr">
        <is>
          <t>1.0.0</t>
        </is>
      </c>
      <c r="C173" s="19" t="inlineStr">
        <is>
          <t>자정 전</t>
        </is>
      </c>
      <c r="D173" s="19" t="inlineStr">
        <is>
          <t>PRE_MIDNIGHT</t>
        </is>
      </c>
      <c r="E173" s="19" t="inlineStr">
        <is>
          <t>ANY</t>
        </is>
      </c>
      <c r="F173" s="19" t="inlineStr">
        <is>
          <t>ANY</t>
        </is>
      </c>
      <c r="G173" s="19" t="b">
        <v>1</v>
      </c>
      <c r="H173" s="19" t="inlineStr">
        <is>
          <t>READY</t>
        </is>
      </c>
      <c r="I173" s="6" t="n"/>
      <c r="J173" s="6" t="n"/>
      <c r="K173" s="19" t="n">
        <v>203</v>
      </c>
    </row>
    <row r="174">
      <c r="A174" s="19" t="inlineStr">
        <is>
          <t>DIET-P-0270</t>
        </is>
      </c>
      <c r="B174" s="19" t="inlineStr">
        <is>
          <t>1.0.0</t>
        </is>
      </c>
      <c r="C174" s="19" t="inlineStr">
        <is>
          <t>자정 전</t>
        </is>
      </c>
      <c r="D174" s="19" t="inlineStr">
        <is>
          <t>PRE_MIDNIGHT</t>
        </is>
      </c>
      <c r="E174" s="19" t="inlineStr">
        <is>
          <t>ANY</t>
        </is>
      </c>
      <c r="F174" s="19" t="inlineStr">
        <is>
          <t>ANY</t>
        </is>
      </c>
      <c r="G174" s="19" t="b">
        <v>1</v>
      </c>
      <c r="H174" s="19" t="inlineStr">
        <is>
          <t>READY</t>
        </is>
      </c>
      <c r="I174" s="6" t="n"/>
      <c r="J174" s="6" t="n"/>
      <c r="K174" s="19" t="n">
        <v>204</v>
      </c>
    </row>
    <row r="175">
      <c r="A175" s="19" t="inlineStr">
        <is>
          <t>DIET-P-0271</t>
        </is>
      </c>
      <c r="B175" s="19" t="inlineStr">
        <is>
          <t>1.0.0</t>
        </is>
      </c>
      <c r="C175" s="19" t="inlineStr">
        <is>
          <t>자정 전</t>
        </is>
      </c>
      <c r="D175" s="19" t="inlineStr">
        <is>
          <t>PRE_MIDNIGHT</t>
        </is>
      </c>
      <c r="E175" s="19" t="inlineStr">
        <is>
          <t>ANY</t>
        </is>
      </c>
      <c r="F175" s="19" t="inlineStr">
        <is>
          <t>ANY</t>
        </is>
      </c>
      <c r="G175" s="19" t="b">
        <v>1</v>
      </c>
      <c r="H175" s="19" t="inlineStr">
        <is>
          <t>READY</t>
        </is>
      </c>
      <c r="I175" s="6" t="n"/>
      <c r="J175" s="6" t="n"/>
      <c r="K175" s="19" t="n">
        <v>205</v>
      </c>
    </row>
    <row r="176">
      <c r="A176" s="19" t="inlineStr">
        <is>
          <t>DIET-P-0272</t>
        </is>
      </c>
      <c r="B176" s="19" t="inlineStr">
        <is>
          <t>1.0.0</t>
        </is>
      </c>
      <c r="C176" s="19" t="inlineStr">
        <is>
          <t>—</t>
        </is>
      </c>
      <c r="D176" s="19" t="inlineStr">
        <is>
          <t>ANY</t>
        </is>
      </c>
      <c r="E176" s="19" t="inlineStr">
        <is>
          <t>ANY</t>
        </is>
      </c>
      <c r="F176" s="19" t="inlineStr">
        <is>
          <t>ANY</t>
        </is>
      </c>
      <c r="G176" s="19" t="b">
        <v>1</v>
      </c>
      <c r="H176" s="19" t="inlineStr">
        <is>
          <t>READY</t>
        </is>
      </c>
      <c r="I176" s="6" t="n"/>
      <c r="J176" s="6" t="n"/>
      <c r="K176" s="19" t="n">
        <v>206</v>
      </c>
    </row>
    <row r="177">
      <c r="A177" s="19" t="inlineStr">
        <is>
          <t>DIET-P-0273</t>
        </is>
      </c>
      <c r="B177" s="19" t="inlineStr">
        <is>
          <t>1.0.0</t>
        </is>
      </c>
      <c r="C177" s="19" t="inlineStr">
        <is>
          <t>—</t>
        </is>
      </c>
      <c r="D177" s="19" t="inlineStr">
        <is>
          <t>ANY</t>
        </is>
      </c>
      <c r="E177" s="19" t="inlineStr">
        <is>
          <t>ANY</t>
        </is>
      </c>
      <c r="F177" s="19" t="inlineStr">
        <is>
          <t>ANY</t>
        </is>
      </c>
      <c r="G177" s="19" t="b">
        <v>1</v>
      </c>
      <c r="H177" s="19" t="inlineStr">
        <is>
          <t>READY</t>
        </is>
      </c>
      <c r="I177" s="6" t="n"/>
      <c r="J177" s="6" t="n"/>
      <c r="K177" s="19" t="n">
        <v>207</v>
      </c>
    </row>
    <row r="178">
      <c r="A178" s="6" t="inlineStr">
        <is>
          <t>DIET-P-0274</t>
        </is>
      </c>
      <c r="B178" s="6" t="inlineStr">
        <is>
          <t>1.0.0</t>
        </is>
      </c>
      <c r="C178" s="6" t="inlineStr">
        <is>
          <t>저녁</t>
        </is>
      </c>
      <c r="D178" s="6" t="inlineStr">
        <is>
          <t>EVENING</t>
        </is>
      </c>
      <c r="E178" s="6" t="inlineStr">
        <is>
          <t>ANY</t>
        </is>
      </c>
      <c r="F178" s="6" t="inlineStr">
        <is>
          <t>ANY</t>
        </is>
      </c>
      <c r="G178" s="6" t="b">
        <v>1</v>
      </c>
      <c r="H178" s="6" t="inlineStr">
        <is>
          <t>READY</t>
        </is>
      </c>
      <c r="I178" s="6" t="n"/>
      <c r="J178" s="6" t="n"/>
      <c r="K178" s="6" t="inlineStr">
        <is>
          <t>검수표 1</t>
        </is>
      </c>
    </row>
    <row r="179">
      <c r="A179" s="6" t="inlineStr">
        <is>
          <t>DIET-P-0275</t>
        </is>
      </c>
      <c r="B179" s="6" t="inlineStr">
        <is>
          <t>1.0.0</t>
        </is>
      </c>
      <c r="C179" s="6" t="inlineStr">
        <is>
          <t>저녁</t>
        </is>
      </c>
      <c r="D179" s="6" t="inlineStr">
        <is>
          <t>EVENING</t>
        </is>
      </c>
      <c r="E179" s="6" t="inlineStr">
        <is>
          <t>ANY</t>
        </is>
      </c>
      <c r="F179" s="6" t="inlineStr">
        <is>
          <t>ANY</t>
        </is>
      </c>
      <c r="G179" s="6" t="b">
        <v>1</v>
      </c>
      <c r="H179" s="6" t="inlineStr">
        <is>
          <t>READY</t>
        </is>
      </c>
      <c r="I179" s="6" t="n"/>
      <c r="J179" s="6" t="n"/>
      <c r="K179" s="6" t="inlineStr">
        <is>
          <t>검수표 2</t>
        </is>
      </c>
    </row>
    <row r="180">
      <c r="A180" s="6" t="inlineStr">
        <is>
          <t>DIET-P-0276</t>
        </is>
      </c>
      <c r="B180" s="6" t="inlineStr">
        <is>
          <t>1.0.0</t>
        </is>
      </c>
      <c r="C180" s="6" t="inlineStr">
        <is>
          <t>저녁</t>
        </is>
      </c>
      <c r="D180" s="6" t="inlineStr">
        <is>
          <t>EVENING</t>
        </is>
      </c>
      <c r="E180" s="6" t="inlineStr">
        <is>
          <t>ANY</t>
        </is>
      </c>
      <c r="F180" s="6" t="inlineStr">
        <is>
          <t>ANY</t>
        </is>
      </c>
      <c r="G180" s="6" t="b">
        <v>1</v>
      </c>
      <c r="H180" s="6" t="inlineStr">
        <is>
          <t>READY</t>
        </is>
      </c>
      <c r="I180" s="6" t="n"/>
      <c r="J180" s="6" t="n"/>
      <c r="K180" s="6" t="inlineStr">
        <is>
          <t>검수표 3</t>
        </is>
      </c>
    </row>
    <row r="181">
      <c r="A181" s="6" t="inlineStr">
        <is>
          <t>DIET-P-0277</t>
        </is>
      </c>
      <c r="B181" s="6" t="inlineStr">
        <is>
          <t>1.0.0</t>
        </is>
      </c>
      <c r="C181" s="6" t="inlineStr">
        <is>
          <t>저녁</t>
        </is>
      </c>
      <c r="D181" s="6" t="inlineStr">
        <is>
          <t>EVENING</t>
        </is>
      </c>
      <c r="E181" s="6" t="inlineStr">
        <is>
          <t>ANY</t>
        </is>
      </c>
      <c r="F181" s="6" t="inlineStr">
        <is>
          <t>ANY</t>
        </is>
      </c>
      <c r="G181" s="6" t="b">
        <v>1</v>
      </c>
      <c r="H181" s="6" t="inlineStr">
        <is>
          <t>READY</t>
        </is>
      </c>
      <c r="I181" s="6" t="n"/>
      <c r="J181" s="6" t="n"/>
      <c r="K181" s="6" t="inlineStr">
        <is>
          <t>검수표 4</t>
        </is>
      </c>
    </row>
    <row r="182">
      <c r="A182" s="6" t="inlineStr">
        <is>
          <t>DIET-P-0278</t>
        </is>
      </c>
      <c r="B182" s="6" t="inlineStr">
        <is>
          <t>1.0.0</t>
        </is>
      </c>
      <c r="C182" s="6" t="inlineStr">
        <is>
          <t>저녁</t>
        </is>
      </c>
      <c r="D182" s="6" t="inlineStr">
        <is>
          <t>EVENING</t>
        </is>
      </c>
      <c r="E182" s="6" t="inlineStr">
        <is>
          <t>ANY</t>
        </is>
      </c>
      <c r="F182" s="6" t="inlineStr">
        <is>
          <t>ANY</t>
        </is>
      </c>
      <c r="G182" s="6" t="b">
        <v>1</v>
      </c>
      <c r="H182" s="6" t="inlineStr">
        <is>
          <t>READY</t>
        </is>
      </c>
      <c r="I182" s="6" t="n"/>
      <c r="J182" s="6" t="n"/>
      <c r="K182" s="6" t="inlineStr">
        <is>
          <t>검수표 5</t>
        </is>
      </c>
    </row>
    <row r="183">
      <c r="A183" s="6" t="inlineStr">
        <is>
          <t>DIET-P-0279</t>
        </is>
      </c>
      <c r="B183" s="6" t="inlineStr">
        <is>
          <t>1.0.0</t>
        </is>
      </c>
      <c r="C183" s="6" t="inlineStr">
        <is>
          <t>저녁</t>
        </is>
      </c>
      <c r="D183" s="6" t="inlineStr">
        <is>
          <t>EVENING</t>
        </is>
      </c>
      <c r="E183" s="6" t="inlineStr">
        <is>
          <t>ANY</t>
        </is>
      </c>
      <c r="F183" s="6" t="inlineStr">
        <is>
          <t>ANY</t>
        </is>
      </c>
      <c r="G183" s="6" t="b">
        <v>1</v>
      </c>
      <c r="H183" s="6" t="inlineStr">
        <is>
          <t>READY</t>
        </is>
      </c>
      <c r="I183" s="6" t="n"/>
      <c r="J183" s="6" t="n"/>
      <c r="K183" s="6" t="inlineStr">
        <is>
          <t>검수표 6</t>
        </is>
      </c>
    </row>
    <row r="184">
      <c r="A184" s="6" t="inlineStr">
        <is>
          <t>DIET-P-0280</t>
        </is>
      </c>
      <c r="B184" s="6" t="inlineStr">
        <is>
          <t>1.0.0</t>
        </is>
      </c>
      <c r="C184" s="6" t="inlineStr">
        <is>
          <t>저녁</t>
        </is>
      </c>
      <c r="D184" s="6" t="inlineStr">
        <is>
          <t>EVENING</t>
        </is>
      </c>
      <c r="E184" s="6" t="inlineStr">
        <is>
          <t>ANY</t>
        </is>
      </c>
      <c r="F184" s="6" t="inlineStr">
        <is>
          <t>ANY</t>
        </is>
      </c>
      <c r="G184" s="6" t="b">
        <v>1</v>
      </c>
      <c r="H184" s="6" t="inlineStr">
        <is>
          <t>READY</t>
        </is>
      </c>
      <c r="I184" s="6" t="n"/>
      <c r="J184" s="6" t="n"/>
      <c r="K184" s="6" t="inlineStr">
        <is>
          <t>검수표 7</t>
        </is>
      </c>
    </row>
    <row r="185">
      <c r="A185" s="6" t="inlineStr">
        <is>
          <t>DIET-P-0281</t>
        </is>
      </c>
      <c r="B185" s="6" t="inlineStr">
        <is>
          <t>1.0.0</t>
        </is>
      </c>
      <c r="C185" s="6" t="inlineStr">
        <is>
          <t>저녁</t>
        </is>
      </c>
      <c r="D185" s="6" t="inlineStr">
        <is>
          <t>EVENING</t>
        </is>
      </c>
      <c r="E185" s="6" t="inlineStr">
        <is>
          <t>ANY</t>
        </is>
      </c>
      <c r="F185" s="6" t="inlineStr">
        <is>
          <t>ANY</t>
        </is>
      </c>
      <c r="G185" s="6" t="b">
        <v>1</v>
      </c>
      <c r="H185" s="6" t="inlineStr">
        <is>
          <t>READY</t>
        </is>
      </c>
      <c r="I185" s="6" t="n"/>
      <c r="J185" s="6" t="n"/>
      <c r="K185" s="6" t="inlineStr">
        <is>
          <t>검수표 8</t>
        </is>
      </c>
    </row>
    <row r="186">
      <c r="A186" s="6" t="inlineStr">
        <is>
          <t>DIET-P-0282</t>
        </is>
      </c>
      <c r="B186" s="6" t="inlineStr">
        <is>
          <t>1.0.0</t>
        </is>
      </c>
      <c r="C186" s="6" t="inlineStr">
        <is>
          <t>저녁</t>
        </is>
      </c>
      <c r="D186" s="6" t="inlineStr">
        <is>
          <t>EVENING</t>
        </is>
      </c>
      <c r="E186" s="6" t="inlineStr">
        <is>
          <t>ANY</t>
        </is>
      </c>
      <c r="F186" s="6" t="inlineStr">
        <is>
          <t>ANY</t>
        </is>
      </c>
      <c r="G186" s="6" t="b">
        <v>1</v>
      </c>
      <c r="H186" s="6" t="inlineStr">
        <is>
          <t>READY</t>
        </is>
      </c>
      <c r="I186" s="6" t="n"/>
      <c r="J186" s="6" t="n"/>
      <c r="K186" s="6" t="inlineStr">
        <is>
          <t>검수표 9</t>
        </is>
      </c>
    </row>
    <row r="187">
      <c r="A187" s="6" t="inlineStr">
        <is>
          <t>DIET-P-0283</t>
        </is>
      </c>
      <c r="B187" s="6" t="inlineStr">
        <is>
          <t>1.0.0</t>
        </is>
      </c>
      <c r="C187" s="6" t="inlineStr">
        <is>
          <t>저녁</t>
        </is>
      </c>
      <c r="D187" s="6" t="inlineStr">
        <is>
          <t>EVENING</t>
        </is>
      </c>
      <c r="E187" s="6" t="inlineStr">
        <is>
          <t>ANY</t>
        </is>
      </c>
      <c r="F187" s="6" t="inlineStr">
        <is>
          <t>ANY</t>
        </is>
      </c>
      <c r="G187" s="6" t="b">
        <v>1</v>
      </c>
      <c r="H187" s="6" t="inlineStr">
        <is>
          <t>READY</t>
        </is>
      </c>
      <c r="I187" s="6" t="n"/>
      <c r="J187" s="6" t="n"/>
      <c r="K187" s="6" t="inlineStr">
        <is>
          <t>검수표 10</t>
        </is>
      </c>
    </row>
    <row r="188">
      <c r="A188" s="6" t="inlineStr">
        <is>
          <t>DIET-P-0284</t>
        </is>
      </c>
      <c r="B188" s="6" t="inlineStr">
        <is>
          <t>1.0.0</t>
        </is>
      </c>
      <c r="C188" s="6" t="inlineStr">
        <is>
          <t>저녁</t>
        </is>
      </c>
      <c r="D188" s="6" t="inlineStr">
        <is>
          <t>EVENING</t>
        </is>
      </c>
      <c r="E188" s="6" t="inlineStr">
        <is>
          <t>ANY</t>
        </is>
      </c>
      <c r="F188" s="6" t="inlineStr">
        <is>
          <t>ANY</t>
        </is>
      </c>
      <c r="G188" s="6" t="b">
        <v>1</v>
      </c>
      <c r="H188" s="6" t="inlineStr">
        <is>
          <t>READY</t>
        </is>
      </c>
      <c r="I188" s="6" t="n"/>
      <c r="J188" s="6" t="n"/>
      <c r="K188" s="6" t="inlineStr">
        <is>
          <t>검수표 11</t>
        </is>
      </c>
    </row>
    <row r="189">
      <c r="A189" s="6" t="inlineStr">
        <is>
          <t>DIET-P-0285</t>
        </is>
      </c>
      <c r="B189" s="6" t="inlineStr">
        <is>
          <t>1.0.0</t>
        </is>
      </c>
      <c r="C189" s="6" t="inlineStr">
        <is>
          <t>저녁</t>
        </is>
      </c>
      <c r="D189" s="6" t="inlineStr">
        <is>
          <t>EVENING</t>
        </is>
      </c>
      <c r="E189" s="6" t="inlineStr">
        <is>
          <t>ANY</t>
        </is>
      </c>
      <c r="F189" s="6" t="inlineStr">
        <is>
          <t>ANY</t>
        </is>
      </c>
      <c r="G189" s="6" t="b">
        <v>1</v>
      </c>
      <c r="H189" s="6" t="inlineStr">
        <is>
          <t>READY</t>
        </is>
      </c>
      <c r="I189" s="6" t="n"/>
      <c r="J189" s="6" t="n"/>
      <c r="K189" s="6" t="inlineStr">
        <is>
          <t>검수표 12</t>
        </is>
      </c>
    </row>
    <row r="190">
      <c r="A190" s="6" t="inlineStr">
        <is>
          <t>DIET-P-0286</t>
        </is>
      </c>
      <c r="B190" s="6" t="inlineStr">
        <is>
          <t>1.0.0</t>
        </is>
      </c>
      <c r="C190" s="6" t="inlineStr">
        <is>
          <t>저녁</t>
        </is>
      </c>
      <c r="D190" s="6" t="inlineStr">
        <is>
          <t>EVENING</t>
        </is>
      </c>
      <c r="E190" s="6" t="inlineStr">
        <is>
          <t>ANY</t>
        </is>
      </c>
      <c r="F190" s="6" t="inlineStr">
        <is>
          <t>ANY</t>
        </is>
      </c>
      <c r="G190" s="6" t="b">
        <v>1</v>
      </c>
      <c r="H190" s="6" t="inlineStr">
        <is>
          <t>READY</t>
        </is>
      </c>
      <c r="I190" s="6" t="n"/>
      <c r="J190" s="6" t="n"/>
      <c r="K190" s="6" t="inlineStr">
        <is>
          <t>검수표 13</t>
        </is>
      </c>
    </row>
    <row r="191">
      <c r="A191" s="6" t="inlineStr">
        <is>
          <t>DIET-P-0287</t>
        </is>
      </c>
      <c r="B191" s="6" t="inlineStr">
        <is>
          <t>1.0.0</t>
        </is>
      </c>
      <c r="C191" s="6" t="inlineStr">
        <is>
          <t>저녁</t>
        </is>
      </c>
      <c r="D191" s="6" t="inlineStr">
        <is>
          <t>EVENING</t>
        </is>
      </c>
      <c r="E191" s="6" t="inlineStr">
        <is>
          <t>ANY</t>
        </is>
      </c>
      <c r="F191" s="6" t="inlineStr">
        <is>
          <t>ANY</t>
        </is>
      </c>
      <c r="G191" s="6" t="b">
        <v>1</v>
      </c>
      <c r="H191" s="6" t="inlineStr">
        <is>
          <t>READY</t>
        </is>
      </c>
      <c r="I191" s="6" t="n"/>
      <c r="J191" s="6" t="n"/>
      <c r="K191" s="6" t="inlineStr">
        <is>
          <t>검수표 14</t>
        </is>
      </c>
    </row>
    <row r="192">
      <c r="A192" s="6" t="inlineStr">
        <is>
          <t>DIET-P-0288</t>
        </is>
      </c>
      <c r="B192" s="6" t="inlineStr">
        <is>
          <t>1.0.0</t>
        </is>
      </c>
      <c r="C192" s="6" t="inlineStr">
        <is>
          <t>저녁</t>
        </is>
      </c>
      <c r="D192" s="6" t="inlineStr">
        <is>
          <t>EVENING</t>
        </is>
      </c>
      <c r="E192" s="6" t="inlineStr">
        <is>
          <t>ANY</t>
        </is>
      </c>
      <c r="F192" s="6" t="inlineStr">
        <is>
          <t>ANY</t>
        </is>
      </c>
      <c r="G192" s="6" t="b">
        <v>1</v>
      </c>
      <c r="H192" s="6" t="inlineStr">
        <is>
          <t>READY</t>
        </is>
      </c>
      <c r="I192" s="6" t="n"/>
      <c r="J192" s="6" t="n"/>
      <c r="K192" s="6" t="inlineStr">
        <is>
          <t>검수표 15</t>
        </is>
      </c>
    </row>
    <row r="193">
      <c r="A193" s="6" t="inlineStr">
        <is>
          <t>DIET-P-0289</t>
        </is>
      </c>
      <c r="B193" s="6" t="inlineStr">
        <is>
          <t>1.0.0</t>
        </is>
      </c>
      <c r="C193" s="6" t="inlineStr">
        <is>
          <t>저녁</t>
        </is>
      </c>
      <c r="D193" s="6" t="inlineStr">
        <is>
          <t>EVENING</t>
        </is>
      </c>
      <c r="E193" s="6" t="inlineStr">
        <is>
          <t>ANY</t>
        </is>
      </c>
      <c r="F193" s="6" t="inlineStr">
        <is>
          <t>ANY</t>
        </is>
      </c>
      <c r="G193" s="6" t="b">
        <v>1</v>
      </c>
      <c r="H193" s="6" t="inlineStr">
        <is>
          <t>READY</t>
        </is>
      </c>
      <c r="I193" s="6" t="n"/>
      <c r="J193" s="6" t="n"/>
      <c r="K193" s="6" t="inlineStr">
        <is>
          <t>검수표 16</t>
        </is>
      </c>
    </row>
    <row r="194">
      <c r="A194" s="6" t="inlineStr">
        <is>
          <t>DIET-P-0290</t>
        </is>
      </c>
      <c r="B194" s="6" t="inlineStr">
        <is>
          <t>1.0.0</t>
        </is>
      </c>
      <c r="C194" s="6" t="inlineStr">
        <is>
          <t>저녁</t>
        </is>
      </c>
      <c r="D194" s="6" t="inlineStr">
        <is>
          <t>EVENING</t>
        </is>
      </c>
      <c r="E194" s="6" t="inlineStr">
        <is>
          <t>ANY</t>
        </is>
      </c>
      <c r="F194" s="6" t="inlineStr">
        <is>
          <t>ANY</t>
        </is>
      </c>
      <c r="G194" s="6" t="b">
        <v>1</v>
      </c>
      <c r="H194" s="6" t="inlineStr">
        <is>
          <t>READY</t>
        </is>
      </c>
      <c r="I194" s="6" t="n"/>
      <c r="J194" s="6" t="n"/>
      <c r="K194" s="6" t="inlineStr">
        <is>
          <t>검수표 17</t>
        </is>
      </c>
    </row>
    <row r="195">
      <c r="A195" s="6" t="inlineStr">
        <is>
          <t>DIET-P-0291</t>
        </is>
      </c>
      <c r="B195" s="6" t="inlineStr">
        <is>
          <t>1.0.0</t>
        </is>
      </c>
      <c r="C195" s="6" t="inlineStr">
        <is>
          <t>—</t>
        </is>
      </c>
      <c r="D195" s="6" t="inlineStr">
        <is>
          <t>ANY</t>
        </is>
      </c>
      <c r="E195" s="6" t="inlineStr">
        <is>
          <t>ANY</t>
        </is>
      </c>
      <c r="F195" s="6" t="inlineStr">
        <is>
          <t>ANY</t>
        </is>
      </c>
      <c r="G195" s="6" t="b">
        <v>1</v>
      </c>
      <c r="H195" s="6" t="inlineStr">
        <is>
          <t>READY</t>
        </is>
      </c>
      <c r="I195" s="6" t="n"/>
      <c r="J195" s="6" t="n"/>
      <c r="K195" s="6" t="inlineStr">
        <is>
          <t>검수표 18</t>
        </is>
      </c>
    </row>
    <row r="196">
      <c r="A196" s="6" t="inlineStr">
        <is>
          <t>DIET-P-0292</t>
        </is>
      </c>
      <c r="B196" s="6" t="inlineStr">
        <is>
          <t>1.0.0</t>
        </is>
      </c>
      <c r="C196" s="6" t="inlineStr">
        <is>
          <t>—</t>
        </is>
      </c>
      <c r="D196" s="6" t="inlineStr">
        <is>
          <t>ANY</t>
        </is>
      </c>
      <c r="E196" s="6" t="inlineStr">
        <is>
          <t>ANY</t>
        </is>
      </c>
      <c r="F196" s="6" t="inlineStr">
        <is>
          <t>ANY</t>
        </is>
      </c>
      <c r="G196" s="6" t="b">
        <v>1</v>
      </c>
      <c r="H196" s="6" t="inlineStr">
        <is>
          <t>READY</t>
        </is>
      </c>
      <c r="I196" s="6" t="n"/>
      <c r="J196" s="6" t="n"/>
      <c r="K196" s="6" t="inlineStr">
        <is>
          <t>검수표 19</t>
        </is>
      </c>
    </row>
    <row r="197">
      <c r="A197" s="6" t="inlineStr">
        <is>
          <t>DIET-P-0293</t>
        </is>
      </c>
      <c r="B197" s="6" t="inlineStr">
        <is>
          <t>1.0.0</t>
        </is>
      </c>
      <c r="C197" s="6" t="inlineStr">
        <is>
          <t>저녁</t>
        </is>
      </c>
      <c r="D197" s="6" t="inlineStr">
        <is>
          <t>EVENING</t>
        </is>
      </c>
      <c r="E197" s="6" t="inlineStr">
        <is>
          <t>ANY</t>
        </is>
      </c>
      <c r="F197" s="6" t="inlineStr">
        <is>
          <t>ANY</t>
        </is>
      </c>
      <c r="G197" s="6" t="b">
        <v>1</v>
      </c>
      <c r="H197" s="6" t="inlineStr">
        <is>
          <t>READY</t>
        </is>
      </c>
      <c r="I197" s="6" t="n"/>
      <c r="J197" s="6" t="n"/>
      <c r="K197" s="6" t="inlineStr">
        <is>
          <t>검수표 20</t>
        </is>
      </c>
    </row>
    <row r="198">
      <c r="A198" s="6" t="inlineStr">
        <is>
          <t>DIET-P-0294</t>
        </is>
      </c>
      <c r="B198" s="6" t="inlineStr">
        <is>
          <t>1.0.0</t>
        </is>
      </c>
      <c r="C198" s="6" t="inlineStr">
        <is>
          <t>저녁</t>
        </is>
      </c>
      <c r="D198" s="6" t="inlineStr">
        <is>
          <t>EVENING</t>
        </is>
      </c>
      <c r="E198" s="6" t="inlineStr">
        <is>
          <t>ANY</t>
        </is>
      </c>
      <c r="F198" s="6" t="inlineStr">
        <is>
          <t>ANY</t>
        </is>
      </c>
      <c r="G198" s="6" t="b">
        <v>1</v>
      </c>
      <c r="H198" s="6" t="inlineStr">
        <is>
          <t>READY</t>
        </is>
      </c>
      <c r="I198" s="6" t="n"/>
      <c r="J198" s="6" t="n"/>
      <c r="K198" s="6" t="inlineStr">
        <is>
          <t>검수표 21</t>
        </is>
      </c>
    </row>
    <row r="199">
      <c r="A199" s="6" t="inlineStr">
        <is>
          <t>DIET-P-0295</t>
        </is>
      </c>
      <c r="B199" s="6" t="inlineStr">
        <is>
          <t>1.0.0</t>
        </is>
      </c>
      <c r="C199" s="6" t="inlineStr">
        <is>
          <t>저녁</t>
        </is>
      </c>
      <c r="D199" s="6" t="inlineStr">
        <is>
          <t>EVENING</t>
        </is>
      </c>
      <c r="E199" s="6" t="inlineStr">
        <is>
          <t>ANY</t>
        </is>
      </c>
      <c r="F199" s="6" t="inlineStr">
        <is>
          <t>ANY</t>
        </is>
      </c>
      <c r="G199" s="6" t="b">
        <v>1</v>
      </c>
      <c r="H199" s="6" t="inlineStr">
        <is>
          <t>READY</t>
        </is>
      </c>
      <c r="I199" s="6" t="n"/>
      <c r="J199" s="6" t="n"/>
      <c r="K199" s="6" t="inlineStr">
        <is>
          <t>검수표 22</t>
        </is>
      </c>
    </row>
    <row r="200">
      <c r="A200" s="6" t="inlineStr">
        <is>
          <t>DIET-P-0296</t>
        </is>
      </c>
      <c r="B200" s="6" t="inlineStr">
        <is>
          <t>1.0.0</t>
        </is>
      </c>
      <c r="C200" s="6" t="inlineStr">
        <is>
          <t>저녁</t>
        </is>
      </c>
      <c r="D200" s="6" t="inlineStr">
        <is>
          <t>EVENING</t>
        </is>
      </c>
      <c r="E200" s="6" t="inlineStr">
        <is>
          <t>ANY</t>
        </is>
      </c>
      <c r="F200" s="6" t="inlineStr">
        <is>
          <t>ANY</t>
        </is>
      </c>
      <c r="G200" s="6" t="b">
        <v>1</v>
      </c>
      <c r="H200" s="6" t="inlineStr">
        <is>
          <t>READY</t>
        </is>
      </c>
      <c r="I200" s="6" t="n"/>
      <c r="J200" s="6" t="n"/>
      <c r="K200" s="6" t="inlineStr">
        <is>
          <t>검수표 23</t>
        </is>
      </c>
    </row>
    <row r="201">
      <c r="A201" s="6" t="inlineStr">
        <is>
          <t>DIET-P-0297</t>
        </is>
      </c>
      <c r="B201" s="6" t="inlineStr">
        <is>
          <t>1.0.0</t>
        </is>
      </c>
      <c r="C201" s="6" t="inlineStr">
        <is>
          <t>저녁</t>
        </is>
      </c>
      <c r="D201" s="6" t="inlineStr">
        <is>
          <t>EVENING</t>
        </is>
      </c>
      <c r="E201" s="6" t="inlineStr">
        <is>
          <t>ANY</t>
        </is>
      </c>
      <c r="F201" s="6" t="inlineStr">
        <is>
          <t>ANY</t>
        </is>
      </c>
      <c r="G201" s="6" t="b">
        <v>1</v>
      </c>
      <c r="H201" s="6" t="inlineStr">
        <is>
          <t>READY</t>
        </is>
      </c>
      <c r="I201" s="6" t="n"/>
      <c r="J201" s="6" t="n"/>
      <c r="K201" s="6" t="inlineStr">
        <is>
          <t>검수표 24</t>
        </is>
      </c>
    </row>
    <row r="202">
      <c r="A202" s="6" t="inlineStr">
        <is>
          <t>DIET-P-0298</t>
        </is>
      </c>
      <c r="B202" s="6" t="inlineStr">
        <is>
          <t>1.0.0</t>
        </is>
      </c>
      <c r="C202" s="6" t="inlineStr">
        <is>
          <t>저녁</t>
        </is>
      </c>
      <c r="D202" s="6" t="inlineStr">
        <is>
          <t>EVENING</t>
        </is>
      </c>
      <c r="E202" s="6" t="inlineStr">
        <is>
          <t>ANY</t>
        </is>
      </c>
      <c r="F202" s="6" t="inlineStr">
        <is>
          <t>ANY</t>
        </is>
      </c>
      <c r="G202" s="6" t="b">
        <v>1</v>
      </c>
      <c r="H202" s="6" t="inlineStr">
        <is>
          <t>READY</t>
        </is>
      </c>
      <c r="I202" s="6" t="n"/>
      <c r="J202" s="6" t="n"/>
      <c r="K202" s="6" t="inlineStr">
        <is>
          <t>검수표 25</t>
        </is>
      </c>
    </row>
    <row r="203">
      <c r="A203" s="6" t="inlineStr">
        <is>
          <t>DIET-P-0299</t>
        </is>
      </c>
      <c r="B203" s="6" t="inlineStr">
        <is>
          <t>1.0.0</t>
        </is>
      </c>
      <c r="C203" s="6" t="inlineStr">
        <is>
          <t>저녁</t>
        </is>
      </c>
      <c r="D203" s="6" t="inlineStr">
        <is>
          <t>EVENING</t>
        </is>
      </c>
      <c r="E203" s="6" t="inlineStr">
        <is>
          <t>ANY</t>
        </is>
      </c>
      <c r="F203" s="6" t="inlineStr">
        <is>
          <t>ANY</t>
        </is>
      </c>
      <c r="G203" s="6" t="b">
        <v>1</v>
      </c>
      <c r="H203" s="6" t="inlineStr">
        <is>
          <t>READY</t>
        </is>
      </c>
      <c r="I203" s="6" t="n"/>
      <c r="J203" s="6" t="n"/>
      <c r="K203" s="6" t="inlineStr">
        <is>
          <t>검수표 26</t>
        </is>
      </c>
    </row>
    <row r="204">
      <c r="A204" s="6" t="inlineStr">
        <is>
          <t>DIET-P-0300</t>
        </is>
      </c>
      <c r="B204" s="6" t="inlineStr">
        <is>
          <t>1.0.0</t>
        </is>
      </c>
      <c r="C204" s="6" t="inlineStr">
        <is>
          <t>저녁</t>
        </is>
      </c>
      <c r="D204" s="6" t="inlineStr">
        <is>
          <t>EVENING</t>
        </is>
      </c>
      <c r="E204" s="6" t="inlineStr">
        <is>
          <t>ANY</t>
        </is>
      </c>
      <c r="F204" s="6" t="inlineStr">
        <is>
          <t>ANY</t>
        </is>
      </c>
      <c r="G204" s="6" t="b">
        <v>1</v>
      </c>
      <c r="H204" s="6" t="inlineStr">
        <is>
          <t>READY</t>
        </is>
      </c>
      <c r="I204" s="6" t="n"/>
      <c r="J204" s="6" t="n"/>
      <c r="K204" s="6" t="inlineStr">
        <is>
          <t>검수표 27</t>
        </is>
      </c>
    </row>
    <row r="205">
      <c r="A205" s="6" t="inlineStr">
        <is>
          <t>DIET-P-0301</t>
        </is>
      </c>
      <c r="B205" s="6" t="inlineStr">
        <is>
          <t>1.0.0</t>
        </is>
      </c>
      <c r="C205" s="6" t="inlineStr">
        <is>
          <t>저녁</t>
        </is>
      </c>
      <c r="D205" s="6" t="inlineStr">
        <is>
          <t>EVENING</t>
        </is>
      </c>
      <c r="E205" s="6" t="inlineStr">
        <is>
          <t>ANY</t>
        </is>
      </c>
      <c r="F205" s="6" t="inlineStr">
        <is>
          <t>ANY</t>
        </is>
      </c>
      <c r="G205" s="6" t="b">
        <v>1</v>
      </c>
      <c r="H205" s="6" t="inlineStr">
        <is>
          <t>READY</t>
        </is>
      </c>
      <c r="I205" s="6" t="n"/>
      <c r="J205" s="6" t="n"/>
      <c r="K205" s="6" t="inlineStr">
        <is>
          <t>검수표 28</t>
        </is>
      </c>
    </row>
    <row r="206">
      <c r="A206" s="6" t="inlineStr">
        <is>
          <t>DIET-P-0302</t>
        </is>
      </c>
      <c r="B206" s="6" t="inlineStr">
        <is>
          <t>1.0.0</t>
        </is>
      </c>
      <c r="C206" s="6" t="inlineStr">
        <is>
          <t>저녁</t>
        </is>
      </c>
      <c r="D206" s="6" t="inlineStr">
        <is>
          <t>EVENING</t>
        </is>
      </c>
      <c r="E206" s="6" t="inlineStr">
        <is>
          <t>ANY</t>
        </is>
      </c>
      <c r="F206" s="6" t="inlineStr">
        <is>
          <t>ANY</t>
        </is>
      </c>
      <c r="G206" s="6" t="b">
        <v>1</v>
      </c>
      <c r="H206" s="6" t="inlineStr">
        <is>
          <t>READY</t>
        </is>
      </c>
      <c r="I206" s="6" t="n"/>
      <c r="J206" s="6" t="n"/>
      <c r="K206" s="6" t="inlineStr">
        <is>
          <t>검수표 29</t>
        </is>
      </c>
    </row>
    <row r="207">
      <c r="A207" s="6" t="inlineStr">
        <is>
          <t>DIET-P-0303</t>
        </is>
      </c>
      <c r="B207" s="6" t="inlineStr">
        <is>
          <t>1.0.0</t>
        </is>
      </c>
      <c r="C207" s="6" t="inlineStr">
        <is>
          <t>저녁</t>
        </is>
      </c>
      <c r="D207" s="6" t="inlineStr">
        <is>
          <t>EVENING</t>
        </is>
      </c>
      <c r="E207" s="6" t="inlineStr">
        <is>
          <t>ANY</t>
        </is>
      </c>
      <c r="F207" s="6" t="inlineStr">
        <is>
          <t>ANY</t>
        </is>
      </c>
      <c r="G207" s="6" t="b">
        <v>1</v>
      </c>
      <c r="H207" s="6" t="inlineStr">
        <is>
          <t>READY</t>
        </is>
      </c>
      <c r="I207" s="6" t="n"/>
      <c r="J207" s="6" t="n"/>
      <c r="K207" s="6" t="inlineStr">
        <is>
          <t>검수표 30</t>
        </is>
      </c>
    </row>
    <row r="208">
      <c r="A208" s="6" t="inlineStr">
        <is>
          <t>DIET-P-0304</t>
        </is>
      </c>
      <c r="B208" s="6" t="inlineStr">
        <is>
          <t>1.0.0</t>
        </is>
      </c>
      <c r="C208" s="6" t="inlineStr">
        <is>
          <t>—</t>
        </is>
      </c>
      <c r="D208" s="6" t="inlineStr">
        <is>
          <t>ANY</t>
        </is>
      </c>
      <c r="E208" s="6" t="inlineStr">
        <is>
          <t>ANY</t>
        </is>
      </c>
      <c r="F208" s="6" t="inlineStr">
        <is>
          <t>ANY</t>
        </is>
      </c>
      <c r="G208" s="6" t="b">
        <v>0</v>
      </c>
      <c r="H208" s="6" t="inlineStr">
        <is>
          <t>READY</t>
        </is>
      </c>
      <c r="I208" s="6" t="n"/>
      <c r="J208" s="6" t="n"/>
      <c r="K208" s="6" t="inlineStr">
        <is>
          <t>검수표 31</t>
        </is>
      </c>
    </row>
    <row r="209">
      <c r="A209" s="6" t="inlineStr">
        <is>
          <t>DIET-P-0305</t>
        </is>
      </c>
      <c r="B209" s="6" t="inlineStr">
        <is>
          <t>1.0.0</t>
        </is>
      </c>
      <c r="C209" s="6" t="inlineStr">
        <is>
          <t>저녁</t>
        </is>
      </c>
      <c r="D209" s="6" t="inlineStr">
        <is>
          <t>EVENING</t>
        </is>
      </c>
      <c r="E209" s="6" t="inlineStr">
        <is>
          <t>ANY</t>
        </is>
      </c>
      <c r="F209" s="6" t="inlineStr">
        <is>
          <t>ANY</t>
        </is>
      </c>
      <c r="G209" s="6" t="b">
        <v>1</v>
      </c>
      <c r="H209" s="6" t="inlineStr">
        <is>
          <t>READY</t>
        </is>
      </c>
      <c r="I209" s="6" t="n"/>
      <c r="J209" s="6" t="n"/>
      <c r="K209" s="6" t="inlineStr">
        <is>
          <t>검수표 32</t>
        </is>
      </c>
    </row>
    <row r="210">
      <c r="A210" s="6" t="inlineStr">
        <is>
          <t>DIET-P-0306</t>
        </is>
      </c>
      <c r="B210" s="6" t="inlineStr">
        <is>
          <t>1.0.0</t>
        </is>
      </c>
      <c r="C210" s="6" t="inlineStr">
        <is>
          <t>저녁</t>
        </is>
      </c>
      <c r="D210" s="6" t="inlineStr">
        <is>
          <t>EVENING</t>
        </is>
      </c>
      <c r="E210" s="6" t="inlineStr">
        <is>
          <t>ANY</t>
        </is>
      </c>
      <c r="F210" s="6" t="inlineStr">
        <is>
          <t>ANY</t>
        </is>
      </c>
      <c r="G210" s="6" t="b">
        <v>1</v>
      </c>
      <c r="H210" s="6" t="inlineStr">
        <is>
          <t>READY</t>
        </is>
      </c>
      <c r="I210" s="6" t="n"/>
      <c r="J210" s="6" t="n"/>
      <c r="K210" s="6" t="inlineStr">
        <is>
          <t>검수표 33</t>
        </is>
      </c>
    </row>
    <row r="211">
      <c r="A211" s="6" t="inlineStr">
        <is>
          <t>DIET-P-0307</t>
        </is>
      </c>
      <c r="B211" s="6" t="inlineStr">
        <is>
          <t>1.0.0</t>
        </is>
      </c>
      <c r="C211" s="6" t="inlineStr">
        <is>
          <t>저녁</t>
        </is>
      </c>
      <c r="D211" s="6" t="inlineStr">
        <is>
          <t>EVENING</t>
        </is>
      </c>
      <c r="E211" s="6" t="inlineStr">
        <is>
          <t>ANY</t>
        </is>
      </c>
      <c r="F211" s="6" t="inlineStr">
        <is>
          <t>ANY</t>
        </is>
      </c>
      <c r="G211" s="6" t="b">
        <v>1</v>
      </c>
      <c r="H211" s="6" t="inlineStr">
        <is>
          <t>READY</t>
        </is>
      </c>
      <c r="I211" s="6" t="n"/>
      <c r="J211" s="6" t="n"/>
      <c r="K211" s="6" t="inlineStr">
        <is>
          <t>검수표 34</t>
        </is>
      </c>
    </row>
    <row r="212">
      <c r="A212" s="6" t="inlineStr">
        <is>
          <t>DIET-P-0308</t>
        </is>
      </c>
      <c r="B212" s="6" t="inlineStr">
        <is>
          <t>1.0.0</t>
        </is>
      </c>
      <c r="C212" s="6" t="inlineStr">
        <is>
          <t>저녁</t>
        </is>
      </c>
      <c r="D212" s="6" t="inlineStr">
        <is>
          <t>EVENING</t>
        </is>
      </c>
      <c r="E212" s="6" t="inlineStr">
        <is>
          <t>ANY</t>
        </is>
      </c>
      <c r="F212" s="6" t="inlineStr">
        <is>
          <t>ANY</t>
        </is>
      </c>
      <c r="G212" s="6" t="b">
        <v>1</v>
      </c>
      <c r="H212" s="6" t="inlineStr">
        <is>
          <t>READY</t>
        </is>
      </c>
      <c r="I212" s="6" t="n"/>
      <c r="J212" s="6" t="n"/>
      <c r="K212" s="6" t="inlineStr">
        <is>
          <t>검수표 35</t>
        </is>
      </c>
    </row>
    <row r="213">
      <c r="A213" s="6" t="inlineStr">
        <is>
          <t>DIET-P-0309</t>
        </is>
      </c>
      <c r="B213" s="6" t="inlineStr">
        <is>
          <t>1.0.0</t>
        </is>
      </c>
      <c r="C213" s="6" t="inlineStr">
        <is>
          <t>저녁</t>
        </is>
      </c>
      <c r="D213" s="6" t="inlineStr">
        <is>
          <t>EVENING</t>
        </is>
      </c>
      <c r="E213" s="6" t="inlineStr">
        <is>
          <t>ANY</t>
        </is>
      </c>
      <c r="F213" s="6" t="inlineStr">
        <is>
          <t>ANY</t>
        </is>
      </c>
      <c r="G213" s="6" t="b">
        <v>1</v>
      </c>
      <c r="H213" s="6" t="inlineStr">
        <is>
          <t>READY</t>
        </is>
      </c>
      <c r="I213" s="6" t="n"/>
      <c r="J213" s="6" t="n"/>
      <c r="K213" s="6" t="inlineStr">
        <is>
          <t>검수표 36</t>
        </is>
      </c>
    </row>
    <row r="214">
      <c r="A214" s="6" t="inlineStr">
        <is>
          <t>DIET-P-0310</t>
        </is>
      </c>
      <c r="B214" s="6" t="inlineStr">
        <is>
          <t>1.0.0</t>
        </is>
      </c>
      <c r="C214" s="6" t="inlineStr">
        <is>
          <t>—</t>
        </is>
      </c>
      <c r="D214" s="6" t="inlineStr">
        <is>
          <t>ANY</t>
        </is>
      </c>
      <c r="E214" s="6" t="inlineStr">
        <is>
          <t>ANY</t>
        </is>
      </c>
      <c r="F214" s="6" t="inlineStr">
        <is>
          <t>ANY</t>
        </is>
      </c>
      <c r="G214" s="6" t="b">
        <v>1</v>
      </c>
      <c r="H214" s="6" t="inlineStr">
        <is>
          <t>READY</t>
        </is>
      </c>
      <c r="I214" s="6" t="n"/>
      <c r="J214" s="6" t="n"/>
      <c r="K214" s="6" t="inlineStr">
        <is>
          <t>검수표 37</t>
        </is>
      </c>
    </row>
    <row r="215">
      <c r="A215" s="6" t="inlineStr">
        <is>
          <t>DIET-P-0311</t>
        </is>
      </c>
      <c r="B215" s="6" t="inlineStr">
        <is>
          <t>1.0.0</t>
        </is>
      </c>
      <c r="C215" s="6" t="inlineStr">
        <is>
          <t>저녁</t>
        </is>
      </c>
      <c r="D215" s="6" t="inlineStr">
        <is>
          <t>EVENING</t>
        </is>
      </c>
      <c r="E215" s="6" t="inlineStr">
        <is>
          <t>ANY</t>
        </is>
      </c>
      <c r="F215" s="6" t="inlineStr">
        <is>
          <t>ANY</t>
        </is>
      </c>
      <c r="G215" s="6" t="b">
        <v>1</v>
      </c>
      <c r="H215" s="6" t="inlineStr">
        <is>
          <t>READY</t>
        </is>
      </c>
      <c r="I215" s="6" t="n"/>
      <c r="J215" s="6" t="n"/>
      <c r="K215" s="6" t="inlineStr">
        <is>
          <t>검수표 38</t>
        </is>
      </c>
    </row>
    <row r="216">
      <c r="A216" s="6" t="inlineStr">
        <is>
          <t>DIET-P-0312</t>
        </is>
      </c>
      <c r="B216" s="6" t="inlineStr">
        <is>
          <t>1.0.0</t>
        </is>
      </c>
      <c r="C216" s="6" t="inlineStr">
        <is>
          <t>저녁</t>
        </is>
      </c>
      <c r="D216" s="6" t="inlineStr">
        <is>
          <t>EVENING</t>
        </is>
      </c>
      <c r="E216" s="6" t="inlineStr">
        <is>
          <t>ANY</t>
        </is>
      </c>
      <c r="F216" s="6" t="inlineStr">
        <is>
          <t>ANY</t>
        </is>
      </c>
      <c r="G216" s="6" t="b">
        <v>1</v>
      </c>
      <c r="H216" s="6" t="inlineStr">
        <is>
          <t>READY</t>
        </is>
      </c>
      <c r="I216" s="6" t="n"/>
      <c r="J216" s="6" t="n"/>
      <c r="K216" s="6" t="inlineStr">
        <is>
          <t>검수표 39</t>
        </is>
      </c>
    </row>
    <row r="217">
      <c r="A217" s="6" t="inlineStr">
        <is>
          <t>DIET-P-0313</t>
        </is>
      </c>
      <c r="B217" s="6" t="inlineStr">
        <is>
          <t>1.0.0</t>
        </is>
      </c>
      <c r="C217" s="6" t="inlineStr">
        <is>
          <t>저녁</t>
        </is>
      </c>
      <c r="D217" s="6" t="inlineStr">
        <is>
          <t>EVENING</t>
        </is>
      </c>
      <c r="E217" s="6" t="inlineStr">
        <is>
          <t>ANY</t>
        </is>
      </c>
      <c r="F217" s="6" t="inlineStr">
        <is>
          <t>ANY</t>
        </is>
      </c>
      <c r="G217" s="6" t="b">
        <v>1</v>
      </c>
      <c r="H217" s="6" t="inlineStr">
        <is>
          <t>READY</t>
        </is>
      </c>
      <c r="I217" s="6" t="n"/>
      <c r="J217" s="6" t="n"/>
      <c r="K217" s="6" t="inlineStr">
        <is>
          <t>검수표 40</t>
        </is>
      </c>
    </row>
    <row r="218">
      <c r="A218" s="6" t="inlineStr">
        <is>
          <t>DIET-P-0314</t>
        </is>
      </c>
      <c r="B218" s="6" t="inlineStr">
        <is>
          <t>1.0.0</t>
        </is>
      </c>
      <c r="C218" s="6" t="inlineStr">
        <is>
          <t>저녁</t>
        </is>
      </c>
      <c r="D218" s="6" t="inlineStr">
        <is>
          <t>EVENING</t>
        </is>
      </c>
      <c r="E218" s="6" t="inlineStr">
        <is>
          <t>ANY</t>
        </is>
      </c>
      <c r="F218" s="6" t="inlineStr">
        <is>
          <t>ANY</t>
        </is>
      </c>
      <c r="G218" s="6" t="b">
        <v>1</v>
      </c>
      <c r="H218" s="6" t="inlineStr">
        <is>
          <t>READY</t>
        </is>
      </c>
      <c r="I218" s="6" t="n"/>
      <c r="J218" s="6" t="n"/>
      <c r="K218" s="6" t="inlineStr">
        <is>
          <t>검수표 41</t>
        </is>
      </c>
    </row>
    <row r="219">
      <c r="A219" s="6" t="inlineStr">
        <is>
          <t>DIET-P-0315</t>
        </is>
      </c>
      <c r="B219" s="6" t="inlineStr">
        <is>
          <t>1.0.0</t>
        </is>
      </c>
      <c r="C219" s="6" t="inlineStr">
        <is>
          <t>저녁</t>
        </is>
      </c>
      <c r="D219" s="6" t="inlineStr">
        <is>
          <t>EVENING</t>
        </is>
      </c>
      <c r="E219" s="6" t="inlineStr">
        <is>
          <t>ANY</t>
        </is>
      </c>
      <c r="F219" s="6" t="inlineStr">
        <is>
          <t>ANY</t>
        </is>
      </c>
      <c r="G219" s="6" t="b">
        <v>1</v>
      </c>
      <c r="H219" s="6" t="inlineStr">
        <is>
          <t>READY</t>
        </is>
      </c>
      <c r="I219" s="6" t="n"/>
      <c r="J219" s="6" t="n"/>
      <c r="K219" s="6" t="inlineStr">
        <is>
          <t>검수표 42</t>
        </is>
      </c>
    </row>
    <row r="220">
      <c r="A220" s="6" t="inlineStr">
        <is>
          <t>DIET-P-0316</t>
        </is>
      </c>
      <c r="B220" s="6" t="inlineStr">
        <is>
          <t>1.0.0</t>
        </is>
      </c>
      <c r="C220" s="6" t="inlineStr">
        <is>
          <t>저녁</t>
        </is>
      </c>
      <c r="D220" s="6" t="inlineStr">
        <is>
          <t>EVENING</t>
        </is>
      </c>
      <c r="E220" s="6" t="inlineStr">
        <is>
          <t>ANY</t>
        </is>
      </c>
      <c r="F220" s="6" t="inlineStr">
        <is>
          <t>ANY</t>
        </is>
      </c>
      <c r="G220" s="6" t="b">
        <v>1</v>
      </c>
      <c r="H220" s="6" t="inlineStr">
        <is>
          <t>READY</t>
        </is>
      </c>
      <c r="I220" s="6" t="n"/>
      <c r="J220" s="6" t="n"/>
      <c r="K220" s="6" t="inlineStr">
        <is>
          <t>검수표 43</t>
        </is>
      </c>
    </row>
    <row r="221">
      <c r="A221" s="6" t="inlineStr">
        <is>
          <t>DIET-P-0317</t>
        </is>
      </c>
      <c r="B221" s="6" t="inlineStr">
        <is>
          <t>1.0.0</t>
        </is>
      </c>
      <c r="C221" s="6" t="inlineStr">
        <is>
          <t>저녁</t>
        </is>
      </c>
      <c r="D221" s="6" t="inlineStr">
        <is>
          <t>EVENING</t>
        </is>
      </c>
      <c r="E221" s="6" t="inlineStr">
        <is>
          <t>ANY</t>
        </is>
      </c>
      <c r="F221" s="6" t="inlineStr">
        <is>
          <t>ANY</t>
        </is>
      </c>
      <c r="G221" s="6" t="b">
        <v>1</v>
      </c>
      <c r="H221" s="6" t="inlineStr">
        <is>
          <t>READY</t>
        </is>
      </c>
      <c r="I221" s="6" t="n"/>
      <c r="J221" s="6" t="n"/>
      <c r="K221" s="6" t="inlineStr">
        <is>
          <t>검수표 44</t>
        </is>
      </c>
    </row>
    <row r="222">
      <c r="A222" s="6" t="inlineStr">
        <is>
          <t>DIET-P-0318</t>
        </is>
      </c>
      <c r="B222" s="6" t="inlineStr">
        <is>
          <t>1.0.0</t>
        </is>
      </c>
      <c r="C222" s="6" t="inlineStr">
        <is>
          <t>저녁</t>
        </is>
      </c>
      <c r="D222" s="6" t="inlineStr">
        <is>
          <t>EVENING</t>
        </is>
      </c>
      <c r="E222" s="6" t="inlineStr">
        <is>
          <t>ANY</t>
        </is>
      </c>
      <c r="F222" s="6" t="inlineStr">
        <is>
          <t>ANY</t>
        </is>
      </c>
      <c r="G222" s="6" t="b">
        <v>1</v>
      </c>
      <c r="H222" s="6" t="inlineStr">
        <is>
          <t>READY</t>
        </is>
      </c>
      <c r="I222" s="6" t="n"/>
      <c r="J222" s="6" t="n"/>
      <c r="K222" s="6" t="inlineStr">
        <is>
          <t>검수표 45</t>
        </is>
      </c>
    </row>
    <row r="223">
      <c r="A223" s="6" t="inlineStr">
        <is>
          <t>DIET-P-0319</t>
        </is>
      </c>
      <c r="B223" s="6" t="inlineStr">
        <is>
          <t>1.0.0</t>
        </is>
      </c>
      <c r="C223" s="6" t="inlineStr">
        <is>
          <t>저녁</t>
        </is>
      </c>
      <c r="D223" s="6" t="inlineStr">
        <is>
          <t>EVENING</t>
        </is>
      </c>
      <c r="E223" s="6" t="inlineStr">
        <is>
          <t>ANY</t>
        </is>
      </c>
      <c r="F223" s="6" t="inlineStr">
        <is>
          <t>ANY</t>
        </is>
      </c>
      <c r="G223" s="6" t="b">
        <v>1</v>
      </c>
      <c r="H223" s="6" t="inlineStr">
        <is>
          <t>READY</t>
        </is>
      </c>
      <c r="I223" s="6" t="n"/>
      <c r="J223" s="6" t="n"/>
      <c r="K223" s="6" t="inlineStr">
        <is>
          <t>검수표 46</t>
        </is>
      </c>
    </row>
    <row r="224">
      <c r="A224" s="6" t="inlineStr">
        <is>
          <t>DIET-P-0320</t>
        </is>
      </c>
      <c r="B224" s="6" t="inlineStr">
        <is>
          <t>1.0.0</t>
        </is>
      </c>
      <c r="C224" s="6" t="inlineStr">
        <is>
          <t>저녁</t>
        </is>
      </c>
      <c r="D224" s="6" t="inlineStr">
        <is>
          <t>EVENING</t>
        </is>
      </c>
      <c r="E224" s="6" t="inlineStr">
        <is>
          <t>ANY</t>
        </is>
      </c>
      <c r="F224" s="6" t="inlineStr">
        <is>
          <t>ANY</t>
        </is>
      </c>
      <c r="G224" s="6" t="b">
        <v>1</v>
      </c>
      <c r="H224" s="6" t="inlineStr">
        <is>
          <t>READY</t>
        </is>
      </c>
      <c r="I224" s="6" t="n"/>
      <c r="J224" s="6" t="n"/>
      <c r="K224" s="6" t="inlineStr">
        <is>
          <t>검수표 47</t>
        </is>
      </c>
    </row>
    <row r="225">
      <c r="A225" s="6" t="inlineStr">
        <is>
          <t>DIET-P-0321</t>
        </is>
      </c>
      <c r="B225" s="6" t="inlineStr">
        <is>
          <t>1.0.0</t>
        </is>
      </c>
      <c r="C225" s="6" t="inlineStr">
        <is>
          <t>저녁</t>
        </is>
      </c>
      <c r="D225" s="6" t="inlineStr">
        <is>
          <t>EVENING</t>
        </is>
      </c>
      <c r="E225" s="6" t="inlineStr">
        <is>
          <t>ANY</t>
        </is>
      </c>
      <c r="F225" s="6" t="inlineStr">
        <is>
          <t>ANY</t>
        </is>
      </c>
      <c r="G225" s="6" t="b">
        <v>1</v>
      </c>
      <c r="H225" s="6" t="inlineStr">
        <is>
          <t>READY</t>
        </is>
      </c>
      <c r="I225" s="6" t="n"/>
      <c r="J225" s="6" t="n"/>
      <c r="K225" s="6" t="inlineStr">
        <is>
          <t>검수표 48</t>
        </is>
      </c>
    </row>
    <row r="226">
      <c r="A226" s="6" t="inlineStr">
        <is>
          <t>DIET-P-0322</t>
        </is>
      </c>
      <c r="B226" s="6" t="inlineStr">
        <is>
          <t>1.0.0</t>
        </is>
      </c>
      <c r="C226" s="6" t="inlineStr">
        <is>
          <t>저녁</t>
        </is>
      </c>
      <c r="D226" s="6" t="inlineStr">
        <is>
          <t>EVENING</t>
        </is>
      </c>
      <c r="E226" s="6" t="inlineStr">
        <is>
          <t>ANY</t>
        </is>
      </c>
      <c r="F226" s="6" t="inlineStr">
        <is>
          <t>ANY</t>
        </is>
      </c>
      <c r="G226" s="6" t="b">
        <v>1</v>
      </c>
      <c r="H226" s="6" t="inlineStr">
        <is>
          <t>READY</t>
        </is>
      </c>
      <c r="I226" s="6" t="n"/>
      <c r="J226" s="6" t="n"/>
      <c r="K226" s="6" t="inlineStr">
        <is>
          <t>검수표 49</t>
        </is>
      </c>
    </row>
    <row r="227">
      <c r="A227" s="6" t="inlineStr">
        <is>
          <t>DIET-P-0323</t>
        </is>
      </c>
      <c r="B227" s="6" t="inlineStr">
        <is>
          <t>1.0.0</t>
        </is>
      </c>
      <c r="C227" s="6" t="inlineStr">
        <is>
          <t>저녁</t>
        </is>
      </c>
      <c r="D227" s="6" t="inlineStr">
        <is>
          <t>EVENING</t>
        </is>
      </c>
      <c r="E227" s="6" t="inlineStr">
        <is>
          <t>ANY</t>
        </is>
      </c>
      <c r="F227" s="6" t="inlineStr">
        <is>
          <t>ANY</t>
        </is>
      </c>
      <c r="G227" s="6" t="b">
        <v>1</v>
      </c>
      <c r="H227" s="6" t="inlineStr">
        <is>
          <t>READY</t>
        </is>
      </c>
      <c r="I227" s="6" t="n"/>
      <c r="J227" s="6" t="n"/>
      <c r="K227" s="6" t="inlineStr">
        <is>
          <t>검수표 50</t>
        </is>
      </c>
    </row>
    <row r="228">
      <c r="A228" s="6" t="inlineStr">
        <is>
          <t>DIET-P-0324</t>
        </is>
      </c>
      <c r="B228" s="6" t="inlineStr">
        <is>
          <t>1.0.0</t>
        </is>
      </c>
      <c r="C228" s="6" t="inlineStr">
        <is>
          <t>저녁</t>
        </is>
      </c>
      <c r="D228" s="6" t="inlineStr">
        <is>
          <t>EVENING</t>
        </is>
      </c>
      <c r="E228" s="6" t="inlineStr">
        <is>
          <t>ANY</t>
        </is>
      </c>
      <c r="F228" s="6" t="inlineStr">
        <is>
          <t>ANY</t>
        </is>
      </c>
      <c r="G228" s="6" t="b">
        <v>1</v>
      </c>
      <c r="H228" s="6" t="inlineStr">
        <is>
          <t>READY</t>
        </is>
      </c>
      <c r="I228" s="6" t="n"/>
      <c r="J228" s="6" t="n"/>
      <c r="K228" s="6" t="inlineStr">
        <is>
          <t>검수표 51</t>
        </is>
      </c>
    </row>
    <row r="229">
      <c r="A229" s="6" t="inlineStr">
        <is>
          <t>DIET-P-0325</t>
        </is>
      </c>
      <c r="B229" s="6" t="inlineStr">
        <is>
          <t>1.0.0</t>
        </is>
      </c>
      <c r="C229" s="6" t="inlineStr">
        <is>
          <t>저녁</t>
        </is>
      </c>
      <c r="D229" s="6" t="inlineStr">
        <is>
          <t>EVENING</t>
        </is>
      </c>
      <c r="E229" s="6" t="inlineStr">
        <is>
          <t>ANY</t>
        </is>
      </c>
      <c r="F229" s="6" t="inlineStr">
        <is>
          <t>ANY</t>
        </is>
      </c>
      <c r="G229" s="6" t="b">
        <v>1</v>
      </c>
      <c r="H229" s="6" t="inlineStr">
        <is>
          <t>READY</t>
        </is>
      </c>
      <c r="I229" s="6" t="n"/>
      <c r="J229" s="6" t="n"/>
      <c r="K229" s="6" t="inlineStr">
        <is>
          <t>검수표 52</t>
        </is>
      </c>
    </row>
    <row r="230">
      <c r="A230" s="6" t="inlineStr">
        <is>
          <t>DIET-P-0326</t>
        </is>
      </c>
      <c r="B230" s="6" t="inlineStr">
        <is>
          <t>1.0.0</t>
        </is>
      </c>
      <c r="C230" s="6" t="inlineStr">
        <is>
          <t>저녁</t>
        </is>
      </c>
      <c r="D230" s="6" t="inlineStr">
        <is>
          <t>EVENING</t>
        </is>
      </c>
      <c r="E230" s="6" t="inlineStr">
        <is>
          <t>ANY</t>
        </is>
      </c>
      <c r="F230" s="6" t="inlineStr">
        <is>
          <t>ANY</t>
        </is>
      </c>
      <c r="G230" s="6" t="b">
        <v>1</v>
      </c>
      <c r="H230" s="6" t="inlineStr">
        <is>
          <t>READY</t>
        </is>
      </c>
      <c r="I230" s="6" t="n"/>
      <c r="J230" s="6" t="n"/>
      <c r="K230" s="6" t="inlineStr">
        <is>
          <t>검수표 53</t>
        </is>
      </c>
    </row>
    <row r="231">
      <c r="A231" s="6" t="inlineStr">
        <is>
          <t>DIET-P-0327</t>
        </is>
      </c>
      <c r="B231" s="6" t="inlineStr">
        <is>
          <t>1.0.0</t>
        </is>
      </c>
      <c r="C231" s="6" t="inlineStr">
        <is>
          <t>저녁</t>
        </is>
      </c>
      <c r="D231" s="6" t="inlineStr">
        <is>
          <t>EVENING</t>
        </is>
      </c>
      <c r="E231" s="6" t="inlineStr">
        <is>
          <t>ANY</t>
        </is>
      </c>
      <c r="F231" s="6" t="inlineStr">
        <is>
          <t>ANY</t>
        </is>
      </c>
      <c r="G231" s="6" t="b">
        <v>1</v>
      </c>
      <c r="H231" s="6" t="inlineStr">
        <is>
          <t>READY</t>
        </is>
      </c>
      <c r="I231" s="6" t="n"/>
      <c r="J231" s="6" t="n"/>
      <c r="K231" s="6" t="inlineStr">
        <is>
          <t>검수표 54</t>
        </is>
      </c>
    </row>
    <row r="232">
      <c r="A232" s="6" t="inlineStr">
        <is>
          <t>DIET-P-0328</t>
        </is>
      </c>
      <c r="B232" s="6" t="inlineStr">
        <is>
          <t>1.0.0</t>
        </is>
      </c>
      <c r="C232" s="6" t="inlineStr">
        <is>
          <t>저녁</t>
        </is>
      </c>
      <c r="D232" s="6" t="inlineStr">
        <is>
          <t>EVENING</t>
        </is>
      </c>
      <c r="E232" s="6" t="inlineStr">
        <is>
          <t>ANY</t>
        </is>
      </c>
      <c r="F232" s="6" t="inlineStr">
        <is>
          <t>ANY</t>
        </is>
      </c>
      <c r="G232" s="6" t="b">
        <v>1</v>
      </c>
      <c r="H232" s="6" t="inlineStr">
        <is>
          <t>READY</t>
        </is>
      </c>
      <c r="I232" s="6" t="n"/>
      <c r="J232" s="6" t="n"/>
      <c r="K232" s="6" t="inlineStr">
        <is>
          <t>검수표 55</t>
        </is>
      </c>
    </row>
    <row r="233">
      <c r="A233" s="6" t="inlineStr">
        <is>
          <t>DIET-P-0329</t>
        </is>
      </c>
      <c r="B233" s="6" t="inlineStr">
        <is>
          <t>1.0.0</t>
        </is>
      </c>
      <c r="C233" s="6" t="inlineStr">
        <is>
          <t>저녁</t>
        </is>
      </c>
      <c r="D233" s="6" t="inlineStr">
        <is>
          <t>EVENING</t>
        </is>
      </c>
      <c r="E233" s="6" t="inlineStr">
        <is>
          <t>ANY</t>
        </is>
      </c>
      <c r="F233" s="6" t="inlineStr">
        <is>
          <t>ANY</t>
        </is>
      </c>
      <c r="G233" s="6" t="b">
        <v>1</v>
      </c>
      <c r="H233" s="6" t="inlineStr">
        <is>
          <t>READY</t>
        </is>
      </c>
      <c r="I233" s="6" t="n"/>
      <c r="J233" s="6" t="n"/>
      <c r="K233" s="6" t="inlineStr">
        <is>
          <t>검수표 56</t>
        </is>
      </c>
    </row>
    <row r="234">
      <c r="A234" s="6" t="inlineStr">
        <is>
          <t>DIET-P-0330</t>
        </is>
      </c>
      <c r="B234" s="6" t="inlineStr">
        <is>
          <t>1.0.0</t>
        </is>
      </c>
      <c r="C234" s="6" t="inlineStr">
        <is>
          <t>저녁</t>
        </is>
      </c>
      <c r="D234" s="6" t="inlineStr">
        <is>
          <t>EVENING</t>
        </is>
      </c>
      <c r="E234" s="6" t="inlineStr">
        <is>
          <t>ANY</t>
        </is>
      </c>
      <c r="F234" s="6" t="inlineStr">
        <is>
          <t>ANY</t>
        </is>
      </c>
      <c r="G234" s="6" t="b">
        <v>1</v>
      </c>
      <c r="H234" s="6" t="inlineStr">
        <is>
          <t>READY</t>
        </is>
      </c>
      <c r="I234" s="6" t="n"/>
      <c r="J234" s="6" t="n"/>
      <c r="K234" s="6" t="inlineStr">
        <is>
          <t>검수표 57</t>
        </is>
      </c>
    </row>
    <row r="235">
      <c r="A235" s="6" t="inlineStr">
        <is>
          <t>DIET-P-0331</t>
        </is>
      </c>
      <c r="B235" s="6" t="inlineStr">
        <is>
          <t>1.0.0</t>
        </is>
      </c>
      <c r="C235" s="6" t="inlineStr">
        <is>
          <t>저녁</t>
        </is>
      </c>
      <c r="D235" s="6" t="inlineStr">
        <is>
          <t>EVENING</t>
        </is>
      </c>
      <c r="E235" s="6" t="inlineStr">
        <is>
          <t>ANY</t>
        </is>
      </c>
      <c r="F235" s="6" t="inlineStr">
        <is>
          <t>ANY</t>
        </is>
      </c>
      <c r="G235" s="6" t="b">
        <v>1</v>
      </c>
      <c r="H235" s="6" t="inlineStr">
        <is>
          <t>READY</t>
        </is>
      </c>
      <c r="I235" s="6" t="n"/>
      <c r="J235" s="6" t="n"/>
      <c r="K235" s="6" t="inlineStr">
        <is>
          <t>검수표 58</t>
        </is>
      </c>
    </row>
    <row r="236">
      <c r="A236" s="6" t="inlineStr">
        <is>
          <t>DIET-P-0332</t>
        </is>
      </c>
      <c r="B236" s="6" t="inlineStr">
        <is>
          <t>1.0.0</t>
        </is>
      </c>
      <c r="C236" s="6" t="inlineStr">
        <is>
          <t>저녁</t>
        </is>
      </c>
      <c r="D236" s="6" t="inlineStr">
        <is>
          <t>EVENING</t>
        </is>
      </c>
      <c r="E236" s="6" t="inlineStr">
        <is>
          <t>ANY</t>
        </is>
      </c>
      <c r="F236" s="6" t="inlineStr">
        <is>
          <t>ANY</t>
        </is>
      </c>
      <c r="G236" s="6" t="b">
        <v>1</v>
      </c>
      <c r="H236" s="6" t="inlineStr">
        <is>
          <t>READY</t>
        </is>
      </c>
      <c r="I236" s="6" t="n"/>
      <c r="J236" s="6" t="n"/>
      <c r="K236" s="6" t="inlineStr">
        <is>
          <t>검수표 59</t>
        </is>
      </c>
    </row>
    <row r="237">
      <c r="A237" s="6" t="inlineStr">
        <is>
          <t>DIET-P-0333</t>
        </is>
      </c>
      <c r="B237" s="6" t="inlineStr">
        <is>
          <t>1.0.0</t>
        </is>
      </c>
      <c r="C237" s="6" t="inlineStr">
        <is>
          <t>저녁</t>
        </is>
      </c>
      <c r="D237" s="6" t="inlineStr">
        <is>
          <t>EVENING</t>
        </is>
      </c>
      <c r="E237" s="6" t="inlineStr">
        <is>
          <t>ANY</t>
        </is>
      </c>
      <c r="F237" s="6" t="inlineStr">
        <is>
          <t>ANY</t>
        </is>
      </c>
      <c r="G237" s="6" t="b">
        <v>1</v>
      </c>
      <c r="H237" s="6" t="inlineStr">
        <is>
          <t>READY</t>
        </is>
      </c>
      <c r="I237" s="6" t="n"/>
      <c r="J237" s="6" t="n"/>
      <c r="K237" s="6" t="inlineStr">
        <is>
          <t>검수표 60</t>
        </is>
      </c>
    </row>
    <row r="238">
      <c r="A238" s="6" t="inlineStr">
        <is>
          <t>DIET-P-0334</t>
        </is>
      </c>
      <c r="B238" s="6" t="inlineStr">
        <is>
          <t>1.0.0</t>
        </is>
      </c>
      <c r="C238" s="6" t="inlineStr">
        <is>
          <t>저녁</t>
        </is>
      </c>
      <c r="D238" s="6" t="inlineStr">
        <is>
          <t>EVENING</t>
        </is>
      </c>
      <c r="E238" s="6" t="inlineStr">
        <is>
          <t>ANY</t>
        </is>
      </c>
      <c r="F238" s="6" t="inlineStr">
        <is>
          <t>ANY</t>
        </is>
      </c>
      <c r="G238" s="6" t="b">
        <v>1</v>
      </c>
      <c r="H238" s="6" t="inlineStr">
        <is>
          <t>READY</t>
        </is>
      </c>
      <c r="I238" s="6" t="n"/>
      <c r="J238" s="6" t="n"/>
      <c r="K238" s="6" t="inlineStr">
        <is>
          <t>검수표 61</t>
        </is>
      </c>
    </row>
    <row r="239">
      <c r="A239" s="6" t="inlineStr">
        <is>
          <t>DIET-P-0335</t>
        </is>
      </c>
      <c r="B239" s="6" t="inlineStr">
        <is>
          <t>1.0.0</t>
        </is>
      </c>
      <c r="C239" s="6" t="inlineStr">
        <is>
          <t>—</t>
        </is>
      </c>
      <c r="D239" s="6" t="inlineStr">
        <is>
          <t>ANY</t>
        </is>
      </c>
      <c r="E239" s="6" t="inlineStr">
        <is>
          <t>ANY</t>
        </is>
      </c>
      <c r="F239" s="6" t="inlineStr">
        <is>
          <t>ANY</t>
        </is>
      </c>
      <c r="G239" s="6" t="b">
        <v>1</v>
      </c>
      <c r="H239" s="6" t="inlineStr">
        <is>
          <t>READY</t>
        </is>
      </c>
      <c r="I239" s="6" t="n"/>
      <c r="J239" s="6" t="n"/>
      <c r="K239" s="6" t="inlineStr">
        <is>
          <t>검수표 62</t>
        </is>
      </c>
    </row>
    <row r="240">
      <c r="A240" s="6" t="inlineStr">
        <is>
          <t>DIET-P-0336</t>
        </is>
      </c>
      <c r="B240" s="6" t="inlineStr">
        <is>
          <t>1.0.0</t>
        </is>
      </c>
      <c r="C240" s="6" t="inlineStr">
        <is>
          <t>—</t>
        </is>
      </c>
      <c r="D240" s="6" t="inlineStr">
        <is>
          <t>ANY</t>
        </is>
      </c>
      <c r="E240" s="6" t="inlineStr">
        <is>
          <t>ANY</t>
        </is>
      </c>
      <c r="F240" s="6" t="inlineStr">
        <is>
          <t>ANY</t>
        </is>
      </c>
      <c r="G240" s="6" t="b">
        <v>1</v>
      </c>
      <c r="H240" s="6" t="inlineStr">
        <is>
          <t>READY</t>
        </is>
      </c>
      <c r="I240" s="6" t="n"/>
      <c r="J240" s="6" t="n"/>
      <c r="K240" s="6" t="inlineStr">
        <is>
          <t>검수표 63</t>
        </is>
      </c>
    </row>
    <row r="241">
      <c r="A241" s="6" t="inlineStr">
        <is>
          <t>DIET-P-0337</t>
        </is>
      </c>
      <c r="B241" s="6" t="inlineStr">
        <is>
          <t>1.0.0</t>
        </is>
      </c>
      <c r="C241" s="6" t="inlineStr">
        <is>
          <t>—</t>
        </is>
      </c>
      <c r="D241" s="6" t="inlineStr">
        <is>
          <t>ANY</t>
        </is>
      </c>
      <c r="E241" s="6" t="inlineStr">
        <is>
          <t>ANY</t>
        </is>
      </c>
      <c r="F241" s="6" t="inlineStr">
        <is>
          <t>ANY</t>
        </is>
      </c>
      <c r="G241" s="6" t="b">
        <v>0</v>
      </c>
      <c r="H241" s="6" t="inlineStr">
        <is>
          <t>READY</t>
        </is>
      </c>
      <c r="I241" s="6" t="n"/>
      <c r="J241" s="6" t="n"/>
      <c r="K241" s="6" t="inlineStr">
        <is>
          <t>검수표 64</t>
        </is>
      </c>
    </row>
    <row r="242">
      <c r="A242" s="6" t="inlineStr">
        <is>
          <t>DIET-P-0338</t>
        </is>
      </c>
      <c r="B242" s="6" t="inlineStr">
        <is>
          <t>1.0.0</t>
        </is>
      </c>
      <c r="C242" s="6" t="inlineStr">
        <is>
          <t>—</t>
        </is>
      </c>
      <c r="D242" s="6" t="inlineStr">
        <is>
          <t>ANY</t>
        </is>
      </c>
      <c r="E242" s="6" t="inlineStr">
        <is>
          <t>ANY</t>
        </is>
      </c>
      <c r="F242" s="6" t="inlineStr">
        <is>
          <t>ANY</t>
        </is>
      </c>
      <c r="G242" s="6" t="b">
        <v>0</v>
      </c>
      <c r="H242" s="6" t="inlineStr">
        <is>
          <t>READY</t>
        </is>
      </c>
      <c r="I242" s="6" t="n"/>
      <c r="J242" s="6" t="n"/>
      <c r="K242" s="6" t="inlineStr">
        <is>
          <t>검수표 65</t>
        </is>
      </c>
    </row>
    <row r="243">
      <c r="A243" s="6" t="inlineStr">
        <is>
          <t>DIET-P-0339</t>
        </is>
      </c>
      <c r="B243" s="6" t="inlineStr">
        <is>
          <t>1.0.0</t>
        </is>
      </c>
      <c r="C243" s="6" t="inlineStr">
        <is>
          <t>—</t>
        </is>
      </c>
      <c r="D243" s="6" t="inlineStr">
        <is>
          <t>ANY</t>
        </is>
      </c>
      <c r="E243" s="6" t="inlineStr">
        <is>
          <t>ANY</t>
        </is>
      </c>
      <c r="F243" s="6" t="inlineStr">
        <is>
          <t>ANY</t>
        </is>
      </c>
      <c r="G243" s="6" t="b">
        <v>0</v>
      </c>
      <c r="H243" s="6" t="inlineStr">
        <is>
          <t>READY</t>
        </is>
      </c>
      <c r="I243" s="6" t="n"/>
      <c r="J243" s="6" t="n"/>
      <c r="K243" s="6" t="inlineStr">
        <is>
          <t>검수표 66</t>
        </is>
      </c>
    </row>
    <row r="244">
      <c r="A244" s="6" t="inlineStr">
        <is>
          <t>DIET-P-0340</t>
        </is>
      </c>
      <c r="B244" s="6" t="inlineStr">
        <is>
          <t>1.0.0</t>
        </is>
      </c>
      <c r="C244" s="6" t="inlineStr">
        <is>
          <t>—</t>
        </is>
      </c>
      <c r="D244" s="6" t="inlineStr">
        <is>
          <t>ANY</t>
        </is>
      </c>
      <c r="E244" s="6" t="inlineStr">
        <is>
          <t>ANY</t>
        </is>
      </c>
      <c r="F244" s="6" t="inlineStr">
        <is>
          <t>ANY</t>
        </is>
      </c>
      <c r="G244" s="6" t="b">
        <v>0</v>
      </c>
      <c r="H244" s="6" t="inlineStr">
        <is>
          <t>READY</t>
        </is>
      </c>
      <c r="I244" s="6" t="n"/>
      <c r="J244" s="6" t="n"/>
      <c r="K244" s="6" t="inlineStr">
        <is>
          <t>검수표 67</t>
        </is>
      </c>
    </row>
    <row r="245">
      <c r="A245" s="6" t="inlineStr">
        <is>
          <t>DIET-P-0341</t>
        </is>
      </c>
      <c r="B245" s="6" t="inlineStr">
        <is>
          <t>1.0.0</t>
        </is>
      </c>
      <c r="C245" s="6" t="inlineStr">
        <is>
          <t>저녁</t>
        </is>
      </c>
      <c r="D245" s="6" t="inlineStr">
        <is>
          <t>EVENING</t>
        </is>
      </c>
      <c r="E245" s="6" t="inlineStr">
        <is>
          <t>ANY</t>
        </is>
      </c>
      <c r="F245" s="6" t="inlineStr">
        <is>
          <t>ANY</t>
        </is>
      </c>
      <c r="G245" s="6" t="b">
        <v>1</v>
      </c>
      <c r="H245" s="6" t="inlineStr">
        <is>
          <t>READY</t>
        </is>
      </c>
      <c r="I245" s="6" t="n"/>
      <c r="J245" s="6" t="n"/>
      <c r="K245" s="6" t="inlineStr">
        <is>
          <t>검수표 68</t>
        </is>
      </c>
    </row>
    <row r="246">
      <c r="A246" s="6" t="inlineStr">
        <is>
          <t>DIET-P-0342</t>
        </is>
      </c>
      <c r="B246" s="6" t="inlineStr">
        <is>
          <t>1.0.0</t>
        </is>
      </c>
      <c r="C246" s="6" t="inlineStr">
        <is>
          <t>저녁</t>
        </is>
      </c>
      <c r="D246" s="6" t="inlineStr">
        <is>
          <t>EVENING</t>
        </is>
      </c>
      <c r="E246" s="6" t="inlineStr">
        <is>
          <t>ANY</t>
        </is>
      </c>
      <c r="F246" s="6" t="inlineStr">
        <is>
          <t>ANY</t>
        </is>
      </c>
      <c r="G246" s="6" t="b">
        <v>1</v>
      </c>
      <c r="H246" s="6" t="inlineStr">
        <is>
          <t>READY</t>
        </is>
      </c>
      <c r="I246" s="6" t="n"/>
      <c r="J246" s="6" t="n"/>
      <c r="K246" s="6" t="inlineStr">
        <is>
          <t>검수표 69</t>
        </is>
      </c>
    </row>
    <row r="247">
      <c r="A247" s="6" t="inlineStr">
        <is>
          <t>DIET-P-0343</t>
        </is>
      </c>
      <c r="B247" s="6" t="inlineStr">
        <is>
          <t>1.0.0</t>
        </is>
      </c>
      <c r="C247" s="6" t="inlineStr">
        <is>
          <t>—</t>
        </is>
      </c>
      <c r="D247" s="6" t="inlineStr">
        <is>
          <t>ANY</t>
        </is>
      </c>
      <c r="E247" s="6" t="inlineStr">
        <is>
          <t>ANY</t>
        </is>
      </c>
      <c r="F247" s="6" t="inlineStr">
        <is>
          <t>ANY</t>
        </is>
      </c>
      <c r="G247" s="6" t="b">
        <v>0</v>
      </c>
      <c r="H247" s="6" t="inlineStr">
        <is>
          <t>READY</t>
        </is>
      </c>
      <c r="I247" s="6" t="n"/>
      <c r="J247" s="6" t="n"/>
      <c r="K247" s="6" t="inlineStr">
        <is>
          <t>검수표 70</t>
        </is>
      </c>
    </row>
    <row r="248">
      <c r="A248" s="6" t="inlineStr">
        <is>
          <t>DIET-P-0344</t>
        </is>
      </c>
      <c r="B248" s="6" t="inlineStr">
        <is>
          <t>1.0.0</t>
        </is>
      </c>
      <c r="C248" s="6" t="inlineStr">
        <is>
          <t>—</t>
        </is>
      </c>
      <c r="D248" s="6" t="inlineStr">
        <is>
          <t>ANY</t>
        </is>
      </c>
      <c r="E248" s="6" t="inlineStr">
        <is>
          <t>ANY</t>
        </is>
      </c>
      <c r="F248" s="6" t="inlineStr">
        <is>
          <t>ANY</t>
        </is>
      </c>
      <c r="G248" s="6" t="b">
        <v>0</v>
      </c>
      <c r="H248" s="6" t="inlineStr">
        <is>
          <t>READY</t>
        </is>
      </c>
      <c r="I248" s="6" t="n"/>
      <c r="J248" s="6" t="n"/>
      <c r="K248" s="6" t="inlineStr">
        <is>
          <t>검수표 71</t>
        </is>
      </c>
    </row>
    <row r="249">
      <c r="A249" s="6" t="inlineStr">
        <is>
          <t>DIET-P-0345</t>
        </is>
      </c>
      <c r="B249" s="6" t="inlineStr">
        <is>
          <t>1.0.0</t>
        </is>
      </c>
      <c r="C249" s="6" t="inlineStr">
        <is>
          <t>—</t>
        </is>
      </c>
      <c r="D249" s="6" t="inlineStr">
        <is>
          <t>ANY</t>
        </is>
      </c>
      <c r="E249" s="6" t="inlineStr">
        <is>
          <t>ANY</t>
        </is>
      </c>
      <c r="F249" s="6" t="inlineStr">
        <is>
          <t>ANY</t>
        </is>
      </c>
      <c r="G249" s="6" t="b">
        <v>0</v>
      </c>
      <c r="H249" s="6" t="inlineStr">
        <is>
          <t>READY</t>
        </is>
      </c>
      <c r="I249" s="6" t="n"/>
      <c r="J249" s="6" t="n"/>
      <c r="K249" s="6" t="inlineStr">
        <is>
          <t>검수표 72</t>
        </is>
      </c>
    </row>
    <row r="250">
      <c r="A250" s="6" t="inlineStr">
        <is>
          <t>DIET-P-0346</t>
        </is>
      </c>
      <c r="B250" s="6" t="inlineStr">
        <is>
          <t>1.0.0</t>
        </is>
      </c>
      <c r="C250" s="6" t="inlineStr">
        <is>
          <t>—</t>
        </is>
      </c>
      <c r="D250" s="6" t="inlineStr">
        <is>
          <t>ANY</t>
        </is>
      </c>
      <c r="E250" s="6" t="inlineStr">
        <is>
          <t>ANY</t>
        </is>
      </c>
      <c r="F250" s="6" t="inlineStr">
        <is>
          <t>ANY</t>
        </is>
      </c>
      <c r="G250" s="6" t="b">
        <v>0</v>
      </c>
      <c r="H250" s="6" t="inlineStr">
        <is>
          <t>READY</t>
        </is>
      </c>
      <c r="I250" s="6" t="n"/>
      <c r="J250" s="6" t="n"/>
      <c r="K250" s="6" t="inlineStr">
        <is>
          <t>검수표 73</t>
        </is>
      </c>
    </row>
    <row r="251">
      <c r="A251" s="6" t="inlineStr">
        <is>
          <t>DIET-P-0347</t>
        </is>
      </c>
      <c r="B251" s="6" t="inlineStr">
        <is>
          <t>1.0.0</t>
        </is>
      </c>
      <c r="C251" s="6" t="inlineStr">
        <is>
          <t>저녁</t>
        </is>
      </c>
      <c r="D251" s="6" t="inlineStr">
        <is>
          <t>EVENING</t>
        </is>
      </c>
      <c r="E251" s="6" t="inlineStr">
        <is>
          <t>ANY</t>
        </is>
      </c>
      <c r="F251" s="6" t="inlineStr">
        <is>
          <t>ANY</t>
        </is>
      </c>
      <c r="G251" s="6" t="b">
        <v>1</v>
      </c>
      <c r="H251" s="6" t="inlineStr">
        <is>
          <t>READY</t>
        </is>
      </c>
      <c r="I251" s="6" t="n"/>
      <c r="J251" s="6" t="n"/>
      <c r="K251" s="6" t="inlineStr">
        <is>
          <t>검수표 74</t>
        </is>
      </c>
    </row>
    <row r="252">
      <c r="A252" s="6" t="inlineStr">
        <is>
          <t>DIET-P-0348</t>
        </is>
      </c>
      <c r="B252" s="6" t="inlineStr">
        <is>
          <t>1.0.0</t>
        </is>
      </c>
      <c r="C252" s="6" t="inlineStr">
        <is>
          <t>저녁</t>
        </is>
      </c>
      <c r="D252" s="6" t="inlineStr">
        <is>
          <t>EVENING</t>
        </is>
      </c>
      <c r="E252" s="6" t="inlineStr">
        <is>
          <t>ANY</t>
        </is>
      </c>
      <c r="F252" s="6" t="inlineStr">
        <is>
          <t>ANY</t>
        </is>
      </c>
      <c r="G252" s="6" t="b">
        <v>1</v>
      </c>
      <c r="H252" s="6" t="inlineStr">
        <is>
          <t>READY</t>
        </is>
      </c>
      <c r="I252" s="6" t="n"/>
      <c r="J252" s="6" t="n"/>
      <c r="K252" s="6" t="inlineStr">
        <is>
          <t>검수표 75</t>
        </is>
      </c>
    </row>
    <row r="253">
      <c r="A253" s="6" t="inlineStr">
        <is>
          <t>DIET-P-0349</t>
        </is>
      </c>
      <c r="B253" s="6" t="inlineStr">
        <is>
          <t>1.0.0</t>
        </is>
      </c>
      <c r="C253" s="6" t="inlineStr">
        <is>
          <t>—</t>
        </is>
      </c>
      <c r="D253" s="6" t="inlineStr">
        <is>
          <t>ANY</t>
        </is>
      </c>
      <c r="E253" s="6" t="inlineStr">
        <is>
          <t>ANY</t>
        </is>
      </c>
      <c r="F253" s="6" t="inlineStr">
        <is>
          <t>ANY</t>
        </is>
      </c>
      <c r="G253" s="6" t="b">
        <v>0</v>
      </c>
      <c r="H253" s="6" t="inlineStr">
        <is>
          <t>READY</t>
        </is>
      </c>
      <c r="I253" s="6" t="n"/>
      <c r="J253" s="6" t="n"/>
      <c r="K253" s="6" t="inlineStr">
        <is>
          <t>검수표 76</t>
        </is>
      </c>
    </row>
    <row r="254">
      <c r="A254" s="6" t="inlineStr">
        <is>
          <t>DIET-P-0350</t>
        </is>
      </c>
      <c r="B254" s="6" t="inlineStr">
        <is>
          <t>1.0.0</t>
        </is>
      </c>
      <c r="C254" s="6" t="inlineStr">
        <is>
          <t>—</t>
        </is>
      </c>
      <c r="D254" s="6" t="inlineStr">
        <is>
          <t>ANY</t>
        </is>
      </c>
      <c r="E254" s="6" t="inlineStr">
        <is>
          <t>ANY</t>
        </is>
      </c>
      <c r="F254" s="6" t="inlineStr">
        <is>
          <t>ANY</t>
        </is>
      </c>
      <c r="G254" s="6" t="b">
        <v>0</v>
      </c>
      <c r="H254" s="6" t="inlineStr">
        <is>
          <t>READY</t>
        </is>
      </c>
      <c r="I254" s="6" t="n"/>
      <c r="J254" s="6" t="n"/>
      <c r="K254" s="6" t="inlineStr">
        <is>
          <t>검수표 77</t>
        </is>
      </c>
    </row>
    <row r="255">
      <c r="A255" s="6" t="inlineStr">
        <is>
          <t>DIET-P-0351</t>
        </is>
      </c>
      <c r="B255" s="6" t="inlineStr">
        <is>
          <t>1.0.0</t>
        </is>
      </c>
      <c r="C255" s="6" t="inlineStr">
        <is>
          <t>—</t>
        </is>
      </c>
      <c r="D255" s="6" t="inlineStr">
        <is>
          <t>ANY</t>
        </is>
      </c>
      <c r="E255" s="6" t="inlineStr">
        <is>
          <t>ANY</t>
        </is>
      </c>
      <c r="F255" s="6" t="inlineStr">
        <is>
          <t>ANY</t>
        </is>
      </c>
      <c r="G255" s="6" t="b">
        <v>0</v>
      </c>
      <c r="H255" s="6" t="inlineStr">
        <is>
          <t>READY</t>
        </is>
      </c>
      <c r="I255" s="6" t="n"/>
      <c r="J255" s="6" t="n"/>
      <c r="K255" s="6" t="inlineStr">
        <is>
          <t>검수표 78</t>
        </is>
      </c>
    </row>
    <row r="256">
      <c r="A256" s="6" t="inlineStr">
        <is>
          <t>DIET-P-0352</t>
        </is>
      </c>
      <c r="B256" s="6" t="inlineStr">
        <is>
          <t>1.0.0</t>
        </is>
      </c>
      <c r="C256" s="6" t="inlineStr">
        <is>
          <t>—</t>
        </is>
      </c>
      <c r="D256" s="6" t="inlineStr">
        <is>
          <t>ANY</t>
        </is>
      </c>
      <c r="E256" s="6" t="inlineStr">
        <is>
          <t>ANY</t>
        </is>
      </c>
      <c r="F256" s="6" t="inlineStr">
        <is>
          <t>ANY</t>
        </is>
      </c>
      <c r="G256" s="6" t="b">
        <v>0</v>
      </c>
      <c r="H256" s="6" t="inlineStr">
        <is>
          <t>READY</t>
        </is>
      </c>
      <c r="I256" s="6" t="n"/>
      <c r="J256" s="6" t="n"/>
      <c r="K256" s="6" t="inlineStr">
        <is>
          <t>검수표 79</t>
        </is>
      </c>
    </row>
    <row r="257">
      <c r="A257" s="6" t="inlineStr">
        <is>
          <t>DIET-P-0353</t>
        </is>
      </c>
      <c r="B257" s="6" t="inlineStr">
        <is>
          <t>1.0.0</t>
        </is>
      </c>
      <c r="C257" s="6" t="inlineStr">
        <is>
          <t>저녁</t>
        </is>
      </c>
      <c r="D257" s="6" t="inlineStr">
        <is>
          <t>EVENING</t>
        </is>
      </c>
      <c r="E257" s="6" t="inlineStr">
        <is>
          <t>ANY</t>
        </is>
      </c>
      <c r="F257" s="6" t="inlineStr">
        <is>
          <t>ANY</t>
        </is>
      </c>
      <c r="G257" s="6" t="b">
        <v>1</v>
      </c>
      <c r="H257" s="6" t="inlineStr">
        <is>
          <t>READY</t>
        </is>
      </c>
      <c r="I257" s="6" t="n"/>
      <c r="J257" s="6" t="n"/>
      <c r="K257" s="6" t="inlineStr">
        <is>
          <t>검수표 80</t>
        </is>
      </c>
    </row>
    <row r="258">
      <c r="A258" s="6" t="inlineStr">
        <is>
          <t>DIET-P-0354</t>
        </is>
      </c>
      <c r="B258" s="6" t="inlineStr">
        <is>
          <t>1.0.0</t>
        </is>
      </c>
      <c r="C258" s="6" t="inlineStr">
        <is>
          <t>저녁</t>
        </is>
      </c>
      <c r="D258" s="6" t="inlineStr">
        <is>
          <t>EVENING</t>
        </is>
      </c>
      <c r="E258" s="6" t="inlineStr">
        <is>
          <t>ANY</t>
        </is>
      </c>
      <c r="F258" s="6" t="inlineStr">
        <is>
          <t>ANY</t>
        </is>
      </c>
      <c r="G258" s="6" t="b">
        <v>1</v>
      </c>
      <c r="H258" s="6" t="inlineStr">
        <is>
          <t>READY</t>
        </is>
      </c>
      <c r="I258" s="6" t="n"/>
      <c r="J258" s="6" t="n"/>
      <c r="K258" s="6" t="inlineStr">
        <is>
          <t>검수표 81</t>
        </is>
      </c>
    </row>
    <row r="259">
      <c r="A259" s="6" t="inlineStr">
        <is>
          <t>DIET-P-0355</t>
        </is>
      </c>
      <c r="B259" s="6" t="inlineStr">
        <is>
          <t>1.0.0</t>
        </is>
      </c>
      <c r="C259" s="6" t="inlineStr">
        <is>
          <t>—</t>
        </is>
      </c>
      <c r="D259" s="6" t="inlineStr">
        <is>
          <t>ANY</t>
        </is>
      </c>
      <c r="E259" s="6" t="inlineStr">
        <is>
          <t>ANY</t>
        </is>
      </c>
      <c r="F259" s="6" t="inlineStr">
        <is>
          <t>ANY</t>
        </is>
      </c>
      <c r="G259" s="6" t="b">
        <v>0</v>
      </c>
      <c r="H259" s="6" t="inlineStr">
        <is>
          <t>READY</t>
        </is>
      </c>
      <c r="I259" s="6" t="n"/>
      <c r="J259" s="6" t="n"/>
      <c r="K259" s="6" t="inlineStr">
        <is>
          <t>검수표 82</t>
        </is>
      </c>
    </row>
    <row r="260">
      <c r="A260" s="6" t="inlineStr">
        <is>
          <t>DIET-P-0356</t>
        </is>
      </c>
      <c r="B260" s="6" t="inlineStr">
        <is>
          <t>1.0.0</t>
        </is>
      </c>
      <c r="C260" s="6" t="inlineStr">
        <is>
          <t>—</t>
        </is>
      </c>
      <c r="D260" s="6" t="inlineStr">
        <is>
          <t>ANY</t>
        </is>
      </c>
      <c r="E260" s="6" t="inlineStr">
        <is>
          <t>ANY</t>
        </is>
      </c>
      <c r="F260" s="6" t="inlineStr">
        <is>
          <t>ANY</t>
        </is>
      </c>
      <c r="G260" s="6" t="b">
        <v>0</v>
      </c>
      <c r="H260" s="6" t="inlineStr">
        <is>
          <t>READY</t>
        </is>
      </c>
      <c r="I260" s="6" t="n"/>
      <c r="J260" s="6" t="n"/>
      <c r="K260" s="6" t="inlineStr">
        <is>
          <t>검수표 83</t>
        </is>
      </c>
    </row>
    <row r="261">
      <c r="A261" s="6" t="inlineStr">
        <is>
          <t>DIET-P-0357</t>
        </is>
      </c>
      <c r="B261" s="6" t="inlineStr">
        <is>
          <t>1.0.0</t>
        </is>
      </c>
      <c r="C261" s="6" t="inlineStr">
        <is>
          <t>—</t>
        </is>
      </c>
      <c r="D261" s="6" t="inlineStr">
        <is>
          <t>ANY</t>
        </is>
      </c>
      <c r="E261" s="6" t="inlineStr">
        <is>
          <t>ANY</t>
        </is>
      </c>
      <c r="F261" s="6" t="inlineStr">
        <is>
          <t>ANY</t>
        </is>
      </c>
      <c r="G261" s="6" t="b">
        <v>0</v>
      </c>
      <c r="H261" s="6" t="inlineStr">
        <is>
          <t>READY</t>
        </is>
      </c>
      <c r="I261" s="6" t="n"/>
      <c r="J261" s="6" t="n"/>
      <c r="K261" s="6" t="inlineStr">
        <is>
          <t>검수표 84</t>
        </is>
      </c>
    </row>
    <row r="262">
      <c r="A262" s="6" t="inlineStr">
        <is>
          <t>DIET-P-0358</t>
        </is>
      </c>
      <c r="B262" s="6" t="inlineStr">
        <is>
          <t>1.0.0</t>
        </is>
      </c>
      <c r="C262" s="6" t="inlineStr">
        <is>
          <t>—</t>
        </is>
      </c>
      <c r="D262" s="6" t="inlineStr">
        <is>
          <t>ANY</t>
        </is>
      </c>
      <c r="E262" s="6" t="inlineStr">
        <is>
          <t>ANY</t>
        </is>
      </c>
      <c r="F262" s="6" t="inlineStr">
        <is>
          <t>ANY</t>
        </is>
      </c>
      <c r="G262" s="6" t="b">
        <v>0</v>
      </c>
      <c r="H262" s="6" t="inlineStr">
        <is>
          <t>READY</t>
        </is>
      </c>
      <c r="I262" s="6" t="n"/>
      <c r="J262" s="6" t="n"/>
      <c r="K262" s="6" t="inlineStr">
        <is>
          <t>검수표 85</t>
        </is>
      </c>
    </row>
    <row r="263">
      <c r="A263" s="6" t="inlineStr">
        <is>
          <t>DIET-P-0359</t>
        </is>
      </c>
      <c r="B263" s="6" t="inlineStr">
        <is>
          <t>1.0.0</t>
        </is>
      </c>
      <c r="C263" s="6" t="inlineStr">
        <is>
          <t>저녁</t>
        </is>
      </c>
      <c r="D263" s="6" t="inlineStr">
        <is>
          <t>EVENING</t>
        </is>
      </c>
      <c r="E263" s="6" t="inlineStr">
        <is>
          <t>ANY</t>
        </is>
      </c>
      <c r="F263" s="6" t="inlineStr">
        <is>
          <t>ANY</t>
        </is>
      </c>
      <c r="G263" s="6" t="b">
        <v>1</v>
      </c>
      <c r="H263" s="6" t="inlineStr">
        <is>
          <t>READY</t>
        </is>
      </c>
      <c r="I263" s="6" t="n"/>
      <c r="J263" s="6" t="n"/>
      <c r="K263" s="6" t="inlineStr">
        <is>
          <t>검수표 86</t>
        </is>
      </c>
    </row>
    <row r="264">
      <c r="A264" s="6" t="inlineStr">
        <is>
          <t>DIET-P-0360</t>
        </is>
      </c>
      <c r="B264" s="6" t="inlineStr">
        <is>
          <t>1.0.0</t>
        </is>
      </c>
      <c r="C264" s="6" t="inlineStr">
        <is>
          <t>저녁</t>
        </is>
      </c>
      <c r="D264" s="6" t="inlineStr">
        <is>
          <t>EVENING</t>
        </is>
      </c>
      <c r="E264" s="6" t="inlineStr">
        <is>
          <t>ANY</t>
        </is>
      </c>
      <c r="F264" s="6" t="inlineStr">
        <is>
          <t>ANY</t>
        </is>
      </c>
      <c r="G264" s="6" t="b">
        <v>1</v>
      </c>
      <c r="H264" s="6" t="inlineStr">
        <is>
          <t>READY</t>
        </is>
      </c>
      <c r="I264" s="6" t="n"/>
      <c r="J264" s="6" t="n"/>
      <c r="K264" s="6" t="inlineStr">
        <is>
          <t>검수표 87</t>
        </is>
      </c>
    </row>
    <row r="265">
      <c r="A265" s="6" t="inlineStr">
        <is>
          <t>DIET-P-0361</t>
        </is>
      </c>
      <c r="B265" s="6" t="inlineStr">
        <is>
          <t>1.0.0</t>
        </is>
      </c>
      <c r="C265" s="6" t="inlineStr">
        <is>
          <t>—</t>
        </is>
      </c>
      <c r="D265" s="6" t="inlineStr">
        <is>
          <t>ANY</t>
        </is>
      </c>
      <c r="E265" s="6" t="inlineStr">
        <is>
          <t>ANY</t>
        </is>
      </c>
      <c r="F265" s="6" t="inlineStr">
        <is>
          <t>ANY</t>
        </is>
      </c>
      <c r="G265" s="6" t="b">
        <v>0</v>
      </c>
      <c r="H265" s="6" t="inlineStr">
        <is>
          <t>READY</t>
        </is>
      </c>
      <c r="I265" s="6" t="n"/>
      <c r="J265" s="6" t="n"/>
      <c r="K265" s="6" t="inlineStr">
        <is>
          <t>검수표 88</t>
        </is>
      </c>
    </row>
    <row r="266">
      <c r="A266" s="6" t="inlineStr">
        <is>
          <t>DIET-P-0362</t>
        </is>
      </c>
      <c r="B266" s="6" t="inlineStr">
        <is>
          <t>1.0.0</t>
        </is>
      </c>
      <c r="C266" s="6" t="inlineStr">
        <is>
          <t>—</t>
        </is>
      </c>
      <c r="D266" s="6" t="inlineStr">
        <is>
          <t>ANY</t>
        </is>
      </c>
      <c r="E266" s="6" t="inlineStr">
        <is>
          <t>ANY</t>
        </is>
      </c>
      <c r="F266" s="6" t="inlineStr">
        <is>
          <t>ANY</t>
        </is>
      </c>
      <c r="G266" s="6" t="b">
        <v>0</v>
      </c>
      <c r="H266" s="6" t="inlineStr">
        <is>
          <t>READY</t>
        </is>
      </c>
      <c r="I266" s="6" t="n"/>
      <c r="J266" s="6" t="n"/>
      <c r="K266" s="6" t="inlineStr">
        <is>
          <t>검수표 89</t>
        </is>
      </c>
    </row>
    <row r="267">
      <c r="A267" s="6" t="inlineStr">
        <is>
          <t>DIET-P-0363</t>
        </is>
      </c>
      <c r="B267" s="6" t="inlineStr">
        <is>
          <t>1.0.0</t>
        </is>
      </c>
      <c r="C267" s="6" t="inlineStr">
        <is>
          <t>—</t>
        </is>
      </c>
      <c r="D267" s="6" t="inlineStr">
        <is>
          <t>ANY</t>
        </is>
      </c>
      <c r="E267" s="6" t="inlineStr">
        <is>
          <t>ANY</t>
        </is>
      </c>
      <c r="F267" s="6" t="inlineStr">
        <is>
          <t>ANY</t>
        </is>
      </c>
      <c r="G267" s="6" t="b">
        <v>0</v>
      </c>
      <c r="H267" s="6" t="inlineStr">
        <is>
          <t>READY</t>
        </is>
      </c>
      <c r="I267" s="6" t="n"/>
      <c r="J267" s="6" t="n"/>
      <c r="K267" s="6" t="inlineStr">
        <is>
          <t>검수표 90</t>
        </is>
      </c>
    </row>
    <row r="268">
      <c r="A268" s="6" t="inlineStr">
        <is>
          <t>DIET-P-0364</t>
        </is>
      </c>
      <c r="B268" s="6" t="inlineStr">
        <is>
          <t>1.0.0</t>
        </is>
      </c>
      <c r="C268" s="6" t="inlineStr">
        <is>
          <t>—</t>
        </is>
      </c>
      <c r="D268" s="6" t="inlineStr">
        <is>
          <t>ANY</t>
        </is>
      </c>
      <c r="E268" s="6" t="inlineStr">
        <is>
          <t>ANY</t>
        </is>
      </c>
      <c r="F268" s="6" t="inlineStr">
        <is>
          <t>ANY</t>
        </is>
      </c>
      <c r="G268" s="6" t="b">
        <v>0</v>
      </c>
      <c r="H268" s="6" t="inlineStr">
        <is>
          <t>READY</t>
        </is>
      </c>
      <c r="I268" s="6" t="n"/>
      <c r="J268" s="6" t="n"/>
      <c r="K268" s="6" t="inlineStr">
        <is>
          <t>검수표 91</t>
        </is>
      </c>
    </row>
    <row r="269">
      <c r="A269" s="6" t="inlineStr">
        <is>
          <t>DIET-P-0365</t>
        </is>
      </c>
      <c r="B269" s="6" t="inlineStr">
        <is>
          <t>1.0.0</t>
        </is>
      </c>
      <c r="C269" s="6" t="inlineStr">
        <is>
          <t>저녁</t>
        </is>
      </c>
      <c r="D269" s="6" t="inlineStr">
        <is>
          <t>EVENING</t>
        </is>
      </c>
      <c r="E269" s="6" t="inlineStr">
        <is>
          <t>ANY</t>
        </is>
      </c>
      <c r="F269" s="6" t="inlineStr">
        <is>
          <t>ANY</t>
        </is>
      </c>
      <c r="G269" s="6" t="b">
        <v>1</v>
      </c>
      <c r="H269" s="6" t="inlineStr">
        <is>
          <t>READY</t>
        </is>
      </c>
      <c r="I269" s="6" t="n"/>
      <c r="J269" s="6" t="n"/>
      <c r="K269" s="6" t="inlineStr">
        <is>
          <t>검수표 92</t>
        </is>
      </c>
    </row>
    <row r="270">
      <c r="A270" s="6" t="inlineStr">
        <is>
          <t>DIET-P-0366</t>
        </is>
      </c>
      <c r="B270" s="6" t="inlineStr">
        <is>
          <t>1.0.0</t>
        </is>
      </c>
      <c r="C270" s="6" t="inlineStr">
        <is>
          <t>저녁</t>
        </is>
      </c>
      <c r="D270" s="6" t="inlineStr">
        <is>
          <t>EVENING</t>
        </is>
      </c>
      <c r="E270" s="6" t="inlineStr">
        <is>
          <t>ANY</t>
        </is>
      </c>
      <c r="F270" s="6" t="inlineStr">
        <is>
          <t>ANY</t>
        </is>
      </c>
      <c r="G270" s="6" t="b">
        <v>1</v>
      </c>
      <c r="H270" s="6" t="inlineStr">
        <is>
          <t>READY</t>
        </is>
      </c>
      <c r="I270" s="6" t="n"/>
      <c r="J270" s="6" t="n"/>
      <c r="K270" s="6" t="inlineStr">
        <is>
          <t>검수표 93</t>
        </is>
      </c>
    </row>
    <row r="271">
      <c r="A271" s="6" t="inlineStr">
        <is>
          <t>DIET-P-0367</t>
        </is>
      </c>
      <c r="B271" s="6" t="inlineStr">
        <is>
          <t>1.0.0</t>
        </is>
      </c>
      <c r="C271" s="6" t="inlineStr">
        <is>
          <t>—</t>
        </is>
      </c>
      <c r="D271" s="6" t="inlineStr">
        <is>
          <t>ANY</t>
        </is>
      </c>
      <c r="E271" s="6" t="inlineStr">
        <is>
          <t>ANY</t>
        </is>
      </c>
      <c r="F271" s="6" t="inlineStr">
        <is>
          <t>ANY</t>
        </is>
      </c>
      <c r="G271" s="6" t="b">
        <v>0</v>
      </c>
      <c r="H271" s="6" t="inlineStr">
        <is>
          <t>READY</t>
        </is>
      </c>
      <c r="I271" s="6" t="n"/>
      <c r="J271" s="6" t="n"/>
      <c r="K271" s="6" t="inlineStr">
        <is>
          <t>검수표 94</t>
        </is>
      </c>
    </row>
    <row r="272">
      <c r="A272" s="6" t="inlineStr">
        <is>
          <t>DIET-P-0368</t>
        </is>
      </c>
      <c r="B272" s="6" t="inlineStr">
        <is>
          <t>1.0.0</t>
        </is>
      </c>
      <c r="C272" s="6" t="inlineStr">
        <is>
          <t>—</t>
        </is>
      </c>
      <c r="D272" s="6" t="inlineStr">
        <is>
          <t>ANY</t>
        </is>
      </c>
      <c r="E272" s="6" t="inlineStr">
        <is>
          <t>ANY</t>
        </is>
      </c>
      <c r="F272" s="6" t="inlineStr">
        <is>
          <t>ANY</t>
        </is>
      </c>
      <c r="G272" s="6" t="b">
        <v>0</v>
      </c>
      <c r="H272" s="6" t="inlineStr">
        <is>
          <t>READY</t>
        </is>
      </c>
      <c r="I272" s="6" t="n"/>
      <c r="J272" s="6" t="n"/>
      <c r="K272" s="6" t="inlineStr">
        <is>
          <t>검수표 95</t>
        </is>
      </c>
    </row>
    <row r="273">
      <c r="A273" s="6" t="inlineStr">
        <is>
          <t>DIET-P-0369</t>
        </is>
      </c>
      <c r="B273" s="6" t="inlineStr">
        <is>
          <t>1.0.0</t>
        </is>
      </c>
      <c r="C273" s="6" t="inlineStr">
        <is>
          <t>—</t>
        </is>
      </c>
      <c r="D273" s="6" t="inlineStr">
        <is>
          <t>ANY</t>
        </is>
      </c>
      <c r="E273" s="6" t="inlineStr">
        <is>
          <t>ANY</t>
        </is>
      </c>
      <c r="F273" s="6" t="inlineStr">
        <is>
          <t>ANY</t>
        </is>
      </c>
      <c r="G273" s="6" t="b">
        <v>0</v>
      </c>
      <c r="H273" s="6" t="inlineStr">
        <is>
          <t>READY</t>
        </is>
      </c>
      <c r="I273" s="6" t="n"/>
      <c r="J273" s="6" t="n"/>
      <c r="K273" s="6" t="inlineStr">
        <is>
          <t>검수표 96</t>
        </is>
      </c>
    </row>
    <row r="274">
      <c r="A274" s="6" t="inlineStr">
        <is>
          <t>DIET-P-0370</t>
        </is>
      </c>
      <c r="B274" s="6" t="inlineStr">
        <is>
          <t>1.0.0</t>
        </is>
      </c>
      <c r="C274" s="6" t="inlineStr">
        <is>
          <t>—</t>
        </is>
      </c>
      <c r="D274" s="6" t="inlineStr">
        <is>
          <t>ANY</t>
        </is>
      </c>
      <c r="E274" s="6" t="inlineStr">
        <is>
          <t>ANY</t>
        </is>
      </c>
      <c r="F274" s="6" t="inlineStr">
        <is>
          <t>ANY</t>
        </is>
      </c>
      <c r="G274" s="6" t="b">
        <v>0</v>
      </c>
      <c r="H274" s="6" t="inlineStr">
        <is>
          <t>READY</t>
        </is>
      </c>
      <c r="I274" s="6" t="n"/>
      <c r="J274" s="6" t="n"/>
      <c r="K274" s="6" t="inlineStr">
        <is>
          <t>검수표 97</t>
        </is>
      </c>
    </row>
    <row r="275">
      <c r="A275" s="6" t="inlineStr">
        <is>
          <t>DIET-P-0371</t>
        </is>
      </c>
      <c r="B275" s="6" t="inlineStr">
        <is>
          <t>1.0.0</t>
        </is>
      </c>
      <c r="C275" s="6" t="inlineStr">
        <is>
          <t>저녁</t>
        </is>
      </c>
      <c r="D275" s="6" t="inlineStr">
        <is>
          <t>EVENING</t>
        </is>
      </c>
      <c r="E275" s="6" t="inlineStr">
        <is>
          <t>ANY</t>
        </is>
      </c>
      <c r="F275" s="6" t="inlineStr">
        <is>
          <t>ANY</t>
        </is>
      </c>
      <c r="G275" s="6" t="b">
        <v>1</v>
      </c>
      <c r="H275" s="6" t="inlineStr">
        <is>
          <t>READY</t>
        </is>
      </c>
      <c r="I275" s="6" t="n"/>
      <c r="J275" s="6" t="n"/>
      <c r="K275" s="6" t="inlineStr">
        <is>
          <t>검수표 98</t>
        </is>
      </c>
    </row>
    <row r="276">
      <c r="A276" s="6" t="inlineStr">
        <is>
          <t>DIET-P-0372</t>
        </is>
      </c>
      <c r="B276" s="6" t="inlineStr">
        <is>
          <t>1.0.0</t>
        </is>
      </c>
      <c r="C276" s="6" t="inlineStr">
        <is>
          <t>저녁</t>
        </is>
      </c>
      <c r="D276" s="6" t="inlineStr">
        <is>
          <t>EVENING</t>
        </is>
      </c>
      <c r="E276" s="6" t="inlineStr">
        <is>
          <t>ANY</t>
        </is>
      </c>
      <c r="F276" s="6" t="inlineStr">
        <is>
          <t>ANY</t>
        </is>
      </c>
      <c r="G276" s="6" t="b">
        <v>1</v>
      </c>
      <c r="H276" s="6" t="inlineStr">
        <is>
          <t>READY</t>
        </is>
      </c>
      <c r="I276" s="6" t="n"/>
      <c r="J276" s="6" t="n"/>
      <c r="K276" s="6" t="inlineStr">
        <is>
          <t>검수표 99</t>
        </is>
      </c>
    </row>
    <row r="277">
      <c r="A277" s="6" t="inlineStr">
        <is>
          <t>DIET-P-0373</t>
        </is>
      </c>
      <c r="B277" s="6" t="inlineStr">
        <is>
          <t>1.0.0</t>
        </is>
      </c>
      <c r="C277" s="6" t="inlineStr">
        <is>
          <t>—</t>
        </is>
      </c>
      <c r="D277" s="6" t="inlineStr">
        <is>
          <t>ANY</t>
        </is>
      </c>
      <c r="E277" s="6" t="inlineStr">
        <is>
          <t>ANY</t>
        </is>
      </c>
      <c r="F277" s="6" t="inlineStr">
        <is>
          <t>ANY</t>
        </is>
      </c>
      <c r="G277" s="6" t="b">
        <v>0</v>
      </c>
      <c r="H277" s="6" t="inlineStr">
        <is>
          <t>READY</t>
        </is>
      </c>
      <c r="I277" s="6" t="n"/>
      <c r="J277" s="6" t="n"/>
      <c r="K277" s="6" t="inlineStr">
        <is>
          <t>검수표 100</t>
        </is>
      </c>
    </row>
    <row r="278">
      <c r="A278" s="6" t="inlineStr">
        <is>
          <t>DIET-P-0374</t>
        </is>
      </c>
      <c r="B278" s="6" t="inlineStr">
        <is>
          <t>1.0.0</t>
        </is>
      </c>
      <c r="C278" s="6" t="inlineStr">
        <is>
          <t>—</t>
        </is>
      </c>
      <c r="D278" s="6" t="inlineStr">
        <is>
          <t>ANY</t>
        </is>
      </c>
      <c r="E278" s="6" t="inlineStr">
        <is>
          <t>ANY</t>
        </is>
      </c>
      <c r="F278" s="6" t="inlineStr">
        <is>
          <t>ANY</t>
        </is>
      </c>
      <c r="G278" s="6" t="b">
        <v>0</v>
      </c>
      <c r="H278" s="6" t="inlineStr">
        <is>
          <t>READY</t>
        </is>
      </c>
      <c r="I278" s="6" t="n"/>
      <c r="J278" s="6" t="n"/>
      <c r="K278" s="6" t="inlineStr">
        <is>
          <t>검수표 101</t>
        </is>
      </c>
    </row>
    <row r="279">
      <c r="A279" s="6" t="inlineStr">
        <is>
          <t>DIET-P-0375</t>
        </is>
      </c>
      <c r="B279" s="6" t="inlineStr">
        <is>
          <t>1.0.0</t>
        </is>
      </c>
      <c r="C279" s="6" t="inlineStr">
        <is>
          <t>—</t>
        </is>
      </c>
      <c r="D279" s="6" t="inlineStr">
        <is>
          <t>ANY</t>
        </is>
      </c>
      <c r="E279" s="6" t="inlineStr">
        <is>
          <t>ANY</t>
        </is>
      </c>
      <c r="F279" s="6" t="inlineStr">
        <is>
          <t>ANY</t>
        </is>
      </c>
      <c r="G279" s="6" t="b">
        <v>0</v>
      </c>
      <c r="H279" s="6" t="inlineStr">
        <is>
          <t>READY</t>
        </is>
      </c>
      <c r="I279" s="6" t="n"/>
      <c r="J279" s="6" t="n"/>
      <c r="K279" s="6" t="inlineStr">
        <is>
          <t>검수표 102</t>
        </is>
      </c>
    </row>
    <row r="280">
      <c r="A280" s="6" t="inlineStr">
        <is>
          <t>DIET-P-0376</t>
        </is>
      </c>
      <c r="B280" s="6" t="inlineStr">
        <is>
          <t>1.0.0</t>
        </is>
      </c>
      <c r="C280" s="6" t="inlineStr">
        <is>
          <t>—</t>
        </is>
      </c>
      <c r="D280" s="6" t="inlineStr">
        <is>
          <t>ANY</t>
        </is>
      </c>
      <c r="E280" s="6" t="inlineStr">
        <is>
          <t>ANY</t>
        </is>
      </c>
      <c r="F280" s="6" t="inlineStr">
        <is>
          <t>ANY</t>
        </is>
      </c>
      <c r="G280" s="6" t="b">
        <v>0</v>
      </c>
      <c r="H280" s="6" t="inlineStr">
        <is>
          <t>READY</t>
        </is>
      </c>
      <c r="I280" s="6" t="n"/>
      <c r="J280" s="6" t="n"/>
      <c r="K280" s="6" t="inlineStr">
        <is>
          <t>검수표 103</t>
        </is>
      </c>
    </row>
    <row r="281">
      <c r="A281" s="6" t="inlineStr">
        <is>
          <t>DIET-P-0377</t>
        </is>
      </c>
      <c r="B281" s="6" t="inlineStr">
        <is>
          <t>1.0.0</t>
        </is>
      </c>
      <c r="C281" s="6" t="inlineStr">
        <is>
          <t>저녁</t>
        </is>
      </c>
      <c r="D281" s="6" t="inlineStr">
        <is>
          <t>EVENING</t>
        </is>
      </c>
      <c r="E281" s="6" t="inlineStr">
        <is>
          <t>ANY</t>
        </is>
      </c>
      <c r="F281" s="6" t="inlineStr">
        <is>
          <t>ANY</t>
        </is>
      </c>
      <c r="G281" s="6" t="b">
        <v>1</v>
      </c>
      <c r="H281" s="6" t="inlineStr">
        <is>
          <t>READY</t>
        </is>
      </c>
      <c r="I281" s="6" t="n"/>
      <c r="J281" s="6" t="n"/>
      <c r="K281" s="6" t="inlineStr">
        <is>
          <t>검수표 104</t>
        </is>
      </c>
    </row>
    <row r="282">
      <c r="A282" s="6" t="inlineStr">
        <is>
          <t>DIET-P-0378</t>
        </is>
      </c>
      <c r="B282" s="6" t="inlineStr">
        <is>
          <t>1.0.0</t>
        </is>
      </c>
      <c r="C282" s="6" t="inlineStr">
        <is>
          <t>저녁</t>
        </is>
      </c>
      <c r="D282" s="6" t="inlineStr">
        <is>
          <t>EVENING</t>
        </is>
      </c>
      <c r="E282" s="6" t="inlineStr">
        <is>
          <t>ANY</t>
        </is>
      </c>
      <c r="F282" s="6" t="inlineStr">
        <is>
          <t>ANY</t>
        </is>
      </c>
      <c r="G282" s="6" t="b">
        <v>1</v>
      </c>
      <c r="H282" s="6" t="inlineStr">
        <is>
          <t>READY</t>
        </is>
      </c>
      <c r="I282" s="6" t="n"/>
      <c r="J282" s="6" t="n"/>
      <c r="K282" s="6" t="inlineStr">
        <is>
          <t>검수표 105</t>
        </is>
      </c>
    </row>
    <row r="283">
      <c r="A283" s="6" t="inlineStr">
        <is>
          <t>DIET-P-0379</t>
        </is>
      </c>
      <c r="B283" s="6" t="inlineStr">
        <is>
          <t>1.0.0</t>
        </is>
      </c>
      <c r="C283" s="6" t="inlineStr">
        <is>
          <t>—</t>
        </is>
      </c>
      <c r="D283" s="6" t="inlineStr">
        <is>
          <t>ANY</t>
        </is>
      </c>
      <c r="E283" s="6" t="inlineStr">
        <is>
          <t>ANY</t>
        </is>
      </c>
      <c r="F283" s="6" t="inlineStr">
        <is>
          <t>ANY</t>
        </is>
      </c>
      <c r="G283" s="6" t="b">
        <v>0</v>
      </c>
      <c r="H283" s="6" t="inlineStr">
        <is>
          <t>READY</t>
        </is>
      </c>
      <c r="I283" s="6" t="n"/>
      <c r="J283" s="6" t="n"/>
      <c r="K283" s="6" t="inlineStr">
        <is>
          <t>검수표 106</t>
        </is>
      </c>
    </row>
    <row r="284">
      <c r="A284" s="6" t="inlineStr">
        <is>
          <t>DIET-P-0380</t>
        </is>
      </c>
      <c r="B284" s="6" t="inlineStr">
        <is>
          <t>1.0.0</t>
        </is>
      </c>
      <c r="C284" s="6" t="inlineStr">
        <is>
          <t>—</t>
        </is>
      </c>
      <c r="D284" s="6" t="inlineStr">
        <is>
          <t>ANY</t>
        </is>
      </c>
      <c r="E284" s="6" t="inlineStr">
        <is>
          <t>ANY</t>
        </is>
      </c>
      <c r="F284" s="6" t="inlineStr">
        <is>
          <t>ANY</t>
        </is>
      </c>
      <c r="G284" s="6" t="b">
        <v>0</v>
      </c>
      <c r="H284" s="6" t="inlineStr">
        <is>
          <t>READY</t>
        </is>
      </c>
      <c r="I284" s="6" t="n"/>
      <c r="J284" s="6" t="n"/>
      <c r="K284" s="6" t="inlineStr">
        <is>
          <t>검수표 107</t>
        </is>
      </c>
    </row>
    <row r="285">
      <c r="A285" s="6" t="inlineStr">
        <is>
          <t>DIET-P-0381</t>
        </is>
      </c>
      <c r="B285" s="6" t="inlineStr">
        <is>
          <t>1.0.0</t>
        </is>
      </c>
      <c r="C285" s="6" t="inlineStr">
        <is>
          <t>—</t>
        </is>
      </c>
      <c r="D285" s="6" t="inlineStr">
        <is>
          <t>ANY</t>
        </is>
      </c>
      <c r="E285" s="6" t="inlineStr">
        <is>
          <t>ANY</t>
        </is>
      </c>
      <c r="F285" s="6" t="inlineStr">
        <is>
          <t>ANY</t>
        </is>
      </c>
      <c r="G285" s="6" t="b">
        <v>0</v>
      </c>
      <c r="H285" s="6" t="inlineStr">
        <is>
          <t>READY</t>
        </is>
      </c>
      <c r="I285" s="6" t="n"/>
      <c r="J285" s="6" t="n"/>
      <c r="K285" s="6" t="inlineStr">
        <is>
          <t>검수표 108</t>
        </is>
      </c>
    </row>
    <row r="286">
      <c r="A286" s="6" t="inlineStr">
        <is>
          <t>DIET-P-0382</t>
        </is>
      </c>
      <c r="B286" s="6" t="inlineStr">
        <is>
          <t>1.0.0</t>
        </is>
      </c>
      <c r="C286" s="6" t="inlineStr">
        <is>
          <t>—</t>
        </is>
      </c>
      <c r="D286" s="6" t="inlineStr">
        <is>
          <t>ANY</t>
        </is>
      </c>
      <c r="E286" s="6" t="inlineStr">
        <is>
          <t>ANY</t>
        </is>
      </c>
      <c r="F286" s="6" t="inlineStr">
        <is>
          <t>ANY</t>
        </is>
      </c>
      <c r="G286" s="6" t="b">
        <v>0</v>
      </c>
      <c r="H286" s="6" t="inlineStr">
        <is>
          <t>READY</t>
        </is>
      </c>
      <c r="I286" s="6" t="n"/>
      <c r="J286" s="6" t="n"/>
      <c r="K286" s="6" t="inlineStr">
        <is>
          <t>검수표 109</t>
        </is>
      </c>
    </row>
    <row r="287">
      <c r="A287" s="6" t="inlineStr">
        <is>
          <t>DIET-P-0383</t>
        </is>
      </c>
      <c r="B287" s="6" t="inlineStr">
        <is>
          <t>1.0.0</t>
        </is>
      </c>
      <c r="C287" s="6" t="inlineStr">
        <is>
          <t>저녁</t>
        </is>
      </c>
      <c r="D287" s="6" t="inlineStr">
        <is>
          <t>EVENING</t>
        </is>
      </c>
      <c r="E287" s="6" t="inlineStr">
        <is>
          <t>ANY</t>
        </is>
      </c>
      <c r="F287" s="6" t="inlineStr">
        <is>
          <t>ANY</t>
        </is>
      </c>
      <c r="G287" s="6" t="b">
        <v>1</v>
      </c>
      <c r="H287" s="6" t="inlineStr">
        <is>
          <t>READY</t>
        </is>
      </c>
      <c r="I287" s="6" t="n"/>
      <c r="J287" s="6" t="n"/>
      <c r="K287" s="6" t="inlineStr">
        <is>
          <t>검수표 110</t>
        </is>
      </c>
    </row>
    <row r="288">
      <c r="A288" s="6" t="inlineStr">
        <is>
          <t>DIET-P-0384</t>
        </is>
      </c>
      <c r="B288" s="6" t="inlineStr">
        <is>
          <t>1.0.0</t>
        </is>
      </c>
      <c r="C288" s="6" t="inlineStr">
        <is>
          <t>저녁</t>
        </is>
      </c>
      <c r="D288" s="6" t="inlineStr">
        <is>
          <t>EVENING</t>
        </is>
      </c>
      <c r="E288" s="6" t="inlineStr">
        <is>
          <t>ANY</t>
        </is>
      </c>
      <c r="F288" s="6" t="inlineStr">
        <is>
          <t>ANY</t>
        </is>
      </c>
      <c r="G288" s="6" t="b">
        <v>1</v>
      </c>
      <c r="H288" s="6" t="inlineStr">
        <is>
          <t>READY</t>
        </is>
      </c>
      <c r="I288" s="6" t="n"/>
      <c r="J288" s="6" t="n"/>
      <c r="K288" s="6" t="inlineStr">
        <is>
          <t>검수표 111</t>
        </is>
      </c>
    </row>
    <row r="289">
      <c r="A289" s="6" t="inlineStr">
        <is>
          <t>DIET-P-0385</t>
        </is>
      </c>
      <c r="B289" s="6" t="inlineStr">
        <is>
          <t>1.0.0</t>
        </is>
      </c>
      <c r="C289" s="6" t="inlineStr">
        <is>
          <t>—</t>
        </is>
      </c>
      <c r="D289" s="6" t="inlineStr">
        <is>
          <t>ANY</t>
        </is>
      </c>
      <c r="E289" s="6" t="inlineStr">
        <is>
          <t>ANY</t>
        </is>
      </c>
      <c r="F289" s="6" t="inlineStr">
        <is>
          <t>ANY</t>
        </is>
      </c>
      <c r="G289" s="6" t="b">
        <v>0</v>
      </c>
      <c r="H289" s="6" t="inlineStr">
        <is>
          <t>READY</t>
        </is>
      </c>
      <c r="I289" s="6" t="n"/>
      <c r="J289" s="6" t="n"/>
      <c r="K289" s="6" t="inlineStr">
        <is>
          <t>검수표 112</t>
        </is>
      </c>
    </row>
    <row r="290">
      <c r="A290" s="6" t="inlineStr">
        <is>
          <t>DIET-P-0386</t>
        </is>
      </c>
      <c r="B290" s="6" t="inlineStr">
        <is>
          <t>1.0.0</t>
        </is>
      </c>
      <c r="C290" s="6" t="inlineStr">
        <is>
          <t>—</t>
        </is>
      </c>
      <c r="D290" s="6" t="inlineStr">
        <is>
          <t>ANY</t>
        </is>
      </c>
      <c r="E290" s="6" t="inlineStr">
        <is>
          <t>ANY</t>
        </is>
      </c>
      <c r="F290" s="6" t="inlineStr">
        <is>
          <t>ANY</t>
        </is>
      </c>
      <c r="G290" s="6" t="b">
        <v>0</v>
      </c>
      <c r="H290" s="6" t="inlineStr">
        <is>
          <t>READY</t>
        </is>
      </c>
      <c r="I290" s="6" t="n"/>
      <c r="J290" s="6" t="n"/>
      <c r="K290" s="6" t="inlineStr">
        <is>
          <t>검수표 113</t>
        </is>
      </c>
    </row>
    <row r="291">
      <c r="A291" s="6" t="inlineStr">
        <is>
          <t>DIET-P-0387</t>
        </is>
      </c>
      <c r="B291" s="6" t="inlineStr">
        <is>
          <t>1.0.0</t>
        </is>
      </c>
      <c r="C291" s="6" t="inlineStr">
        <is>
          <t>—</t>
        </is>
      </c>
      <c r="D291" s="6" t="inlineStr">
        <is>
          <t>ANY</t>
        </is>
      </c>
      <c r="E291" s="6" t="inlineStr">
        <is>
          <t>ANY</t>
        </is>
      </c>
      <c r="F291" s="6" t="inlineStr">
        <is>
          <t>ANY</t>
        </is>
      </c>
      <c r="G291" s="6" t="b">
        <v>0</v>
      </c>
      <c r="H291" s="6" t="inlineStr">
        <is>
          <t>READY</t>
        </is>
      </c>
      <c r="I291" s="6" t="n"/>
      <c r="J291" s="6" t="n"/>
      <c r="K291" s="6" t="inlineStr">
        <is>
          <t>검수표 114</t>
        </is>
      </c>
    </row>
    <row r="292">
      <c r="A292" s="6" t="inlineStr">
        <is>
          <t>DIET-P-0388</t>
        </is>
      </c>
      <c r="B292" s="6" t="inlineStr">
        <is>
          <t>1.0.0</t>
        </is>
      </c>
      <c r="C292" s="6" t="inlineStr">
        <is>
          <t>—</t>
        </is>
      </c>
      <c r="D292" s="6" t="inlineStr">
        <is>
          <t>ANY</t>
        </is>
      </c>
      <c r="E292" s="6" t="inlineStr">
        <is>
          <t>ANY</t>
        </is>
      </c>
      <c r="F292" s="6" t="inlineStr">
        <is>
          <t>ANY</t>
        </is>
      </c>
      <c r="G292" s="6" t="b">
        <v>0</v>
      </c>
      <c r="H292" s="6" t="inlineStr">
        <is>
          <t>READY</t>
        </is>
      </c>
      <c r="I292" s="6" t="n"/>
      <c r="J292" s="6" t="n"/>
      <c r="K292" s="6" t="inlineStr">
        <is>
          <t>검수표 115</t>
        </is>
      </c>
    </row>
    <row r="293">
      <c r="A293" s="6" t="inlineStr">
        <is>
          <t>DIET-P-0389</t>
        </is>
      </c>
      <c r="B293" s="6" t="inlineStr">
        <is>
          <t>1.0.0</t>
        </is>
      </c>
      <c r="C293" s="6" t="inlineStr">
        <is>
          <t>—</t>
        </is>
      </c>
      <c r="D293" s="6" t="inlineStr">
        <is>
          <t>ANY</t>
        </is>
      </c>
      <c r="E293" s="6" t="inlineStr">
        <is>
          <t>ANY</t>
        </is>
      </c>
      <c r="F293" s="6" t="inlineStr">
        <is>
          <t>ANY</t>
        </is>
      </c>
      <c r="G293" s="6" t="b">
        <v>0</v>
      </c>
      <c r="H293" s="6" t="inlineStr">
        <is>
          <t>READY</t>
        </is>
      </c>
      <c r="I293" s="6" t="n"/>
      <c r="J293" s="6" t="n"/>
      <c r="K293" s="6" t="inlineStr">
        <is>
          <t>검수표 116</t>
        </is>
      </c>
    </row>
    <row r="294">
      <c r="A294" s="6" t="inlineStr">
        <is>
          <t>DIET-P-0390</t>
        </is>
      </c>
      <c r="B294" s="6" t="inlineStr">
        <is>
          <t>1.0.0</t>
        </is>
      </c>
      <c r="C294" s="6" t="inlineStr">
        <is>
          <t>—</t>
        </is>
      </c>
      <c r="D294" s="6" t="inlineStr">
        <is>
          <t>ANY</t>
        </is>
      </c>
      <c r="E294" s="6" t="inlineStr">
        <is>
          <t>ANY</t>
        </is>
      </c>
      <c r="F294" s="6" t="inlineStr">
        <is>
          <t>ANY</t>
        </is>
      </c>
      <c r="G294" s="6" t="b">
        <v>0</v>
      </c>
      <c r="H294" s="6" t="inlineStr">
        <is>
          <t>READY</t>
        </is>
      </c>
      <c r="I294" s="6" t="n"/>
      <c r="J294" s="6" t="n"/>
      <c r="K294" s="6" t="inlineStr">
        <is>
          <t>검수표 117</t>
        </is>
      </c>
    </row>
    <row r="295">
      <c r="A295" s="6" t="inlineStr">
        <is>
          <t>DIET-P-0391</t>
        </is>
      </c>
      <c r="B295" s="6" t="inlineStr">
        <is>
          <t>1.0.0</t>
        </is>
      </c>
      <c r="C295" s="6" t="inlineStr">
        <is>
          <t>—</t>
        </is>
      </c>
      <c r="D295" s="6" t="inlineStr">
        <is>
          <t>ANY</t>
        </is>
      </c>
      <c r="E295" s="6" t="inlineStr">
        <is>
          <t>ANY</t>
        </is>
      </c>
      <c r="F295" s="6" t="inlineStr">
        <is>
          <t>ANY</t>
        </is>
      </c>
      <c r="G295" s="6" t="b">
        <v>0</v>
      </c>
      <c r="H295" s="6" t="inlineStr">
        <is>
          <t>READY</t>
        </is>
      </c>
      <c r="I295" s="6" t="n"/>
      <c r="J295" s="6" t="n"/>
      <c r="K295" s="6" t="inlineStr">
        <is>
          <t>검수표 118</t>
        </is>
      </c>
    </row>
    <row r="296">
      <c r="A296" s="6" t="inlineStr">
        <is>
          <t>DIET-P-0392</t>
        </is>
      </c>
      <c r="B296" s="6" t="inlineStr">
        <is>
          <t>1.0.0</t>
        </is>
      </c>
      <c r="C296" s="6" t="inlineStr">
        <is>
          <t>오전 진입</t>
        </is>
      </c>
      <c r="D296" s="6" t="inlineStr">
        <is>
          <t>MORNING_ENTRY</t>
        </is>
      </c>
      <c r="E296" s="6" t="inlineStr">
        <is>
          <t>ANY</t>
        </is>
      </c>
      <c r="F296" s="6" t="inlineStr">
        <is>
          <t>ANY</t>
        </is>
      </c>
      <c r="G296" s="6" t="b">
        <v>0</v>
      </c>
      <c r="H296" s="6" t="inlineStr">
        <is>
          <t>READY</t>
        </is>
      </c>
      <c r="I296" s="6" t="n"/>
      <c r="J296" s="6" t="n"/>
      <c r="K296" s="6" t="inlineStr">
        <is>
          <t>검수표 119</t>
        </is>
      </c>
    </row>
    <row r="297">
      <c r="A297" s="6" t="inlineStr">
        <is>
          <t>DIET-P-0393</t>
        </is>
      </c>
      <c r="B297" s="6" t="inlineStr">
        <is>
          <t>1.0.0</t>
        </is>
      </c>
      <c r="C297" s="6" t="inlineStr">
        <is>
          <t>오전 진입</t>
        </is>
      </c>
      <c r="D297" s="6" t="inlineStr">
        <is>
          <t>MORNING_ENTRY</t>
        </is>
      </c>
      <c r="E297" s="6" t="inlineStr">
        <is>
          <t>ANY</t>
        </is>
      </c>
      <c r="F297" s="6" t="inlineStr">
        <is>
          <t>ANY</t>
        </is>
      </c>
      <c r="G297" s="6" t="b">
        <v>0</v>
      </c>
      <c r="H297" s="6" t="inlineStr">
        <is>
          <t>READY</t>
        </is>
      </c>
      <c r="I297" s="6" t="n"/>
      <c r="J297" s="6" t="n"/>
      <c r="K297" s="6" t="inlineStr">
        <is>
          <t>검수표 120</t>
        </is>
      </c>
    </row>
    <row r="298">
      <c r="A298" s="6" t="inlineStr">
        <is>
          <t>DIET-P-0394</t>
        </is>
      </c>
      <c r="B298" s="6" t="inlineStr">
        <is>
          <t>1.0.0</t>
        </is>
      </c>
      <c r="C298" s="6" t="inlineStr">
        <is>
          <t>—</t>
        </is>
      </c>
      <c r="D298" s="6" t="inlineStr">
        <is>
          <t>ANY</t>
        </is>
      </c>
      <c r="E298" s="6" t="inlineStr">
        <is>
          <t>ANY</t>
        </is>
      </c>
      <c r="F298" s="6" t="inlineStr">
        <is>
          <t>ANY</t>
        </is>
      </c>
      <c r="G298" s="6" t="b">
        <v>0</v>
      </c>
      <c r="H298" s="6" t="inlineStr">
        <is>
          <t>READY</t>
        </is>
      </c>
      <c r="I298" s="6" t="n"/>
      <c r="J298" s="6" t="n"/>
      <c r="K298" s="6" t="inlineStr">
        <is>
          <t>검수표 121</t>
        </is>
      </c>
    </row>
    <row r="299">
      <c r="A299" s="6" t="inlineStr">
        <is>
          <t>DIET-P-0395</t>
        </is>
      </c>
      <c r="B299" s="6" t="inlineStr">
        <is>
          <t>1.0.0</t>
        </is>
      </c>
      <c r="C299" s="6" t="inlineStr">
        <is>
          <t>—</t>
        </is>
      </c>
      <c r="D299" s="6" t="inlineStr">
        <is>
          <t>ANY</t>
        </is>
      </c>
      <c r="E299" s="6" t="inlineStr">
        <is>
          <t>ANY</t>
        </is>
      </c>
      <c r="F299" s="6" t="inlineStr">
        <is>
          <t>ANY</t>
        </is>
      </c>
      <c r="G299" s="6" t="b">
        <v>0</v>
      </c>
      <c r="H299" s="6" t="inlineStr">
        <is>
          <t>READY</t>
        </is>
      </c>
      <c r="I299" s="6" t="n"/>
      <c r="J299" s="6" t="n"/>
      <c r="K299" s="6" t="inlineStr">
        <is>
          <t>검수표 122</t>
        </is>
      </c>
    </row>
    <row r="300">
      <c r="A300" s="6" t="inlineStr">
        <is>
          <t>DIET-P-0396</t>
        </is>
      </c>
      <c r="B300" s="6" t="inlineStr">
        <is>
          <t>1.0.0</t>
        </is>
      </c>
      <c r="C300" s="6" t="inlineStr">
        <is>
          <t>—</t>
        </is>
      </c>
      <c r="D300" s="6" t="inlineStr">
        <is>
          <t>ANY</t>
        </is>
      </c>
      <c r="E300" s="6" t="inlineStr">
        <is>
          <t>ANY</t>
        </is>
      </c>
      <c r="F300" s="6" t="inlineStr">
        <is>
          <t>ANY</t>
        </is>
      </c>
      <c r="G300" s="6" t="b">
        <v>0</v>
      </c>
      <c r="H300" s="6" t="inlineStr">
        <is>
          <t>READY</t>
        </is>
      </c>
      <c r="I300" s="6" t="n"/>
      <c r="J300" s="6" t="n"/>
      <c r="K300" s="6" t="inlineStr">
        <is>
          <t>검수표 123</t>
        </is>
      </c>
    </row>
    <row r="301">
      <c r="A301" s="6" t="inlineStr">
        <is>
          <t>DIET-P-0397</t>
        </is>
      </c>
      <c r="B301" s="6" t="inlineStr">
        <is>
          <t>1.0.0</t>
        </is>
      </c>
      <c r="C301" s="6" t="inlineStr">
        <is>
          <t>—</t>
        </is>
      </c>
      <c r="D301" s="6" t="inlineStr">
        <is>
          <t>ANY</t>
        </is>
      </c>
      <c r="E301" s="6" t="inlineStr">
        <is>
          <t>ANY</t>
        </is>
      </c>
      <c r="F301" s="6" t="inlineStr">
        <is>
          <t>ANY</t>
        </is>
      </c>
      <c r="G301" s="6" t="b">
        <v>0</v>
      </c>
      <c r="H301" s="6" t="inlineStr">
        <is>
          <t>READY</t>
        </is>
      </c>
      <c r="I301" s="6" t="n"/>
      <c r="J301" s="6" t="n"/>
      <c r="K301" s="6" t="inlineStr">
        <is>
          <t>검수표 124</t>
        </is>
      </c>
    </row>
    <row r="302">
      <c r="A302" s="6" t="inlineStr">
        <is>
          <t>DIET-P-0398</t>
        </is>
      </c>
      <c r="B302" s="6" t="inlineStr">
        <is>
          <t>1.0.0</t>
        </is>
      </c>
      <c r="C302" s="6" t="inlineStr">
        <is>
          <t>—</t>
        </is>
      </c>
      <c r="D302" s="6" t="inlineStr">
        <is>
          <t>ANY</t>
        </is>
      </c>
      <c r="E302" s="6" t="inlineStr">
        <is>
          <t>ANY</t>
        </is>
      </c>
      <c r="F302" s="6" t="inlineStr">
        <is>
          <t>ANY</t>
        </is>
      </c>
      <c r="G302" s="6" t="b">
        <v>0</v>
      </c>
      <c r="H302" s="6" t="inlineStr">
        <is>
          <t>READY</t>
        </is>
      </c>
      <c r="I302" s="6" t="n"/>
      <c r="J302" s="6" t="n"/>
      <c r="K302" s="6" t="inlineStr">
        <is>
          <t>검수표 125</t>
        </is>
      </c>
    </row>
    <row r="303">
      <c r="A303" s="6" t="inlineStr">
        <is>
          <t>DIET-P-0399</t>
        </is>
      </c>
      <c r="B303" s="6" t="inlineStr">
        <is>
          <t>1.0.0</t>
        </is>
      </c>
      <c r="C303" s="6" t="inlineStr">
        <is>
          <t>—</t>
        </is>
      </c>
      <c r="D303" s="6" t="inlineStr">
        <is>
          <t>ANY</t>
        </is>
      </c>
      <c r="E303" s="6" t="inlineStr">
        <is>
          <t>ANY</t>
        </is>
      </c>
      <c r="F303" s="6" t="inlineStr">
        <is>
          <t>ANY</t>
        </is>
      </c>
      <c r="G303" s="6" t="b">
        <v>0</v>
      </c>
      <c r="H303" s="6" t="inlineStr">
        <is>
          <t>READY</t>
        </is>
      </c>
      <c r="I303" s="6" t="n"/>
      <c r="J303" s="6" t="n"/>
      <c r="K303" s="6" t="inlineStr">
        <is>
          <t>검수표 126</t>
        </is>
      </c>
    </row>
    <row r="304">
      <c r="A304" s="6" t="inlineStr">
        <is>
          <t>DIET-P-0400</t>
        </is>
      </c>
      <c r="B304" s="6" t="inlineStr">
        <is>
          <t>1.0.0</t>
        </is>
      </c>
      <c r="C304" s="6" t="inlineStr">
        <is>
          <t>—</t>
        </is>
      </c>
      <c r="D304" s="6" t="inlineStr">
        <is>
          <t>ANY</t>
        </is>
      </c>
      <c r="E304" s="6" t="inlineStr">
        <is>
          <t>ANY</t>
        </is>
      </c>
      <c r="F304" s="6" t="inlineStr">
        <is>
          <t>ANY</t>
        </is>
      </c>
      <c r="G304" s="6" t="b">
        <v>0</v>
      </c>
      <c r="H304" s="6" t="inlineStr">
        <is>
          <t>READY</t>
        </is>
      </c>
      <c r="I304" s="6" t="n"/>
      <c r="J304" s="6" t="n"/>
      <c r="K304" s="6" t="inlineStr">
        <is>
          <t>검수표 127</t>
        </is>
      </c>
    </row>
    <row r="305">
      <c r="A305" s="6" t="inlineStr">
        <is>
          <t>DIET-P-0401</t>
        </is>
      </c>
      <c r="B305" s="6" t="inlineStr">
        <is>
          <t>1.0.0</t>
        </is>
      </c>
      <c r="C305" s="6" t="inlineStr">
        <is>
          <t>—</t>
        </is>
      </c>
      <c r="D305" s="6" t="inlineStr">
        <is>
          <t>ANY</t>
        </is>
      </c>
      <c r="E305" s="6" t="inlineStr">
        <is>
          <t>ANY</t>
        </is>
      </c>
      <c r="F305" s="6" t="inlineStr">
        <is>
          <t>ANY</t>
        </is>
      </c>
      <c r="G305" s="6" t="b">
        <v>0</v>
      </c>
      <c r="H305" s="6" t="inlineStr">
        <is>
          <t>READY</t>
        </is>
      </c>
      <c r="I305" s="6" t="n"/>
      <c r="J305" s="6" t="n"/>
      <c r="K305" s="6" t="inlineStr">
        <is>
          <t>검수표 128</t>
        </is>
      </c>
    </row>
    <row r="306">
      <c r="A306" s="6" t="inlineStr">
        <is>
          <t>DIET-P-0402</t>
        </is>
      </c>
      <c r="B306" s="6" t="inlineStr">
        <is>
          <t>1.0.0</t>
        </is>
      </c>
      <c r="C306" s="6" t="inlineStr">
        <is>
          <t>—</t>
        </is>
      </c>
      <c r="D306" s="6" t="inlineStr">
        <is>
          <t>ANY</t>
        </is>
      </c>
      <c r="E306" s="6" t="inlineStr">
        <is>
          <t>ANY</t>
        </is>
      </c>
      <c r="F306" s="6" t="inlineStr">
        <is>
          <t>ANY</t>
        </is>
      </c>
      <c r="G306" s="6" t="b">
        <v>0</v>
      </c>
      <c r="H306" s="6" t="inlineStr">
        <is>
          <t>READY</t>
        </is>
      </c>
      <c r="I306" s="6" t="n"/>
      <c r="J306" s="6" t="n"/>
      <c r="K306" s="6" t="inlineStr">
        <is>
          <t>검수표 129</t>
        </is>
      </c>
    </row>
    <row r="307">
      <c r="A307" s="6" t="inlineStr">
        <is>
          <t>DIET-P-0403</t>
        </is>
      </c>
      <c r="B307" s="6" t="inlineStr">
        <is>
          <t>1.0.0</t>
        </is>
      </c>
      <c r="C307" s="6" t="inlineStr">
        <is>
          <t>—</t>
        </is>
      </c>
      <c r="D307" s="6" t="inlineStr">
        <is>
          <t>ANY</t>
        </is>
      </c>
      <c r="E307" s="6" t="inlineStr">
        <is>
          <t>ANY</t>
        </is>
      </c>
      <c r="F307" s="6" t="inlineStr">
        <is>
          <t>ANY</t>
        </is>
      </c>
      <c r="G307" s="6" t="b">
        <v>0</v>
      </c>
      <c r="H307" s="6" t="inlineStr">
        <is>
          <t>READY</t>
        </is>
      </c>
      <c r="I307" s="6" t="n"/>
      <c r="J307" s="6" t="n"/>
      <c r="K307" s="6" t="inlineStr">
        <is>
          <t>검수표 130</t>
        </is>
      </c>
    </row>
    <row r="308">
      <c r="A308" s="6" t="inlineStr">
        <is>
          <t>DIET-P-0404</t>
        </is>
      </c>
      <c r="B308" s="6" t="inlineStr">
        <is>
          <t>1.0.0</t>
        </is>
      </c>
      <c r="C308" s="6" t="inlineStr">
        <is>
          <t>—</t>
        </is>
      </c>
      <c r="D308" s="6" t="inlineStr">
        <is>
          <t>ANY</t>
        </is>
      </c>
      <c r="E308" s="6" t="inlineStr">
        <is>
          <t>ANY</t>
        </is>
      </c>
      <c r="F308" s="6" t="inlineStr">
        <is>
          <t>ANY</t>
        </is>
      </c>
      <c r="G308" s="6" t="b">
        <v>0</v>
      </c>
      <c r="H308" s="6" t="inlineStr">
        <is>
          <t>READY</t>
        </is>
      </c>
      <c r="I308" s="6" t="n"/>
      <c r="J308" s="6" t="n"/>
      <c r="K308" s="6" t="inlineStr">
        <is>
          <t>검수표 131</t>
        </is>
      </c>
    </row>
    <row r="309">
      <c r="A309" s="6" t="inlineStr">
        <is>
          <t>DIET-P-0405</t>
        </is>
      </c>
      <c r="B309" s="6" t="inlineStr">
        <is>
          <t>1.0.0</t>
        </is>
      </c>
      <c r="C309" s="6" t="inlineStr">
        <is>
          <t>—</t>
        </is>
      </c>
      <c r="D309" s="6" t="inlineStr">
        <is>
          <t>ANY</t>
        </is>
      </c>
      <c r="E309" s="6" t="inlineStr">
        <is>
          <t>ANY</t>
        </is>
      </c>
      <c r="F309" s="6" t="inlineStr">
        <is>
          <t>ANY</t>
        </is>
      </c>
      <c r="G309" s="6" t="b">
        <v>0</v>
      </c>
      <c r="H309" s="6" t="inlineStr">
        <is>
          <t>READY</t>
        </is>
      </c>
      <c r="I309" s="6" t="n"/>
      <c r="J309" s="6" t="n"/>
      <c r="K309" s="6" t="inlineStr">
        <is>
          <t>검수표 132</t>
        </is>
      </c>
    </row>
    <row r="310">
      <c r="A310" s="6" t="inlineStr">
        <is>
          <t>DIET-P-0406</t>
        </is>
      </c>
      <c r="B310" s="6" t="inlineStr">
        <is>
          <t>1.0.0</t>
        </is>
      </c>
      <c r="C310" s="6" t="inlineStr">
        <is>
          <t>—</t>
        </is>
      </c>
      <c r="D310" s="6" t="inlineStr">
        <is>
          <t>ANY</t>
        </is>
      </c>
      <c r="E310" s="6" t="inlineStr">
        <is>
          <t>ANY</t>
        </is>
      </c>
      <c r="F310" s="6" t="inlineStr">
        <is>
          <t>ANY</t>
        </is>
      </c>
      <c r="G310" s="6" t="b">
        <v>0</v>
      </c>
      <c r="H310" s="6" t="inlineStr">
        <is>
          <t>READY</t>
        </is>
      </c>
      <c r="I310" s="6" t="n"/>
      <c r="J310" s="6" t="n"/>
      <c r="K310" s="6" t="inlineStr">
        <is>
          <t>검수표 133</t>
        </is>
      </c>
    </row>
    <row r="311">
      <c r="A311" s="6" t="inlineStr">
        <is>
          <t>DIET-P-0407</t>
        </is>
      </c>
      <c r="B311" s="6" t="inlineStr">
        <is>
          <t>1.0.0</t>
        </is>
      </c>
      <c r="C311" s="6" t="inlineStr">
        <is>
          <t>저녁</t>
        </is>
      </c>
      <c r="D311" s="6" t="inlineStr">
        <is>
          <t>EVENING</t>
        </is>
      </c>
      <c r="E311" s="6" t="inlineStr">
        <is>
          <t>ANY</t>
        </is>
      </c>
      <c r="F311" s="6" t="inlineStr">
        <is>
          <t>ANY</t>
        </is>
      </c>
      <c r="G311" s="6" t="b">
        <v>1</v>
      </c>
      <c r="H311" s="6" t="inlineStr">
        <is>
          <t>READY</t>
        </is>
      </c>
      <c r="I311" s="6" t="n"/>
      <c r="J311" s="6" t="n"/>
      <c r="K311" s="6" t="inlineStr">
        <is>
          <t>검수표 134</t>
        </is>
      </c>
    </row>
    <row r="312">
      <c r="A312" s="6" t="inlineStr">
        <is>
          <t>DIET-P-0408</t>
        </is>
      </c>
      <c r="B312" s="6" t="inlineStr">
        <is>
          <t>1.0.0</t>
        </is>
      </c>
      <c r="C312" s="6" t="inlineStr">
        <is>
          <t>저녁</t>
        </is>
      </c>
      <c r="D312" s="6" t="inlineStr">
        <is>
          <t>EVENING</t>
        </is>
      </c>
      <c r="E312" s="6" t="inlineStr">
        <is>
          <t>ANY</t>
        </is>
      </c>
      <c r="F312" s="6" t="inlineStr">
        <is>
          <t>ANY</t>
        </is>
      </c>
      <c r="G312" s="6" t="b">
        <v>1</v>
      </c>
      <c r="H312" s="6" t="inlineStr">
        <is>
          <t>READY</t>
        </is>
      </c>
      <c r="I312" s="6" t="n"/>
      <c r="J312" s="6" t="n"/>
      <c r="K312" s="6" t="inlineStr">
        <is>
          <t>검수표 135</t>
        </is>
      </c>
    </row>
    <row r="313">
      <c r="A313" s="6" t="inlineStr">
        <is>
          <t>DIET-P-0409</t>
        </is>
      </c>
      <c r="B313" s="6" t="inlineStr">
        <is>
          <t>1.0.0</t>
        </is>
      </c>
      <c r="C313" s="6" t="inlineStr">
        <is>
          <t>—</t>
        </is>
      </c>
      <c r="D313" s="6" t="inlineStr">
        <is>
          <t>ANY</t>
        </is>
      </c>
      <c r="E313" s="6" t="inlineStr">
        <is>
          <t>ANY</t>
        </is>
      </c>
      <c r="F313" s="6" t="inlineStr">
        <is>
          <t>ANY</t>
        </is>
      </c>
      <c r="G313" s="6" t="b">
        <v>0</v>
      </c>
      <c r="H313" s="6" t="inlineStr">
        <is>
          <t>READY</t>
        </is>
      </c>
      <c r="I313" s="6" t="n"/>
      <c r="J313" s="6" t="n"/>
      <c r="K313" s="6" t="inlineStr">
        <is>
          <t>검수표 136</t>
        </is>
      </c>
    </row>
    <row r="314">
      <c r="A314" s="6" t="inlineStr">
        <is>
          <t>DIET-P-0410</t>
        </is>
      </c>
      <c r="B314" s="6" t="inlineStr">
        <is>
          <t>1.0.0</t>
        </is>
      </c>
      <c r="C314" s="6" t="inlineStr">
        <is>
          <t>—</t>
        </is>
      </c>
      <c r="D314" s="6" t="inlineStr">
        <is>
          <t>ANY</t>
        </is>
      </c>
      <c r="E314" s="6" t="inlineStr">
        <is>
          <t>ANY</t>
        </is>
      </c>
      <c r="F314" s="6" t="inlineStr">
        <is>
          <t>ANY</t>
        </is>
      </c>
      <c r="G314" s="6" t="b">
        <v>0</v>
      </c>
      <c r="H314" s="6" t="inlineStr">
        <is>
          <t>READY</t>
        </is>
      </c>
      <c r="I314" s="6" t="n"/>
      <c r="J314" s="6" t="n"/>
      <c r="K314" s="6" t="inlineStr">
        <is>
          <t>검수표 137</t>
        </is>
      </c>
    </row>
    <row r="315">
      <c r="A315" s="6" t="inlineStr">
        <is>
          <t>DIET-P-0411</t>
        </is>
      </c>
      <c r="B315" s="6" t="inlineStr">
        <is>
          <t>1.0.0</t>
        </is>
      </c>
      <c r="C315" s="6" t="inlineStr">
        <is>
          <t>—</t>
        </is>
      </c>
      <c r="D315" s="6" t="inlineStr">
        <is>
          <t>ANY</t>
        </is>
      </c>
      <c r="E315" s="6" t="inlineStr">
        <is>
          <t>ANY</t>
        </is>
      </c>
      <c r="F315" s="6" t="inlineStr">
        <is>
          <t>ANY</t>
        </is>
      </c>
      <c r="G315" s="6" t="b">
        <v>0</v>
      </c>
      <c r="H315" s="6" t="inlineStr">
        <is>
          <t>READY</t>
        </is>
      </c>
      <c r="I315" s="6" t="n"/>
      <c r="J315" s="6" t="n"/>
      <c r="K315" s="6" t="inlineStr">
        <is>
          <t>검수표 138</t>
        </is>
      </c>
    </row>
    <row r="316">
      <c r="A316" s="6" t="inlineStr">
        <is>
          <t>DIET-P-0412</t>
        </is>
      </c>
      <c r="B316" s="6" t="inlineStr">
        <is>
          <t>1.0.0</t>
        </is>
      </c>
      <c r="C316" s="6" t="inlineStr">
        <is>
          <t>오전 진입</t>
        </is>
      </c>
      <c r="D316" s="6" t="inlineStr">
        <is>
          <t>MORNING_ENTRY</t>
        </is>
      </c>
      <c r="E316" s="6" t="inlineStr">
        <is>
          <t>ANY</t>
        </is>
      </c>
      <c r="F316" s="6" t="inlineStr">
        <is>
          <t>ANY</t>
        </is>
      </c>
      <c r="G316" s="6" t="b">
        <v>0</v>
      </c>
      <c r="H316" s="6" t="inlineStr">
        <is>
          <t>READY</t>
        </is>
      </c>
      <c r="I316" s="6" t="n"/>
      <c r="J316" s="6" t="n"/>
      <c r="K316" s="6" t="inlineStr">
        <is>
          <t>검수표 139</t>
        </is>
      </c>
    </row>
    <row r="317">
      <c r="A317" s="6" t="inlineStr">
        <is>
          <t>DIET-P-0413</t>
        </is>
      </c>
      <c r="B317" s="6" t="inlineStr">
        <is>
          <t>1.0.0</t>
        </is>
      </c>
      <c r="C317" s="6" t="inlineStr">
        <is>
          <t>오전 진입</t>
        </is>
      </c>
      <c r="D317" s="6" t="inlineStr">
        <is>
          <t>MORNING_ENTRY</t>
        </is>
      </c>
      <c r="E317" s="6" t="inlineStr">
        <is>
          <t>ANY</t>
        </is>
      </c>
      <c r="F317" s="6" t="inlineStr">
        <is>
          <t>ANY</t>
        </is>
      </c>
      <c r="G317" s="6" t="b">
        <v>0</v>
      </c>
      <c r="H317" s="6" t="inlineStr">
        <is>
          <t>READY</t>
        </is>
      </c>
      <c r="I317" s="6" t="n"/>
      <c r="J317" s="6" t="n"/>
      <c r="K317" s="6" t="inlineStr">
        <is>
          <t>검수표 140</t>
        </is>
      </c>
    </row>
    <row r="318">
      <c r="A318" s="6" t="inlineStr">
        <is>
          <t>DIET-P-0414</t>
        </is>
      </c>
      <c r="B318" s="6" t="inlineStr">
        <is>
          <t>1.0.0</t>
        </is>
      </c>
      <c r="C318" s="6" t="inlineStr">
        <is>
          <t>오전 진입</t>
        </is>
      </c>
      <c r="D318" s="6" t="inlineStr">
        <is>
          <t>MORNING_ENTRY</t>
        </is>
      </c>
      <c r="E318" s="6" t="inlineStr">
        <is>
          <t>ANY</t>
        </is>
      </c>
      <c r="F318" s="6" t="inlineStr">
        <is>
          <t>ANY</t>
        </is>
      </c>
      <c r="G318" s="6" t="b">
        <v>0</v>
      </c>
      <c r="H318" s="6" t="inlineStr">
        <is>
          <t>READY</t>
        </is>
      </c>
      <c r="I318" s="6" t="n"/>
      <c r="J318" s="6" t="n"/>
      <c r="K318" s="6" t="inlineStr">
        <is>
          <t>검수표 141</t>
        </is>
      </c>
    </row>
    <row r="319">
      <c r="A319" s="6" t="inlineStr">
        <is>
          <t>DIET-P-0415</t>
        </is>
      </c>
      <c r="B319" s="6" t="inlineStr">
        <is>
          <t>1.0.0</t>
        </is>
      </c>
      <c r="C319" s="6" t="inlineStr">
        <is>
          <t>오전 진입</t>
        </is>
      </c>
      <c r="D319" s="6" t="inlineStr">
        <is>
          <t>MORNING_ENTRY</t>
        </is>
      </c>
      <c r="E319" s="6" t="inlineStr">
        <is>
          <t>ANY</t>
        </is>
      </c>
      <c r="F319" s="6" t="inlineStr">
        <is>
          <t>ANY</t>
        </is>
      </c>
      <c r="G319" s="6" t="b">
        <v>0</v>
      </c>
      <c r="H319" s="6" t="inlineStr">
        <is>
          <t>READY</t>
        </is>
      </c>
      <c r="I319" s="6" t="n"/>
      <c r="J319" s="6" t="n"/>
      <c r="K319" s="6" t="inlineStr">
        <is>
          <t>검수표 142</t>
        </is>
      </c>
    </row>
    <row r="320">
      <c r="A320" s="6" t="inlineStr">
        <is>
          <t>DIET-P-0416</t>
        </is>
      </c>
      <c r="B320" s="6" t="inlineStr">
        <is>
          <t>1.0.0</t>
        </is>
      </c>
      <c r="C320" s="6" t="inlineStr">
        <is>
          <t>오전 진입</t>
        </is>
      </c>
      <c r="D320" s="6" t="inlineStr">
        <is>
          <t>MORNING_ENTRY</t>
        </is>
      </c>
      <c r="E320" s="6" t="inlineStr">
        <is>
          <t>ANY</t>
        </is>
      </c>
      <c r="F320" s="6" t="inlineStr">
        <is>
          <t>ANY</t>
        </is>
      </c>
      <c r="G320" s="6" t="b">
        <v>0</v>
      </c>
      <c r="H320" s="6" t="inlineStr">
        <is>
          <t>READY</t>
        </is>
      </c>
      <c r="I320" s="6" t="n"/>
      <c r="J320" s="6" t="n"/>
      <c r="K320" s="6" t="inlineStr">
        <is>
          <t>검수표 143</t>
        </is>
      </c>
    </row>
    <row r="321">
      <c r="A321" s="6" t="inlineStr">
        <is>
          <t>DIET-P-0417</t>
        </is>
      </c>
      <c r="B321" s="6" t="inlineStr">
        <is>
          <t>1.0.0</t>
        </is>
      </c>
      <c r="C321" s="6" t="inlineStr">
        <is>
          <t>오전 진입</t>
        </is>
      </c>
      <c r="D321" s="6" t="inlineStr">
        <is>
          <t>MORNING_ENTRY</t>
        </is>
      </c>
      <c r="E321" s="6" t="inlineStr">
        <is>
          <t>ANY</t>
        </is>
      </c>
      <c r="F321" s="6" t="inlineStr">
        <is>
          <t>ANY</t>
        </is>
      </c>
      <c r="G321" s="6" t="b">
        <v>0</v>
      </c>
      <c r="H321" s="6" t="inlineStr">
        <is>
          <t>READY</t>
        </is>
      </c>
      <c r="I321" s="6" t="n"/>
      <c r="J321" s="6" t="n"/>
      <c r="K321" s="6" t="inlineStr">
        <is>
          <t>검수표 144</t>
        </is>
      </c>
    </row>
    <row r="322">
      <c r="A322" s="6" t="inlineStr">
        <is>
          <t>DIET-P-0418</t>
        </is>
      </c>
      <c r="B322" s="6" t="inlineStr">
        <is>
          <t>1.0.0</t>
        </is>
      </c>
      <c r="C322" s="6" t="inlineStr">
        <is>
          <t>오전 진입</t>
        </is>
      </c>
      <c r="D322" s="6" t="inlineStr">
        <is>
          <t>MORNING_ENTRY</t>
        </is>
      </c>
      <c r="E322" s="6" t="inlineStr">
        <is>
          <t>ANY</t>
        </is>
      </c>
      <c r="F322" s="6" t="inlineStr">
        <is>
          <t>ANY</t>
        </is>
      </c>
      <c r="G322" s="6" t="b">
        <v>0</v>
      </c>
      <c r="H322" s="6" t="inlineStr">
        <is>
          <t>READY</t>
        </is>
      </c>
      <c r="I322" s="6" t="n"/>
      <c r="J322" s="6" t="n"/>
      <c r="K322" s="6" t="inlineStr">
        <is>
          <t>검수표 145</t>
        </is>
      </c>
    </row>
    <row r="323">
      <c r="A323" s="6" t="inlineStr">
        <is>
          <t>DIET-P-0419</t>
        </is>
      </c>
      <c r="B323" s="6" t="inlineStr">
        <is>
          <t>1.0.0</t>
        </is>
      </c>
      <c r="C323" s="6" t="inlineStr">
        <is>
          <t>오전 진입</t>
        </is>
      </c>
      <c r="D323" s="6" t="inlineStr">
        <is>
          <t>MORNING_ENTRY</t>
        </is>
      </c>
      <c r="E323" s="6" t="inlineStr">
        <is>
          <t>ANY</t>
        </is>
      </c>
      <c r="F323" s="6" t="inlineStr">
        <is>
          <t>ANY</t>
        </is>
      </c>
      <c r="G323" s="6" t="b">
        <v>0</v>
      </c>
      <c r="H323" s="6" t="inlineStr">
        <is>
          <t>READY</t>
        </is>
      </c>
      <c r="I323" s="6" t="n"/>
      <c r="J323" s="6" t="n"/>
      <c r="K323" s="6" t="inlineStr">
        <is>
          <t>검수표 146</t>
        </is>
      </c>
    </row>
    <row r="324">
      <c r="A324" s="6" t="inlineStr">
        <is>
          <t>DIET-P-0420</t>
        </is>
      </c>
      <c r="B324" s="6" t="inlineStr">
        <is>
          <t>1.0.0</t>
        </is>
      </c>
      <c r="C324" s="6" t="inlineStr">
        <is>
          <t>오전 진입</t>
        </is>
      </c>
      <c r="D324" s="6" t="inlineStr">
        <is>
          <t>MORNING_ENTRY</t>
        </is>
      </c>
      <c r="E324" s="6" t="inlineStr">
        <is>
          <t>ANY</t>
        </is>
      </c>
      <c r="F324" s="6" t="inlineStr">
        <is>
          <t>ANY</t>
        </is>
      </c>
      <c r="G324" s="6" t="b">
        <v>0</v>
      </c>
      <c r="H324" s="6" t="inlineStr">
        <is>
          <t>READY</t>
        </is>
      </c>
      <c r="I324" s="6" t="n"/>
      <c r="J324" s="6" t="n"/>
      <c r="K324" s="6" t="inlineStr">
        <is>
          <t>검수표 147</t>
        </is>
      </c>
    </row>
    <row r="325">
      <c r="A325" s="6" t="inlineStr">
        <is>
          <t>DIET-P-0421</t>
        </is>
      </c>
      <c r="B325" s="6" t="inlineStr">
        <is>
          <t>1.0.0</t>
        </is>
      </c>
      <c r="C325" s="6" t="inlineStr">
        <is>
          <t>오전 진입</t>
        </is>
      </c>
      <c r="D325" s="6" t="inlineStr">
        <is>
          <t>MORNING_ENTRY</t>
        </is>
      </c>
      <c r="E325" s="6" t="inlineStr">
        <is>
          <t>ANY</t>
        </is>
      </c>
      <c r="F325" s="6" t="inlineStr">
        <is>
          <t>ANY</t>
        </is>
      </c>
      <c r="G325" s="6" t="b">
        <v>0</v>
      </c>
      <c r="H325" s="6" t="inlineStr">
        <is>
          <t>READY</t>
        </is>
      </c>
      <c r="I325" s="6" t="n"/>
      <c r="J325" s="6" t="n"/>
      <c r="K325" s="6" t="inlineStr">
        <is>
          <t>검수표 148</t>
        </is>
      </c>
    </row>
    <row r="326">
      <c r="A326" s="6" t="inlineStr">
        <is>
          <t>DIET-P-0422</t>
        </is>
      </c>
      <c r="B326" s="6" t="inlineStr">
        <is>
          <t>1.0.0</t>
        </is>
      </c>
      <c r="C326" s="6" t="inlineStr">
        <is>
          <t>오전 진입</t>
        </is>
      </c>
      <c r="D326" s="6" t="inlineStr">
        <is>
          <t>MORNING_ENTRY</t>
        </is>
      </c>
      <c r="E326" s="6" t="inlineStr">
        <is>
          <t>ANY</t>
        </is>
      </c>
      <c r="F326" s="6" t="inlineStr">
        <is>
          <t>ANY</t>
        </is>
      </c>
      <c r="G326" s="6" t="b">
        <v>0</v>
      </c>
      <c r="H326" s="6" t="inlineStr">
        <is>
          <t>READY</t>
        </is>
      </c>
      <c r="I326" s="6" t="n"/>
      <c r="J326" s="6" t="n"/>
      <c r="K326" s="6" t="inlineStr">
        <is>
          <t>검수표 149</t>
        </is>
      </c>
    </row>
    <row r="327">
      <c r="A327" s="6" t="inlineStr">
        <is>
          <t>DIET-P-0423</t>
        </is>
      </c>
      <c r="B327" s="6" t="inlineStr">
        <is>
          <t>1.0.0</t>
        </is>
      </c>
      <c r="C327" s="6" t="inlineStr">
        <is>
          <t>오전 진입</t>
        </is>
      </c>
      <c r="D327" s="6" t="inlineStr">
        <is>
          <t>MORNING_ENTRY</t>
        </is>
      </c>
      <c r="E327" s="6" t="inlineStr">
        <is>
          <t>ANY</t>
        </is>
      </c>
      <c r="F327" s="6" t="inlineStr">
        <is>
          <t>ANY</t>
        </is>
      </c>
      <c r="G327" s="6" t="b">
        <v>0</v>
      </c>
      <c r="H327" s="6" t="inlineStr">
        <is>
          <t>READY</t>
        </is>
      </c>
      <c r="I327" s="6" t="n"/>
      <c r="J327" s="6" t="n"/>
      <c r="K327" s="6" t="inlineStr">
        <is>
          <t>검수표 150</t>
        </is>
      </c>
    </row>
    <row r="328">
      <c r="A328" s="6" t="inlineStr">
        <is>
          <t>DIET-P-0424</t>
        </is>
      </c>
      <c r="B328" s="6" t="inlineStr">
        <is>
          <t>1.0.0</t>
        </is>
      </c>
      <c r="C328" s="6" t="inlineStr">
        <is>
          <t>오전 진입</t>
        </is>
      </c>
      <c r="D328" s="6" t="inlineStr">
        <is>
          <t>MORNING_ENTRY</t>
        </is>
      </c>
      <c r="E328" s="6" t="inlineStr">
        <is>
          <t>ANY</t>
        </is>
      </c>
      <c r="F328" s="6" t="inlineStr">
        <is>
          <t>ANY</t>
        </is>
      </c>
      <c r="G328" s="6" t="b">
        <v>0</v>
      </c>
      <c r="H328" s="6" t="inlineStr">
        <is>
          <t>READY</t>
        </is>
      </c>
      <c r="I328" s="6" t="n"/>
      <c r="J328" s="6" t="n"/>
      <c r="K328" s="6" t="inlineStr">
        <is>
          <t>검수표 151</t>
        </is>
      </c>
    </row>
    <row r="329">
      <c r="A329" s="6" t="inlineStr">
        <is>
          <t>DIET-P-0425</t>
        </is>
      </c>
      <c r="B329" s="6" t="inlineStr">
        <is>
          <t>1.0.0</t>
        </is>
      </c>
      <c r="C329" s="6" t="inlineStr">
        <is>
          <t>오전 진입</t>
        </is>
      </c>
      <c r="D329" s="6" t="inlineStr">
        <is>
          <t>MORNING_ENTRY</t>
        </is>
      </c>
      <c r="E329" s="6" t="inlineStr">
        <is>
          <t>ANY</t>
        </is>
      </c>
      <c r="F329" s="6" t="inlineStr">
        <is>
          <t>ANY</t>
        </is>
      </c>
      <c r="G329" s="6" t="b">
        <v>0</v>
      </c>
      <c r="H329" s="6" t="inlineStr">
        <is>
          <t>READY</t>
        </is>
      </c>
      <c r="I329" s="6" t="n"/>
      <c r="J329" s="6" t="n"/>
      <c r="K329" s="6" t="inlineStr">
        <is>
          <t>검수표 152</t>
        </is>
      </c>
    </row>
    <row r="330">
      <c r="A330" s="6" t="inlineStr">
        <is>
          <t>DIET-P-0426</t>
        </is>
      </c>
      <c r="B330" s="6" t="inlineStr">
        <is>
          <t>1.0.0</t>
        </is>
      </c>
      <c r="C330" s="6" t="inlineStr">
        <is>
          <t>오전 진입</t>
        </is>
      </c>
      <c r="D330" s="6" t="inlineStr">
        <is>
          <t>MORNING_ENTRY</t>
        </is>
      </c>
      <c r="E330" s="6" t="inlineStr">
        <is>
          <t>ANY</t>
        </is>
      </c>
      <c r="F330" s="6" t="inlineStr">
        <is>
          <t>ANY</t>
        </is>
      </c>
      <c r="G330" s="6" t="b">
        <v>0</v>
      </c>
      <c r="H330" s="6" t="inlineStr">
        <is>
          <t>READY</t>
        </is>
      </c>
      <c r="I330" s="6" t="n"/>
      <c r="J330" s="6" t="n"/>
      <c r="K330" s="6" t="inlineStr">
        <is>
          <t>검수표 153</t>
        </is>
      </c>
    </row>
    <row r="331">
      <c r="A331" s="6" t="inlineStr">
        <is>
          <t>DIET-P-0427</t>
        </is>
      </c>
      <c r="B331" s="6" t="inlineStr">
        <is>
          <t>1.0.0</t>
        </is>
      </c>
      <c r="C331" s="6" t="inlineStr">
        <is>
          <t>오전 진입</t>
        </is>
      </c>
      <c r="D331" s="6" t="inlineStr">
        <is>
          <t>MORNING_ENTRY</t>
        </is>
      </c>
      <c r="E331" s="6" t="inlineStr">
        <is>
          <t>ANY</t>
        </is>
      </c>
      <c r="F331" s="6" t="inlineStr">
        <is>
          <t>ANY</t>
        </is>
      </c>
      <c r="G331" s="6" t="b">
        <v>0</v>
      </c>
      <c r="H331" s="6" t="inlineStr">
        <is>
          <t>READY</t>
        </is>
      </c>
      <c r="I331" s="6" t="n"/>
      <c r="J331" s="6" t="n"/>
      <c r="K331" s="6" t="inlineStr">
        <is>
          <t>검수표 154</t>
        </is>
      </c>
    </row>
    <row r="332">
      <c r="A332" s="6" t="inlineStr">
        <is>
          <t>DIET-P-0428</t>
        </is>
      </c>
      <c r="B332" s="6" t="inlineStr">
        <is>
          <t>1.0.0</t>
        </is>
      </c>
      <c r="C332" s="6" t="inlineStr">
        <is>
          <t>오전 진입</t>
        </is>
      </c>
      <c r="D332" s="6" t="inlineStr">
        <is>
          <t>MORNING_ENTRY</t>
        </is>
      </c>
      <c r="E332" s="6" t="inlineStr">
        <is>
          <t>ANY</t>
        </is>
      </c>
      <c r="F332" s="6" t="inlineStr">
        <is>
          <t>ANY</t>
        </is>
      </c>
      <c r="G332" s="6" t="b">
        <v>0</v>
      </c>
      <c r="H332" s="6" t="inlineStr">
        <is>
          <t>READY</t>
        </is>
      </c>
      <c r="I332" s="6" t="n"/>
      <c r="J332" s="6" t="n"/>
      <c r="K332" s="6" t="inlineStr">
        <is>
          <t>검수표 155</t>
        </is>
      </c>
    </row>
    <row r="333">
      <c r="A333" s="6" t="inlineStr">
        <is>
          <t>DIET-P-0429</t>
        </is>
      </c>
      <c r="B333" s="6" t="inlineStr">
        <is>
          <t>1.0.0</t>
        </is>
      </c>
      <c r="C333" s="6" t="inlineStr">
        <is>
          <t>오전 진입</t>
        </is>
      </c>
      <c r="D333" s="6" t="inlineStr">
        <is>
          <t>MORNING_ENTRY</t>
        </is>
      </c>
      <c r="E333" s="6" t="inlineStr">
        <is>
          <t>ANY</t>
        </is>
      </c>
      <c r="F333" s="6" t="inlineStr">
        <is>
          <t>ANY</t>
        </is>
      </c>
      <c r="G333" s="6" t="b">
        <v>0</v>
      </c>
      <c r="H333" s="6" t="inlineStr">
        <is>
          <t>READY</t>
        </is>
      </c>
      <c r="I333" s="6" t="n"/>
      <c r="J333" s="6" t="n"/>
      <c r="K333" s="6" t="inlineStr">
        <is>
          <t>검수표 156</t>
        </is>
      </c>
    </row>
    <row r="334">
      <c r="A334" s="6" t="inlineStr">
        <is>
          <t>DIET-P-0430</t>
        </is>
      </c>
      <c r="B334" s="6" t="inlineStr">
        <is>
          <t>1.0.0</t>
        </is>
      </c>
      <c r="C334" s="6" t="inlineStr">
        <is>
          <t>오후 진입</t>
        </is>
      </c>
      <c r="D334" s="6" t="inlineStr">
        <is>
          <t>AFTERNOON_ENTRY</t>
        </is>
      </c>
      <c r="E334" s="6" t="inlineStr">
        <is>
          <t>ANY</t>
        </is>
      </c>
      <c r="F334" s="6" t="inlineStr">
        <is>
          <t>ANY</t>
        </is>
      </c>
      <c r="G334" s="6" t="b">
        <v>0</v>
      </c>
      <c r="H334" s="6" t="inlineStr">
        <is>
          <t>READY</t>
        </is>
      </c>
      <c r="I334" s="6" t="n"/>
      <c r="J334" s="6" t="n"/>
      <c r="K334" s="6" t="inlineStr">
        <is>
          <t>검수표 157</t>
        </is>
      </c>
    </row>
    <row r="335">
      <c r="A335" s="6" t="inlineStr">
        <is>
          <t>DIET-P-0431</t>
        </is>
      </c>
      <c r="B335" s="6" t="inlineStr">
        <is>
          <t>1.0.0</t>
        </is>
      </c>
      <c r="C335" s="6" t="inlineStr">
        <is>
          <t>오후 진입</t>
        </is>
      </c>
      <c r="D335" s="6" t="inlineStr">
        <is>
          <t>AFTERNOON_ENTRY</t>
        </is>
      </c>
      <c r="E335" s="6" t="inlineStr">
        <is>
          <t>ANY</t>
        </is>
      </c>
      <c r="F335" s="6" t="inlineStr">
        <is>
          <t>ANY</t>
        </is>
      </c>
      <c r="G335" s="6" t="b">
        <v>0</v>
      </c>
      <c r="H335" s="6" t="inlineStr">
        <is>
          <t>READY</t>
        </is>
      </c>
      <c r="I335" s="6" t="n"/>
      <c r="J335" s="6" t="n"/>
      <c r="K335" s="6" t="inlineStr">
        <is>
          <t>검수표 158</t>
        </is>
      </c>
    </row>
    <row r="336">
      <c r="A336" s="6" t="inlineStr">
        <is>
          <t>DIET-P-0432</t>
        </is>
      </c>
      <c r="B336" s="6" t="inlineStr">
        <is>
          <t>1.0.0</t>
        </is>
      </c>
      <c r="C336" s="6" t="inlineStr">
        <is>
          <t>오후 진입</t>
        </is>
      </c>
      <c r="D336" s="6" t="inlineStr">
        <is>
          <t>AFTERNOON_ENTRY</t>
        </is>
      </c>
      <c r="E336" s="6" t="inlineStr">
        <is>
          <t>ANY</t>
        </is>
      </c>
      <c r="F336" s="6" t="inlineStr">
        <is>
          <t>ANY</t>
        </is>
      </c>
      <c r="G336" s="6" t="b">
        <v>0</v>
      </c>
      <c r="H336" s="6" t="inlineStr">
        <is>
          <t>READY</t>
        </is>
      </c>
      <c r="I336" s="6" t="n"/>
      <c r="J336" s="6" t="n"/>
      <c r="K336" s="6" t="inlineStr">
        <is>
          <t>검수표 159</t>
        </is>
      </c>
    </row>
    <row r="337">
      <c r="A337" s="6" t="inlineStr">
        <is>
          <t>DIET-P-0433</t>
        </is>
      </c>
      <c r="B337" s="6" t="inlineStr">
        <is>
          <t>1.0.0</t>
        </is>
      </c>
      <c r="C337" s="6" t="inlineStr">
        <is>
          <t>오후 진입</t>
        </is>
      </c>
      <c r="D337" s="6" t="inlineStr">
        <is>
          <t>AFTERNOON_ENTRY</t>
        </is>
      </c>
      <c r="E337" s="6" t="inlineStr">
        <is>
          <t>ANY</t>
        </is>
      </c>
      <c r="F337" s="6" t="inlineStr">
        <is>
          <t>ANY</t>
        </is>
      </c>
      <c r="G337" s="6" t="b">
        <v>0</v>
      </c>
      <c r="H337" s="6" t="inlineStr">
        <is>
          <t>READY</t>
        </is>
      </c>
      <c r="I337" s="6" t="n"/>
      <c r="J337" s="6" t="n"/>
      <c r="K337" s="6" t="inlineStr">
        <is>
          <t>검수표 160</t>
        </is>
      </c>
    </row>
    <row r="338">
      <c r="A338" s="6" t="inlineStr">
        <is>
          <t>DIET-P-0434</t>
        </is>
      </c>
      <c r="B338" s="6" t="inlineStr">
        <is>
          <t>1.0.0</t>
        </is>
      </c>
      <c r="C338" s="6" t="inlineStr">
        <is>
          <t>오후 진입</t>
        </is>
      </c>
      <c r="D338" s="6" t="inlineStr">
        <is>
          <t>AFTERNOON_ENTRY</t>
        </is>
      </c>
      <c r="E338" s="6" t="inlineStr">
        <is>
          <t>ANY</t>
        </is>
      </c>
      <c r="F338" s="6" t="inlineStr">
        <is>
          <t>ANY</t>
        </is>
      </c>
      <c r="G338" s="6" t="b">
        <v>0</v>
      </c>
      <c r="H338" s="6" t="inlineStr">
        <is>
          <t>READY</t>
        </is>
      </c>
      <c r="I338" s="6" t="n"/>
      <c r="J338" s="6" t="n"/>
      <c r="K338" s="6" t="inlineStr">
        <is>
          <t>검수표 161</t>
        </is>
      </c>
    </row>
    <row r="339">
      <c r="A339" s="6" t="inlineStr">
        <is>
          <t>DIET-P-0435</t>
        </is>
      </c>
      <c r="B339" s="6" t="inlineStr">
        <is>
          <t>1.0.0</t>
        </is>
      </c>
      <c r="C339" s="6" t="inlineStr">
        <is>
          <t>오후 진입</t>
        </is>
      </c>
      <c r="D339" s="6" t="inlineStr">
        <is>
          <t>AFTERNOON_ENTRY</t>
        </is>
      </c>
      <c r="E339" s="6" t="inlineStr">
        <is>
          <t>ANY</t>
        </is>
      </c>
      <c r="F339" s="6" t="inlineStr">
        <is>
          <t>ANY</t>
        </is>
      </c>
      <c r="G339" s="6" t="b">
        <v>0</v>
      </c>
      <c r="H339" s="6" t="inlineStr">
        <is>
          <t>READY</t>
        </is>
      </c>
      <c r="I339" s="6" t="n"/>
      <c r="J339" s="6" t="n"/>
      <c r="K339" s="6" t="inlineStr">
        <is>
          <t>검수표 162</t>
        </is>
      </c>
    </row>
    <row r="340">
      <c r="A340" s="6" t="inlineStr">
        <is>
          <t>DIET-P-0436</t>
        </is>
      </c>
      <c r="B340" s="6" t="inlineStr">
        <is>
          <t>1.0.0</t>
        </is>
      </c>
      <c r="C340" s="6" t="inlineStr">
        <is>
          <t>오후 진입</t>
        </is>
      </c>
      <c r="D340" s="6" t="inlineStr">
        <is>
          <t>AFTERNOON_ENTRY</t>
        </is>
      </c>
      <c r="E340" s="6" t="inlineStr">
        <is>
          <t>ANY</t>
        </is>
      </c>
      <c r="F340" s="6" t="inlineStr">
        <is>
          <t>ANY</t>
        </is>
      </c>
      <c r="G340" s="6" t="b">
        <v>0</v>
      </c>
      <c r="H340" s="6" t="inlineStr">
        <is>
          <t>READY</t>
        </is>
      </c>
      <c r="I340" s="6" t="n"/>
      <c r="J340" s="6" t="n"/>
      <c r="K340" s="6" t="inlineStr">
        <is>
          <t>검수표 163</t>
        </is>
      </c>
    </row>
    <row r="341">
      <c r="A341" s="6" t="inlineStr">
        <is>
          <t>DIET-P-0437</t>
        </is>
      </c>
      <c r="B341" s="6" t="inlineStr">
        <is>
          <t>1.0.0</t>
        </is>
      </c>
      <c r="C341" s="6" t="inlineStr">
        <is>
          <t>오후 진입</t>
        </is>
      </c>
      <c r="D341" s="6" t="inlineStr">
        <is>
          <t>AFTERNOON_ENTRY</t>
        </is>
      </c>
      <c r="E341" s="6" t="inlineStr">
        <is>
          <t>ANY</t>
        </is>
      </c>
      <c r="F341" s="6" t="inlineStr">
        <is>
          <t>ANY</t>
        </is>
      </c>
      <c r="G341" s="6" t="b">
        <v>0</v>
      </c>
      <c r="H341" s="6" t="inlineStr">
        <is>
          <t>READY</t>
        </is>
      </c>
      <c r="I341" s="6" t="n"/>
      <c r="J341" s="6" t="n"/>
      <c r="K341" s="6" t="inlineStr">
        <is>
          <t>검수표 164</t>
        </is>
      </c>
    </row>
    <row r="342">
      <c r="A342" s="6" t="inlineStr">
        <is>
          <t>DIET-P-0438</t>
        </is>
      </c>
      <c r="B342" s="6" t="inlineStr">
        <is>
          <t>1.0.0</t>
        </is>
      </c>
      <c r="C342" s="6" t="inlineStr">
        <is>
          <t>오후 진입</t>
        </is>
      </c>
      <c r="D342" s="6" t="inlineStr">
        <is>
          <t>AFTERNOON_ENTRY</t>
        </is>
      </c>
      <c r="E342" s="6" t="inlineStr">
        <is>
          <t>ANY</t>
        </is>
      </c>
      <c r="F342" s="6" t="inlineStr">
        <is>
          <t>ANY</t>
        </is>
      </c>
      <c r="G342" s="6" t="b">
        <v>0</v>
      </c>
      <c r="H342" s="6" t="inlineStr">
        <is>
          <t>READY</t>
        </is>
      </c>
      <c r="I342" s="6" t="n"/>
      <c r="J342" s="6" t="n"/>
      <c r="K342" s="6" t="inlineStr">
        <is>
          <t>검수표 165</t>
        </is>
      </c>
    </row>
    <row r="343">
      <c r="A343" s="6" t="inlineStr">
        <is>
          <t>DIET-P-0439</t>
        </is>
      </c>
      <c r="B343" s="6" t="inlineStr">
        <is>
          <t>1.0.0</t>
        </is>
      </c>
      <c r="C343" s="6" t="inlineStr">
        <is>
          <t>오후 진입</t>
        </is>
      </c>
      <c r="D343" s="6" t="inlineStr">
        <is>
          <t>AFTERNOON_ENTRY</t>
        </is>
      </c>
      <c r="E343" s="6" t="inlineStr">
        <is>
          <t>ANY</t>
        </is>
      </c>
      <c r="F343" s="6" t="inlineStr">
        <is>
          <t>ANY</t>
        </is>
      </c>
      <c r="G343" s="6" t="b">
        <v>0</v>
      </c>
      <c r="H343" s="6" t="inlineStr">
        <is>
          <t>READY</t>
        </is>
      </c>
      <c r="I343" s="6" t="n"/>
      <c r="J343" s="6" t="n"/>
      <c r="K343" s="6" t="inlineStr">
        <is>
          <t>검수표 166</t>
        </is>
      </c>
    </row>
    <row r="344">
      <c r="A344" s="6" t="inlineStr">
        <is>
          <t>DIET-P-0440</t>
        </is>
      </c>
      <c r="B344" s="6" t="inlineStr">
        <is>
          <t>1.0.0</t>
        </is>
      </c>
      <c r="C344" s="6" t="inlineStr">
        <is>
          <t>오후 진입</t>
        </is>
      </c>
      <c r="D344" s="6" t="inlineStr">
        <is>
          <t>AFTERNOON_ENTRY</t>
        </is>
      </c>
      <c r="E344" s="6" t="inlineStr">
        <is>
          <t>ANY</t>
        </is>
      </c>
      <c r="F344" s="6" t="inlineStr">
        <is>
          <t>ANY</t>
        </is>
      </c>
      <c r="G344" s="6" t="b">
        <v>0</v>
      </c>
      <c r="H344" s="6" t="inlineStr">
        <is>
          <t>READY</t>
        </is>
      </c>
      <c r="I344" s="6" t="n"/>
      <c r="J344" s="6" t="n"/>
      <c r="K344" s="6" t="inlineStr">
        <is>
          <t>검수표 167</t>
        </is>
      </c>
    </row>
    <row r="345">
      <c r="A345" s="6" t="inlineStr">
        <is>
          <t>DIET-P-0441</t>
        </is>
      </c>
      <c r="B345" s="6" t="inlineStr">
        <is>
          <t>1.0.0</t>
        </is>
      </c>
      <c r="C345" s="6" t="inlineStr">
        <is>
          <t>오후 진입</t>
        </is>
      </c>
      <c r="D345" s="6" t="inlineStr">
        <is>
          <t>AFTERNOON_ENTRY</t>
        </is>
      </c>
      <c r="E345" s="6" t="inlineStr">
        <is>
          <t>ANY</t>
        </is>
      </c>
      <c r="F345" s="6" t="inlineStr">
        <is>
          <t>ANY</t>
        </is>
      </c>
      <c r="G345" s="6" t="b">
        <v>0</v>
      </c>
      <c r="H345" s="6" t="inlineStr">
        <is>
          <t>READY</t>
        </is>
      </c>
      <c r="I345" s="6" t="n"/>
      <c r="J345" s="6" t="n"/>
      <c r="K345" s="6" t="inlineStr">
        <is>
          <t>검수표 168</t>
        </is>
      </c>
    </row>
    <row r="346">
      <c r="A346" s="6" t="inlineStr">
        <is>
          <t>DIET-P-0442</t>
        </is>
      </c>
      <c r="B346" s="6" t="inlineStr">
        <is>
          <t>1.0.0</t>
        </is>
      </c>
      <c r="C346" s="6" t="inlineStr">
        <is>
          <t>오후 진입</t>
        </is>
      </c>
      <c r="D346" s="6" t="inlineStr">
        <is>
          <t>AFTERNOON_ENTRY</t>
        </is>
      </c>
      <c r="E346" s="6" t="inlineStr">
        <is>
          <t>ANY</t>
        </is>
      </c>
      <c r="F346" s="6" t="inlineStr">
        <is>
          <t>ANY</t>
        </is>
      </c>
      <c r="G346" s="6" t="b">
        <v>0</v>
      </c>
      <c r="H346" s="6" t="inlineStr">
        <is>
          <t>READY</t>
        </is>
      </c>
      <c r="I346" s="6" t="n"/>
      <c r="J346" s="6" t="n"/>
      <c r="K346" s="6" t="inlineStr">
        <is>
          <t>검수표 169</t>
        </is>
      </c>
    </row>
    <row r="347">
      <c r="A347" s="6" t="inlineStr">
        <is>
          <t>DIET-P-0443</t>
        </is>
      </c>
      <c r="B347" s="6" t="inlineStr">
        <is>
          <t>1.0.0</t>
        </is>
      </c>
      <c r="C347" s="6" t="inlineStr">
        <is>
          <t>오후 진입</t>
        </is>
      </c>
      <c r="D347" s="6" t="inlineStr">
        <is>
          <t>AFTERNOON_ENTRY</t>
        </is>
      </c>
      <c r="E347" s="6" t="inlineStr">
        <is>
          <t>ANY</t>
        </is>
      </c>
      <c r="F347" s="6" t="inlineStr">
        <is>
          <t>ANY</t>
        </is>
      </c>
      <c r="G347" s="6" t="b">
        <v>0</v>
      </c>
      <c r="H347" s="6" t="inlineStr">
        <is>
          <t>READY</t>
        </is>
      </c>
      <c r="I347" s="6" t="n"/>
      <c r="J347" s="6" t="n"/>
      <c r="K347" s="6" t="inlineStr">
        <is>
          <t>검수표 170</t>
        </is>
      </c>
    </row>
    <row r="348">
      <c r="A348" s="6" t="inlineStr">
        <is>
          <t>DIET-P-0444</t>
        </is>
      </c>
      <c r="B348" s="6" t="inlineStr">
        <is>
          <t>1.0.0</t>
        </is>
      </c>
      <c r="C348" s="6" t="inlineStr">
        <is>
          <t>오후 진입</t>
        </is>
      </c>
      <c r="D348" s="6" t="inlineStr">
        <is>
          <t>AFTERNOON_ENTRY</t>
        </is>
      </c>
      <c r="E348" s="6" t="inlineStr">
        <is>
          <t>ANY</t>
        </is>
      </c>
      <c r="F348" s="6" t="inlineStr">
        <is>
          <t>ANY</t>
        </is>
      </c>
      <c r="G348" s="6" t="b">
        <v>0</v>
      </c>
      <c r="H348" s="6" t="inlineStr">
        <is>
          <t>READY</t>
        </is>
      </c>
      <c r="I348" s="6" t="n"/>
      <c r="J348" s="6" t="n"/>
      <c r="K348" s="6" t="inlineStr">
        <is>
          <t>검수표 171</t>
        </is>
      </c>
    </row>
    <row r="349">
      <c r="A349" s="6" t="inlineStr">
        <is>
          <t>DIET-P-0445</t>
        </is>
      </c>
      <c r="B349" s="6" t="inlineStr">
        <is>
          <t>1.0.0</t>
        </is>
      </c>
      <c r="C349" s="6" t="inlineStr">
        <is>
          <t>오후 진입</t>
        </is>
      </c>
      <c r="D349" s="6" t="inlineStr">
        <is>
          <t>AFTERNOON_ENTRY</t>
        </is>
      </c>
      <c r="E349" s="6" t="inlineStr">
        <is>
          <t>ANY</t>
        </is>
      </c>
      <c r="F349" s="6" t="inlineStr">
        <is>
          <t>ANY</t>
        </is>
      </c>
      <c r="G349" s="6" t="b">
        <v>0</v>
      </c>
      <c r="H349" s="6" t="inlineStr">
        <is>
          <t>READY</t>
        </is>
      </c>
      <c r="I349" s="6" t="n"/>
      <c r="J349" s="6" t="n"/>
      <c r="K349" s="6" t="inlineStr">
        <is>
          <t>검수표 172</t>
        </is>
      </c>
    </row>
    <row r="350">
      <c r="A350" s="6" t="inlineStr">
        <is>
          <t>DIET-P-0446</t>
        </is>
      </c>
      <c r="B350" s="6" t="inlineStr">
        <is>
          <t>1.0.0</t>
        </is>
      </c>
      <c r="C350" s="6" t="inlineStr">
        <is>
          <t>오후 진입</t>
        </is>
      </c>
      <c r="D350" s="6" t="inlineStr">
        <is>
          <t>AFTERNOON_ENTRY</t>
        </is>
      </c>
      <c r="E350" s="6" t="inlineStr">
        <is>
          <t>ANY</t>
        </is>
      </c>
      <c r="F350" s="6" t="inlineStr">
        <is>
          <t>ANY</t>
        </is>
      </c>
      <c r="G350" s="6" t="b">
        <v>0</v>
      </c>
      <c r="H350" s="6" t="inlineStr">
        <is>
          <t>READY</t>
        </is>
      </c>
      <c r="I350" s="6" t="n"/>
      <c r="J350" s="6" t="n"/>
      <c r="K350" s="6" t="inlineStr">
        <is>
          <t>검수표 173</t>
        </is>
      </c>
    </row>
    <row r="351">
      <c r="A351" s="6" t="inlineStr">
        <is>
          <t>DIET-P-0447</t>
        </is>
      </c>
      <c r="B351" s="6" t="inlineStr">
        <is>
          <t>1.0.0</t>
        </is>
      </c>
      <c r="C351" s="6" t="inlineStr">
        <is>
          <t>오후 진입</t>
        </is>
      </c>
      <c r="D351" s="6" t="inlineStr">
        <is>
          <t>AFTERNOON_ENTRY</t>
        </is>
      </c>
      <c r="E351" s="6" t="inlineStr">
        <is>
          <t>ANY</t>
        </is>
      </c>
      <c r="F351" s="6" t="inlineStr">
        <is>
          <t>ANY</t>
        </is>
      </c>
      <c r="G351" s="6" t="b">
        <v>0</v>
      </c>
      <c r="H351" s="6" t="inlineStr">
        <is>
          <t>READY</t>
        </is>
      </c>
      <c r="I351" s="6" t="n"/>
      <c r="J351" s="6" t="n"/>
      <c r="K351" s="6" t="inlineStr">
        <is>
          <t>검수표 174</t>
        </is>
      </c>
    </row>
    <row r="352">
      <c r="A352" s="6" t="inlineStr">
        <is>
          <t>DIET-P-0448</t>
        </is>
      </c>
      <c r="B352" s="6" t="inlineStr">
        <is>
          <t>1.0.0</t>
        </is>
      </c>
      <c r="C352" s="6" t="inlineStr">
        <is>
          <t>오후 진입</t>
        </is>
      </c>
      <c r="D352" s="6" t="inlineStr">
        <is>
          <t>AFTERNOON_ENTRY</t>
        </is>
      </c>
      <c r="E352" s="6" t="inlineStr">
        <is>
          <t>ANY</t>
        </is>
      </c>
      <c r="F352" s="6" t="inlineStr">
        <is>
          <t>ANY</t>
        </is>
      </c>
      <c r="G352" s="6" t="b">
        <v>0</v>
      </c>
      <c r="H352" s="6" t="inlineStr">
        <is>
          <t>READY</t>
        </is>
      </c>
      <c r="I352" s="6" t="n"/>
      <c r="J352" s="6" t="n"/>
      <c r="K352" s="6" t="inlineStr">
        <is>
          <t>검수표 175</t>
        </is>
      </c>
    </row>
    <row r="353">
      <c r="A353" s="6" t="inlineStr">
        <is>
          <t>DIET-P-0449</t>
        </is>
      </c>
      <c r="B353" s="6" t="inlineStr">
        <is>
          <t>1.0.0</t>
        </is>
      </c>
      <c r="C353" s="6" t="inlineStr">
        <is>
          <t>오후 진입</t>
        </is>
      </c>
      <c r="D353" s="6" t="inlineStr">
        <is>
          <t>AFTERNOON_ENTRY</t>
        </is>
      </c>
      <c r="E353" s="6" t="inlineStr">
        <is>
          <t>ANY</t>
        </is>
      </c>
      <c r="F353" s="6" t="inlineStr">
        <is>
          <t>ANY</t>
        </is>
      </c>
      <c r="G353" s="6" t="b">
        <v>0</v>
      </c>
      <c r="H353" s="6" t="inlineStr">
        <is>
          <t>READY</t>
        </is>
      </c>
      <c r="I353" s="6" t="n"/>
      <c r="J353" s="6" t="n"/>
      <c r="K353" s="6" t="inlineStr">
        <is>
          <t>검수표 176</t>
        </is>
      </c>
    </row>
    <row r="354">
      <c r="A354" s="6" t="inlineStr">
        <is>
          <t>DIET-P-0450</t>
        </is>
      </c>
      <c r="B354" s="6" t="inlineStr">
        <is>
          <t>1.0.0</t>
        </is>
      </c>
      <c r="C354" s="6" t="inlineStr">
        <is>
          <t>오후 진입</t>
        </is>
      </c>
      <c r="D354" s="6" t="inlineStr">
        <is>
          <t>AFTERNOON_ENTRY</t>
        </is>
      </c>
      <c r="E354" s="6" t="inlineStr">
        <is>
          <t>ANY</t>
        </is>
      </c>
      <c r="F354" s="6" t="inlineStr">
        <is>
          <t>ANY</t>
        </is>
      </c>
      <c r="G354" s="6" t="b">
        <v>0</v>
      </c>
      <c r="H354" s="6" t="inlineStr">
        <is>
          <t>READY</t>
        </is>
      </c>
      <c r="I354" s="6" t="n"/>
      <c r="J354" s="6" t="n"/>
      <c r="K354" s="6" t="inlineStr">
        <is>
          <t>검수표 177</t>
        </is>
      </c>
    </row>
    <row r="355">
      <c r="A355" s="6" t="inlineStr">
        <is>
          <t>DIET-P-0451</t>
        </is>
      </c>
      <c r="B355" s="6" t="inlineStr">
        <is>
          <t>1.0.0</t>
        </is>
      </c>
      <c r="C355" s="6" t="inlineStr">
        <is>
          <t>오후 진입</t>
        </is>
      </c>
      <c r="D355" s="6" t="inlineStr">
        <is>
          <t>AFTERNOON_ENTRY</t>
        </is>
      </c>
      <c r="E355" s="6" t="inlineStr">
        <is>
          <t>ANY</t>
        </is>
      </c>
      <c r="F355" s="6" t="inlineStr">
        <is>
          <t>ANY</t>
        </is>
      </c>
      <c r="G355" s="6" t="b">
        <v>0</v>
      </c>
      <c r="H355" s="6" t="inlineStr">
        <is>
          <t>READY</t>
        </is>
      </c>
      <c r="I355" s="6" t="n"/>
      <c r="J355" s="6" t="n"/>
      <c r="K355" s="6" t="inlineStr">
        <is>
          <t>검수표 178</t>
        </is>
      </c>
    </row>
    <row r="356">
      <c r="A356" s="6" t="inlineStr">
        <is>
          <t>DIET-P-0452</t>
        </is>
      </c>
      <c r="B356" s="6" t="inlineStr">
        <is>
          <t>1.0.0</t>
        </is>
      </c>
      <c r="C356" s="6" t="inlineStr">
        <is>
          <t>오후 진입</t>
        </is>
      </c>
      <c r="D356" s="6" t="inlineStr">
        <is>
          <t>AFTERNOON_ENTRY</t>
        </is>
      </c>
      <c r="E356" s="6" t="inlineStr">
        <is>
          <t>ANY</t>
        </is>
      </c>
      <c r="F356" s="6" t="inlineStr">
        <is>
          <t>ANY</t>
        </is>
      </c>
      <c r="G356" s="6" t="b">
        <v>0</v>
      </c>
      <c r="H356" s="6" t="inlineStr">
        <is>
          <t>READY</t>
        </is>
      </c>
      <c r="I356" s="6" t="n"/>
      <c r="J356" s="6" t="n"/>
      <c r="K356" s="6" t="inlineStr">
        <is>
          <t>검수표 179</t>
        </is>
      </c>
    </row>
    <row r="357">
      <c r="A357" s="6" t="inlineStr">
        <is>
          <t>DIET-P-0453</t>
        </is>
      </c>
      <c r="B357" s="6" t="inlineStr">
        <is>
          <t>1.0.0</t>
        </is>
      </c>
      <c r="C357" s="6" t="inlineStr">
        <is>
          <t>오후 진입</t>
        </is>
      </c>
      <c r="D357" s="6" t="inlineStr">
        <is>
          <t>AFTERNOON_ENTRY</t>
        </is>
      </c>
      <c r="E357" s="6" t="inlineStr">
        <is>
          <t>ANY</t>
        </is>
      </c>
      <c r="F357" s="6" t="inlineStr">
        <is>
          <t>ANY</t>
        </is>
      </c>
      <c r="G357" s="6" t="b">
        <v>0</v>
      </c>
      <c r="H357" s="6" t="inlineStr">
        <is>
          <t>READY</t>
        </is>
      </c>
      <c r="I357" s="6" t="n"/>
      <c r="J357" s="6" t="n"/>
      <c r="K357" s="6" t="inlineStr">
        <is>
          <t>검수표 180</t>
        </is>
      </c>
    </row>
    <row r="358">
      <c r="A358" s="6" t="inlineStr">
        <is>
          <t>DIET-P-0454</t>
        </is>
      </c>
      <c r="B358" s="6" t="inlineStr">
        <is>
          <t>1.0.0</t>
        </is>
      </c>
      <c r="C358" s="6" t="inlineStr">
        <is>
          <t>오후 진입</t>
        </is>
      </c>
      <c r="D358" s="6" t="inlineStr">
        <is>
          <t>AFTERNOON_ENTRY</t>
        </is>
      </c>
      <c r="E358" s="6" t="inlineStr">
        <is>
          <t>ANY</t>
        </is>
      </c>
      <c r="F358" s="6" t="inlineStr">
        <is>
          <t>ANY</t>
        </is>
      </c>
      <c r="G358" s="6" t="b">
        <v>0</v>
      </c>
      <c r="H358" s="6" t="inlineStr">
        <is>
          <t>READY</t>
        </is>
      </c>
      <c r="I358" s="6" t="n"/>
      <c r="J358" s="6" t="n"/>
      <c r="K358" s="6" t="inlineStr">
        <is>
          <t>검수표 181</t>
        </is>
      </c>
    </row>
    <row r="359">
      <c r="A359" s="6" t="inlineStr">
        <is>
          <t>DIET-P-0455</t>
        </is>
      </c>
      <c r="B359" s="6" t="inlineStr">
        <is>
          <t>1.0.0</t>
        </is>
      </c>
      <c r="C359" s="6" t="inlineStr">
        <is>
          <t>오후 진입</t>
        </is>
      </c>
      <c r="D359" s="6" t="inlineStr">
        <is>
          <t>AFTERNOON_ENTRY</t>
        </is>
      </c>
      <c r="E359" s="6" t="inlineStr">
        <is>
          <t>ANY</t>
        </is>
      </c>
      <c r="F359" s="6" t="inlineStr">
        <is>
          <t>ANY</t>
        </is>
      </c>
      <c r="G359" s="6" t="b">
        <v>0</v>
      </c>
      <c r="H359" s="6" t="inlineStr">
        <is>
          <t>READY</t>
        </is>
      </c>
      <c r="I359" s="6" t="n"/>
      <c r="J359" s="6" t="n"/>
      <c r="K359" s="6" t="inlineStr">
        <is>
          <t>검수표 182</t>
        </is>
      </c>
    </row>
    <row r="360">
      <c r="A360" s="6" t="inlineStr">
        <is>
          <t>DIET-P-0456</t>
        </is>
      </c>
      <c r="B360" s="6" t="inlineStr">
        <is>
          <t>1.0.0</t>
        </is>
      </c>
      <c r="C360" s="6" t="inlineStr">
        <is>
          <t>오후 진입</t>
        </is>
      </c>
      <c r="D360" s="6" t="inlineStr">
        <is>
          <t>AFTERNOON_ENTRY</t>
        </is>
      </c>
      <c r="E360" s="6" t="inlineStr">
        <is>
          <t>ANY</t>
        </is>
      </c>
      <c r="F360" s="6" t="inlineStr">
        <is>
          <t>ANY</t>
        </is>
      </c>
      <c r="G360" s="6" t="b">
        <v>0</v>
      </c>
      <c r="H360" s="6" t="inlineStr">
        <is>
          <t>READY</t>
        </is>
      </c>
      <c r="I360" s="6" t="n"/>
      <c r="J360" s="6" t="n"/>
      <c r="K360" s="6" t="inlineStr">
        <is>
          <t>검수표 183</t>
        </is>
      </c>
    </row>
    <row r="361">
      <c r="A361" s="6" t="inlineStr">
        <is>
          <t>DIET-P-0457</t>
        </is>
      </c>
      <c r="B361" s="6" t="inlineStr">
        <is>
          <t>1.0.0</t>
        </is>
      </c>
      <c r="C361" s="6" t="inlineStr">
        <is>
          <t>오후 진입</t>
        </is>
      </c>
      <c r="D361" s="6" t="inlineStr">
        <is>
          <t>AFTERNOON_ENTRY</t>
        </is>
      </c>
      <c r="E361" s="6" t="inlineStr">
        <is>
          <t>ANY</t>
        </is>
      </c>
      <c r="F361" s="6" t="inlineStr">
        <is>
          <t>ANY</t>
        </is>
      </c>
      <c r="G361" s="6" t="b">
        <v>0</v>
      </c>
      <c r="H361" s="6" t="inlineStr">
        <is>
          <t>READY</t>
        </is>
      </c>
      <c r="I361" s="6" t="n"/>
      <c r="J361" s="6" t="n"/>
      <c r="K361" s="6" t="inlineStr">
        <is>
          <t>검수표 184</t>
        </is>
      </c>
    </row>
    <row r="362">
      <c r="A362" s="6" t="inlineStr">
        <is>
          <t>DIET-P-0458</t>
        </is>
      </c>
      <c r="B362" s="6" t="inlineStr">
        <is>
          <t>1.0.0</t>
        </is>
      </c>
      <c r="C362" s="6" t="inlineStr">
        <is>
          <t>오후 진입</t>
        </is>
      </c>
      <c r="D362" s="6" t="inlineStr">
        <is>
          <t>AFTERNOON_ENTRY</t>
        </is>
      </c>
      <c r="E362" s="6" t="inlineStr">
        <is>
          <t>ANY</t>
        </is>
      </c>
      <c r="F362" s="6" t="inlineStr">
        <is>
          <t>ANY</t>
        </is>
      </c>
      <c r="G362" s="6" t="b">
        <v>0</v>
      </c>
      <c r="H362" s="6" t="inlineStr">
        <is>
          <t>READY</t>
        </is>
      </c>
      <c r="I362" s="6" t="n"/>
      <c r="J362" s="6" t="n"/>
      <c r="K362" s="6" t="inlineStr">
        <is>
          <t>검수표 185</t>
        </is>
      </c>
    </row>
    <row r="363">
      <c r="A363" s="6" t="inlineStr">
        <is>
          <t>DIET-P-0459</t>
        </is>
      </c>
      <c r="B363" s="6" t="inlineStr">
        <is>
          <t>1.0.0</t>
        </is>
      </c>
      <c r="C363" s="6" t="inlineStr">
        <is>
          <t>오후 진입</t>
        </is>
      </c>
      <c r="D363" s="6" t="inlineStr">
        <is>
          <t>AFTERNOON_ENTRY</t>
        </is>
      </c>
      <c r="E363" s="6" t="inlineStr">
        <is>
          <t>ANY</t>
        </is>
      </c>
      <c r="F363" s="6" t="inlineStr">
        <is>
          <t>ANY</t>
        </is>
      </c>
      <c r="G363" s="6" t="b">
        <v>0</v>
      </c>
      <c r="H363" s="6" t="inlineStr">
        <is>
          <t>READY</t>
        </is>
      </c>
      <c r="I363" s="6" t="n"/>
      <c r="J363" s="6" t="n"/>
      <c r="K363" s="6" t="inlineStr">
        <is>
          <t>검수표 186</t>
        </is>
      </c>
    </row>
    <row r="364">
      <c r="A364" s="6" t="inlineStr">
        <is>
          <t>DIET-P-0460</t>
        </is>
      </c>
      <c r="B364" s="6" t="inlineStr">
        <is>
          <t>1.0.0</t>
        </is>
      </c>
      <c r="C364" s="6" t="inlineStr">
        <is>
          <t>오후 진입</t>
        </is>
      </c>
      <c r="D364" s="6" t="inlineStr">
        <is>
          <t>AFTERNOON_ENTRY</t>
        </is>
      </c>
      <c r="E364" s="6" t="inlineStr">
        <is>
          <t>ANY</t>
        </is>
      </c>
      <c r="F364" s="6" t="inlineStr">
        <is>
          <t>ANY</t>
        </is>
      </c>
      <c r="G364" s="6" t="b">
        <v>0</v>
      </c>
      <c r="H364" s="6" t="inlineStr">
        <is>
          <t>READY</t>
        </is>
      </c>
      <c r="I364" s="6" t="n"/>
      <c r="J364" s="6" t="n"/>
      <c r="K364" s="6" t="inlineStr">
        <is>
          <t>검수표 187</t>
        </is>
      </c>
    </row>
    <row r="365">
      <c r="A365" s="6" t="inlineStr">
        <is>
          <t>DIET-P-0461</t>
        </is>
      </c>
      <c r="B365" s="6" t="inlineStr">
        <is>
          <t>1.0.0</t>
        </is>
      </c>
      <c r="C365" s="6" t="inlineStr">
        <is>
          <t>오후 진입</t>
        </is>
      </c>
      <c r="D365" s="6" t="inlineStr">
        <is>
          <t>AFTERNOON_ENTRY</t>
        </is>
      </c>
      <c r="E365" s="6" t="inlineStr">
        <is>
          <t>ANY</t>
        </is>
      </c>
      <c r="F365" s="6" t="inlineStr">
        <is>
          <t>ANY</t>
        </is>
      </c>
      <c r="G365" s="6" t="b">
        <v>0</v>
      </c>
      <c r="H365" s="6" t="inlineStr">
        <is>
          <t>READY</t>
        </is>
      </c>
      <c r="I365" s="6" t="n"/>
      <c r="J365" s="6" t="n"/>
      <c r="K365" s="6" t="inlineStr">
        <is>
          <t>검수표 188</t>
        </is>
      </c>
    </row>
    <row r="366">
      <c r="A366" s="6" t="inlineStr">
        <is>
          <t>DIET-P-0462</t>
        </is>
      </c>
      <c r="B366" s="6" t="inlineStr">
        <is>
          <t>1.0.0</t>
        </is>
      </c>
      <c r="C366" s="6" t="inlineStr">
        <is>
          <t>오후 진입</t>
        </is>
      </c>
      <c r="D366" s="6" t="inlineStr">
        <is>
          <t>AFTERNOON_ENTRY</t>
        </is>
      </c>
      <c r="E366" s="6" t="inlineStr">
        <is>
          <t>ANY</t>
        </is>
      </c>
      <c r="F366" s="6" t="inlineStr">
        <is>
          <t>ANY</t>
        </is>
      </c>
      <c r="G366" s="6" t="b">
        <v>0</v>
      </c>
      <c r="H366" s="6" t="inlineStr">
        <is>
          <t>READY</t>
        </is>
      </c>
      <c r="I366" s="6" t="n"/>
      <c r="J366" s="6" t="n"/>
      <c r="K366" s="6" t="inlineStr">
        <is>
          <t>검수표 189</t>
        </is>
      </c>
    </row>
    <row r="367">
      <c r="A367" s="6" t="inlineStr">
        <is>
          <t>DIET-P-0463</t>
        </is>
      </c>
      <c r="B367" s="6" t="inlineStr">
        <is>
          <t>1.0.0</t>
        </is>
      </c>
      <c r="C367" s="6" t="inlineStr">
        <is>
          <t>오후 진입</t>
        </is>
      </c>
      <c r="D367" s="6" t="inlineStr">
        <is>
          <t>AFTERNOON_ENTRY</t>
        </is>
      </c>
      <c r="E367" s="6" t="inlineStr">
        <is>
          <t>ANY</t>
        </is>
      </c>
      <c r="F367" s="6" t="inlineStr">
        <is>
          <t>ANY</t>
        </is>
      </c>
      <c r="G367" s="6" t="b">
        <v>0</v>
      </c>
      <c r="H367" s="6" t="inlineStr">
        <is>
          <t>READY</t>
        </is>
      </c>
      <c r="I367" s="6" t="n"/>
      <c r="J367" s="6" t="n"/>
      <c r="K367" s="6" t="inlineStr">
        <is>
          <t>검수표 190</t>
        </is>
      </c>
    </row>
    <row r="368">
      <c r="A368" s="6" t="inlineStr">
        <is>
          <t>DIET-P-0464</t>
        </is>
      </c>
      <c r="B368" s="6" t="inlineStr">
        <is>
          <t>1.0.0</t>
        </is>
      </c>
      <c r="C368" s="6" t="inlineStr">
        <is>
          <t>오후 진입</t>
        </is>
      </c>
      <c r="D368" s="6" t="inlineStr">
        <is>
          <t>AFTERNOON_ENTRY</t>
        </is>
      </c>
      <c r="E368" s="6" t="inlineStr">
        <is>
          <t>ANY</t>
        </is>
      </c>
      <c r="F368" s="6" t="inlineStr">
        <is>
          <t>ANY</t>
        </is>
      </c>
      <c r="G368" s="6" t="b">
        <v>0</v>
      </c>
      <c r="H368" s="6" t="inlineStr">
        <is>
          <t>READY</t>
        </is>
      </c>
      <c r="I368" s="6" t="n"/>
      <c r="J368" s="6" t="n"/>
      <c r="K368" s="6" t="inlineStr">
        <is>
          <t>검수표 191</t>
        </is>
      </c>
    </row>
    <row r="369">
      <c r="A369" s="6" t="inlineStr">
        <is>
          <t>DIET-P-0465</t>
        </is>
      </c>
      <c r="B369" s="6" t="inlineStr">
        <is>
          <t>1.0.0</t>
        </is>
      </c>
      <c r="C369" s="6" t="inlineStr">
        <is>
          <t>오후 진입</t>
        </is>
      </c>
      <c r="D369" s="6" t="inlineStr">
        <is>
          <t>AFTERNOON_ENTRY</t>
        </is>
      </c>
      <c r="E369" s="6" t="inlineStr">
        <is>
          <t>ANY</t>
        </is>
      </c>
      <c r="F369" s="6" t="inlineStr">
        <is>
          <t>ANY</t>
        </is>
      </c>
      <c r="G369" s="6" t="b">
        <v>0</v>
      </c>
      <c r="H369" s="6" t="inlineStr">
        <is>
          <t>READY</t>
        </is>
      </c>
      <c r="I369" s="6" t="n"/>
      <c r="J369" s="6" t="n"/>
      <c r="K369" s="6" t="inlineStr">
        <is>
          <t>검수표 192</t>
        </is>
      </c>
    </row>
    <row r="370">
      <c r="A370" s="6" t="inlineStr">
        <is>
          <t>DIET-P-0466</t>
        </is>
      </c>
      <c r="B370" s="6" t="inlineStr">
        <is>
          <t>1.0.0</t>
        </is>
      </c>
      <c r="C370" s="6" t="inlineStr">
        <is>
          <t>오후 진입</t>
        </is>
      </c>
      <c r="D370" s="6" t="inlineStr">
        <is>
          <t>AFTERNOON_ENTRY</t>
        </is>
      </c>
      <c r="E370" s="6" t="inlineStr">
        <is>
          <t>ANY</t>
        </is>
      </c>
      <c r="F370" s="6" t="inlineStr">
        <is>
          <t>ANY</t>
        </is>
      </c>
      <c r="G370" s="6" t="b">
        <v>0</v>
      </c>
      <c r="H370" s="6" t="inlineStr">
        <is>
          <t>READY</t>
        </is>
      </c>
      <c r="I370" s="6" t="n"/>
      <c r="J370" s="6" t="n"/>
      <c r="K370" s="6" t="inlineStr">
        <is>
          <t>검수표 193</t>
        </is>
      </c>
    </row>
    <row r="371">
      <c r="A371" s="6" t="inlineStr">
        <is>
          <t>DIET-P-0467</t>
        </is>
      </c>
      <c r="B371" s="6" t="inlineStr">
        <is>
          <t>1.0.0</t>
        </is>
      </c>
      <c r="C371" s="6" t="inlineStr">
        <is>
          <t>오후 진입</t>
        </is>
      </c>
      <c r="D371" s="6" t="inlineStr">
        <is>
          <t>AFTERNOON_ENTRY</t>
        </is>
      </c>
      <c r="E371" s="6" t="inlineStr">
        <is>
          <t>ANY</t>
        </is>
      </c>
      <c r="F371" s="6" t="inlineStr">
        <is>
          <t>ANY</t>
        </is>
      </c>
      <c r="G371" s="6" t="b">
        <v>0</v>
      </c>
      <c r="H371" s="6" t="inlineStr">
        <is>
          <t>READY</t>
        </is>
      </c>
      <c r="I371" s="6" t="n"/>
      <c r="J371" s="6" t="n"/>
      <c r="K371" s="6" t="inlineStr">
        <is>
          <t>검수표 194</t>
        </is>
      </c>
    </row>
    <row r="372">
      <c r="A372" s="6" t="inlineStr">
        <is>
          <t>DIET-P-0468</t>
        </is>
      </c>
      <c r="B372" s="6" t="inlineStr">
        <is>
          <t>1.0.0</t>
        </is>
      </c>
      <c r="C372" s="6" t="inlineStr">
        <is>
          <t>오후 진입</t>
        </is>
      </c>
      <c r="D372" s="6" t="inlineStr">
        <is>
          <t>AFTERNOON_ENTRY</t>
        </is>
      </c>
      <c r="E372" s="6" t="inlineStr">
        <is>
          <t>ANY</t>
        </is>
      </c>
      <c r="F372" s="6" t="inlineStr">
        <is>
          <t>ANY</t>
        </is>
      </c>
      <c r="G372" s="6" t="b">
        <v>0</v>
      </c>
      <c r="H372" s="6" t="inlineStr">
        <is>
          <t>READY</t>
        </is>
      </c>
      <c r="I372" s="6" t="n"/>
      <c r="J372" s="6" t="n"/>
      <c r="K372" s="6" t="inlineStr">
        <is>
          <t>검수표 195</t>
        </is>
      </c>
    </row>
    <row r="373">
      <c r="A373" s="6" t="inlineStr">
        <is>
          <t>DIET-P-0469</t>
        </is>
      </c>
      <c r="B373" s="6" t="inlineStr">
        <is>
          <t>1.0.0</t>
        </is>
      </c>
      <c r="C373" s="6" t="inlineStr">
        <is>
          <t>오후 진입</t>
        </is>
      </c>
      <c r="D373" s="6" t="inlineStr">
        <is>
          <t>AFTERNOON_ENTRY</t>
        </is>
      </c>
      <c r="E373" s="6" t="inlineStr">
        <is>
          <t>ANY</t>
        </is>
      </c>
      <c r="F373" s="6" t="inlineStr">
        <is>
          <t>ANY</t>
        </is>
      </c>
      <c r="G373" s="6" t="b">
        <v>0</v>
      </c>
      <c r="H373" s="6" t="inlineStr">
        <is>
          <t>READY</t>
        </is>
      </c>
      <c r="I373" s="6" t="n"/>
      <c r="J373" s="6" t="n"/>
      <c r="K373" s="6" t="inlineStr">
        <is>
          <t>검수표 196</t>
        </is>
      </c>
    </row>
    <row r="374">
      <c r="A374" s="6" t="inlineStr">
        <is>
          <t>DIET-P-0470</t>
        </is>
      </c>
      <c r="B374" s="6" t="inlineStr">
        <is>
          <t>1.0.0</t>
        </is>
      </c>
      <c r="C374" s="6" t="inlineStr">
        <is>
          <t>오후 진입</t>
        </is>
      </c>
      <c r="D374" s="6" t="inlineStr">
        <is>
          <t>AFTERNOON_ENTRY</t>
        </is>
      </c>
      <c r="E374" s="6" t="inlineStr">
        <is>
          <t>ANY</t>
        </is>
      </c>
      <c r="F374" s="6" t="inlineStr">
        <is>
          <t>ANY</t>
        </is>
      </c>
      <c r="G374" s="6" t="b">
        <v>0</v>
      </c>
      <c r="H374" s="6" t="inlineStr">
        <is>
          <t>READY</t>
        </is>
      </c>
      <c r="I374" s="6" t="n"/>
      <c r="J374" s="6" t="n"/>
      <c r="K374" s="6" t="inlineStr">
        <is>
          <t>검수표 197</t>
        </is>
      </c>
    </row>
    <row r="375">
      <c r="A375" s="6" t="inlineStr">
        <is>
          <t>DIET-P-0471</t>
        </is>
      </c>
      <c r="B375" s="6" t="inlineStr">
        <is>
          <t>1.0.0</t>
        </is>
      </c>
      <c r="C375" s="6" t="inlineStr">
        <is>
          <t>오전 진입</t>
        </is>
      </c>
      <c r="D375" s="6" t="inlineStr">
        <is>
          <t>MORNING_ENTRY</t>
        </is>
      </c>
      <c r="E375" s="6" t="inlineStr">
        <is>
          <t>ANY</t>
        </is>
      </c>
      <c r="F375" s="6" t="inlineStr">
        <is>
          <t>ANY</t>
        </is>
      </c>
      <c r="G375" s="6" t="b">
        <v>0</v>
      </c>
      <c r="H375" s="6" t="inlineStr">
        <is>
          <t>READY</t>
        </is>
      </c>
      <c r="I375" s="6" t="n"/>
      <c r="J375" s="6" t="n"/>
      <c r="K375" s="6" t="inlineStr">
        <is>
          <t>검수표 198</t>
        </is>
      </c>
    </row>
    <row r="376">
      <c r="A376" s="6" t="inlineStr">
        <is>
          <t>DIET-P-0472</t>
        </is>
      </c>
      <c r="B376" s="6" t="inlineStr">
        <is>
          <t>1.0.0</t>
        </is>
      </c>
      <c r="C376" s="6" t="inlineStr">
        <is>
          <t>오전 진입</t>
        </is>
      </c>
      <c r="D376" s="6" t="inlineStr">
        <is>
          <t>MORNING_ENTRY</t>
        </is>
      </c>
      <c r="E376" s="6" t="inlineStr">
        <is>
          <t>ANY</t>
        </is>
      </c>
      <c r="F376" s="6" t="inlineStr">
        <is>
          <t>ANY</t>
        </is>
      </c>
      <c r="G376" s="6" t="b">
        <v>0</v>
      </c>
      <c r="H376" s="6" t="inlineStr">
        <is>
          <t>READY</t>
        </is>
      </c>
      <c r="I376" s="6" t="n"/>
      <c r="J376" s="6" t="n"/>
      <c r="K376" s="6" t="inlineStr">
        <is>
          <t>검수표 199</t>
        </is>
      </c>
    </row>
    <row r="377">
      <c r="A377" s="6" t="inlineStr">
        <is>
          <t>DIET-P-0473</t>
        </is>
      </c>
      <c r="B377" s="6" t="inlineStr">
        <is>
          <t>1.0.0</t>
        </is>
      </c>
      <c r="C377" s="6" t="inlineStr">
        <is>
          <t>오전 진입</t>
        </is>
      </c>
      <c r="D377" s="6" t="inlineStr">
        <is>
          <t>MORNING_ENTRY</t>
        </is>
      </c>
      <c r="E377" s="6" t="inlineStr">
        <is>
          <t>ANY</t>
        </is>
      </c>
      <c r="F377" s="6" t="inlineStr">
        <is>
          <t>ANY</t>
        </is>
      </c>
      <c r="G377" s="6" t="b">
        <v>0</v>
      </c>
      <c r="H377" s="6" t="inlineStr">
        <is>
          <t>READY</t>
        </is>
      </c>
      <c r="I377" s="6" t="n"/>
      <c r="J377" s="6" t="n"/>
      <c r="K377" s="6" t="inlineStr">
        <is>
          <t>검수표 200</t>
        </is>
      </c>
    </row>
    <row r="378">
      <c r="A378" s="6" t="inlineStr">
        <is>
          <t>DIET-P-0474</t>
        </is>
      </c>
      <c r="B378" s="6" t="inlineStr">
        <is>
          <t>1.0.0</t>
        </is>
      </c>
      <c r="C378" s="6" t="inlineStr">
        <is>
          <t>오전 진입</t>
        </is>
      </c>
      <c r="D378" s="6" t="inlineStr">
        <is>
          <t>MORNING_ENTRY</t>
        </is>
      </c>
      <c r="E378" s="6" t="inlineStr">
        <is>
          <t>ANY</t>
        </is>
      </c>
      <c r="F378" s="6" t="inlineStr">
        <is>
          <t>ANY</t>
        </is>
      </c>
      <c r="G378" s="6" t="b">
        <v>0</v>
      </c>
      <c r="H378" s="6" t="inlineStr">
        <is>
          <t>READY</t>
        </is>
      </c>
      <c r="I378" s="6" t="n"/>
      <c r="J378" s="6" t="n"/>
      <c r="K378" s="6" t="inlineStr">
        <is>
          <t>검수표 201</t>
        </is>
      </c>
    </row>
    <row r="379">
      <c r="A379" s="6" t="inlineStr">
        <is>
          <t>DIET-P-0475</t>
        </is>
      </c>
      <c r="B379" s="6" t="inlineStr">
        <is>
          <t>1.0.0</t>
        </is>
      </c>
      <c r="C379" s="6" t="inlineStr">
        <is>
          <t>오전 진입</t>
        </is>
      </c>
      <c r="D379" s="6" t="inlineStr">
        <is>
          <t>MORNING_ENTRY</t>
        </is>
      </c>
      <c r="E379" s="6" t="inlineStr">
        <is>
          <t>ANY</t>
        </is>
      </c>
      <c r="F379" s="6" t="inlineStr">
        <is>
          <t>ANY</t>
        </is>
      </c>
      <c r="G379" s="6" t="b">
        <v>0</v>
      </c>
      <c r="H379" s="6" t="inlineStr">
        <is>
          <t>READY</t>
        </is>
      </c>
      <c r="I379" s="6" t="n"/>
      <c r="J379" s="6" t="n"/>
      <c r="K379" s="6" t="inlineStr">
        <is>
          <t>검수표 202</t>
        </is>
      </c>
    </row>
    <row r="380">
      <c r="A380" s="6" t="inlineStr">
        <is>
          <t>DIET-P-0476</t>
        </is>
      </c>
      <c r="B380" s="6" t="inlineStr">
        <is>
          <t>1.0.0</t>
        </is>
      </c>
      <c r="C380" s="6" t="inlineStr">
        <is>
          <t>오전 진입</t>
        </is>
      </c>
      <c r="D380" s="6" t="inlineStr">
        <is>
          <t>MORNING_ENTRY</t>
        </is>
      </c>
      <c r="E380" s="6" t="inlineStr">
        <is>
          <t>ANY</t>
        </is>
      </c>
      <c r="F380" s="6" t="inlineStr">
        <is>
          <t>ANY</t>
        </is>
      </c>
      <c r="G380" s="6" t="b">
        <v>0</v>
      </c>
      <c r="H380" s="6" t="inlineStr">
        <is>
          <t>READY</t>
        </is>
      </c>
      <c r="I380" s="6" t="n"/>
      <c r="J380" s="6" t="n"/>
      <c r="K380" s="6" t="inlineStr">
        <is>
          <t>검수표 203</t>
        </is>
      </c>
    </row>
    <row r="381">
      <c r="A381" s="6" t="inlineStr">
        <is>
          <t>DIET-P-0477</t>
        </is>
      </c>
      <c r="B381" s="6" t="inlineStr">
        <is>
          <t>1.0.0</t>
        </is>
      </c>
      <c r="C381" s="6" t="inlineStr">
        <is>
          <t>오전 진입</t>
        </is>
      </c>
      <c r="D381" s="6" t="inlineStr">
        <is>
          <t>MORNING_ENTRY</t>
        </is>
      </c>
      <c r="E381" s="6" t="inlineStr">
        <is>
          <t>ANY</t>
        </is>
      </c>
      <c r="F381" s="6" t="inlineStr">
        <is>
          <t>ANY</t>
        </is>
      </c>
      <c r="G381" s="6" t="b">
        <v>0</v>
      </c>
      <c r="H381" s="6" t="inlineStr">
        <is>
          <t>READY</t>
        </is>
      </c>
      <c r="I381" s="6" t="n"/>
      <c r="J381" s="6" t="n"/>
      <c r="K381" s="6" t="inlineStr">
        <is>
          <t>검수표 204</t>
        </is>
      </c>
    </row>
    <row r="382">
      <c r="A382" s="6" t="inlineStr">
        <is>
          <t>DIET-P-0478</t>
        </is>
      </c>
      <c r="B382" s="6" t="inlineStr">
        <is>
          <t>1.0.0</t>
        </is>
      </c>
      <c r="C382" s="6" t="inlineStr">
        <is>
          <t>오전 진입</t>
        </is>
      </c>
      <c r="D382" s="6" t="inlineStr">
        <is>
          <t>MORNING_ENTRY</t>
        </is>
      </c>
      <c r="E382" s="6" t="inlineStr">
        <is>
          <t>ANY</t>
        </is>
      </c>
      <c r="F382" s="6" t="inlineStr">
        <is>
          <t>ANY</t>
        </is>
      </c>
      <c r="G382" s="6" t="b">
        <v>0</v>
      </c>
      <c r="H382" s="6" t="inlineStr">
        <is>
          <t>READY</t>
        </is>
      </c>
      <c r="I382" s="6" t="n"/>
      <c r="J382" s="6" t="n"/>
      <c r="K382" s="6" t="inlineStr">
        <is>
          <t>검수표 205</t>
        </is>
      </c>
    </row>
    <row r="383">
      <c r="A383" s="6" t="inlineStr">
        <is>
          <t>DIET-P-0479</t>
        </is>
      </c>
      <c r="B383" s="6" t="inlineStr">
        <is>
          <t>1.0.0</t>
        </is>
      </c>
      <c r="C383" s="6" t="inlineStr">
        <is>
          <t>오전 진입</t>
        </is>
      </c>
      <c r="D383" s="6" t="inlineStr">
        <is>
          <t>MORNING_ENTRY</t>
        </is>
      </c>
      <c r="E383" s="6" t="inlineStr">
        <is>
          <t>ANY</t>
        </is>
      </c>
      <c r="F383" s="6" t="inlineStr">
        <is>
          <t>ANY</t>
        </is>
      </c>
      <c r="G383" s="6" t="b">
        <v>0</v>
      </c>
      <c r="H383" s="6" t="inlineStr">
        <is>
          <t>READY</t>
        </is>
      </c>
      <c r="I383" s="6" t="n"/>
      <c r="J383" s="6" t="n"/>
      <c r="K383" s="6" t="inlineStr">
        <is>
          <t>검수표 206</t>
        </is>
      </c>
    </row>
    <row r="384">
      <c r="A384" s="6" t="inlineStr">
        <is>
          <t>DIET-P-0480</t>
        </is>
      </c>
      <c r="B384" s="6" t="inlineStr">
        <is>
          <t>1.0.0</t>
        </is>
      </c>
      <c r="C384" s="6" t="inlineStr">
        <is>
          <t>오전 진입</t>
        </is>
      </c>
      <c r="D384" s="6" t="inlineStr">
        <is>
          <t>MORNING_ENTRY</t>
        </is>
      </c>
      <c r="E384" s="6" t="inlineStr">
        <is>
          <t>ANY</t>
        </is>
      </c>
      <c r="F384" s="6" t="inlineStr">
        <is>
          <t>ANY</t>
        </is>
      </c>
      <c r="G384" s="6" t="b">
        <v>0</v>
      </c>
      <c r="H384" s="6" t="inlineStr">
        <is>
          <t>READY</t>
        </is>
      </c>
      <c r="I384" s="6" t="n"/>
      <c r="J384" s="6" t="n"/>
      <c r="K384" s="6" t="inlineStr">
        <is>
          <t>검수표 207</t>
        </is>
      </c>
    </row>
    <row r="385">
      <c r="A385" s="6" t="inlineStr">
        <is>
          <t>DIET-P-0481</t>
        </is>
      </c>
      <c r="B385" s="6" t="inlineStr">
        <is>
          <t>1.0.0</t>
        </is>
      </c>
      <c r="C385" s="6" t="inlineStr">
        <is>
          <t>오전 진입</t>
        </is>
      </c>
      <c r="D385" s="6" t="inlineStr">
        <is>
          <t>MORNING_ENTRY</t>
        </is>
      </c>
      <c r="E385" s="6" t="inlineStr">
        <is>
          <t>ANY</t>
        </is>
      </c>
      <c r="F385" s="6" t="inlineStr">
        <is>
          <t>ANY</t>
        </is>
      </c>
      <c r="G385" s="6" t="b">
        <v>0</v>
      </c>
      <c r="H385" s="6" t="inlineStr">
        <is>
          <t>READY</t>
        </is>
      </c>
      <c r="I385" s="6" t="n"/>
      <c r="J385" s="6" t="n"/>
      <c r="K385" s="6" t="inlineStr">
        <is>
          <t>검수표 208</t>
        </is>
      </c>
    </row>
    <row r="386">
      <c r="A386" s="6" t="inlineStr">
        <is>
          <t>DIET-P-0482</t>
        </is>
      </c>
      <c r="B386" s="6" t="inlineStr">
        <is>
          <t>1.0.0</t>
        </is>
      </c>
      <c r="C386" s="6" t="inlineStr">
        <is>
          <t>오전 진입</t>
        </is>
      </c>
      <c r="D386" s="6" t="inlineStr">
        <is>
          <t>MORNING_ENTRY</t>
        </is>
      </c>
      <c r="E386" s="6" t="inlineStr">
        <is>
          <t>ANY</t>
        </is>
      </c>
      <c r="F386" s="6" t="inlineStr">
        <is>
          <t>ANY</t>
        </is>
      </c>
      <c r="G386" s="6" t="b">
        <v>0</v>
      </c>
      <c r="H386" s="6" t="inlineStr">
        <is>
          <t>READY</t>
        </is>
      </c>
      <c r="I386" s="6" t="n"/>
      <c r="J386" s="6" t="n"/>
      <c r="K386" s="6" t="inlineStr">
        <is>
          <t>검수표 209</t>
        </is>
      </c>
    </row>
    <row r="387">
      <c r="A387" s="6" t="inlineStr">
        <is>
          <t>DIET-P-0483</t>
        </is>
      </c>
      <c r="B387" s="6" t="inlineStr">
        <is>
          <t>1.0.0</t>
        </is>
      </c>
      <c r="C387" s="6" t="inlineStr">
        <is>
          <t>오전 진입</t>
        </is>
      </c>
      <c r="D387" s="6" t="inlineStr">
        <is>
          <t>MORNING_ENTRY</t>
        </is>
      </c>
      <c r="E387" s="6" t="inlineStr">
        <is>
          <t>ANY</t>
        </is>
      </c>
      <c r="F387" s="6" t="inlineStr">
        <is>
          <t>ANY</t>
        </is>
      </c>
      <c r="G387" s="6" t="b">
        <v>0</v>
      </c>
      <c r="H387" s="6" t="inlineStr">
        <is>
          <t>READY</t>
        </is>
      </c>
      <c r="I387" s="6" t="n"/>
      <c r="J387" s="6" t="n"/>
      <c r="K387" s="6" t="inlineStr">
        <is>
          <t>검수표 210</t>
        </is>
      </c>
    </row>
    <row r="388">
      <c r="A388" s="6" t="inlineStr">
        <is>
          <t>DIET-P-0484</t>
        </is>
      </c>
      <c r="B388" s="6" t="inlineStr">
        <is>
          <t>1.0.0</t>
        </is>
      </c>
      <c r="C388" s="6" t="inlineStr">
        <is>
          <t>오전 진입</t>
        </is>
      </c>
      <c r="D388" s="6" t="inlineStr">
        <is>
          <t>MORNING_ENTRY</t>
        </is>
      </c>
      <c r="E388" s="6" t="inlineStr">
        <is>
          <t>ANY</t>
        </is>
      </c>
      <c r="F388" s="6" t="inlineStr">
        <is>
          <t>ANY</t>
        </is>
      </c>
      <c r="G388" s="6" t="b">
        <v>0</v>
      </c>
      <c r="H388" s="6" t="inlineStr">
        <is>
          <t>READY</t>
        </is>
      </c>
      <c r="I388" s="6" t="n"/>
      <c r="J388" s="6" t="n"/>
      <c r="K388" s="6" t="inlineStr">
        <is>
          <t>검수표 211</t>
        </is>
      </c>
    </row>
    <row r="389">
      <c r="A389" s="6" t="inlineStr">
        <is>
          <t>DIET-P-0485</t>
        </is>
      </c>
      <c r="B389" s="6" t="inlineStr">
        <is>
          <t>1.0.0</t>
        </is>
      </c>
      <c r="C389" s="6" t="inlineStr">
        <is>
          <t>오전 진입</t>
        </is>
      </c>
      <c r="D389" s="6" t="inlineStr">
        <is>
          <t>MORNING_ENTRY</t>
        </is>
      </c>
      <c r="E389" s="6" t="inlineStr">
        <is>
          <t>ANY</t>
        </is>
      </c>
      <c r="F389" s="6" t="inlineStr">
        <is>
          <t>ANY</t>
        </is>
      </c>
      <c r="G389" s="6" t="b">
        <v>0</v>
      </c>
      <c r="H389" s="6" t="inlineStr">
        <is>
          <t>READY</t>
        </is>
      </c>
      <c r="I389" s="6" t="n"/>
      <c r="J389" s="6" t="n"/>
      <c r="K389" s="6" t="inlineStr">
        <is>
          <t>검수표 212</t>
        </is>
      </c>
    </row>
    <row r="390">
      <c r="A390" s="6" t="inlineStr">
        <is>
          <t>DIET-P-0486</t>
        </is>
      </c>
      <c r="B390" s="6" t="inlineStr">
        <is>
          <t>1.0.0</t>
        </is>
      </c>
      <c r="C390" s="6" t="inlineStr">
        <is>
          <t>오전 진입</t>
        </is>
      </c>
      <c r="D390" s="6" t="inlineStr">
        <is>
          <t>MORNING_ENTRY</t>
        </is>
      </c>
      <c r="E390" s="6" t="inlineStr">
        <is>
          <t>ANY</t>
        </is>
      </c>
      <c r="F390" s="6" t="inlineStr">
        <is>
          <t>ANY</t>
        </is>
      </c>
      <c r="G390" s="6" t="b">
        <v>0</v>
      </c>
      <c r="H390" s="6" t="inlineStr">
        <is>
          <t>READY</t>
        </is>
      </c>
      <c r="I390" s="6" t="n"/>
      <c r="J390" s="6" t="n"/>
      <c r="K390" s="6" t="inlineStr">
        <is>
          <t>검수표 213</t>
        </is>
      </c>
    </row>
    <row r="391">
      <c r="A391" s="6" t="inlineStr">
        <is>
          <t>DIET-P-0487</t>
        </is>
      </c>
      <c r="B391" s="6" t="inlineStr">
        <is>
          <t>1.0.0</t>
        </is>
      </c>
      <c r="C391" s="6" t="inlineStr">
        <is>
          <t>오전 진입</t>
        </is>
      </c>
      <c r="D391" s="6" t="inlineStr">
        <is>
          <t>MORNING_ENTRY</t>
        </is>
      </c>
      <c r="E391" s="6" t="inlineStr">
        <is>
          <t>ANY</t>
        </is>
      </c>
      <c r="F391" s="6" t="inlineStr">
        <is>
          <t>ANY</t>
        </is>
      </c>
      <c r="G391" s="6" t="b">
        <v>0</v>
      </c>
      <c r="H391" s="6" t="inlineStr">
        <is>
          <t>READY</t>
        </is>
      </c>
      <c r="I391" s="6" t="n"/>
      <c r="J391" s="6" t="n"/>
      <c r="K391" s="6" t="inlineStr">
        <is>
          <t>검수표 214</t>
        </is>
      </c>
    </row>
    <row r="392">
      <c r="A392" s="6" t="inlineStr">
        <is>
          <t>DIET-P-0488</t>
        </is>
      </c>
      <c r="B392" s="6" t="inlineStr">
        <is>
          <t>1.0.0</t>
        </is>
      </c>
      <c r="C392" s="6" t="inlineStr">
        <is>
          <t>오전 진입</t>
        </is>
      </c>
      <c r="D392" s="6" t="inlineStr">
        <is>
          <t>MORNING_ENTRY</t>
        </is>
      </c>
      <c r="E392" s="6" t="inlineStr">
        <is>
          <t>ANY</t>
        </is>
      </c>
      <c r="F392" s="6" t="inlineStr">
        <is>
          <t>ANY</t>
        </is>
      </c>
      <c r="G392" s="6" t="b">
        <v>0</v>
      </c>
      <c r="H392" s="6" t="inlineStr">
        <is>
          <t>READY</t>
        </is>
      </c>
      <c r="I392" s="6" t="n"/>
      <c r="J392" s="6" t="n"/>
      <c r="K392" s="6" t="inlineStr">
        <is>
          <t>검수표 215</t>
        </is>
      </c>
    </row>
    <row r="393">
      <c r="A393" s="6" t="inlineStr">
        <is>
          <t>DIET-P-0489</t>
        </is>
      </c>
      <c r="B393" s="6" t="inlineStr">
        <is>
          <t>1.0.0</t>
        </is>
      </c>
      <c r="C393" s="6" t="inlineStr">
        <is>
          <t>오전 진입</t>
        </is>
      </c>
      <c r="D393" s="6" t="inlineStr">
        <is>
          <t>MORNING_ENTRY</t>
        </is>
      </c>
      <c r="E393" s="6" t="inlineStr">
        <is>
          <t>ANY</t>
        </is>
      </c>
      <c r="F393" s="6" t="inlineStr">
        <is>
          <t>ANY</t>
        </is>
      </c>
      <c r="G393" s="6" t="b">
        <v>0</v>
      </c>
      <c r="H393" s="6" t="inlineStr">
        <is>
          <t>READY</t>
        </is>
      </c>
      <c r="I393" s="6" t="n"/>
      <c r="J393" s="6" t="n"/>
      <c r="K393" s="6" t="inlineStr">
        <is>
          <t>검수표 216</t>
        </is>
      </c>
    </row>
    <row r="394">
      <c r="A394" s="6" t="inlineStr">
        <is>
          <t>DIET-P-0490</t>
        </is>
      </c>
      <c r="B394" s="6" t="inlineStr">
        <is>
          <t>1.0.0</t>
        </is>
      </c>
      <c r="C394" s="6" t="inlineStr">
        <is>
          <t>오전 진입</t>
        </is>
      </c>
      <c r="D394" s="6" t="inlineStr">
        <is>
          <t>MORNING_ENTRY</t>
        </is>
      </c>
      <c r="E394" s="6" t="inlineStr">
        <is>
          <t>ANY</t>
        </is>
      </c>
      <c r="F394" s="6" t="inlineStr">
        <is>
          <t>ANY</t>
        </is>
      </c>
      <c r="G394" s="6" t="b">
        <v>0</v>
      </c>
      <c r="H394" s="6" t="inlineStr">
        <is>
          <t>READY</t>
        </is>
      </c>
      <c r="I394" s="6" t="n"/>
      <c r="J394" s="6" t="n"/>
      <c r="K394" s="6" t="inlineStr">
        <is>
          <t>검수표 217</t>
        </is>
      </c>
    </row>
    <row r="395">
      <c r="A395" s="6" t="inlineStr">
        <is>
          <t>DIET-P-0491</t>
        </is>
      </c>
      <c r="B395" s="6" t="inlineStr">
        <is>
          <t>1.0.0</t>
        </is>
      </c>
      <c r="C395" s="6" t="inlineStr">
        <is>
          <t>오전 진입</t>
        </is>
      </c>
      <c r="D395" s="6" t="inlineStr">
        <is>
          <t>MORNING_ENTRY</t>
        </is>
      </c>
      <c r="E395" s="6" t="inlineStr">
        <is>
          <t>ANY</t>
        </is>
      </c>
      <c r="F395" s="6" t="inlineStr">
        <is>
          <t>ANY</t>
        </is>
      </c>
      <c r="G395" s="6" t="b">
        <v>0</v>
      </c>
      <c r="H395" s="6" t="inlineStr">
        <is>
          <t>READY</t>
        </is>
      </c>
      <c r="I395" s="6" t="n"/>
      <c r="J395" s="6" t="n"/>
      <c r="K395" s="6" t="inlineStr">
        <is>
          <t>검수표 218</t>
        </is>
      </c>
    </row>
    <row r="396">
      <c r="A396" s="6" t="inlineStr">
        <is>
          <t>DIET-P-0492</t>
        </is>
      </c>
      <c r="B396" s="6" t="inlineStr">
        <is>
          <t>1.0.0</t>
        </is>
      </c>
      <c r="C396" s="6" t="inlineStr">
        <is>
          <t>오전 진입</t>
        </is>
      </c>
      <c r="D396" s="6" t="inlineStr">
        <is>
          <t>MORNING_ENTRY</t>
        </is>
      </c>
      <c r="E396" s="6" t="inlineStr">
        <is>
          <t>ANY</t>
        </is>
      </c>
      <c r="F396" s="6" t="inlineStr">
        <is>
          <t>ANY</t>
        </is>
      </c>
      <c r="G396" s="6" t="b">
        <v>0</v>
      </c>
      <c r="H396" s="6" t="inlineStr">
        <is>
          <t>READY</t>
        </is>
      </c>
      <c r="I396" s="6" t="n"/>
      <c r="J396" s="6" t="n"/>
      <c r="K396" s="6" t="inlineStr">
        <is>
          <t>검수표 219</t>
        </is>
      </c>
    </row>
    <row r="397">
      <c r="A397" s="6" t="inlineStr">
        <is>
          <t>DIET-P-0493</t>
        </is>
      </c>
      <c r="B397" s="6" t="inlineStr">
        <is>
          <t>1.0.0</t>
        </is>
      </c>
      <c r="C397" s="6" t="inlineStr">
        <is>
          <t>오전 진입</t>
        </is>
      </c>
      <c r="D397" s="6" t="inlineStr">
        <is>
          <t>MORNING_ENTRY</t>
        </is>
      </c>
      <c r="E397" s="6" t="inlineStr">
        <is>
          <t>ANY</t>
        </is>
      </c>
      <c r="F397" s="6" t="inlineStr">
        <is>
          <t>ANY</t>
        </is>
      </c>
      <c r="G397" s="6" t="b">
        <v>0</v>
      </c>
      <c r="H397" s="6" t="inlineStr">
        <is>
          <t>READY</t>
        </is>
      </c>
      <c r="I397" s="6" t="n"/>
      <c r="J397" s="6" t="n"/>
      <c r="K397" s="6" t="inlineStr">
        <is>
          <t>검수표 220</t>
        </is>
      </c>
    </row>
    <row r="398">
      <c r="A398" s="6" t="inlineStr">
        <is>
          <t>DIET-P-0494</t>
        </is>
      </c>
      <c r="B398" s="6" t="inlineStr">
        <is>
          <t>1.0.0</t>
        </is>
      </c>
      <c r="C398" s="6" t="inlineStr">
        <is>
          <t>오전 진입</t>
        </is>
      </c>
      <c r="D398" s="6" t="inlineStr">
        <is>
          <t>MORNING_ENTRY</t>
        </is>
      </c>
      <c r="E398" s="6" t="inlineStr">
        <is>
          <t>ANY</t>
        </is>
      </c>
      <c r="F398" s="6" t="inlineStr">
        <is>
          <t>ANY</t>
        </is>
      </c>
      <c r="G398" s="6" t="b">
        <v>0</v>
      </c>
      <c r="H398" s="6" t="inlineStr">
        <is>
          <t>READY</t>
        </is>
      </c>
      <c r="I398" s="6" t="n"/>
      <c r="J398" s="6" t="n"/>
      <c r="K398" s="6" t="inlineStr">
        <is>
          <t>검수표 221</t>
        </is>
      </c>
    </row>
    <row r="399">
      <c r="A399" s="6" t="inlineStr">
        <is>
          <t>DIET-P-0495</t>
        </is>
      </c>
      <c r="B399" s="6" t="inlineStr">
        <is>
          <t>1.0.0</t>
        </is>
      </c>
      <c r="C399" s="6" t="inlineStr">
        <is>
          <t>오전 진입</t>
        </is>
      </c>
      <c r="D399" s="6" t="inlineStr">
        <is>
          <t>MORNING_ENTRY</t>
        </is>
      </c>
      <c r="E399" s="6" t="inlineStr">
        <is>
          <t>ANY</t>
        </is>
      </c>
      <c r="F399" s="6" t="inlineStr">
        <is>
          <t>ANY</t>
        </is>
      </c>
      <c r="G399" s="6" t="b">
        <v>0</v>
      </c>
      <c r="H399" s="6" t="inlineStr">
        <is>
          <t>READY</t>
        </is>
      </c>
      <c r="I399" s="6" t="n"/>
      <c r="J399" s="6" t="n"/>
      <c r="K399" s="6" t="inlineStr">
        <is>
          <t>검수표 222</t>
        </is>
      </c>
    </row>
    <row r="400">
      <c r="A400" s="6" t="inlineStr">
        <is>
          <t>DIET-P-0496</t>
        </is>
      </c>
      <c r="B400" s="6" t="inlineStr">
        <is>
          <t>1.0.0</t>
        </is>
      </c>
      <c r="C400" s="6" t="inlineStr">
        <is>
          <t>오후 진입</t>
        </is>
      </c>
      <c r="D400" s="6" t="inlineStr">
        <is>
          <t>AFTERNOON_ENTRY</t>
        </is>
      </c>
      <c r="E400" s="6" t="inlineStr">
        <is>
          <t>ANY</t>
        </is>
      </c>
      <c r="F400" s="6" t="inlineStr">
        <is>
          <t>ANY</t>
        </is>
      </c>
      <c r="G400" s="6" t="b">
        <v>0</v>
      </c>
      <c r="H400" s="6" t="inlineStr">
        <is>
          <t>READY</t>
        </is>
      </c>
      <c r="I400" s="6" t="n"/>
      <c r="J400" s="6" t="n"/>
      <c r="K400" s="6" t="inlineStr">
        <is>
          <t>검수표 223</t>
        </is>
      </c>
    </row>
    <row r="401">
      <c r="A401" s="6" t="inlineStr">
        <is>
          <t>DIET-P-0497</t>
        </is>
      </c>
      <c r="B401" s="6" t="inlineStr">
        <is>
          <t>1.0.0</t>
        </is>
      </c>
      <c r="C401" s="6" t="inlineStr">
        <is>
          <t>오후 진입</t>
        </is>
      </c>
      <c r="D401" s="6" t="inlineStr">
        <is>
          <t>AFTERNOON_ENTRY</t>
        </is>
      </c>
      <c r="E401" s="6" t="inlineStr">
        <is>
          <t>ANY</t>
        </is>
      </c>
      <c r="F401" s="6" t="inlineStr">
        <is>
          <t>ANY</t>
        </is>
      </c>
      <c r="G401" s="6" t="b">
        <v>0</v>
      </c>
      <c r="H401" s="6" t="inlineStr">
        <is>
          <t>READY</t>
        </is>
      </c>
      <c r="I401" s="6" t="n"/>
      <c r="J401" s="6" t="n"/>
      <c r="K401" s="6" t="inlineStr">
        <is>
          <t>검수표 224</t>
        </is>
      </c>
    </row>
    <row r="402">
      <c r="A402" s="6" t="inlineStr">
        <is>
          <t>DIET-P-0498</t>
        </is>
      </c>
      <c r="B402" s="6" t="inlineStr">
        <is>
          <t>1.0.0</t>
        </is>
      </c>
      <c r="C402" s="6" t="inlineStr">
        <is>
          <t>오후 진입</t>
        </is>
      </c>
      <c r="D402" s="6" t="inlineStr">
        <is>
          <t>AFTERNOON_ENTRY</t>
        </is>
      </c>
      <c r="E402" s="6" t="inlineStr">
        <is>
          <t>ANY</t>
        </is>
      </c>
      <c r="F402" s="6" t="inlineStr">
        <is>
          <t>ANY</t>
        </is>
      </c>
      <c r="G402" s="6" t="b">
        <v>0</v>
      </c>
      <c r="H402" s="6" t="inlineStr">
        <is>
          <t>READY</t>
        </is>
      </c>
      <c r="I402" s="6" t="n"/>
      <c r="J402" s="6" t="n"/>
      <c r="K402" s="6" t="inlineStr">
        <is>
          <t>검수표 225</t>
        </is>
      </c>
    </row>
    <row r="403">
      <c r="A403" s="6" t="inlineStr">
        <is>
          <t>DIET-P-0499</t>
        </is>
      </c>
      <c r="B403" s="6" t="inlineStr">
        <is>
          <t>1.0.0</t>
        </is>
      </c>
      <c r="C403" s="6" t="inlineStr">
        <is>
          <t>오후 진입</t>
        </is>
      </c>
      <c r="D403" s="6" t="inlineStr">
        <is>
          <t>AFTERNOON_ENTRY</t>
        </is>
      </c>
      <c r="E403" s="6" t="inlineStr">
        <is>
          <t>ANY</t>
        </is>
      </c>
      <c r="F403" s="6" t="inlineStr">
        <is>
          <t>ANY</t>
        </is>
      </c>
      <c r="G403" s="6" t="b">
        <v>0</v>
      </c>
      <c r="H403" s="6" t="inlineStr">
        <is>
          <t>READY</t>
        </is>
      </c>
      <c r="I403" s="6" t="n"/>
      <c r="J403" s="6" t="n"/>
      <c r="K403" s="6" t="inlineStr">
        <is>
          <t>검수표 226</t>
        </is>
      </c>
    </row>
    <row r="404">
      <c r="A404" s="6" t="inlineStr">
        <is>
          <t>DIET-P-0500</t>
        </is>
      </c>
      <c r="B404" s="6" t="inlineStr">
        <is>
          <t>1.0.0</t>
        </is>
      </c>
      <c r="C404" s="6" t="inlineStr">
        <is>
          <t>오후 진입</t>
        </is>
      </c>
      <c r="D404" s="6" t="inlineStr">
        <is>
          <t>AFTERNOON_ENTRY</t>
        </is>
      </c>
      <c r="E404" s="6" t="inlineStr">
        <is>
          <t>ANY</t>
        </is>
      </c>
      <c r="F404" s="6" t="inlineStr">
        <is>
          <t>ANY</t>
        </is>
      </c>
      <c r="G404" s="6" t="b">
        <v>0</v>
      </c>
      <c r="H404" s="6" t="inlineStr">
        <is>
          <t>READY</t>
        </is>
      </c>
      <c r="I404" s="6" t="n"/>
      <c r="J404" s="6" t="n"/>
      <c r="K404" s="6" t="inlineStr">
        <is>
          <t>검수표 227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467"/>
  <sheetViews>
    <sheetView workbookViewId="0">
      <pane ySplit="1" topLeftCell="A2" activePane="bottomLeft" state="frozenSplit"/>
      <selection pane="bottomLeft" activeCell="A1" sqref="A1"/>
    </sheetView>
  </sheetViews>
  <sheetFormatPr baseColWidth="8" defaultRowHeight="12.5"/>
  <cols>
    <col width="12.58203125" customWidth="1" style="2" min="1" max="1"/>
    <col width="28.58203125" customWidth="1" style="2" min="2" max="2"/>
    <col width="24.58203125" customWidth="1" style="2" min="3" max="3"/>
    <col width="12.58203125" customWidth="1" style="2" min="4" max="4"/>
    <col width="34.58203125" customWidth="1" style="2" min="5" max="5"/>
    <col width="36.58203125" customWidth="1" style="2" min="6" max="6"/>
    <col width="9.58203125" customWidth="1" style="2" min="7" max="7"/>
    <col width="18.58203125" customWidth="1" style="2" min="8" max="8"/>
    <col width="11.58203125" customWidth="1" style="2" min="9" max="9"/>
    <col width="12.58203125" customWidth="1" style="2" min="10" max="10"/>
    <col width="14.58203125" customWidth="1" style="2" min="11" max="11"/>
    <col width="20.58203125" customWidth="1" style="2" min="12" max="12"/>
    <col width="8.6640625" customWidth="1" style="2" min="13" max="16384"/>
  </cols>
  <sheetData>
    <row r="1" ht="13" customHeight="1">
      <c r="A1" s="23" t="inlineStr">
        <is>
          <t>text_type</t>
        </is>
      </c>
      <c r="B1" s="23" t="inlineStr">
        <is>
          <t>key_id</t>
        </is>
      </c>
      <c r="C1" s="23" t="inlineStr">
        <is>
          <t>key_code</t>
        </is>
      </c>
      <c r="D1" s="23" t="inlineStr">
        <is>
          <t>key_version</t>
        </is>
      </c>
      <c r="E1" s="23" t="inlineStr">
        <is>
          <t>text_ko</t>
        </is>
      </c>
      <c r="F1" s="23" t="inlineStr">
        <is>
          <t>text_en</t>
        </is>
      </c>
      <c r="G1" s="23" t="inlineStr">
        <is>
          <t>char_en</t>
        </is>
      </c>
      <c r="H1" s="23" t="inlineStr">
        <is>
          <t>limit_recommended</t>
        </is>
      </c>
      <c r="I1" s="23" t="inlineStr">
        <is>
          <t>limit_max</t>
        </is>
      </c>
      <c r="J1" s="23" t="inlineStr">
        <is>
          <t>length_check</t>
        </is>
      </c>
      <c r="K1" s="23" t="inlineStr">
        <is>
          <t>review_status</t>
        </is>
      </c>
      <c r="L1" s="23" t="inlineStr">
        <is>
          <t>note</t>
        </is>
      </c>
    </row>
    <row r="2">
      <c r="A2" s="24" t="inlineStr">
        <is>
          <t>QUESTION</t>
        </is>
      </c>
      <c r="B2" s="24" t="inlineStr">
        <is>
          <t>DIET-Q-00</t>
        </is>
      </c>
      <c r="C2" s="24" t="n"/>
      <c r="D2" s="24" t="inlineStr">
        <is>
          <t>1.0.0</t>
        </is>
      </c>
      <c r="E2" s="25">
        <f>INDEX(질문!$E$1:$E$100,MATCH($B2,질문!$A$1:$A$100,0))</f>
        <v/>
      </c>
      <c r="F2" s="31" t="inlineStr">
        <is>
          <t>Did you eat as much as usual at {meal}?</t>
        </is>
      </c>
      <c r="G2" s="24">
        <f>LEN(F2)</f>
        <v/>
      </c>
      <c r="H2" s="24" t="n">
        <v>56</v>
      </c>
      <c r="I2" s="24" t="n">
        <v>64</v>
      </c>
      <c r="J2" s="24">
        <f>IF(F2="","비어 있음",IF(G2&lt;=H2,"OK",IF(G2&lt;=I2,"길이 주의","상한 초과")))</f>
        <v/>
      </c>
      <c r="K2" s="24" t="inlineStr">
        <is>
          <t>초안(10-08)</t>
        </is>
      </c>
      <c r="L2" s="24" t="n"/>
    </row>
    <row r="3" ht="25" customHeight="1">
      <c r="A3" s="24" t="inlineStr">
        <is>
          <t>QUESTION</t>
        </is>
      </c>
      <c r="B3" s="24" t="inlineStr">
        <is>
          <t>DIET-Q-01</t>
        </is>
      </c>
      <c r="C3" s="24" t="n"/>
      <c r="D3" s="24" t="inlineStr">
        <is>
          <t>1.0.0</t>
        </is>
      </c>
      <c r="E3" s="25">
        <f>INDEX(질문!$E$1:$E$100,MATCH($B3,질문!$A$1:$A$100,0))</f>
        <v/>
      </c>
      <c r="F3" s="31" t="inlineStr">
        <is>
          <t>How many vegetable sides did you have at {meal}?</t>
        </is>
      </c>
      <c r="G3" s="24">
        <f>LEN(F3)</f>
        <v/>
      </c>
      <c r="H3" s="24" t="n">
        <v>56</v>
      </c>
      <c r="I3" s="24" t="n">
        <v>64</v>
      </c>
      <c r="J3" s="24">
        <f>IF(F3="","비어 있음",IF(G3&lt;=H3,"OK",IF(G3&lt;=I3,"길이 주의","상한 초과")))</f>
        <v/>
      </c>
      <c r="K3" s="24" t="inlineStr">
        <is>
          <t>초안(10-08)</t>
        </is>
      </c>
      <c r="L3" s="24" t="n"/>
    </row>
    <row r="4" ht="25" customHeight="1">
      <c r="A4" s="24" t="inlineStr">
        <is>
          <t>QUESTION</t>
        </is>
      </c>
      <c r="B4" s="24" t="inlineStr">
        <is>
          <t>DIET-Q-02</t>
        </is>
      </c>
      <c r="C4" s="24" t="n"/>
      <c r="D4" s="24" t="inlineStr">
        <is>
          <t>1.0.0</t>
        </is>
      </c>
      <c r="E4" s="25">
        <f>INDEX(질문!$E$1:$E$100,MATCH($B4,질문!$A$1:$A$100,0))</f>
        <v/>
      </c>
      <c r="F4" s="31" t="inlineStr">
        <is>
          <t>How many sweet drinks or snacks around {meal}?</t>
        </is>
      </c>
      <c r="G4" s="24">
        <f>LEN(F4)</f>
        <v/>
      </c>
      <c r="H4" s="24" t="n">
        <v>56</v>
      </c>
      <c r="I4" s="24" t="n">
        <v>64</v>
      </c>
      <c r="J4" s="24">
        <f>IF(F4="","비어 있음",IF(G4&lt;=H4,"OK",IF(G4&lt;=I4,"길이 주의","상한 초과")))</f>
        <v/>
      </c>
      <c r="K4" s="24" t="inlineStr">
        <is>
          <t>초안(10-08)</t>
        </is>
      </c>
      <c r="L4" s="24" t="n"/>
    </row>
    <row r="5">
      <c r="A5" s="24" t="inlineStr">
        <is>
          <t>QUESTION</t>
        </is>
      </c>
      <c r="B5" s="24" t="inlineStr">
        <is>
          <t>DIET-Q-03</t>
        </is>
      </c>
      <c r="C5" s="24" t="n"/>
      <c r="D5" s="24" t="inlineStr">
        <is>
          <t>1.0.0</t>
        </is>
      </c>
      <c r="E5" s="25">
        <f>INDEX(질문!$E$1:$E$100,MATCH($B5,질문!$A$1:$A$100,0))</f>
        <v/>
      </c>
      <c r="F5" s="31" t="inlineStr">
        <is>
          <t>How much soup or broth did you have at {meal}?</t>
        </is>
      </c>
      <c r="G5" s="24">
        <f>LEN(F5)</f>
        <v/>
      </c>
      <c r="H5" s="24" t="n">
        <v>56</v>
      </c>
      <c r="I5" s="24" t="n">
        <v>64</v>
      </c>
      <c r="J5" s="24">
        <f>IF(F5="","비어 있음",IF(G5&lt;=H5,"OK",IF(G5&lt;=I5,"길이 주의","상한 초과")))</f>
        <v/>
      </c>
      <c r="K5" s="24" t="inlineStr">
        <is>
          <t>초안(10-08)</t>
        </is>
      </c>
      <c r="L5" s="24" t="n"/>
    </row>
    <row r="6">
      <c r="A6" s="24" t="inlineStr">
        <is>
          <t>QUESTION</t>
        </is>
      </c>
      <c r="B6" s="24" t="inlineStr">
        <is>
          <t>DIET-Q-04</t>
        </is>
      </c>
      <c r="C6" s="24" t="n"/>
      <c r="D6" s="24" t="inlineStr">
        <is>
          <t>1.0.0</t>
        </is>
      </c>
      <c r="E6" s="25">
        <f>INDEX(질문!$E$1:$E$100,MATCH($B6,질문!$A$1:$A$100,0))</f>
        <v/>
      </c>
      <c r="F6" s="31" t="inlineStr">
        <is>
          <t>How much did you eat late last night?</t>
        </is>
      </c>
      <c r="G6" s="24">
        <f>LEN(F6)</f>
        <v/>
      </c>
      <c r="H6" s="24" t="n">
        <v>56</v>
      </c>
      <c r="I6" s="24" t="n">
        <v>64</v>
      </c>
      <c r="J6" s="24">
        <f>IF(F6="","비어 있음",IF(G6&lt;=H6,"OK",IF(G6&lt;=I6,"길이 주의","상한 초과")))</f>
        <v/>
      </c>
      <c r="K6" s="24" t="inlineStr">
        <is>
          <t>초안(10-08)</t>
        </is>
      </c>
      <c r="L6" s="24" t="n"/>
    </row>
    <row r="7">
      <c r="A7" s="24" t="inlineStr">
        <is>
          <t>QUESTION</t>
        </is>
      </c>
      <c r="B7" s="24" t="inlineStr">
        <is>
          <t>DIET-Q-05</t>
        </is>
      </c>
      <c r="C7" s="24" t="n"/>
      <c r="D7" s="24" t="inlineStr">
        <is>
          <t>1.0.0</t>
        </is>
      </c>
      <c r="E7" s="25">
        <f>INDEX(질문!$E$1:$E$100,MATCH($B7,질문!$A$1:$A$100,0))</f>
        <v/>
      </c>
      <c r="F7" s="31" t="inlineStr">
        <is>
          <t>How full did you feel after {meal}?</t>
        </is>
      </c>
      <c r="G7" s="24">
        <f>LEN(F7)</f>
        <v/>
      </c>
      <c r="H7" s="24" t="n">
        <v>56</v>
      </c>
      <c r="I7" s="24" t="n">
        <v>64</v>
      </c>
      <c r="J7" s="24">
        <f>IF(F7="","비어 있음",IF(G7&lt;=H7,"OK",IF(G7&lt;=I7,"길이 주의","상한 초과")))</f>
        <v/>
      </c>
      <c r="K7" s="24" t="inlineStr">
        <is>
          <t>초안(10-08)</t>
        </is>
      </c>
      <c r="L7" s="24" t="n"/>
    </row>
    <row r="8" ht="25" customHeight="1">
      <c r="A8" s="24" t="inlineStr">
        <is>
          <t>QUESTION</t>
        </is>
      </c>
      <c r="B8" s="24" t="inlineStr">
        <is>
          <t>DIET-Q-06</t>
        </is>
      </c>
      <c r="C8" s="24" t="n"/>
      <c r="D8" s="24" t="inlineStr">
        <is>
          <t>1.0.0</t>
        </is>
      </c>
      <c r="E8" s="25">
        <f>INDEX(질문!$E$1:$E$100,MATCH($B8,질문!$A$1:$A$100,0))</f>
        <v/>
      </c>
      <c r="F8" s="31" t="inlineStr">
        <is>
          <t>Did you have protein (meat, fish, eggs) at {meal}?</t>
        </is>
      </c>
      <c r="G8" s="24">
        <f>LEN(F8)</f>
        <v/>
      </c>
      <c r="H8" s="24" t="n">
        <v>56</v>
      </c>
      <c r="I8" s="24" t="n">
        <v>64</v>
      </c>
      <c r="J8" s="24">
        <f>IF(F8="","비어 있음",IF(G8&lt;=H8,"OK",IF(G8&lt;=I8,"길이 주의","상한 초과")))</f>
        <v/>
      </c>
      <c r="K8" s="24" t="inlineStr">
        <is>
          <t>초안(10-08)</t>
        </is>
      </c>
      <c r="L8" s="24" t="n"/>
    </row>
    <row r="9">
      <c r="A9" s="24" t="inlineStr">
        <is>
          <t>QUESTION</t>
        </is>
      </c>
      <c r="B9" s="24" t="inlineStr">
        <is>
          <t>DIET-Q-07</t>
        </is>
      </c>
      <c r="C9" s="24" t="n"/>
      <c r="D9" s="24" t="inlineStr">
        <is>
          <t>1.0.0</t>
        </is>
      </c>
      <c r="E9" s="25">
        <f>INDEX(질문!$E$1:$E$100,MATCH($B9,질문!$A$1:$A$100,0))</f>
        <v/>
      </c>
      <c r="F9" s="31" t="inlineStr">
        <is>
          <t>Did you have fried food at {meal}?</t>
        </is>
      </c>
      <c r="G9" s="24">
        <f>LEN(F9)</f>
        <v/>
      </c>
      <c r="H9" s="24" t="n">
        <v>56</v>
      </c>
      <c r="I9" s="24" t="n">
        <v>64</v>
      </c>
      <c r="J9" s="24">
        <f>IF(F9="","비어 있음",IF(G9&lt;=H9,"OK",IF(G9&lt;=I9,"길이 주의","상한 초과")))</f>
        <v/>
      </c>
      <c r="K9" s="24" t="inlineStr">
        <is>
          <t>초안(10-08)</t>
        </is>
      </c>
      <c r="L9" s="24" t="n"/>
    </row>
    <row r="10">
      <c r="A10" s="24" t="inlineStr">
        <is>
          <t>QUESTION</t>
        </is>
      </c>
      <c r="B10" s="24" t="inlineStr">
        <is>
          <t>DIET-Q-90</t>
        </is>
      </c>
      <c r="C10" s="24" t="n"/>
      <c r="D10" s="24" t="inlineStr">
        <is>
          <t>1.0.0</t>
        </is>
      </c>
      <c r="E10" s="25">
        <f>INDEX(질문!$E$1:$E$100,MATCH($B10,질문!$A$1:$A$100,0))</f>
        <v/>
      </c>
      <c r="F10" s="31" t="inlineStr">
        <is>
          <t>Are you diagnosed with or managing {condition}?</t>
        </is>
      </c>
      <c r="G10" s="24">
        <f>LEN(F10)</f>
        <v/>
      </c>
      <c r="H10" s="24" t="n">
        <v>56</v>
      </c>
      <c r="I10" s="24" t="n">
        <v>64</v>
      </c>
      <c r="J10" s="24">
        <f>IF(F10="","비어 있음",IF(G10&lt;=H10,"OK",IF(G10&lt;=I10,"길이 주의","상한 초과")))</f>
        <v/>
      </c>
      <c r="K10" s="24" t="inlineStr">
        <is>
          <t>초안(10-08)</t>
        </is>
      </c>
      <c r="L10" s="24" t="n"/>
    </row>
    <row r="11">
      <c r="A11" s="24" t="inlineStr">
        <is>
          <t>OPTION</t>
        </is>
      </c>
      <c r="B11" s="24" t="inlineStr">
        <is>
          <t>DIET-Q-00</t>
        </is>
      </c>
      <c r="C11" s="24" t="inlineStr">
        <is>
          <t>usual</t>
        </is>
      </c>
      <c r="D11" s="24" t="inlineStr">
        <is>
          <t>1.0.0</t>
        </is>
      </c>
      <c r="E11" s="25">
        <f>INDEX(선택지!$E$1:$E$200,SUMPRODUCT((선택지!$A$2:$A$200=$B11)*(선택지!$D$2:$D$200=$C11)*ROW(선택지!$A$2:$A$200)))</f>
        <v/>
      </c>
      <c r="F11" s="31" t="inlineStr">
        <is>
          <t>Ate enough</t>
        </is>
      </c>
      <c r="G11" s="24">
        <f>LEN(F11)</f>
        <v/>
      </c>
      <c r="H11" s="24" t="n">
        <v>16</v>
      </c>
      <c r="I11" s="24" t="n">
        <v>20</v>
      </c>
      <c r="J11" s="24">
        <f>IF(F11="","비어 있음",IF(G11&lt;=H11,"OK",IF(G11&lt;=I11,"길이 주의","상한 초과")))</f>
        <v/>
      </c>
      <c r="K11" s="24" t="inlineStr">
        <is>
          <t>초안(10-08)</t>
        </is>
      </c>
      <c r="L11" s="24" t="n"/>
    </row>
    <row r="12">
      <c r="A12" s="24" t="inlineStr">
        <is>
          <t>OPTION</t>
        </is>
      </c>
      <c r="B12" s="24" t="inlineStr">
        <is>
          <t>DIET-Q-00</t>
        </is>
      </c>
      <c r="C12" s="24" t="inlineStr">
        <is>
          <t>less</t>
        </is>
      </c>
      <c r="D12" s="24" t="inlineStr">
        <is>
          <t>1.0.0</t>
        </is>
      </c>
      <c r="E12" s="25">
        <f>INDEX(선택지!$E$1:$E$200,SUMPRODUCT((선택지!$A$2:$A$200=$B12)*(선택지!$D$2:$D$200=$C12)*ROW(선택지!$A$2:$A$200)))</f>
        <v/>
      </c>
      <c r="F12" s="31" t="inlineStr">
        <is>
          <t>Less, a few bites</t>
        </is>
      </c>
      <c r="G12" s="24">
        <f>LEN(F12)</f>
        <v/>
      </c>
      <c r="H12" s="24" t="n">
        <v>16</v>
      </c>
      <c r="I12" s="24" t="n">
        <v>20</v>
      </c>
      <c r="J12" s="24">
        <f>IF(F12="","비어 있음",IF(G12&lt;=H12,"OK",IF(G12&lt;=I12,"길이 주의","상한 초과")))</f>
        <v/>
      </c>
      <c r="K12" s="24" t="inlineStr">
        <is>
          <t>초안(10-08)</t>
        </is>
      </c>
      <c r="L12" s="24" t="n"/>
    </row>
    <row r="13">
      <c r="A13" s="24" t="inlineStr">
        <is>
          <t>OPTION</t>
        </is>
      </c>
      <c r="B13" s="24" t="inlineStr">
        <is>
          <t>DIET-Q-00</t>
        </is>
      </c>
      <c r="C13" s="24" t="inlineStr">
        <is>
          <t>very_little_or_skipped</t>
        </is>
      </c>
      <c r="D13" s="24" t="inlineStr">
        <is>
          <t>1.0.0</t>
        </is>
      </c>
      <c r="E13" s="25">
        <f>INDEX(선택지!$E$1:$E$200,SUMPRODUCT((선택지!$A$2:$A$200=$B13)*(선택지!$D$2:$D$200=$C13)*ROW(선택지!$A$2:$A$200)))</f>
        <v/>
      </c>
      <c r="F13" s="31" t="inlineStr">
        <is>
          <t>Didn't eat or skipped</t>
        </is>
      </c>
      <c r="G13" s="24">
        <f>LEN(F13)</f>
        <v/>
      </c>
      <c r="H13" s="24" t="n">
        <v>16</v>
      </c>
      <c r="I13" s="24" t="n">
        <v>20</v>
      </c>
      <c r="J13" s="24">
        <f>IF(F13="","비어 있음",IF(G13&lt;=H13,"OK",IF(G13&lt;=I13,"길이 주의","상한 초과")))</f>
        <v/>
      </c>
      <c r="K13" s="24" t="inlineStr">
        <is>
          <t>초안(10-08)</t>
        </is>
      </c>
      <c r="L13" s="24" t="n"/>
    </row>
    <row r="14">
      <c r="A14" s="24" t="inlineStr">
        <is>
          <t>OPTION</t>
        </is>
      </c>
      <c r="B14" s="24" t="inlineStr">
        <is>
          <t>DIET-Q-01</t>
        </is>
      </c>
      <c r="C14" s="24" t="inlineStr">
        <is>
          <t>two_or_more</t>
        </is>
      </c>
      <c r="D14" s="24" t="inlineStr">
        <is>
          <t>1.0.0</t>
        </is>
      </c>
      <c r="E14" s="25">
        <f>INDEX(선택지!$E$1:$E$200,SUMPRODUCT((선택지!$A$2:$A$200=$B14)*(선택지!$D$2:$D$200=$C14)*ROW(선택지!$A$2:$A$200)))</f>
        <v/>
      </c>
      <c r="F14" s="31" t="inlineStr">
        <is>
          <t>Plenty</t>
        </is>
      </c>
      <c r="G14" s="24">
        <f>LEN(F14)</f>
        <v/>
      </c>
      <c r="H14" s="24" t="n">
        <v>16</v>
      </c>
      <c r="I14" s="24" t="n">
        <v>20</v>
      </c>
      <c r="J14" s="24">
        <f>IF(F14="","비어 있음",IF(G14&lt;=H14,"OK",IF(G14&lt;=I14,"길이 주의","상한 초과")))</f>
        <v/>
      </c>
      <c r="K14" s="24" t="inlineStr">
        <is>
          <t>초안(10-08)</t>
        </is>
      </c>
      <c r="L14" s="24" t="n"/>
    </row>
    <row r="15">
      <c r="A15" s="24" t="inlineStr">
        <is>
          <t>OPTION</t>
        </is>
      </c>
      <c r="B15" s="24" t="inlineStr">
        <is>
          <t>DIET-Q-01</t>
        </is>
      </c>
      <c r="C15" s="24" t="inlineStr">
        <is>
          <t>one</t>
        </is>
      </c>
      <c r="D15" s="24" t="inlineStr">
        <is>
          <t>1.0.0</t>
        </is>
      </c>
      <c r="E15" s="25">
        <f>INDEX(선택지!$E$1:$E$200,SUMPRODUCT((선택지!$A$2:$A$200=$B15)*(선택지!$D$2:$D$200=$C15)*ROW(선택지!$A$2:$A$200)))</f>
        <v/>
      </c>
      <c r="F15" s="31" t="inlineStr">
        <is>
          <t>A little</t>
        </is>
      </c>
      <c r="G15" s="24">
        <f>LEN(F15)</f>
        <v/>
      </c>
      <c r="H15" s="24" t="n">
        <v>16</v>
      </c>
      <c r="I15" s="24" t="n">
        <v>20</v>
      </c>
      <c r="J15" s="24">
        <f>IF(F15="","비어 있음",IF(G15&lt;=H15,"OK",IF(G15&lt;=I15,"길이 주의","상한 초과")))</f>
        <v/>
      </c>
      <c r="K15" s="24" t="inlineStr">
        <is>
          <t>초안(10-08)</t>
        </is>
      </c>
      <c r="L15" s="24" t="n"/>
    </row>
    <row r="16">
      <c r="A16" s="24" t="inlineStr">
        <is>
          <t>OPTION</t>
        </is>
      </c>
      <c r="B16" s="24" t="inlineStr">
        <is>
          <t>DIET-Q-01</t>
        </is>
      </c>
      <c r="C16" s="24" t="inlineStr">
        <is>
          <t>none</t>
        </is>
      </c>
      <c r="D16" s="24" t="inlineStr">
        <is>
          <t>1.0.0</t>
        </is>
      </c>
      <c r="E16" s="25">
        <f>INDEX(선택지!$E$1:$E$200,SUMPRODUCT((선택지!$A$2:$A$200=$B16)*(선택지!$D$2:$D$200=$C16)*ROW(선택지!$A$2:$A$200)))</f>
        <v/>
      </c>
      <c r="F16" s="31" t="inlineStr">
        <is>
          <t>None</t>
        </is>
      </c>
      <c r="G16" s="24">
        <f>LEN(F16)</f>
        <v/>
      </c>
      <c r="H16" s="24" t="n">
        <v>16</v>
      </c>
      <c r="I16" s="24" t="n">
        <v>20</v>
      </c>
      <c r="J16" s="24">
        <f>IF(F16="","비어 있음",IF(G16&lt;=H16,"OK",IF(G16&lt;=I16,"길이 주의","상한 초과")))</f>
        <v/>
      </c>
      <c r="K16" s="24" t="inlineStr">
        <is>
          <t>초안(10-08)</t>
        </is>
      </c>
      <c r="L16" s="24" t="n"/>
    </row>
    <row r="17">
      <c r="A17" s="24" t="inlineStr">
        <is>
          <t>OPTION</t>
        </is>
      </c>
      <c r="B17" s="24" t="inlineStr">
        <is>
          <t>DIET-Q-02</t>
        </is>
      </c>
      <c r="C17" s="24" t="inlineStr">
        <is>
          <t>none</t>
        </is>
      </c>
      <c r="D17" s="24" t="inlineStr">
        <is>
          <t>1.0.0</t>
        </is>
      </c>
      <c r="E17" s="25">
        <f>INDEX(선택지!$E$1:$E$200,SUMPRODUCT((선택지!$A$2:$A$200=$B17)*(선택지!$D$2:$D$200=$C17)*ROW(선택지!$A$2:$A$200)))</f>
        <v/>
      </c>
      <c r="F17" s="31" t="inlineStr">
        <is>
          <t>None</t>
        </is>
      </c>
      <c r="G17" s="24">
        <f>LEN(F17)</f>
        <v/>
      </c>
      <c r="H17" s="24" t="n">
        <v>16</v>
      </c>
      <c r="I17" s="24" t="n">
        <v>20</v>
      </c>
      <c r="J17" s="24">
        <f>IF(F17="","비어 있음",IF(G17&lt;=H17,"OK",IF(G17&lt;=I17,"길이 주의","상한 초과")))</f>
        <v/>
      </c>
      <c r="K17" s="24" t="inlineStr">
        <is>
          <t>초안(10-08)</t>
        </is>
      </c>
      <c r="L17" s="24" t="n"/>
    </row>
    <row r="18">
      <c r="A18" s="24" t="inlineStr">
        <is>
          <t>OPTION</t>
        </is>
      </c>
      <c r="B18" s="24" t="inlineStr">
        <is>
          <t>DIET-Q-02</t>
        </is>
      </c>
      <c r="C18" s="24" t="inlineStr">
        <is>
          <t>once</t>
        </is>
      </c>
      <c r="D18" s="24" t="inlineStr">
        <is>
          <t>1.0.0</t>
        </is>
      </c>
      <c r="E18" s="25">
        <f>INDEX(선택지!$E$1:$E$200,SUMPRODUCT((선택지!$A$2:$A$200=$B18)*(선택지!$D$2:$D$200=$C18)*ROW(선택지!$A$2:$A$200)))</f>
        <v/>
      </c>
      <c r="F18" s="31" t="inlineStr">
        <is>
          <t>Once</t>
        </is>
      </c>
      <c r="G18" s="24">
        <f>LEN(F18)</f>
        <v/>
      </c>
      <c r="H18" s="24" t="n">
        <v>16</v>
      </c>
      <c r="I18" s="24" t="n">
        <v>20</v>
      </c>
      <c r="J18" s="24">
        <f>IF(F18="","비어 있음",IF(G18&lt;=H18,"OK",IF(G18&lt;=I18,"길이 주의","상한 초과")))</f>
        <v/>
      </c>
      <c r="K18" s="24" t="inlineStr">
        <is>
          <t>초안(10-08)</t>
        </is>
      </c>
      <c r="L18" s="24" t="n"/>
    </row>
    <row r="19">
      <c r="A19" s="24" t="inlineStr">
        <is>
          <t>OPTION</t>
        </is>
      </c>
      <c r="B19" s="24" t="inlineStr">
        <is>
          <t>DIET-Q-02</t>
        </is>
      </c>
      <c r="C19" s="24" t="inlineStr">
        <is>
          <t>twice_or_more</t>
        </is>
      </c>
      <c r="D19" s="24" t="inlineStr">
        <is>
          <t>1.0.0</t>
        </is>
      </c>
      <c r="E19" s="25">
        <f>INDEX(선택지!$E$1:$E$200,SUMPRODUCT((선택지!$A$2:$A$200=$B19)*(선택지!$D$2:$D$200=$C19)*ROW(선택지!$A$2:$A$200)))</f>
        <v/>
      </c>
      <c r="F19" s="31" t="inlineStr">
        <is>
          <t>Twice or more</t>
        </is>
      </c>
      <c r="G19" s="24">
        <f>LEN(F19)</f>
        <v/>
      </c>
      <c r="H19" s="24" t="n">
        <v>16</v>
      </c>
      <c r="I19" s="24" t="n">
        <v>20</v>
      </c>
      <c r="J19" s="24">
        <f>IF(F19="","비어 있음",IF(G19&lt;=H19,"OK",IF(G19&lt;=I19,"길이 주의","상한 초과")))</f>
        <v/>
      </c>
      <c r="K19" s="24" t="inlineStr">
        <is>
          <t>초안(10-08)</t>
        </is>
      </c>
      <c r="L19" s="24" t="n"/>
    </row>
    <row r="20">
      <c r="A20" s="24" t="inlineStr">
        <is>
          <t>OPTION</t>
        </is>
      </c>
      <c r="B20" s="24" t="inlineStr">
        <is>
          <t>DIET-Q-03</t>
        </is>
      </c>
      <c r="C20" s="24" t="inlineStr">
        <is>
          <t>none</t>
        </is>
      </c>
      <c r="D20" s="24" t="inlineStr">
        <is>
          <t>1.0.0</t>
        </is>
      </c>
      <c r="E20" s="25">
        <f>INDEX(선택지!$E$1:$E$200,SUMPRODUCT((선택지!$A$2:$A$200=$B20)*(선택지!$D$2:$D$200=$C20)*ROW(선택지!$A$2:$A$200)))</f>
        <v/>
      </c>
      <c r="F20" s="31" t="inlineStr">
        <is>
          <t>None</t>
        </is>
      </c>
      <c r="G20" s="24">
        <f>LEN(F20)</f>
        <v/>
      </c>
      <c r="H20" s="24" t="n">
        <v>16</v>
      </c>
      <c r="I20" s="24" t="n">
        <v>20</v>
      </c>
      <c r="J20" s="24">
        <f>IF(F20="","비어 있음",IF(G20&lt;=H20,"OK",IF(G20&lt;=I20,"길이 주의","상한 초과")))</f>
        <v/>
      </c>
      <c r="K20" s="24" t="inlineStr">
        <is>
          <t>초안(10-08)</t>
        </is>
      </c>
      <c r="L20" s="24" t="n"/>
    </row>
    <row r="21">
      <c r="A21" s="24" t="inlineStr">
        <is>
          <t>OPTION</t>
        </is>
      </c>
      <c r="B21" s="24" t="inlineStr">
        <is>
          <t>DIET-Q-03</t>
        </is>
      </c>
      <c r="C21" s="24" t="inlineStr">
        <is>
          <t>half_or_less</t>
        </is>
      </c>
      <c r="D21" s="24" t="inlineStr">
        <is>
          <t>1.0.0</t>
        </is>
      </c>
      <c r="E21" s="25">
        <f>INDEX(선택지!$E$1:$E$200,SUMPRODUCT((선택지!$A$2:$A$200=$B21)*(선택지!$D$2:$D$200=$C21)*ROW(선택지!$A$2:$A$200)))</f>
        <v/>
      </c>
      <c r="F21" s="31" t="inlineStr">
        <is>
          <t>Half or less</t>
        </is>
      </c>
      <c r="G21" s="24">
        <f>LEN(F21)</f>
        <v/>
      </c>
      <c r="H21" s="24" t="n">
        <v>16</v>
      </c>
      <c r="I21" s="24" t="n">
        <v>20</v>
      </c>
      <c r="J21" s="24">
        <f>IF(F21="","비어 있음",IF(G21&lt;=H21,"OK",IF(G21&lt;=I21,"길이 주의","상한 초과")))</f>
        <v/>
      </c>
      <c r="K21" s="24" t="inlineStr">
        <is>
          <t>초안(10-08)</t>
        </is>
      </c>
      <c r="L21" s="24" t="n"/>
    </row>
    <row r="22">
      <c r="A22" s="24" t="inlineStr">
        <is>
          <t>OPTION</t>
        </is>
      </c>
      <c r="B22" s="24" t="inlineStr">
        <is>
          <t>DIET-Q-03</t>
        </is>
      </c>
      <c r="C22" s="24" t="inlineStr">
        <is>
          <t>more_than_half</t>
        </is>
      </c>
      <c r="D22" s="24" t="inlineStr">
        <is>
          <t>1.0.0</t>
        </is>
      </c>
      <c r="E22" s="25">
        <f>INDEX(선택지!$E$1:$E$200,SUMPRODUCT((선택지!$A$2:$A$200=$B22)*(선택지!$D$2:$D$200=$C22)*ROW(선택지!$A$2:$A$200)))</f>
        <v/>
      </c>
      <c r="F22" s="31" t="inlineStr">
        <is>
          <t>More than half</t>
        </is>
      </c>
      <c r="G22" s="24">
        <f>LEN(F22)</f>
        <v/>
      </c>
      <c r="H22" s="24" t="n">
        <v>16</v>
      </c>
      <c r="I22" s="24" t="n">
        <v>20</v>
      </c>
      <c r="J22" s="24">
        <f>IF(F22="","비어 있음",IF(G22&lt;=H22,"OK",IF(G22&lt;=I22,"길이 주의","상한 초과")))</f>
        <v/>
      </c>
      <c r="K22" s="24" t="inlineStr">
        <is>
          <t>초안(10-08)</t>
        </is>
      </c>
      <c r="L22" s="24" t="n"/>
    </row>
    <row r="23">
      <c r="A23" s="24" t="inlineStr">
        <is>
          <t>OPTION</t>
        </is>
      </c>
      <c r="B23" s="24" t="inlineStr">
        <is>
          <t>DIET-Q-04</t>
        </is>
      </c>
      <c r="C23" s="24" t="inlineStr">
        <is>
          <t>none</t>
        </is>
      </c>
      <c r="D23" s="24" t="inlineStr">
        <is>
          <t>1.0.0</t>
        </is>
      </c>
      <c r="E23" s="25">
        <f>INDEX(선택지!$E$1:$E$200,SUMPRODUCT((선택지!$A$2:$A$200=$B23)*(선택지!$D$2:$D$200=$C23)*ROW(선택지!$A$2:$A$200)))</f>
        <v/>
      </c>
      <c r="F23" s="31" t="inlineStr">
        <is>
          <t>None</t>
        </is>
      </c>
      <c r="G23" s="24">
        <f>LEN(F23)</f>
        <v/>
      </c>
      <c r="H23" s="24" t="n">
        <v>16</v>
      </c>
      <c r="I23" s="24" t="n">
        <v>20</v>
      </c>
      <c r="J23" s="24">
        <f>IF(F23="","비어 있음",IF(G23&lt;=H23,"OK",IF(G23&lt;=I23,"길이 주의","상한 초과")))</f>
        <v/>
      </c>
      <c r="K23" s="24" t="inlineStr">
        <is>
          <t>초안(10-08)</t>
        </is>
      </c>
      <c r="L23" s="24" t="n"/>
    </row>
    <row r="24">
      <c r="A24" s="24" t="inlineStr">
        <is>
          <t>OPTION</t>
        </is>
      </c>
      <c r="B24" s="24" t="inlineStr">
        <is>
          <t>DIET-Q-04</t>
        </is>
      </c>
      <c r="C24" s="24" t="inlineStr">
        <is>
          <t>light</t>
        </is>
      </c>
      <c r="D24" s="24" t="inlineStr">
        <is>
          <t>1.0.0</t>
        </is>
      </c>
      <c r="E24" s="25">
        <f>INDEX(선택지!$E$1:$E$200,SUMPRODUCT((선택지!$A$2:$A$200=$B24)*(선택지!$D$2:$D$200=$C24)*ROW(선택지!$A$2:$A$200)))</f>
        <v/>
      </c>
      <c r="F24" s="31" t="inlineStr">
        <is>
          <t>A little</t>
        </is>
      </c>
      <c r="G24" s="24">
        <f>LEN(F24)</f>
        <v/>
      </c>
      <c r="H24" s="24" t="n">
        <v>16</v>
      </c>
      <c r="I24" s="24" t="n">
        <v>20</v>
      </c>
      <c r="J24" s="24">
        <f>IF(F24="","비어 있음",IF(G24&lt;=H24,"OK",IF(G24&lt;=I24,"길이 주의","상한 초과")))</f>
        <v/>
      </c>
      <c r="K24" s="24" t="inlineStr">
        <is>
          <t>초안(10-08)</t>
        </is>
      </c>
      <c r="L24" s="24" t="n"/>
    </row>
    <row r="25">
      <c r="A25" s="24" t="inlineStr">
        <is>
          <t>OPTION</t>
        </is>
      </c>
      <c r="B25" s="24" t="inlineStr">
        <is>
          <t>DIET-Q-04</t>
        </is>
      </c>
      <c r="C25" s="24" t="inlineStr">
        <is>
          <t>meal_sized</t>
        </is>
      </c>
      <c r="D25" s="24" t="inlineStr">
        <is>
          <t>1.0.0</t>
        </is>
      </c>
      <c r="E25" s="25">
        <f>INDEX(선택지!$E$1:$E$200,SUMPRODUCT((선택지!$A$2:$A$200=$B25)*(선택지!$D$2:$D$200=$C25)*ROW(선택지!$A$2:$A$200)))</f>
        <v/>
      </c>
      <c r="F25" s="31" t="inlineStr">
        <is>
          <t>A full meal</t>
        </is>
      </c>
      <c r="G25" s="24">
        <f>LEN(F25)</f>
        <v/>
      </c>
      <c r="H25" s="24" t="n">
        <v>16</v>
      </c>
      <c r="I25" s="24" t="n">
        <v>20</v>
      </c>
      <c r="J25" s="24">
        <f>IF(F25="","비어 있음",IF(G25&lt;=H25,"OK",IF(G25&lt;=I25,"길이 주의","상한 초과")))</f>
        <v/>
      </c>
      <c r="K25" s="24" t="inlineStr">
        <is>
          <t>초안(10-08)</t>
        </is>
      </c>
      <c r="L25" s="24" t="n"/>
    </row>
    <row r="26">
      <c r="A26" s="24" t="inlineStr">
        <is>
          <t>OPTION</t>
        </is>
      </c>
      <c r="B26" s="24" t="inlineStr">
        <is>
          <t>DIET-Q-05</t>
        </is>
      </c>
      <c r="C26" s="24" t="inlineStr">
        <is>
          <t>comfortable</t>
        </is>
      </c>
      <c r="D26" s="24" t="inlineStr">
        <is>
          <t>1.0.0</t>
        </is>
      </c>
      <c r="E26" s="25">
        <f>INDEX(선택지!$E$1:$E$200,SUMPRODUCT((선택지!$A$2:$A$200=$B26)*(선택지!$D$2:$D$200=$C26)*ROW(선택지!$A$2:$A$200)))</f>
        <v/>
      </c>
      <c r="F26" s="31" t="inlineStr">
        <is>
          <t>Comfortable</t>
        </is>
      </c>
      <c r="G26" s="24">
        <f>LEN(F26)</f>
        <v/>
      </c>
      <c r="H26" s="24" t="n">
        <v>16</v>
      </c>
      <c r="I26" s="24" t="n">
        <v>20</v>
      </c>
      <c r="J26" s="24">
        <f>IF(F26="","비어 있음",IF(G26&lt;=H26,"OK",IF(G26&lt;=I26,"길이 주의","상한 초과")))</f>
        <v/>
      </c>
      <c r="K26" s="24" t="inlineStr">
        <is>
          <t>초안(10-08)</t>
        </is>
      </c>
      <c r="L26" s="24" t="n"/>
    </row>
    <row r="27">
      <c r="A27" s="24" t="inlineStr">
        <is>
          <t>OPTION</t>
        </is>
      </c>
      <c r="B27" s="24" t="inlineStr">
        <is>
          <t>DIET-Q-05</t>
        </is>
      </c>
      <c r="C27" s="24" t="inlineStr">
        <is>
          <t>somewhat_full</t>
        </is>
      </c>
      <c r="D27" s="24" t="inlineStr">
        <is>
          <t>1.0.0</t>
        </is>
      </c>
      <c r="E27" s="25">
        <f>INDEX(선택지!$E$1:$E$200,SUMPRODUCT((선택지!$A$2:$A$200=$B27)*(선택지!$D$2:$D$200=$C27)*ROW(선택지!$A$2:$A$200)))</f>
        <v/>
      </c>
      <c r="F27" s="31" t="inlineStr">
        <is>
          <t>A bit full</t>
        </is>
      </c>
      <c r="G27" s="24">
        <f>LEN(F27)</f>
        <v/>
      </c>
      <c r="H27" s="24" t="n">
        <v>16</v>
      </c>
      <c r="I27" s="24" t="n">
        <v>20</v>
      </c>
      <c r="J27" s="24">
        <f>IF(F27="","비어 있음",IF(G27&lt;=H27,"OK",IF(G27&lt;=I27,"길이 주의","상한 초과")))</f>
        <v/>
      </c>
      <c r="K27" s="24" t="inlineStr">
        <is>
          <t>초안(10-08)</t>
        </is>
      </c>
      <c r="L27" s="24" t="n"/>
    </row>
    <row r="28">
      <c r="A28" s="24" t="inlineStr">
        <is>
          <t>OPTION</t>
        </is>
      </c>
      <c r="B28" s="24" t="inlineStr">
        <is>
          <t>DIET-Q-05</t>
        </is>
      </c>
      <c r="C28" s="24" t="inlineStr">
        <is>
          <t>too_full</t>
        </is>
      </c>
      <c r="D28" s="24" t="inlineStr">
        <is>
          <t>1.0.0</t>
        </is>
      </c>
      <c r="E28" s="25">
        <f>INDEX(선택지!$E$1:$E$200,SUMPRODUCT((선택지!$A$2:$A$200=$B28)*(선택지!$D$2:$D$200=$C28)*ROW(선택지!$A$2:$A$200)))</f>
        <v/>
      </c>
      <c r="F28" s="31" t="inlineStr">
        <is>
          <t>Very full</t>
        </is>
      </c>
      <c r="G28" s="24">
        <f>LEN(F28)</f>
        <v/>
      </c>
      <c r="H28" s="24" t="n">
        <v>16</v>
      </c>
      <c r="I28" s="24" t="n">
        <v>20</v>
      </c>
      <c r="J28" s="24">
        <f>IF(F28="","비어 있음",IF(G28&lt;=H28,"OK",IF(G28&lt;=I28,"길이 주의","상한 초과")))</f>
        <v/>
      </c>
      <c r="K28" s="24" t="inlineStr">
        <is>
          <t>초안(10-08)</t>
        </is>
      </c>
      <c r="L28" s="24" t="n"/>
    </row>
    <row r="29">
      <c r="A29" s="24" t="inlineStr">
        <is>
          <t>OPTION</t>
        </is>
      </c>
      <c r="B29" s="24" t="inlineStr">
        <is>
          <t>DIET-Q-06</t>
        </is>
      </c>
      <c r="C29" s="24" t="inlineStr">
        <is>
          <t>ate</t>
        </is>
      </c>
      <c r="D29" s="24" t="inlineStr">
        <is>
          <t>1.0.0</t>
        </is>
      </c>
      <c r="E29" s="25">
        <f>INDEX(선택지!$E$1:$E$200,SUMPRODUCT((선택지!$A$2:$A$200=$B29)*(선택지!$D$2:$D$200=$C29)*ROW(선택지!$A$2:$A$200)))</f>
        <v/>
      </c>
      <c r="F29" s="31" t="inlineStr">
        <is>
          <t>Yes</t>
        </is>
      </c>
      <c r="G29" s="24">
        <f>LEN(F29)</f>
        <v/>
      </c>
      <c r="H29" s="24" t="n">
        <v>16</v>
      </c>
      <c r="I29" s="24" t="n">
        <v>20</v>
      </c>
      <c r="J29" s="24">
        <f>IF(F29="","비어 있음",IF(G29&lt;=H29,"OK",IF(G29&lt;=I29,"길이 주의","상한 초과")))</f>
        <v/>
      </c>
      <c r="K29" s="24" t="inlineStr">
        <is>
          <t>초안(10-08)</t>
        </is>
      </c>
      <c r="L29" s="24" t="n"/>
    </row>
    <row r="30">
      <c r="A30" s="24" t="inlineStr">
        <is>
          <t>OPTION</t>
        </is>
      </c>
      <c r="B30" s="24" t="inlineStr">
        <is>
          <t>DIET-Q-06</t>
        </is>
      </c>
      <c r="C30" s="24" t="inlineStr">
        <is>
          <t>tasted_only</t>
        </is>
      </c>
      <c r="D30" s="24" t="inlineStr">
        <is>
          <t>1.0.0</t>
        </is>
      </c>
      <c r="E30" s="25">
        <f>INDEX(선택지!$E$1:$E$200,SUMPRODUCT((선택지!$A$2:$A$200=$B30)*(선택지!$D$2:$D$200=$C30)*ROW(선택지!$A$2:$A$200)))</f>
        <v/>
      </c>
      <c r="F30" s="31" t="inlineStr">
        <is>
          <t>Just a taste</t>
        </is>
      </c>
      <c r="G30" s="24">
        <f>LEN(F30)</f>
        <v/>
      </c>
      <c r="H30" s="24" t="n">
        <v>16</v>
      </c>
      <c r="I30" s="24" t="n">
        <v>20</v>
      </c>
      <c r="J30" s="24">
        <f>IF(F30="","비어 있음",IF(G30&lt;=H30,"OK",IF(G30&lt;=I30,"길이 주의","상한 초과")))</f>
        <v/>
      </c>
      <c r="K30" s="24" t="inlineStr">
        <is>
          <t>초안(10-08)</t>
        </is>
      </c>
      <c r="L30" s="24" t="n"/>
    </row>
    <row r="31">
      <c r="A31" s="24" t="inlineStr">
        <is>
          <t>OPTION</t>
        </is>
      </c>
      <c r="B31" s="24" t="inlineStr">
        <is>
          <t>DIET-Q-06</t>
        </is>
      </c>
      <c r="C31" s="24" t="inlineStr">
        <is>
          <t>absent</t>
        </is>
      </c>
      <c r="D31" s="24" t="inlineStr">
        <is>
          <t>1.0.0</t>
        </is>
      </c>
      <c r="E31" s="25">
        <f>INDEX(선택지!$E$1:$E$200,SUMPRODUCT((선택지!$A$2:$A$200=$B31)*(선택지!$D$2:$D$200=$C31)*ROW(선택지!$A$2:$A$200)))</f>
        <v/>
      </c>
      <c r="F31" s="31" t="inlineStr">
        <is>
          <t>No</t>
        </is>
      </c>
      <c r="G31" s="24">
        <f>LEN(F31)</f>
        <v/>
      </c>
      <c r="H31" s="24" t="n">
        <v>16</v>
      </c>
      <c r="I31" s="24" t="n">
        <v>20</v>
      </c>
      <c r="J31" s="24">
        <f>IF(F31="","비어 있음",IF(G31&lt;=H31,"OK",IF(G31&lt;=I31,"길이 주의","상한 초과")))</f>
        <v/>
      </c>
      <c r="K31" s="24" t="inlineStr">
        <is>
          <t>초안(10-08)</t>
        </is>
      </c>
      <c r="L31" s="24" t="n"/>
    </row>
    <row r="32">
      <c r="A32" s="24" t="inlineStr">
        <is>
          <t>OPTION</t>
        </is>
      </c>
      <c r="B32" s="24" t="inlineStr">
        <is>
          <t>DIET-Q-07</t>
        </is>
      </c>
      <c r="C32" s="24" t="inlineStr">
        <is>
          <t>absent</t>
        </is>
      </c>
      <c r="D32" s="24" t="inlineStr">
        <is>
          <t>1.0.0</t>
        </is>
      </c>
      <c r="E32" s="25">
        <f>INDEX(선택지!$E$1:$E$200,SUMPRODUCT((선택지!$A$2:$A$200=$B32)*(선택지!$D$2:$D$200=$C32)*ROW(선택지!$A$2:$A$200)))</f>
        <v/>
      </c>
      <c r="F32" s="31" t="inlineStr">
        <is>
          <t>No</t>
        </is>
      </c>
      <c r="G32" s="24">
        <f>LEN(F32)</f>
        <v/>
      </c>
      <c r="H32" s="24" t="n">
        <v>16</v>
      </c>
      <c r="I32" s="24" t="n">
        <v>20</v>
      </c>
      <c r="J32" s="24">
        <f>IF(F32="","비어 있음",IF(G32&lt;=H32,"OK",IF(G32&lt;=I32,"길이 주의","상한 초과")))</f>
        <v/>
      </c>
      <c r="K32" s="24" t="inlineStr">
        <is>
          <t>초안(10-08)</t>
        </is>
      </c>
      <c r="L32" s="24" t="n"/>
    </row>
    <row r="33">
      <c r="A33" s="24" t="inlineStr">
        <is>
          <t>OPTION</t>
        </is>
      </c>
      <c r="B33" s="24" t="inlineStr">
        <is>
          <t>DIET-Q-07</t>
        </is>
      </c>
      <c r="C33" s="24" t="inlineStr">
        <is>
          <t>tasted_only</t>
        </is>
      </c>
      <c r="D33" s="24" t="inlineStr">
        <is>
          <t>1.0.0</t>
        </is>
      </c>
      <c r="E33" s="25">
        <f>INDEX(선택지!$E$1:$E$200,SUMPRODUCT((선택지!$A$2:$A$200=$B33)*(선택지!$D$2:$D$200=$C33)*ROW(선택지!$A$2:$A$200)))</f>
        <v/>
      </c>
      <c r="F33" s="31" t="inlineStr">
        <is>
          <t>Just a taste</t>
        </is>
      </c>
      <c r="G33" s="24">
        <f>LEN(F33)</f>
        <v/>
      </c>
      <c r="H33" s="24" t="n">
        <v>16</v>
      </c>
      <c r="I33" s="24" t="n">
        <v>20</v>
      </c>
      <c r="J33" s="24">
        <f>IF(F33="","비어 있음",IF(G33&lt;=H33,"OK",IF(G33&lt;=I33,"길이 주의","상한 초과")))</f>
        <v/>
      </c>
      <c r="K33" s="24" t="inlineStr">
        <is>
          <t>초안(10-08)</t>
        </is>
      </c>
      <c r="L33" s="24" t="n"/>
    </row>
    <row r="34">
      <c r="A34" s="24" t="inlineStr">
        <is>
          <t>OPTION</t>
        </is>
      </c>
      <c r="B34" s="24" t="inlineStr">
        <is>
          <t>DIET-Q-07</t>
        </is>
      </c>
      <c r="C34" s="24" t="inlineStr">
        <is>
          <t>ate</t>
        </is>
      </c>
      <c r="D34" s="24" t="inlineStr">
        <is>
          <t>1.0.0</t>
        </is>
      </c>
      <c r="E34" s="25">
        <f>INDEX(선택지!$E$1:$E$200,SUMPRODUCT((선택지!$A$2:$A$200=$B34)*(선택지!$D$2:$D$200=$C34)*ROW(선택지!$A$2:$A$200)))</f>
        <v/>
      </c>
      <c r="F34" s="31" t="inlineStr">
        <is>
          <t>Yes</t>
        </is>
      </c>
      <c r="G34" s="24">
        <f>LEN(F34)</f>
        <v/>
      </c>
      <c r="H34" s="24" t="n">
        <v>16</v>
      </c>
      <c r="I34" s="24" t="n">
        <v>20</v>
      </c>
      <c r="J34" s="24">
        <f>IF(F34="","비어 있음",IF(G34&lt;=H34,"OK",IF(G34&lt;=I34,"길이 주의","상한 초과")))</f>
        <v/>
      </c>
      <c r="K34" s="24" t="inlineStr">
        <is>
          <t>초안(10-08)</t>
        </is>
      </c>
      <c r="L34" s="24" t="n"/>
    </row>
    <row r="35">
      <c r="A35" s="24" t="inlineStr">
        <is>
          <t>OPTION</t>
        </is>
      </c>
      <c r="B35" s="24" t="inlineStr">
        <is>
          <t>DIET-Q-90</t>
        </is>
      </c>
      <c r="C35" s="24" t="inlineStr">
        <is>
          <t>confirmed</t>
        </is>
      </c>
      <c r="D35" s="24" t="inlineStr">
        <is>
          <t>1.0.0</t>
        </is>
      </c>
      <c r="E35" s="25">
        <f>INDEX(선택지!$E$1:$E$200,SUMPRODUCT((선택지!$A$2:$A$200=$B35)*(선택지!$D$2:$D$200=$C35)*ROW(선택지!$A$2:$A$200)))</f>
        <v/>
      </c>
      <c r="F35" s="31" t="inlineStr">
        <is>
          <t>Yes</t>
        </is>
      </c>
      <c r="G35" s="24">
        <f>LEN(F35)</f>
        <v/>
      </c>
      <c r="H35" s="24" t="n">
        <v>16</v>
      </c>
      <c r="I35" s="24" t="n">
        <v>20</v>
      </c>
      <c r="J35" s="24">
        <f>IF(F35="","비어 있음",IF(G35&lt;=H35,"OK",IF(G35&lt;=I35,"길이 주의","상한 초과")))</f>
        <v/>
      </c>
      <c r="K35" s="24" t="inlineStr">
        <is>
          <t>초안(10-08)</t>
        </is>
      </c>
      <c r="L35" s="24" t="n"/>
    </row>
    <row r="36">
      <c r="A36" s="24" t="inlineStr">
        <is>
          <t>OPTION</t>
        </is>
      </c>
      <c r="B36" s="24" t="inlineStr">
        <is>
          <t>DIET-Q-90</t>
        </is>
      </c>
      <c r="C36" s="24" t="inlineStr">
        <is>
          <t>denied</t>
        </is>
      </c>
      <c r="D36" s="24" t="inlineStr">
        <is>
          <t>1.0.0</t>
        </is>
      </c>
      <c r="E36" s="25">
        <f>INDEX(선택지!$E$1:$E$200,SUMPRODUCT((선택지!$A$2:$A$200=$B36)*(선택지!$D$2:$D$200=$C36)*ROW(선택지!$A$2:$A$200)))</f>
        <v/>
      </c>
      <c r="F36" s="31" t="inlineStr">
        <is>
          <t>No</t>
        </is>
      </c>
      <c r="G36" s="24">
        <f>LEN(F36)</f>
        <v/>
      </c>
      <c r="H36" s="24" t="n">
        <v>16</v>
      </c>
      <c r="I36" s="24" t="n">
        <v>20</v>
      </c>
      <c r="J36" s="24">
        <f>IF(F36="","비어 있음",IF(G36&lt;=H36,"OK",IF(G36&lt;=I36,"길이 주의","상한 초과")))</f>
        <v/>
      </c>
      <c r="K36" s="24" t="inlineStr">
        <is>
          <t>초안(10-08)</t>
        </is>
      </c>
      <c r="L36" s="24" t="n"/>
    </row>
    <row r="37">
      <c r="A37" s="24" t="inlineStr">
        <is>
          <t>OPTION</t>
        </is>
      </c>
      <c r="B37" s="24" t="inlineStr">
        <is>
          <t>DIET-Q-90</t>
        </is>
      </c>
      <c r="C37" s="24" t="inlineStr">
        <is>
          <t>unknown</t>
        </is>
      </c>
      <c r="D37" s="24" t="inlineStr">
        <is>
          <t>1.0.0</t>
        </is>
      </c>
      <c r="E37" s="25">
        <f>INDEX(선택지!$E$1:$E$200,SUMPRODUCT((선택지!$A$2:$A$200=$B37)*(선택지!$D$2:$D$200=$C37)*ROW(선택지!$A$2:$A$200)))</f>
        <v/>
      </c>
      <c r="F37" s="31" t="inlineStr">
        <is>
          <t>Not sure</t>
        </is>
      </c>
      <c r="G37" s="24">
        <f>LEN(F37)</f>
        <v/>
      </c>
      <c r="H37" s="24" t="n">
        <v>16</v>
      </c>
      <c r="I37" s="24" t="n">
        <v>20</v>
      </c>
      <c r="J37" s="24">
        <f>IF(F37="","비어 있음",IF(G37&lt;=H37,"OK",IF(G37&lt;=I37,"길이 주의","상한 초과")))</f>
        <v/>
      </c>
      <c r="K37" s="24" t="inlineStr">
        <is>
          <t>초안(10-08)</t>
        </is>
      </c>
      <c r="L37" s="24" t="n"/>
    </row>
    <row r="38">
      <c r="A38" s="24" t="inlineStr">
        <is>
          <t>MEAL</t>
        </is>
      </c>
      <c r="B38" s="24" t="inlineStr">
        <is>
          <t>PREV_DINNER</t>
        </is>
      </c>
      <c r="C38" s="24" t="n"/>
      <c r="D38" s="24" t="n"/>
      <c r="E38" s="25" t="inlineStr">
        <is>
          <t>어제 저녁</t>
        </is>
      </c>
      <c r="F38" s="31" t="inlineStr">
        <is>
          <t>dinner last night</t>
        </is>
      </c>
      <c r="G38" s="24">
        <f>LEN(F38)</f>
        <v/>
      </c>
      <c r="H38" s="24" t="n">
        <v>26</v>
      </c>
      <c r="I38" s="24" t="n">
        <v>30</v>
      </c>
      <c r="J38" s="24">
        <f>IF(F38="","비어 있음",IF(G38&lt;=H38,"OK",IF(G38&lt;=I38,"길이 주의","상한 초과")))</f>
        <v/>
      </c>
      <c r="K38" s="24" t="inlineStr">
        <is>
          <t>초안(10-08)</t>
        </is>
      </c>
      <c r="L38" s="24" t="n"/>
    </row>
    <row r="39">
      <c r="A39" s="24" t="inlineStr">
        <is>
          <t>MEAL</t>
        </is>
      </c>
      <c r="B39" s="24" t="inlineStr">
        <is>
          <t>BREAKFAST</t>
        </is>
      </c>
      <c r="C39" s="24" t="n"/>
      <c r="D39" s="24" t="n"/>
      <c r="E39" s="25" t="inlineStr">
        <is>
          <t>오늘 아침</t>
        </is>
      </c>
      <c r="F39" s="31" t="inlineStr">
        <is>
          <t>breakfast this morning</t>
        </is>
      </c>
      <c r="G39" s="24">
        <f>LEN(F39)</f>
        <v/>
      </c>
      <c r="H39" s="24" t="n">
        <v>26</v>
      </c>
      <c r="I39" s="24" t="n">
        <v>30</v>
      </c>
      <c r="J39" s="24">
        <f>IF(F39="","비어 있음",IF(G39&lt;=H39,"OK",IF(G39&lt;=I39,"길이 주의","상한 초과")))</f>
        <v/>
      </c>
      <c r="K39" s="24" t="inlineStr">
        <is>
          <t>초안(10-08)</t>
        </is>
      </c>
      <c r="L39" s="24" t="n"/>
    </row>
    <row r="40">
      <c r="A40" s="24" t="inlineStr">
        <is>
          <t>MEAL</t>
        </is>
      </c>
      <c r="B40" s="24" t="inlineStr">
        <is>
          <t>LUNCH</t>
        </is>
      </c>
      <c r="C40" s="24" t="n"/>
      <c r="D40" s="24" t="n"/>
      <c r="E40" s="25" t="inlineStr">
        <is>
          <t>오늘 점심</t>
        </is>
      </c>
      <c r="F40" s="31" t="inlineStr">
        <is>
          <t>lunch today</t>
        </is>
      </c>
      <c r="G40" s="24">
        <f>LEN(F40)</f>
        <v/>
      </c>
      <c r="H40" s="24" t="n">
        <v>26</v>
      </c>
      <c r="I40" s="24" t="n">
        <v>30</v>
      </c>
      <c r="J40" s="24">
        <f>IF(F40="","비어 있음",IF(G40&lt;=H40,"OK",IF(G40&lt;=I40,"길이 주의","상한 초과")))</f>
        <v/>
      </c>
      <c r="K40" s="24" t="inlineStr">
        <is>
          <t>초안(10-08)</t>
        </is>
      </c>
      <c r="L40" s="24" t="n"/>
    </row>
    <row r="41">
      <c r="A41" s="24" t="inlineStr">
        <is>
          <t>MEAL</t>
        </is>
      </c>
      <c r="B41" s="24" t="inlineStr">
        <is>
          <t>DINNER</t>
        </is>
      </c>
      <c r="C41" s="24" t="n"/>
      <c r="D41" s="24" t="n"/>
      <c r="E41" s="25" t="inlineStr">
        <is>
          <t>오늘 저녁</t>
        </is>
      </c>
      <c r="F41" s="31" t="inlineStr">
        <is>
          <t>dinner today</t>
        </is>
      </c>
      <c r="G41" s="24">
        <f>LEN(F41)</f>
        <v/>
      </c>
      <c r="H41" s="24" t="n">
        <v>26</v>
      </c>
      <c r="I41" s="24" t="n">
        <v>30</v>
      </c>
      <c r="J41" s="24">
        <f>IF(F41="","비어 있음",IF(G41&lt;=H41,"OK",IF(G41&lt;=I41,"길이 주의","상한 초과")))</f>
        <v/>
      </c>
      <c r="K41" s="24" t="inlineStr">
        <is>
          <t>초안(10-08)</t>
        </is>
      </c>
      <c r="L41" s="24" t="n"/>
    </row>
    <row r="42">
      <c r="A42" s="24" t="inlineStr">
        <is>
          <t>CONDITION</t>
        </is>
      </c>
      <c r="B42" s="24" t="inlineStr">
        <is>
          <t>HYPERTENSION</t>
        </is>
      </c>
      <c r="C42" s="24" t="n"/>
      <c r="D42" s="24" t="n"/>
      <c r="E42" s="25" t="inlineStr">
        <is>
          <t>고혈압</t>
        </is>
      </c>
      <c r="F42" s="31" t="inlineStr">
        <is>
          <t>high blood pressure</t>
        </is>
      </c>
      <c r="G42" s="24">
        <f>LEN(F42)</f>
        <v/>
      </c>
      <c r="H42" s="24" t="n">
        <v>28</v>
      </c>
      <c r="I42" s="24" t="n">
        <v>32</v>
      </c>
      <c r="J42" s="24">
        <f>IF(F42="","비어 있음",IF(G42&lt;=H42,"OK",IF(G42&lt;=I42,"길이 주의","상한 초과")))</f>
        <v/>
      </c>
      <c r="K42" s="24" t="inlineStr">
        <is>
          <t>초안(10-08)</t>
        </is>
      </c>
      <c r="L42" s="24" t="n"/>
    </row>
    <row r="43">
      <c r="A43" s="24" t="inlineStr">
        <is>
          <t>CONDITION</t>
        </is>
      </c>
      <c r="B43" s="24" t="inlineStr">
        <is>
          <t>DIABETES</t>
        </is>
      </c>
      <c r="C43" s="24" t="n"/>
      <c r="D43" s="24" t="n"/>
      <c r="E43" s="25" t="inlineStr">
        <is>
          <t>당뇨병</t>
        </is>
      </c>
      <c r="F43" s="31" t="inlineStr">
        <is>
          <t>diabetes</t>
        </is>
      </c>
      <c r="G43" s="24">
        <f>LEN(F43)</f>
        <v/>
      </c>
      <c r="H43" s="24" t="n">
        <v>28</v>
      </c>
      <c r="I43" s="24" t="n">
        <v>32</v>
      </c>
      <c r="J43" s="24">
        <f>IF(F43="","비어 있음",IF(G43&lt;=H43,"OK",IF(G43&lt;=I43,"길이 주의","상한 초과")))</f>
        <v/>
      </c>
      <c r="K43" s="24" t="inlineStr">
        <is>
          <t>초안(10-08)</t>
        </is>
      </c>
      <c r="L43" s="24" t="n"/>
    </row>
    <row r="44">
      <c r="A44" s="24" t="inlineStr">
        <is>
          <t>CONDITION</t>
        </is>
      </c>
      <c r="B44" s="24" t="inlineStr">
        <is>
          <t>DYSLIPIDEMIA</t>
        </is>
      </c>
      <c r="C44" s="24" t="n"/>
      <c r="D44" s="24" t="n"/>
      <c r="E44" s="25" t="inlineStr">
        <is>
          <t>이상지질혈증</t>
        </is>
      </c>
      <c r="F44" s="31" t="inlineStr">
        <is>
          <t>abnormal blood lipids</t>
        </is>
      </c>
      <c r="G44" s="24">
        <f>LEN(F44)</f>
        <v/>
      </c>
      <c r="H44" s="24" t="n">
        <v>28</v>
      </c>
      <c r="I44" s="24" t="n">
        <v>32</v>
      </c>
      <c r="J44" s="24">
        <f>IF(F44="","비어 있음",IF(G44&lt;=H44,"OK",IF(G44&lt;=I44,"길이 주의","상한 초과")))</f>
        <v/>
      </c>
      <c r="K44" s="24" t="inlineStr">
        <is>
          <t>초안(10-08)</t>
        </is>
      </c>
      <c r="L44" s="24" t="n"/>
    </row>
    <row r="45">
      <c r="A45" s="24" t="inlineStr">
        <is>
          <t>CONDITION</t>
        </is>
      </c>
      <c r="B45" s="24" t="inlineStr">
        <is>
          <t>CHRONIC_KIDNEY_DISEASE</t>
        </is>
      </c>
      <c r="C45" s="24" t="n"/>
      <c r="D45" s="24" t="n"/>
      <c r="E45" s="25" t="inlineStr">
        <is>
          <t>만성 신장질환</t>
        </is>
      </c>
      <c r="F45" s="31" t="inlineStr">
        <is>
          <t>chronic kidney disease</t>
        </is>
      </c>
      <c r="G45" s="24">
        <f>LEN(F45)</f>
        <v/>
      </c>
      <c r="H45" s="24" t="n">
        <v>28</v>
      </c>
      <c r="I45" s="24" t="n">
        <v>32</v>
      </c>
      <c r="J45" s="24">
        <f>IF(F45="","비어 있음",IF(G45&lt;=H45,"OK",IF(G45&lt;=I45,"길이 주의","상한 초과")))</f>
        <v/>
      </c>
      <c r="K45" s="24" t="inlineStr">
        <is>
          <t>초안(10-08)</t>
        </is>
      </c>
      <c r="L45" s="24" t="n"/>
    </row>
    <row r="46">
      <c r="A46" s="24" t="inlineStr">
        <is>
          <t>PHRASE</t>
        </is>
      </c>
      <c r="B46" s="24" t="inlineStr">
        <is>
          <t>DIET-P-0001</t>
        </is>
      </c>
      <c r="C46" s="24" t="n"/>
      <c r="D46" s="24" t="inlineStr">
        <is>
          <t>1.0.0</t>
        </is>
      </c>
      <c r="E46" s="25">
        <f>INDEX(목표문구!$G$1:$G$1000,MATCH($B46,목표문구!$A$1:$A$1000,0))</f>
        <v/>
      </c>
      <c r="F46" s="31" t="inlineStr">
        <is>
          <t>Eat a bite at breakfast</t>
        </is>
      </c>
      <c r="G46" s="24">
        <f>LEN(F46)</f>
        <v/>
      </c>
      <c r="H46" s="24" t="n">
        <v>30</v>
      </c>
      <c r="I46" s="24" t="n">
        <v>36</v>
      </c>
      <c r="J46" s="24">
        <f>IF(F46="","비어 있음",IF(G46&lt;=H46,"OK",IF(G46&lt;=I46,"길이 주의","상한 초과")))</f>
        <v/>
      </c>
      <c r="K46" s="24" t="inlineStr">
        <is>
          <t>초안(10-08)</t>
        </is>
      </c>
      <c r="L46" s="24" t="n"/>
    </row>
    <row r="47">
      <c r="A47" s="24" t="inlineStr">
        <is>
          <t>PHRASE</t>
        </is>
      </c>
      <c r="B47" s="24" t="inlineStr">
        <is>
          <t>DIET-P-0002</t>
        </is>
      </c>
      <c r="C47" s="24" t="n"/>
      <c r="D47" s="24" t="inlineStr">
        <is>
          <t>1.0.0</t>
        </is>
      </c>
      <c r="E47" s="25">
        <f>INDEX(목표문구!$G$1:$G$1000,MATCH($B47,목표문구!$A$1:$A$1000,0))</f>
        <v/>
      </c>
      <c r="F47" s="31" t="inlineStr">
        <is>
          <t>Don't skip breakfast</t>
        </is>
      </c>
      <c r="G47" s="24">
        <f>LEN(F47)</f>
        <v/>
      </c>
      <c r="H47" s="24" t="n">
        <v>30</v>
      </c>
      <c r="I47" s="24" t="n">
        <v>36</v>
      </c>
      <c r="J47" s="24">
        <f>IF(F47="","비어 있음",IF(G47&lt;=H47,"OK",IF(G47&lt;=I47,"길이 주의","상한 초과")))</f>
        <v/>
      </c>
      <c r="K47" s="24" t="inlineStr">
        <is>
          <t>초안(10-08)</t>
        </is>
      </c>
      <c r="L47" s="24" t="n"/>
    </row>
    <row r="48">
      <c r="A48" s="24" t="inlineStr">
        <is>
          <t>PHRASE</t>
        </is>
      </c>
      <c r="B48" s="24" t="inlineStr">
        <is>
          <t>DIET-P-0003</t>
        </is>
      </c>
      <c r="C48" s="24" t="n"/>
      <c r="D48" s="24" t="inlineStr">
        <is>
          <t>1.0.0</t>
        </is>
      </c>
      <c r="E48" s="25">
        <f>INDEX(목표문구!$G$1:$G$1000,MATCH($B48,목표문구!$A$1:$A$1000,0))</f>
        <v/>
      </c>
      <c r="F48" s="31" t="inlineStr">
        <is>
          <t>Have lunch and dinner</t>
        </is>
      </c>
      <c r="G48" s="24">
        <f>LEN(F48)</f>
        <v/>
      </c>
      <c r="H48" s="24" t="n">
        <v>30</v>
      </c>
      <c r="I48" s="24" t="n">
        <v>36</v>
      </c>
      <c r="J48" s="24">
        <f>IF(F48="","비어 있음",IF(G48&lt;=H48,"OK",IF(G48&lt;=I48,"길이 주의","상한 초과")))</f>
        <v/>
      </c>
      <c r="K48" s="24" t="inlineStr">
        <is>
          <t>초안(10-08)</t>
        </is>
      </c>
      <c r="L48" s="24" t="n"/>
    </row>
    <row r="49">
      <c r="A49" s="24" t="inlineStr">
        <is>
          <t>PHRASE</t>
        </is>
      </c>
      <c r="B49" s="24" t="inlineStr">
        <is>
          <t>DIET-P-0004</t>
        </is>
      </c>
      <c r="C49" s="24" t="n"/>
      <c r="D49" s="24" t="inlineStr">
        <is>
          <t>1.0.0</t>
        </is>
      </c>
      <c r="E49" s="25">
        <f>INDEX(목표문구!$G$1:$G$1000,MATCH($B49,목표문구!$A$1:$A$1000,0))</f>
        <v/>
      </c>
      <c r="F49" s="31" t="inlineStr">
        <is>
          <t>Three meals on time</t>
        </is>
      </c>
      <c r="G49" s="24">
        <f>LEN(F49)</f>
        <v/>
      </c>
      <c r="H49" s="24" t="n">
        <v>30</v>
      </c>
      <c r="I49" s="24" t="n">
        <v>36</v>
      </c>
      <c r="J49" s="24">
        <f>IF(F49="","비어 있음",IF(G49&lt;=H49,"OK",IF(G49&lt;=I49,"길이 주의","상한 초과")))</f>
        <v/>
      </c>
      <c r="K49" s="24" t="inlineStr">
        <is>
          <t>초안(10-19)</t>
        </is>
      </c>
      <c r="L49" s="24" t="n"/>
    </row>
    <row r="50">
      <c r="A50" s="24" t="inlineStr">
        <is>
          <t>PHRASE</t>
        </is>
      </c>
      <c r="B50" s="24" t="inlineStr">
        <is>
          <t>DIET-P-0005</t>
        </is>
      </c>
      <c r="C50" s="24" t="n"/>
      <c r="D50" s="24" t="inlineStr">
        <is>
          <t>1.0.0</t>
        </is>
      </c>
      <c r="E50" s="25">
        <f>INDEX(목표문구!$G$1:$G$1000,MATCH($B50,목표문구!$A$1:$A$1000,0))</f>
        <v/>
      </c>
      <c r="F50" s="31" t="inlineStr">
        <is>
          <t>One veggie per meal</t>
        </is>
      </c>
      <c r="G50" s="24">
        <f>LEN(F50)</f>
        <v/>
      </c>
      <c r="H50" s="24" t="n">
        <v>30</v>
      </c>
      <c r="I50" s="24" t="n">
        <v>36</v>
      </c>
      <c r="J50" s="24">
        <f>IF(F50="","비어 있음",IF(G50&lt;=H50,"OK",IF(G50&lt;=I50,"길이 주의","상한 초과")))</f>
        <v/>
      </c>
      <c r="K50" s="24" t="inlineStr">
        <is>
          <t>초안(10-08)</t>
        </is>
      </c>
      <c r="L50" s="24" t="n"/>
    </row>
    <row r="51">
      <c r="A51" s="24" t="inlineStr">
        <is>
          <t>PHRASE</t>
        </is>
      </c>
      <c r="B51" s="24" t="inlineStr">
        <is>
          <t>DIET-P-0006</t>
        </is>
      </c>
      <c r="C51" s="24" t="n"/>
      <c r="D51" s="24" t="inlineStr">
        <is>
          <t>1.0.0</t>
        </is>
      </c>
      <c r="E51" s="25">
        <f>INDEX(목표문구!$G$1:$G$1000,MATCH($B51,목표문구!$A$1:$A$1000,0))</f>
        <v/>
      </c>
      <c r="F51" s="31" t="inlineStr">
        <is>
          <t>One more veggie side</t>
        </is>
      </c>
      <c r="G51" s="24">
        <f>LEN(F51)</f>
        <v/>
      </c>
      <c r="H51" s="24" t="n">
        <v>30</v>
      </c>
      <c r="I51" s="24" t="n">
        <v>36</v>
      </c>
      <c r="J51" s="24">
        <f>IF(F51="","비어 있음",IF(G51&lt;=H51,"OK",IF(G51&lt;=I51,"길이 주의","상한 초과")))</f>
        <v/>
      </c>
      <c r="K51" s="24" t="inlineStr">
        <is>
          <t>초안(10-08)</t>
        </is>
      </c>
      <c r="L51" s="24" t="n"/>
    </row>
    <row r="52">
      <c r="A52" s="24" t="inlineStr">
        <is>
          <t>PHRASE</t>
        </is>
      </c>
      <c r="B52" s="24" t="inlineStr">
        <is>
          <t>DIET-P-0007</t>
        </is>
      </c>
      <c r="C52" s="24" t="n"/>
      <c r="D52" s="24" t="inlineStr">
        <is>
          <t>1.0.0</t>
        </is>
      </c>
      <c r="E52" s="25">
        <f>INDEX(목표문구!$G$1:$G$1000,MATCH($B52,목표문구!$A$1:$A$1000,0))</f>
        <v/>
      </c>
      <c r="F52" s="31" t="inlineStr">
        <is>
          <t>Start dinner with veggies</t>
        </is>
      </c>
      <c r="G52" s="24">
        <f>LEN(F52)</f>
        <v/>
      </c>
      <c r="H52" s="24" t="n">
        <v>30</v>
      </c>
      <c r="I52" s="24" t="n">
        <v>36</v>
      </c>
      <c r="J52" s="24">
        <f>IF(F52="","비어 있음",IF(G52&lt;=H52,"OK",IF(G52&lt;=I52,"길이 주의","상한 초과")))</f>
        <v/>
      </c>
      <c r="K52" s="24" t="inlineStr">
        <is>
          <t>초안(10-08)</t>
        </is>
      </c>
      <c r="L52" s="24" t="n"/>
    </row>
    <row r="53">
      <c r="A53" s="24" t="inlineStr">
        <is>
          <t>PHRASE</t>
        </is>
      </c>
      <c r="B53" s="24" t="inlineStr">
        <is>
          <t>DIET-P-0008</t>
        </is>
      </c>
      <c r="C53" s="24" t="n"/>
      <c r="D53" s="24" t="inlineStr">
        <is>
          <t>1.0.0</t>
        </is>
      </c>
      <c r="E53" s="25">
        <f>INDEX(목표문구!$G$1:$G$1000,MATCH($B53,목표문구!$A$1:$A$1000,0))</f>
        <v/>
      </c>
      <c r="F53" s="31" t="inlineStr">
        <is>
          <t>Veggies first at every meal</t>
        </is>
      </c>
      <c r="G53" s="24">
        <f>LEN(F53)</f>
        <v/>
      </c>
      <c r="H53" s="24" t="n">
        <v>30</v>
      </c>
      <c r="I53" s="24" t="n">
        <v>36</v>
      </c>
      <c r="J53" s="24">
        <f>IF(F53="","비어 있음",IF(G53&lt;=H53,"OK",IF(G53&lt;=I53,"길이 주의","상한 초과")))</f>
        <v/>
      </c>
      <c r="K53" s="24" t="inlineStr">
        <is>
          <t>초안(10-08)</t>
        </is>
      </c>
      <c r="L53" s="24" t="n"/>
    </row>
    <row r="54">
      <c r="A54" s="24" t="inlineStr">
        <is>
          <t>PHRASE</t>
        </is>
      </c>
      <c r="B54" s="24" t="inlineStr">
        <is>
          <t>DIET-P-0009</t>
        </is>
      </c>
      <c r="C54" s="24" t="n"/>
      <c r="D54" s="24" t="inlineStr">
        <is>
          <t>1.0.0</t>
        </is>
      </c>
      <c r="E54" s="25">
        <f>INDEX(목표문구!$G$1:$G$1000,MATCH($B54,목표문구!$A$1:$A$1000,0))</f>
        <v/>
      </c>
      <c r="F54" s="31" t="inlineStr">
        <is>
          <t>Swap one drink for water</t>
        </is>
      </c>
      <c r="G54" s="24">
        <f>LEN(F54)</f>
        <v/>
      </c>
      <c r="H54" s="24" t="n">
        <v>30</v>
      </c>
      <c r="I54" s="24" t="n">
        <v>36</v>
      </c>
      <c r="J54" s="24">
        <f>IF(F54="","비어 있음",IF(G54&lt;=H54,"OK",IF(G54&lt;=I54,"길이 주의","상한 초과")))</f>
        <v/>
      </c>
      <c r="K54" s="24" t="inlineStr">
        <is>
          <t>초안(10-08)</t>
        </is>
      </c>
      <c r="L54" s="24" t="n"/>
    </row>
    <row r="55">
      <c r="A55" s="24" t="inlineStr">
        <is>
          <t>PHRASE</t>
        </is>
      </c>
      <c r="B55" s="24" t="inlineStr">
        <is>
          <t>DIET-P-0010</t>
        </is>
      </c>
      <c r="C55" s="24" t="n"/>
      <c r="D55" s="24" t="inlineStr">
        <is>
          <t>1.0.0</t>
        </is>
      </c>
      <c r="E55" s="25">
        <f>INDEX(목표문구!$G$1:$G$1000,MATCH($B55,목표문구!$A$1:$A$1000,0))</f>
        <v/>
      </c>
      <c r="F55" s="31" t="inlineStr">
        <is>
          <t>Swap sweet drinks for water</t>
        </is>
      </c>
      <c r="G55" s="24">
        <f>LEN(F55)</f>
        <v/>
      </c>
      <c r="H55" s="24" t="n">
        <v>30</v>
      </c>
      <c r="I55" s="24" t="n">
        <v>36</v>
      </c>
      <c r="J55" s="24">
        <f>IF(F55="","비어 있음",IF(G55&lt;=H55,"OK",IF(G55&lt;=I55,"길이 주의","상한 초과")))</f>
        <v/>
      </c>
      <c r="K55" s="24" t="inlineStr">
        <is>
          <t>초안(10-08)</t>
        </is>
      </c>
      <c r="L55" s="24" t="n"/>
    </row>
    <row r="56">
      <c r="A56" s="24" t="inlineStr">
        <is>
          <t>PHRASE</t>
        </is>
      </c>
      <c r="B56" s="24" t="inlineStr">
        <is>
          <t>DIET-P-0011</t>
        </is>
      </c>
      <c r="C56" s="24" t="n"/>
      <c r="D56" s="24" t="inlineStr">
        <is>
          <t>1.0.0</t>
        </is>
      </c>
      <c r="E56" s="25">
        <f>INDEX(목표문구!$G$1:$G$1000,MATCH($B56,목표문구!$A$1:$A$1000,0))</f>
        <v/>
      </c>
      <c r="F56" s="31" t="inlineStr">
        <is>
          <t>Skip dessert after dinner</t>
        </is>
      </c>
      <c r="G56" s="24">
        <f>LEN(F56)</f>
        <v/>
      </c>
      <c r="H56" s="24" t="n">
        <v>30</v>
      </c>
      <c r="I56" s="24" t="n">
        <v>36</v>
      </c>
      <c r="J56" s="24">
        <f>IF(F56="","비어 있음",IF(G56&lt;=H56,"OK",IF(G56&lt;=I56,"길이 주의","상한 초과")))</f>
        <v/>
      </c>
      <c r="K56" s="24" t="inlineStr">
        <is>
          <t>초안(10-08)</t>
        </is>
      </c>
      <c r="L56" s="24" t="n"/>
    </row>
    <row r="57">
      <c r="A57" s="24" t="inlineStr">
        <is>
          <t>PHRASE</t>
        </is>
      </c>
      <c r="B57" s="24" t="inlineStr">
        <is>
          <t>DIET-P-0012</t>
        </is>
      </c>
      <c r="C57" s="24" t="n"/>
      <c r="D57" s="24" t="inlineStr">
        <is>
          <t>1.0.0</t>
        </is>
      </c>
      <c r="E57" s="25">
        <f>INDEX(목표문구!$G$1:$G$1000,MATCH($B57,목표문구!$A$1:$A$1000,0))</f>
        <v/>
      </c>
      <c r="F57" s="31" t="inlineStr">
        <is>
          <t>No sweet drinks today</t>
        </is>
      </c>
      <c r="G57" s="24">
        <f>LEN(F57)</f>
        <v/>
      </c>
      <c r="H57" s="24" t="n">
        <v>30</v>
      </c>
      <c r="I57" s="24" t="n">
        <v>36</v>
      </c>
      <c r="J57" s="24">
        <f>IF(F57="","비어 있음",IF(G57&lt;=H57,"OK",IF(G57&lt;=I57,"길이 주의","상한 초과")))</f>
        <v/>
      </c>
      <c r="K57" s="24" t="inlineStr">
        <is>
          <t>초안(10-08)</t>
        </is>
      </c>
      <c r="L57" s="24" t="n"/>
    </row>
    <row r="58">
      <c r="A58" s="24" t="inlineStr">
        <is>
          <t>PHRASE</t>
        </is>
      </c>
      <c r="B58" s="24" t="inlineStr">
        <is>
          <t>DIET-P-0014</t>
        </is>
      </c>
      <c r="C58" s="24" t="n"/>
      <c r="D58" s="24" t="inlineStr">
        <is>
          <t>1.0.0</t>
        </is>
      </c>
      <c r="E58" s="25">
        <f>INDEX(목표문구!$G$1:$G$1000,MATCH($B58,목표문구!$A$1:$A$1000,0))</f>
        <v/>
      </c>
      <c r="F58" s="31" t="inlineStr">
        <is>
          <t>Half the broth at one meal</t>
        </is>
      </c>
      <c r="G58" s="24">
        <f>LEN(F58)</f>
        <v/>
      </c>
      <c r="H58" s="24" t="n">
        <v>30</v>
      </c>
      <c r="I58" s="24" t="n">
        <v>36</v>
      </c>
      <c r="J58" s="24">
        <f>IF(F58="","비어 있음",IF(G58&lt;=H58,"OK",IF(G58&lt;=I58,"길이 주의","상한 초과")))</f>
        <v/>
      </c>
      <c r="K58" s="24" t="inlineStr">
        <is>
          <t>초안(10-08)</t>
        </is>
      </c>
      <c r="L58" s="24" t="n"/>
    </row>
    <row r="59">
      <c r="A59" s="24" t="inlineStr">
        <is>
          <t>PHRASE</t>
        </is>
      </c>
      <c r="B59" s="24" t="inlineStr">
        <is>
          <t>DIET-P-0015</t>
        </is>
      </c>
      <c r="C59" s="24" t="n"/>
      <c r="D59" s="24" t="inlineStr">
        <is>
          <t>1.0.0</t>
        </is>
      </c>
      <c r="E59" s="25">
        <f>INDEX(목표문구!$G$1:$G$1000,MATCH($B59,목표문구!$A$1:$A$1000,0))</f>
        <v/>
      </c>
      <c r="F59" s="31" t="inlineStr">
        <is>
          <t>Eat the solids, not the broth</t>
        </is>
      </c>
      <c r="G59" s="24">
        <f>LEN(F59)</f>
        <v/>
      </c>
      <c r="H59" s="24" t="n">
        <v>30</v>
      </c>
      <c r="I59" s="24" t="n">
        <v>36</v>
      </c>
      <c r="J59" s="24">
        <f>IF(F59="","비어 있음",IF(G59&lt;=H59,"OK",IF(G59&lt;=I59,"길이 주의","상한 초과")))</f>
        <v/>
      </c>
      <c r="K59" s="24" t="inlineStr">
        <is>
          <t>초안(10-08)</t>
        </is>
      </c>
      <c r="L59" s="24" t="n"/>
    </row>
    <row r="60">
      <c r="A60" s="24" t="inlineStr">
        <is>
          <t>PHRASE</t>
        </is>
      </c>
      <c r="B60" s="24" t="inlineStr">
        <is>
          <t>DIET-P-0016</t>
        </is>
      </c>
      <c r="C60" s="24" t="n"/>
      <c r="D60" s="24" t="inlineStr">
        <is>
          <t>1.0.0</t>
        </is>
      </c>
      <c r="E60" s="25">
        <f>INDEX(목표문구!$G$1:$G$1000,MATCH($B60,목표문구!$A$1:$A$1000,0))</f>
        <v/>
      </c>
      <c r="F60" s="31" t="inlineStr">
        <is>
          <t>One lightly seasoned meal</t>
        </is>
      </c>
      <c r="G60" s="24">
        <f>LEN(F60)</f>
        <v/>
      </c>
      <c r="H60" s="24" t="n">
        <v>30</v>
      </c>
      <c r="I60" s="24" t="n">
        <v>36</v>
      </c>
      <c r="J60" s="24">
        <f>IF(F60="","비어 있음",IF(G60&lt;=H60,"OK",IF(G60&lt;=I60,"길이 주의","상한 초과")))</f>
        <v/>
      </c>
      <c r="K60" s="24" t="inlineStr">
        <is>
          <t>초안(10-08)</t>
        </is>
      </c>
      <c r="L60" s="24" t="n"/>
    </row>
    <row r="61">
      <c r="A61" s="24" t="inlineStr">
        <is>
          <t>PHRASE</t>
        </is>
      </c>
      <c r="B61" s="24" t="inlineStr">
        <is>
          <t>DIET-P-0017</t>
        </is>
      </c>
      <c r="C61" s="24" t="n"/>
      <c r="D61" s="24" t="inlineStr">
        <is>
          <t>1.0.0</t>
        </is>
      </c>
      <c r="E61" s="25">
        <f>INDEX(목표문구!$G$1:$G$1000,MATCH($B61,목표문구!$A$1:$A$1000,0))</f>
        <v/>
      </c>
      <c r="F61" s="31" t="inlineStr">
        <is>
          <t>Check sodium on labels</t>
        </is>
      </c>
      <c r="G61" s="24">
        <f>LEN(F61)</f>
        <v/>
      </c>
      <c r="H61" s="24" t="n">
        <v>30</v>
      </c>
      <c r="I61" s="24" t="n">
        <v>36</v>
      </c>
      <c r="J61" s="24">
        <f>IF(F61="","비어 있음",IF(G61&lt;=H61,"OK",IF(G61&lt;=I61,"길이 주의","상한 초과")))</f>
        <v/>
      </c>
      <c r="K61" s="24" t="inlineStr">
        <is>
          <t>초안(10-08)</t>
        </is>
      </c>
      <c r="L61" s="24" t="n"/>
    </row>
    <row r="62">
      <c r="A62" s="24" t="inlineStr">
        <is>
          <t>PHRASE</t>
        </is>
      </c>
      <c r="B62" s="24" t="inlineStr">
        <is>
          <t>DIET-P-0022</t>
        </is>
      </c>
      <c r="C62" s="24" t="n"/>
      <c r="D62" s="24" t="inlineStr">
        <is>
          <t>1.0.0</t>
        </is>
      </c>
      <c r="E62" s="25">
        <f>INDEX(목표문구!$G$1:$G$1000,MATCH($B62,목표문구!$A$1:$A$1000,0))</f>
        <v/>
      </c>
      <c r="F62" s="31" t="inlineStr">
        <is>
          <t>Put your spoon down mid-meal</t>
        </is>
      </c>
      <c r="G62" s="24">
        <f>LEN(F62)</f>
        <v/>
      </c>
      <c r="H62" s="24" t="n">
        <v>30</v>
      </c>
      <c r="I62" s="24" t="n">
        <v>36</v>
      </c>
      <c r="J62" s="24">
        <f>IF(F62="","비어 있음",IF(G62&lt;=H62,"OK",IF(G62&lt;=I62,"길이 주의","상한 초과")))</f>
        <v/>
      </c>
      <c r="K62" s="24" t="inlineStr">
        <is>
          <t>초안(10-08)</t>
        </is>
      </c>
      <c r="L62" s="24" t="n"/>
    </row>
    <row r="63">
      <c r="A63" s="24" t="inlineStr">
        <is>
          <t>PHRASE</t>
        </is>
      </c>
      <c r="B63" s="24" t="inlineStr">
        <is>
          <t>DIET-P-0023</t>
        </is>
      </c>
      <c r="C63" s="24" t="n"/>
      <c r="D63" s="24" t="inlineStr">
        <is>
          <t>1.0.0</t>
        </is>
      </c>
      <c r="E63" s="25">
        <f>INDEX(목표문구!$G$1:$G$1000,MATCH($B63,목표문구!$A$1:$A$1000,0))</f>
        <v/>
      </c>
      <c r="F63" s="31" t="inlineStr">
        <is>
          <t>Eat one meal slowly</t>
        </is>
      </c>
      <c r="G63" s="24">
        <f>LEN(F63)</f>
        <v/>
      </c>
      <c r="H63" s="24" t="n">
        <v>30</v>
      </c>
      <c r="I63" s="24" t="n">
        <v>36</v>
      </c>
      <c r="J63" s="24">
        <f>IF(F63="","비어 있음",IF(G63&lt;=H63,"OK",IF(G63&lt;=I63,"길이 주의","상한 초과")))</f>
        <v/>
      </c>
      <c r="K63" s="24" t="inlineStr">
        <is>
          <t>초안(10-08)</t>
        </is>
      </c>
      <c r="L63" s="24" t="n"/>
    </row>
    <row r="64">
      <c r="A64" s="24" t="inlineStr">
        <is>
          <t>PHRASE</t>
        </is>
      </c>
      <c r="B64" s="24" t="inlineStr">
        <is>
          <t>DIET-P-0025</t>
        </is>
      </c>
      <c r="C64" s="24" t="n"/>
      <c r="D64" s="24" t="inlineStr">
        <is>
          <t>1.0.0</t>
        </is>
      </c>
      <c r="E64" s="25">
        <f>INDEX(목표문구!$G$1:$G$1000,MATCH($B64,목표문구!$A$1:$A$1000,0))</f>
        <v/>
      </c>
      <c r="F64" s="31" t="inlineStr">
        <is>
          <t>Check fullness as you eat</t>
        </is>
      </c>
      <c r="G64" s="24">
        <f>LEN(F64)</f>
        <v/>
      </c>
      <c r="H64" s="24" t="n">
        <v>30</v>
      </c>
      <c r="I64" s="24" t="n">
        <v>36</v>
      </c>
      <c r="J64" s="24">
        <f>IF(F64="","비어 있음",IF(G64&lt;=H64,"OK",IF(G64&lt;=I64,"길이 주의","상한 초과")))</f>
        <v/>
      </c>
      <c r="K64" s="24" t="inlineStr">
        <is>
          <t>초안(10-08)</t>
        </is>
      </c>
      <c r="L64" s="24" t="n"/>
    </row>
    <row r="65">
      <c r="A65" s="24" t="inlineStr">
        <is>
          <t>PHRASE</t>
        </is>
      </c>
      <c r="B65" s="24" t="inlineStr">
        <is>
          <t>DIET-P-0027</t>
        </is>
      </c>
      <c r="C65" s="24" t="n"/>
      <c r="D65" s="24" t="inlineStr">
        <is>
          <t>1.0.0</t>
        </is>
      </c>
      <c r="E65" s="25">
        <f>INDEX(목표문구!$G$1:$G$1000,MATCH($B65,목표문구!$A$1:$A$1000,0))</f>
        <v/>
      </c>
      <c r="F65" s="31" t="inlineStr">
        <is>
          <t>Add a little protein</t>
        </is>
      </c>
      <c r="G65" s="24">
        <f>LEN(F65)</f>
        <v/>
      </c>
      <c r="H65" s="24" t="n">
        <v>30</v>
      </c>
      <c r="I65" s="24" t="n">
        <v>36</v>
      </c>
      <c r="J65" s="24">
        <f>IF(F65="","비어 있음",IF(G65&lt;=H65,"OK",IF(G65&lt;=I65,"길이 주의","상한 초과")))</f>
        <v/>
      </c>
      <c r="K65" s="24" t="inlineStr">
        <is>
          <t>초안(10-08)</t>
        </is>
      </c>
      <c r="L65" s="24" t="n"/>
    </row>
    <row r="66">
      <c r="A66" s="24" t="inlineStr">
        <is>
          <t>PHRASE</t>
        </is>
      </c>
      <c r="B66" s="24" t="inlineStr">
        <is>
          <t>DIET-P-0028</t>
        </is>
      </c>
      <c r="C66" s="24" t="n"/>
      <c r="D66" s="24" t="inlineStr">
        <is>
          <t>1.0.0</t>
        </is>
      </c>
      <c r="E66" s="25">
        <f>INDEX(목표문구!$G$1:$G$1000,MATCH($B66,목표문구!$A$1:$A$1000,0))</f>
        <v/>
      </c>
      <c r="F66" s="31" t="inlineStr">
        <is>
          <t>Make one side protein</t>
        </is>
      </c>
      <c r="G66" s="24">
        <f>LEN(F66)</f>
        <v/>
      </c>
      <c r="H66" s="24" t="n">
        <v>30</v>
      </c>
      <c r="I66" s="24" t="n">
        <v>36</v>
      </c>
      <c r="J66" s="24">
        <f>IF(F66="","비어 있음",IF(G66&lt;=H66,"OK",IF(G66&lt;=I66,"길이 주의","상한 초과")))</f>
        <v/>
      </c>
      <c r="K66" s="24" t="inlineStr">
        <is>
          <t>초안(10-08)</t>
        </is>
      </c>
      <c r="L66" s="24" t="n"/>
    </row>
    <row r="67">
      <c r="A67" s="24" t="inlineStr">
        <is>
          <t>PHRASE</t>
        </is>
      </c>
      <c r="B67" s="24" t="inlineStr">
        <is>
          <t>DIET-P-0029</t>
        </is>
      </c>
      <c r="C67" s="24" t="n"/>
      <c r="D67" s="24" t="inlineStr">
        <is>
          <t>1.0.0</t>
        </is>
      </c>
      <c r="E67" s="25">
        <f>INDEX(목표문구!$G$1:$G$1000,MATCH($B67,목표문구!$A$1:$A$1000,0))</f>
        <v/>
      </c>
      <c r="F67" s="31" t="inlineStr">
        <is>
          <t>Protein at every meal</t>
        </is>
      </c>
      <c r="G67" s="24">
        <f>LEN(F67)</f>
        <v/>
      </c>
      <c r="H67" s="24" t="n">
        <v>30</v>
      </c>
      <c r="I67" s="24" t="n">
        <v>36</v>
      </c>
      <c r="J67" s="24">
        <f>IF(F67="","비어 있음",IF(G67&lt;=H67,"OK",IF(G67&lt;=I67,"길이 주의","상한 초과")))</f>
        <v/>
      </c>
      <c r="K67" s="24" t="inlineStr">
        <is>
          <t>초안(10-08)</t>
        </is>
      </c>
      <c r="L67" s="24" t="n"/>
    </row>
    <row r="68">
      <c r="A68" s="24" t="inlineStr">
        <is>
          <t>PHRASE</t>
        </is>
      </c>
      <c r="B68" s="24" t="inlineStr">
        <is>
          <t>DIET-P-0030</t>
        </is>
      </c>
      <c r="C68" s="24" t="n"/>
      <c r="D68" s="24" t="inlineStr">
        <is>
          <t>1.0.0</t>
        </is>
      </c>
      <c r="E68" s="25">
        <f>INDEX(목표문구!$G$1:$G$1000,MATCH($B68,목표문구!$A$1:$A$1000,0))</f>
        <v/>
      </c>
      <c r="F68" s="31" t="inlineStr">
        <is>
          <t>Only one fried side</t>
        </is>
      </c>
      <c r="G68" s="24">
        <f>LEN(F68)</f>
        <v/>
      </c>
      <c r="H68" s="24" t="n">
        <v>30</v>
      </c>
      <c r="I68" s="24" t="n">
        <v>36</v>
      </c>
      <c r="J68" s="24">
        <f>IF(F68="","비어 있음",IF(G68&lt;=H68,"OK",IF(G68&lt;=I68,"길이 주의","상한 초과")))</f>
        <v/>
      </c>
      <c r="K68" s="24" t="inlineStr">
        <is>
          <t>초안(10-08)</t>
        </is>
      </c>
      <c r="L68" s="24" t="n"/>
    </row>
    <row r="69">
      <c r="A69" s="24" t="inlineStr">
        <is>
          <t>PHRASE</t>
        </is>
      </c>
      <c r="B69" s="24" t="inlineStr">
        <is>
          <t>DIET-P-0031</t>
        </is>
      </c>
      <c r="C69" s="24" t="n"/>
      <c r="D69" s="24" t="inlineStr">
        <is>
          <t>1.0.0</t>
        </is>
      </c>
      <c r="E69" s="25">
        <f>INDEX(목표문구!$G$1:$G$1000,MATCH($B69,목표문구!$A$1:$A$1000,0))</f>
        <v/>
      </c>
      <c r="F69" s="31" t="inlineStr">
        <is>
          <t>Snack on nuts</t>
        </is>
      </c>
      <c r="G69" s="24">
        <f>LEN(F69)</f>
        <v/>
      </c>
      <c r="H69" s="24" t="n">
        <v>30</v>
      </c>
      <c r="I69" s="24" t="n">
        <v>36</v>
      </c>
      <c r="J69" s="24">
        <f>IF(F69="","비어 있음",IF(G69&lt;=H69,"OK",IF(G69&lt;=I69,"길이 주의","상한 초과")))</f>
        <v/>
      </c>
      <c r="K69" s="24" t="inlineStr">
        <is>
          <t>초안(10-08)</t>
        </is>
      </c>
      <c r="L69" s="24" t="n"/>
    </row>
    <row r="70">
      <c r="A70" s="24" t="inlineStr">
        <is>
          <t>PHRASE</t>
        </is>
      </c>
      <c r="B70" s="24" t="inlineStr">
        <is>
          <t>DIET-P-0032</t>
        </is>
      </c>
      <c r="C70" s="24" t="n"/>
      <c r="D70" s="24" t="inlineStr">
        <is>
          <t>1.0.0</t>
        </is>
      </c>
      <c r="E70" s="25">
        <f>INDEX(목표문구!$G$1:$G$1000,MATCH($B70,목표문구!$A$1:$A$1000,0))</f>
        <v/>
      </c>
      <c r="F70" s="31" t="inlineStr">
        <is>
          <t>Fish instead of meat</t>
        </is>
      </c>
      <c r="G70" s="24">
        <f>LEN(F70)</f>
        <v/>
      </c>
      <c r="H70" s="24" t="n">
        <v>30</v>
      </c>
      <c r="I70" s="24" t="n">
        <v>36</v>
      </c>
      <c r="J70" s="24">
        <f>IF(F70="","비어 있음",IF(G70&lt;=H70,"OK",IF(G70&lt;=I70,"길이 주의","상한 초과")))</f>
        <v/>
      </c>
      <c r="K70" s="24" t="inlineStr">
        <is>
          <t>초안(10-08)</t>
        </is>
      </c>
      <c r="L70" s="24" t="n"/>
    </row>
    <row r="71">
      <c r="A71" s="24" t="inlineStr">
        <is>
          <t>PHRASE</t>
        </is>
      </c>
      <c r="B71" s="24" t="inlineStr">
        <is>
          <t>DIET-P-0033</t>
        </is>
      </c>
      <c r="C71" s="24" t="n"/>
      <c r="D71" s="24" t="inlineStr">
        <is>
          <t>1.0.0</t>
        </is>
      </c>
      <c r="E71" s="25">
        <f>INDEX(목표문구!$G$1:$G$1000,MATCH($B71,목표문구!$A$1:$A$1000,0))</f>
        <v/>
      </c>
      <c r="F71" s="31" t="inlineStr">
        <is>
          <t>Eat your next meal well</t>
        </is>
      </c>
      <c r="G71" s="24">
        <f>LEN(F71)</f>
        <v/>
      </c>
      <c r="H71" s="24" t="n">
        <v>30</v>
      </c>
      <c r="I71" s="24" t="n">
        <v>36</v>
      </c>
      <c r="J71" s="24">
        <f>IF(F71="","비어 있음",IF(G71&lt;=H71,"OK",IF(G71&lt;=I71,"길이 주의","상한 초과")))</f>
        <v/>
      </c>
      <c r="K71" s="24" t="inlineStr">
        <is>
          <t>초안(10-19)</t>
        </is>
      </c>
      <c r="L71" s="24" t="n"/>
    </row>
    <row r="72">
      <c r="A72" s="24" t="inlineStr">
        <is>
          <t>PHRASE</t>
        </is>
      </c>
      <c r="B72" s="24" t="inlineStr">
        <is>
          <t>DIET-P-0034</t>
        </is>
      </c>
      <c r="C72" s="24" t="n"/>
      <c r="D72" s="24" t="inlineStr">
        <is>
          <t>1.0.0</t>
        </is>
      </c>
      <c r="E72" s="25">
        <f>INDEX(목표문구!$G$1:$G$1000,MATCH($B72,목표문구!$A$1:$A$1000,0))</f>
        <v/>
      </c>
      <c r="F72" s="31" t="inlineStr">
        <is>
          <t>Have a bite of protein</t>
        </is>
      </c>
      <c r="G72" s="24">
        <f>LEN(F72)</f>
        <v/>
      </c>
      <c r="H72" s="24" t="n">
        <v>30</v>
      </c>
      <c r="I72" s="24" t="n">
        <v>36</v>
      </c>
      <c r="J72" s="24">
        <f>IF(F72="","비어 있음",IF(G72&lt;=H72,"OK",IF(G72&lt;=I72,"길이 주의","상한 초과")))</f>
        <v/>
      </c>
      <c r="K72" s="24" t="inlineStr">
        <is>
          <t>초안(10-08)</t>
        </is>
      </c>
      <c r="L72" s="24" t="n"/>
    </row>
    <row r="73">
      <c r="A73" s="24" t="inlineStr">
        <is>
          <t>PHRASE</t>
        </is>
      </c>
      <c r="B73" s="24" t="inlineStr">
        <is>
          <t>DIET-P-0035</t>
        </is>
      </c>
      <c r="C73" s="24" t="n"/>
      <c r="D73" s="24" t="inlineStr">
        <is>
          <t>1.0.0</t>
        </is>
      </c>
      <c r="E73" s="25">
        <f>INDEX(목표문구!$G$1:$G$1000,MATCH($B73,목표문구!$A$1:$A$1000,0))</f>
        <v/>
      </c>
      <c r="F73" s="31" t="inlineStr">
        <is>
          <t>Have a snack at least</t>
        </is>
      </c>
      <c r="G73" s="24">
        <f>LEN(F73)</f>
        <v/>
      </c>
      <c r="H73" s="24" t="n">
        <v>30</v>
      </c>
      <c r="I73" s="24" t="n">
        <v>36</v>
      </c>
      <c r="J73" s="24">
        <f>IF(F73="","비어 있음",IF(G73&lt;=H73,"OK",IF(G73&lt;=I73,"길이 주의","상한 초과")))</f>
        <v/>
      </c>
      <c r="K73" s="24" t="inlineStr">
        <is>
          <t>초안(10-08)</t>
        </is>
      </c>
      <c r="L73" s="24" t="n"/>
    </row>
    <row r="74">
      <c r="A74" s="24" t="inlineStr">
        <is>
          <t>PHRASE</t>
        </is>
      </c>
      <c r="B74" s="24" t="inlineStr">
        <is>
          <t>DIET-P-0036</t>
        </is>
      </c>
      <c r="C74" s="24" t="n"/>
      <c r="D74" s="24" t="inlineStr">
        <is>
          <t>1.0.0</t>
        </is>
      </c>
      <c r="E74" s="25">
        <f>INDEX(목표문구!$G$1:$G$1000,MATCH($B74,목표문구!$A$1:$A$1000,0))</f>
        <v/>
      </c>
      <c r="F74" s="31" t="inlineStr">
        <is>
          <t>Cut caffeine late in the day</t>
        </is>
      </c>
      <c r="G74" s="24">
        <f>LEN(F74)</f>
        <v/>
      </c>
      <c r="H74" s="24" t="n">
        <v>30</v>
      </c>
      <c r="I74" s="24" t="n">
        <v>36</v>
      </c>
      <c r="J74" s="24">
        <f>IF(F74="","비어 있음",IF(G74&lt;=H74,"OK",IF(G74&lt;=I74,"길이 주의","상한 초과")))</f>
        <v/>
      </c>
      <c r="K74" s="24" t="inlineStr">
        <is>
          <t>초안(10-08)</t>
        </is>
      </c>
      <c r="L74" s="24" t="n"/>
    </row>
    <row r="75">
      <c r="A75" s="24" t="inlineStr">
        <is>
          <t>PHRASE</t>
        </is>
      </c>
      <c r="B75" s="24" t="inlineStr">
        <is>
          <t>DIET-P-0037</t>
        </is>
      </c>
      <c r="C75" s="24" t="n"/>
      <c r="D75" s="24" t="inlineStr">
        <is>
          <t>1.0.0</t>
        </is>
      </c>
      <c r="E75" s="25">
        <f>INDEX(목표문구!$G$1:$G$1000,MATCH($B75,목표문구!$A$1:$A$1000,0))</f>
        <v/>
      </c>
      <c r="F75" s="31" t="inlineStr">
        <is>
          <t>Keep dinner effortless</t>
        </is>
      </c>
      <c r="G75" s="24">
        <f>LEN(F75)</f>
        <v/>
      </c>
      <c r="H75" s="24" t="n">
        <v>30</v>
      </c>
      <c r="I75" s="24" t="n">
        <v>36</v>
      </c>
      <c r="J75" s="24">
        <f>IF(F75="","비어 있음",IF(G75&lt;=H75,"OK",IF(G75&lt;=I75,"길이 주의","상한 초과")))</f>
        <v/>
      </c>
      <c r="K75" s="24" t="inlineStr">
        <is>
          <t>초안(10-08)</t>
        </is>
      </c>
      <c r="L75" s="24" t="n"/>
    </row>
    <row r="76">
      <c r="A76" s="24" t="inlineStr">
        <is>
          <t>PHRASE</t>
        </is>
      </c>
      <c r="B76" s="24" t="inlineStr">
        <is>
          <t>DIET-P-0039</t>
        </is>
      </c>
      <c r="C76" s="24" t="n"/>
      <c r="D76" s="24" t="inlineStr">
        <is>
          <t>1.0.0</t>
        </is>
      </c>
      <c r="E76" s="25">
        <f>INDEX(목표문구!$G$1:$G$1000,MATCH($B76,목표문구!$A$1:$A$1000,0))</f>
        <v/>
      </c>
      <c r="F76" s="31" t="inlineStr">
        <is>
          <t>Eat your usual lunch portion</t>
        </is>
      </c>
      <c r="G76" s="24">
        <f>LEN(F76)</f>
        <v/>
      </c>
      <c r="H76" s="24" t="n">
        <v>30</v>
      </c>
      <c r="I76" s="24" t="n">
        <v>36</v>
      </c>
      <c r="J76" s="24">
        <f>IF(F76="","비어 있음",IF(G76&lt;=H76,"OK",IF(G76&lt;=I76,"길이 주의","상한 초과")))</f>
        <v/>
      </c>
      <c r="K76" s="24" t="inlineStr">
        <is>
          <t>초안(10-08)</t>
        </is>
      </c>
      <c r="L76" s="24" t="n"/>
    </row>
    <row r="77">
      <c r="A77" s="24" t="inlineStr">
        <is>
          <t>PHRASE</t>
        </is>
      </c>
      <c r="B77" s="24" t="inlineStr">
        <is>
          <t>DIET-P-0040</t>
        </is>
      </c>
      <c r="C77" s="24" t="n"/>
      <c r="D77" s="24" t="inlineStr">
        <is>
          <t>1.0.0</t>
        </is>
      </c>
      <c r="E77" s="25">
        <f>INDEX(목표문구!$G$1:$G$1000,MATCH($B77,목표문구!$A$1:$A$1000,0))</f>
        <v/>
      </c>
      <c r="F77" s="31" t="inlineStr">
        <is>
          <t>Add milk at breakfast</t>
        </is>
      </c>
      <c r="G77" s="24">
        <f>LEN(F77)</f>
        <v/>
      </c>
      <c r="H77" s="24" t="n">
        <v>30</v>
      </c>
      <c r="I77" s="24" t="n">
        <v>36</v>
      </c>
      <c r="J77" s="24">
        <f>IF(F77="","비어 있음",IF(G77&lt;=H77,"OK",IF(G77&lt;=I77,"길이 주의","상한 초과")))</f>
        <v/>
      </c>
      <c r="K77" s="24" t="inlineStr">
        <is>
          <t>초안(10-08)</t>
        </is>
      </c>
      <c r="L77" s="24" t="n"/>
    </row>
    <row r="78">
      <c r="A78" s="24" t="inlineStr">
        <is>
          <t>PHRASE</t>
        </is>
      </c>
      <c r="B78" s="24" t="inlineStr">
        <is>
          <t>DIET-P-0041</t>
        </is>
      </c>
      <c r="C78" s="24" t="n"/>
      <c r="D78" s="24" t="inlineStr">
        <is>
          <t>1.0.0</t>
        </is>
      </c>
      <c r="E78" s="25">
        <f>INDEX(목표문구!$G$1:$G$1000,MATCH($B78,목표문구!$A$1:$A$1000,0))</f>
        <v/>
      </c>
      <c r="F78" s="31" t="inlineStr">
        <is>
          <t>Eat lunch on time</t>
        </is>
      </c>
      <c r="G78" s="24">
        <f>LEN(F78)</f>
        <v/>
      </c>
      <c r="H78" s="24" t="n">
        <v>30</v>
      </c>
      <c r="I78" s="24" t="n">
        <v>36</v>
      </c>
      <c r="J78" s="24">
        <f>IF(F78="","비어 있음",IF(G78&lt;=H78,"OK",IF(G78&lt;=I78,"길이 주의","상한 초과")))</f>
        <v/>
      </c>
      <c r="K78" s="24" t="inlineStr">
        <is>
          <t>초안(10-08)</t>
        </is>
      </c>
      <c r="L78" s="24" t="n"/>
    </row>
    <row r="79">
      <c r="A79" s="24" t="inlineStr">
        <is>
          <t>PHRASE</t>
        </is>
      </c>
      <c r="B79" s="24" t="inlineStr">
        <is>
          <t>DIET-P-0042</t>
        </is>
      </c>
      <c r="C79" s="24" t="n"/>
      <c r="D79" s="24" t="inlineStr">
        <is>
          <t>1.0.0</t>
        </is>
      </c>
      <c r="E79" s="25">
        <f>INDEX(목표문구!$G$1:$G$1000,MATCH($B79,목표문구!$A$1:$A$1000,0))</f>
        <v/>
      </c>
      <c r="F79" s="31" t="inlineStr">
        <is>
          <t>Eat all three meals today</t>
        </is>
      </c>
      <c r="G79" s="24">
        <f>LEN(F79)</f>
        <v/>
      </c>
      <c r="H79" s="24" t="n">
        <v>30</v>
      </c>
      <c r="I79" s="24" t="n">
        <v>36</v>
      </c>
      <c r="J79" s="24">
        <f>IF(F79="","비어 있음",IF(G79&lt;=H79,"OK",IF(G79&lt;=I79,"길이 주의","상한 초과")))</f>
        <v/>
      </c>
      <c r="K79" s="24" t="inlineStr">
        <is>
          <t>초안(10-08)</t>
        </is>
      </c>
      <c r="L79" s="24" t="n"/>
    </row>
    <row r="80">
      <c r="A80" s="24" t="inlineStr">
        <is>
          <t>PHRASE</t>
        </is>
      </c>
      <c r="B80" s="24" t="inlineStr">
        <is>
          <t>DIET-P-0044</t>
        </is>
      </c>
      <c r="C80" s="24" t="n"/>
      <c r="D80" s="24" t="inlineStr">
        <is>
          <t>1.0.0</t>
        </is>
      </c>
      <c r="E80" s="25">
        <f>INDEX(목표문구!$G$1:$G$1000,MATCH($B80,목표문구!$A$1:$A$1000,0))</f>
        <v/>
      </c>
      <c r="F80" s="31" t="inlineStr">
        <is>
          <t>Veggie side instead of soup</t>
        </is>
      </c>
      <c r="G80" s="24">
        <f>LEN(F80)</f>
        <v/>
      </c>
      <c r="H80" s="24" t="n">
        <v>30</v>
      </c>
      <c r="I80" s="24" t="n">
        <v>36</v>
      </c>
      <c r="J80" s="24">
        <f>IF(F80="","비어 있음",IF(G80&lt;=H80,"OK",IF(G80&lt;=I80,"길이 주의","상한 초과")))</f>
        <v/>
      </c>
      <c r="K80" s="24" t="inlineStr">
        <is>
          <t>초안(10-08)</t>
        </is>
      </c>
      <c r="L80" s="24" t="n"/>
    </row>
    <row r="81">
      <c r="A81" s="24" t="inlineStr">
        <is>
          <t>PHRASE</t>
        </is>
      </c>
      <c r="B81" s="24" t="inlineStr">
        <is>
          <t>DIET-P-0045</t>
        </is>
      </c>
      <c r="C81" s="24" t="n"/>
      <c r="D81" s="24" t="inlineStr">
        <is>
          <t>1.0.0</t>
        </is>
      </c>
      <c r="E81" s="25">
        <f>INDEX(목표문구!$G$1:$G$1000,MATCH($B81,목표문구!$A$1:$A$1000,0))</f>
        <v/>
      </c>
      <c r="F81" s="31" t="inlineStr">
        <is>
          <t>Meat with leafy wraps</t>
        </is>
      </c>
      <c r="G81" s="24">
        <f>LEN(F81)</f>
        <v/>
      </c>
      <c r="H81" s="24" t="n">
        <v>30</v>
      </c>
      <c r="I81" s="24" t="n">
        <v>36</v>
      </c>
      <c r="J81" s="24">
        <f>IF(F81="","비어 있음",IF(G81&lt;=H81,"OK",IF(G81&lt;=I81,"길이 주의","상한 초과")))</f>
        <v/>
      </c>
      <c r="K81" s="24" t="inlineStr">
        <is>
          <t>초안(10-08)</t>
        </is>
      </c>
      <c r="L81" s="24" t="n"/>
    </row>
    <row r="82">
      <c r="A82" s="24" t="inlineStr">
        <is>
          <t>PHRASE</t>
        </is>
      </c>
      <c r="B82" s="24" t="inlineStr">
        <is>
          <t>DIET-P-0046</t>
        </is>
      </c>
      <c r="C82" s="24" t="n"/>
      <c r="D82" s="24" t="inlineStr">
        <is>
          <t>1.0.0</t>
        </is>
      </c>
      <c r="E82" s="25">
        <f>INDEX(목표문구!$G$1:$G$1000,MATCH($B82,목표문구!$A$1:$A$1000,0))</f>
        <v/>
      </c>
      <c r="F82" s="31" t="inlineStr">
        <is>
          <t>Extra veggie when eating out</t>
        </is>
      </c>
      <c r="G82" s="24">
        <f>LEN(F82)</f>
        <v/>
      </c>
      <c r="H82" s="24" t="n">
        <v>30</v>
      </c>
      <c r="I82" s="24" t="n">
        <v>36</v>
      </c>
      <c r="J82" s="24">
        <f>IF(F82="","비어 있음",IF(G82&lt;=H82,"OK",IF(G82&lt;=I82,"길이 주의","상한 초과")))</f>
        <v/>
      </c>
      <c r="K82" s="24" t="inlineStr">
        <is>
          <t>초안(10-08)</t>
        </is>
      </c>
      <c r="L82" s="24" t="n"/>
    </row>
    <row r="83">
      <c r="A83" s="24" t="inlineStr">
        <is>
          <t>PHRASE</t>
        </is>
      </c>
      <c r="B83" s="24" t="inlineStr">
        <is>
          <t>DIET-P-0047</t>
        </is>
      </c>
      <c r="C83" s="24" t="n"/>
      <c r="D83" s="24" t="inlineStr">
        <is>
          <t>1.0.0</t>
        </is>
      </c>
      <c r="E83" s="25">
        <f>INDEX(목표문구!$G$1:$G$1000,MATCH($B83,목표문구!$A$1:$A$1000,0))</f>
        <v/>
      </c>
      <c r="F83" s="31" t="inlineStr">
        <is>
          <t>Two veggies at every meal</t>
        </is>
      </c>
      <c r="G83" s="24">
        <f>LEN(F83)</f>
        <v/>
      </c>
      <c r="H83" s="24" t="n">
        <v>30</v>
      </c>
      <c r="I83" s="24" t="n">
        <v>36</v>
      </c>
      <c r="J83" s="24">
        <f>IF(F83="","비어 있음",IF(G83&lt;=H83,"OK",IF(G83&lt;=I83,"길이 주의","상한 초과")))</f>
        <v/>
      </c>
      <c r="K83" s="24" t="inlineStr">
        <is>
          <t>초안(10-08)</t>
        </is>
      </c>
      <c r="L83" s="24" t="n"/>
    </row>
    <row r="84">
      <c r="A84" s="24" t="inlineStr">
        <is>
          <t>PHRASE</t>
        </is>
      </c>
      <c r="B84" s="24" t="inlineStr">
        <is>
          <t>DIET-P-0048</t>
        </is>
      </c>
      <c r="C84" s="24" t="n"/>
      <c r="D84" s="24" t="inlineStr">
        <is>
          <t>1.0.0</t>
        </is>
      </c>
      <c r="E84" s="25">
        <f>INDEX(목표문구!$G$1:$G$1000,MATCH($B84,목표문구!$A$1:$A$1000,0))</f>
        <v/>
      </c>
      <c r="F84" s="31" t="inlineStr">
        <is>
          <t>Veggies first at lunch too</t>
        </is>
      </c>
      <c r="G84" s="24">
        <f>LEN(F84)</f>
        <v/>
      </c>
      <c r="H84" s="24" t="n">
        <v>30</v>
      </c>
      <c r="I84" s="24" t="n">
        <v>36</v>
      </c>
      <c r="J84" s="24">
        <f>IF(F84="","비어 있음",IF(G84&lt;=H84,"OK",IF(G84&lt;=I84,"길이 주의","상한 초과")))</f>
        <v/>
      </c>
      <c r="K84" s="24" t="inlineStr">
        <is>
          <t>초안(10-08)</t>
        </is>
      </c>
      <c r="L84" s="24" t="n"/>
    </row>
    <row r="85">
      <c r="A85" s="24" t="inlineStr">
        <is>
          <t>PHRASE</t>
        </is>
      </c>
      <c r="B85" s="24" t="inlineStr">
        <is>
          <t>DIET-P-0049</t>
        </is>
      </c>
      <c r="C85" s="24" t="n"/>
      <c r="D85" s="24" t="inlineStr">
        <is>
          <t>1.0.0</t>
        </is>
      </c>
      <c r="E85" s="25">
        <f>INDEX(목표문구!$G$1:$G$1000,MATCH($B85,목표문구!$A$1:$A$1000,0))</f>
        <v/>
      </c>
      <c r="F85" s="31" t="inlineStr">
        <is>
          <t>Skip the syrup and cream</t>
        </is>
      </c>
      <c r="G85" s="24">
        <f>LEN(F85)</f>
        <v/>
      </c>
      <c r="H85" s="24" t="n">
        <v>30</v>
      </c>
      <c r="I85" s="24" t="n">
        <v>36</v>
      </c>
      <c r="J85" s="24">
        <f>IF(F85="","비어 있음",IF(G85&lt;=H85,"OK",IF(G85&lt;=I85,"길이 주의","상한 초과")))</f>
        <v/>
      </c>
      <c r="K85" s="24" t="inlineStr">
        <is>
          <t>초안(10-08)</t>
        </is>
      </c>
      <c r="L85" s="24" t="n"/>
    </row>
    <row r="86">
      <c r="A86" s="24" t="inlineStr">
        <is>
          <t>PHRASE</t>
        </is>
      </c>
      <c r="B86" s="24" t="inlineStr">
        <is>
          <t>DIET-P-0050</t>
        </is>
      </c>
      <c r="C86" s="24" t="n"/>
      <c r="D86" s="24" t="inlineStr">
        <is>
          <t>1.0.0</t>
        </is>
      </c>
      <c r="E86" s="25">
        <f>INDEX(목표문구!$G$1:$G$1000,MATCH($B86,목표문구!$A$1:$A$1000,0))</f>
        <v/>
      </c>
      <c r="F86" s="31" t="inlineStr">
        <is>
          <t>Sparkling water, not soda</t>
        </is>
      </c>
      <c r="G86" s="24">
        <f>LEN(F86)</f>
        <v/>
      </c>
      <c r="H86" s="24" t="n">
        <v>30</v>
      </c>
      <c r="I86" s="24" t="n">
        <v>36</v>
      </c>
      <c r="J86" s="24">
        <f>IF(F86="","비어 있음",IF(G86&lt;=H86,"OK",IF(G86&lt;=I86,"길이 주의","상한 초과")))</f>
        <v/>
      </c>
      <c r="K86" s="24" t="inlineStr">
        <is>
          <t>초안(10-08)</t>
        </is>
      </c>
      <c r="L86" s="24" t="n"/>
    </row>
    <row r="87">
      <c r="A87" s="24" t="inlineStr">
        <is>
          <t>PHRASE</t>
        </is>
      </c>
      <c r="B87" s="24" t="inlineStr">
        <is>
          <t>DIET-P-0051</t>
        </is>
      </c>
      <c r="C87" s="24" t="n"/>
      <c r="D87" s="24" t="inlineStr">
        <is>
          <t>1.0.0</t>
        </is>
      </c>
      <c r="E87" s="25">
        <f>INDEX(목표문구!$G$1:$G$1000,MATCH($B87,목표문구!$A$1:$A$1000,0))</f>
        <v/>
      </c>
      <c r="F87" s="31" t="inlineStr">
        <is>
          <t>Choose unsweetened yogurt</t>
        </is>
      </c>
      <c r="G87" s="24">
        <f>LEN(F87)</f>
        <v/>
      </c>
      <c r="H87" s="24" t="n">
        <v>30</v>
      </c>
      <c r="I87" s="24" t="n">
        <v>36</v>
      </c>
      <c r="J87" s="24">
        <f>IF(F87="","비어 있음",IF(G87&lt;=H87,"OK",IF(G87&lt;=I87,"길이 주의","상한 초과")))</f>
        <v/>
      </c>
      <c r="K87" s="24" t="inlineStr">
        <is>
          <t>초안(10-08)</t>
        </is>
      </c>
      <c r="L87" s="24" t="n"/>
    </row>
    <row r="88">
      <c r="A88" s="24" t="inlineStr">
        <is>
          <t>PHRASE</t>
        </is>
      </c>
      <c r="B88" s="24" t="inlineStr">
        <is>
          <t>DIET-P-0053</t>
        </is>
      </c>
      <c r="C88" s="24" t="n"/>
      <c r="D88" s="24" t="inlineStr">
        <is>
          <t>1.0.0</t>
        </is>
      </c>
      <c r="E88" s="25">
        <f>INDEX(목표문구!$G$1:$G$1000,MATCH($B88,목표문구!$A$1:$A$1000,0))</f>
        <v/>
      </c>
      <c r="F88" s="31" t="inlineStr">
        <is>
          <t>No sweet snacks today</t>
        </is>
      </c>
      <c r="G88" s="24">
        <f>LEN(F88)</f>
        <v/>
      </c>
      <c r="H88" s="24" t="n">
        <v>30</v>
      </c>
      <c r="I88" s="24" t="n">
        <v>36</v>
      </c>
      <c r="J88" s="24">
        <f>IF(F88="","비어 있음",IF(G88&lt;=H88,"OK",IF(G88&lt;=I88,"길이 주의","상한 초과")))</f>
        <v/>
      </c>
      <c r="K88" s="24" t="inlineStr">
        <is>
          <t>초안(10-08)</t>
        </is>
      </c>
      <c r="L88" s="24" t="n"/>
    </row>
    <row r="89">
      <c r="A89" s="24" t="inlineStr">
        <is>
          <t>PHRASE</t>
        </is>
      </c>
      <c r="B89" s="24" t="inlineStr">
        <is>
          <t>DIET-P-0054</t>
        </is>
      </c>
      <c r="C89" s="24" t="n"/>
      <c r="D89" s="24" t="inlineStr">
        <is>
          <t>1.0.0</t>
        </is>
      </c>
      <c r="E89" s="25">
        <f>INDEX(목표문구!$G$1:$G$1000,MATCH($B89,목표문구!$A$1:$A$1000,0))</f>
        <v/>
      </c>
      <c r="F89" s="31" t="inlineStr">
        <is>
          <t>Leave the broth behind</t>
        </is>
      </c>
      <c r="G89" s="24">
        <f>LEN(F89)</f>
        <v/>
      </c>
      <c r="H89" s="24" t="n">
        <v>30</v>
      </c>
      <c r="I89" s="24" t="n">
        <v>36</v>
      </c>
      <c r="J89" s="24">
        <f>IF(F89="","비어 있음",IF(G89&lt;=H89,"OK",IF(G89&lt;=I89,"길이 주의","상한 초과")))</f>
        <v/>
      </c>
      <c r="K89" s="24" t="inlineStr">
        <is>
          <t>초안(10-19)</t>
        </is>
      </c>
      <c r="L89" s="24" t="n"/>
    </row>
    <row r="90">
      <c r="A90" s="24" t="inlineStr">
        <is>
          <t>PHRASE</t>
        </is>
      </c>
      <c r="B90" s="24" t="inlineStr">
        <is>
          <t>DIET-P-0055</t>
        </is>
      </c>
      <c r="C90" s="24" t="n"/>
      <c r="D90" s="24" t="inlineStr">
        <is>
          <t>1.0.0</t>
        </is>
      </c>
      <c r="E90" s="25">
        <f>INDEX(목표문구!$G$1:$G$1000,MATCH($B90,목표문구!$A$1:$A$1000,0))</f>
        <v/>
      </c>
      <c r="F90" s="31" t="inlineStr">
        <is>
          <t>Try food without sauce</t>
        </is>
      </c>
      <c r="G90" s="24">
        <f>LEN(F90)</f>
        <v/>
      </c>
      <c r="H90" s="24" t="n">
        <v>30</v>
      </c>
      <c r="I90" s="24" t="n">
        <v>36</v>
      </c>
      <c r="J90" s="24">
        <f>IF(F90="","비어 있음",IF(G90&lt;=H90,"OK",IF(G90&lt;=I90,"길이 주의","상한 초과")))</f>
        <v/>
      </c>
      <c r="K90" s="24" t="inlineStr">
        <is>
          <t>초안(10-08)</t>
        </is>
      </c>
      <c r="L90" s="24" t="n"/>
    </row>
    <row r="91">
      <c r="A91" s="24" t="inlineStr">
        <is>
          <t>PHRASE</t>
        </is>
      </c>
      <c r="B91" s="24" t="inlineStr">
        <is>
          <t>DIET-P-0056</t>
        </is>
      </c>
      <c r="C91" s="24" t="n"/>
      <c r="D91" s="24" t="inlineStr">
        <is>
          <t>1.0.0</t>
        </is>
      </c>
      <c r="E91" s="25">
        <f>INDEX(목표문구!$G$1:$G$1000,MATCH($B91,목표문구!$A$1:$A$1000,0))</f>
        <v/>
      </c>
      <c r="F91" s="31" t="inlineStr">
        <is>
          <t>Pickled sides, just enough</t>
        </is>
      </c>
      <c r="G91" s="24">
        <f>LEN(F91)</f>
        <v/>
      </c>
      <c r="H91" s="24" t="n">
        <v>30</v>
      </c>
      <c r="I91" s="24" t="n">
        <v>36</v>
      </c>
      <c r="J91" s="24">
        <f>IF(F91="","비어 있음",IF(G91&lt;=H91,"OK",IF(G91&lt;=I91,"길이 주의","상한 초과")))</f>
        <v/>
      </c>
      <c r="K91" s="24" t="inlineStr">
        <is>
          <t>초안(10-19)</t>
        </is>
      </c>
      <c r="L91" s="24" t="n"/>
    </row>
    <row r="92">
      <c r="A92" s="24" t="inlineStr">
        <is>
          <t>PHRASE</t>
        </is>
      </c>
      <c r="B92" s="24" t="inlineStr">
        <is>
          <t>DIET-P-0057</t>
        </is>
      </c>
      <c r="C92" s="24" t="n"/>
      <c r="D92" s="24" t="inlineStr">
        <is>
          <t>1.0.0</t>
        </is>
      </c>
      <c r="E92" s="25">
        <f>INDEX(목표문구!$G$1:$G$1000,MATCH($B92,목표문구!$A$1:$A$1000,0))</f>
        <v/>
      </c>
      <c r="F92" s="31" t="inlineStr">
        <is>
          <t>Skip salted, pickled sides</t>
        </is>
      </c>
      <c r="G92" s="24">
        <f>LEN(F92)</f>
        <v/>
      </c>
      <c r="H92" s="24" t="n">
        <v>30</v>
      </c>
      <c r="I92" s="24" t="n">
        <v>36</v>
      </c>
      <c r="J92" s="24">
        <f>IF(F92="","비어 있음",IF(G92&lt;=H92,"OK",IF(G92&lt;=I92,"길이 주의","상한 초과")))</f>
        <v/>
      </c>
      <c r="K92" s="24" t="inlineStr">
        <is>
          <t>초안(10-08)</t>
        </is>
      </c>
      <c r="L92" s="24" t="n"/>
    </row>
    <row r="93">
      <c r="A93" s="24" t="inlineStr">
        <is>
          <t>PHRASE</t>
        </is>
      </c>
      <c r="B93" s="24" t="inlineStr">
        <is>
          <t>DIET-P-0058</t>
        </is>
      </c>
      <c r="C93" s="24" t="n"/>
      <c r="D93" s="24" t="inlineStr">
        <is>
          <t>1.0.0</t>
        </is>
      </c>
      <c r="E93" s="25">
        <f>INDEX(목표문구!$G$1:$G$1000,MATCH($B93,목표문구!$A$1:$A$1000,0))</f>
        <v/>
      </c>
      <c r="F93" s="31" t="inlineStr">
        <is>
          <t>Get sauce on the side</t>
        </is>
      </c>
      <c r="G93" s="24">
        <f>LEN(F93)</f>
        <v/>
      </c>
      <c r="H93" s="24" t="n">
        <v>30</v>
      </c>
      <c r="I93" s="24" t="n">
        <v>36</v>
      </c>
      <c r="J93" s="24">
        <f>IF(F93="","비어 있음",IF(G93&lt;=H93,"OK",IF(G93&lt;=I93,"길이 주의","상한 초과")))</f>
        <v/>
      </c>
      <c r="K93" s="24" t="inlineStr">
        <is>
          <t>초안(10-08)</t>
        </is>
      </c>
      <c r="L93" s="24" t="n"/>
    </row>
    <row r="94">
      <c r="A94" s="24" t="inlineStr">
        <is>
          <t>PHRASE</t>
        </is>
      </c>
      <c r="B94" s="24" t="inlineStr">
        <is>
          <t>DIET-P-0059</t>
        </is>
      </c>
      <c r="C94" s="24" t="n"/>
      <c r="D94" s="24" t="inlineStr">
        <is>
          <t>1.0.0</t>
        </is>
      </c>
      <c r="E94" s="25">
        <f>INDEX(목표문구!$G$1:$G$1000,MATCH($B94,목표문구!$A$1:$A$1000,0))</f>
        <v/>
      </c>
      <c r="F94" s="31" t="inlineStr">
        <is>
          <t>Eat without broth today</t>
        </is>
      </c>
      <c r="G94" s="24">
        <f>LEN(F94)</f>
        <v/>
      </c>
      <c r="H94" s="24" t="n">
        <v>30</v>
      </c>
      <c r="I94" s="24" t="n">
        <v>36</v>
      </c>
      <c r="J94" s="24">
        <f>IF(F94="","비어 있음",IF(G94&lt;=H94,"OK",IF(G94&lt;=I94,"길이 주의","상한 초과")))</f>
        <v/>
      </c>
      <c r="K94" s="24" t="inlineStr">
        <is>
          <t>초안(10-08)</t>
        </is>
      </c>
      <c r="L94" s="24" t="n"/>
    </row>
    <row r="95">
      <c r="A95" s="24" t="inlineStr">
        <is>
          <t>PHRASE</t>
        </is>
      </c>
      <c r="B95" s="24" t="inlineStr">
        <is>
          <t>DIET-P-0066</t>
        </is>
      </c>
      <c r="C95" s="24" t="n"/>
      <c r="D95" s="24" t="inlineStr">
        <is>
          <t>1.0.0</t>
        </is>
      </c>
      <c r="E95" s="25">
        <f>INDEX(목표문구!$G$1:$G$1000,MATCH($B95,목표문구!$A$1:$A$1000,0))</f>
        <v/>
      </c>
      <c r="F95" s="31" t="inlineStr">
        <is>
          <t>Put your phone away to eat</t>
        </is>
      </c>
      <c r="G95" s="24">
        <f>LEN(F95)</f>
        <v/>
      </c>
      <c r="H95" s="24" t="n">
        <v>30</v>
      </c>
      <c r="I95" s="24" t="n">
        <v>36</v>
      </c>
      <c r="J95" s="24">
        <f>IF(F95="","비어 있음",IF(G95&lt;=H95,"OK",IF(G95&lt;=I95,"길이 주의","상한 초과")))</f>
        <v/>
      </c>
      <c r="K95" s="24" t="inlineStr">
        <is>
          <t>초안(10-08)</t>
        </is>
      </c>
      <c r="L95" s="24" t="n"/>
    </row>
    <row r="96">
      <c r="A96" s="24" t="inlineStr">
        <is>
          <t>PHRASE</t>
        </is>
      </c>
      <c r="B96" s="24" t="inlineStr">
        <is>
          <t>DIET-P-0070</t>
        </is>
      </c>
      <c r="C96" s="24" t="n"/>
      <c r="D96" s="24" t="inlineStr">
        <is>
          <t>1.0.0</t>
        </is>
      </c>
      <c r="E96" s="25">
        <f>INDEX(목표문구!$G$1:$G$1000,MATCH($B96,목표문구!$A$1:$A$1000,0))</f>
        <v/>
      </c>
      <c r="F96" s="31" t="inlineStr">
        <is>
          <t>An egg for breakfast</t>
        </is>
      </c>
      <c r="G96" s="24">
        <f>LEN(F96)</f>
        <v/>
      </c>
      <c r="H96" s="24" t="n">
        <v>30</v>
      </c>
      <c r="I96" s="24" t="n">
        <v>36</v>
      </c>
      <c r="J96" s="24">
        <f>IF(F96="","비어 있음",IF(G96&lt;=H96,"OK",IF(G96&lt;=I96,"길이 주의","상한 초과")))</f>
        <v/>
      </c>
      <c r="K96" s="24" t="inlineStr">
        <is>
          <t>초안(10-08)</t>
        </is>
      </c>
      <c r="L96" s="24" t="n"/>
    </row>
    <row r="97">
      <c r="A97" s="24" t="inlineStr">
        <is>
          <t>PHRASE</t>
        </is>
      </c>
      <c r="B97" s="24" t="inlineStr">
        <is>
          <t>DIET-P-0071</t>
        </is>
      </c>
      <c r="C97" s="24" t="n"/>
      <c r="D97" s="24" t="inlineStr">
        <is>
          <t>1.0.0</t>
        </is>
      </c>
      <c r="E97" s="25">
        <f>INDEX(목표문구!$G$1:$G$1000,MATCH($B97,목표문구!$A$1:$A$1000,0))</f>
        <v/>
      </c>
      <c r="F97" s="31" t="inlineStr">
        <is>
          <t>A glass of milk or soy milk</t>
        </is>
      </c>
      <c r="G97" s="24">
        <f>LEN(F97)</f>
        <v/>
      </c>
      <c r="H97" s="24" t="n">
        <v>30</v>
      </c>
      <c r="I97" s="24" t="n">
        <v>36</v>
      </c>
      <c r="J97" s="24">
        <f>IF(F97="","비어 있음",IF(G97&lt;=H97,"OK",IF(G97&lt;=I97,"길이 주의","상한 초과")))</f>
        <v/>
      </c>
      <c r="K97" s="24" t="inlineStr">
        <is>
          <t>초안(10-08)</t>
        </is>
      </c>
      <c r="L97" s="24" t="n"/>
    </row>
    <row r="98">
      <c r="A98" s="24" t="inlineStr">
        <is>
          <t>PHRASE</t>
        </is>
      </c>
      <c r="B98" s="24" t="inlineStr">
        <is>
          <t>DIET-P-0072</t>
        </is>
      </c>
      <c r="C98" s="24" t="n"/>
      <c r="D98" s="24" t="inlineStr">
        <is>
          <t>1.0.0</t>
        </is>
      </c>
      <c r="E98" s="25">
        <f>INDEX(목표문구!$G$1:$G$1000,MATCH($B98,목표문구!$A$1:$A$1000,0))</f>
        <v/>
      </c>
      <c r="F98" s="31" t="inlineStr">
        <is>
          <t>Fish as a side once</t>
        </is>
      </c>
      <c r="G98" s="24">
        <f>LEN(F98)</f>
        <v/>
      </c>
      <c r="H98" s="24" t="n">
        <v>30</v>
      </c>
      <c r="I98" s="24" t="n">
        <v>36</v>
      </c>
      <c r="J98" s="24">
        <f>IF(F98="","비어 있음",IF(G98&lt;=H98,"OK",IF(G98&lt;=I98,"길이 주의","상한 초과")))</f>
        <v/>
      </c>
      <c r="K98" s="24" t="inlineStr">
        <is>
          <t>초안(10-08)</t>
        </is>
      </c>
      <c r="L98" s="24" t="n"/>
    </row>
    <row r="99">
      <c r="A99" s="24" t="inlineStr">
        <is>
          <t>PHRASE</t>
        </is>
      </c>
      <c r="B99" s="24" t="inlineStr">
        <is>
          <t>DIET-P-0073</t>
        </is>
      </c>
      <c r="C99" s="24" t="n"/>
      <c r="D99" s="24" t="inlineStr">
        <is>
          <t>1.0.0</t>
        </is>
      </c>
      <c r="E99" s="25">
        <f>INDEX(목표문구!$G$1:$G$1000,MATCH($B99,목표문구!$A$1:$A$1000,0))</f>
        <v/>
      </c>
      <c r="F99" s="31" t="inlineStr">
        <is>
          <t>Prep a tofu side</t>
        </is>
      </c>
      <c r="G99" s="24">
        <f>LEN(F99)</f>
        <v/>
      </c>
      <c r="H99" s="24" t="n">
        <v>30</v>
      </c>
      <c r="I99" s="24" t="n">
        <v>36</v>
      </c>
      <c r="J99" s="24">
        <f>IF(F99="","비어 있음",IF(G99&lt;=H99,"OK",IF(G99&lt;=I99,"길이 주의","상한 초과")))</f>
        <v/>
      </c>
      <c r="K99" s="24" t="inlineStr">
        <is>
          <t>초안(10-08)</t>
        </is>
      </c>
      <c r="L99" s="24" t="n"/>
    </row>
    <row r="100">
      <c r="A100" s="24" t="inlineStr">
        <is>
          <t>PHRASE</t>
        </is>
      </c>
      <c r="B100" s="24" t="inlineStr">
        <is>
          <t>DIET-P-0074</t>
        </is>
      </c>
      <c r="C100" s="24" t="n"/>
      <c r="D100" s="24" t="inlineStr">
        <is>
          <t>1.0.0</t>
        </is>
      </c>
      <c r="E100" s="25">
        <f>INDEX(목표문구!$G$1:$G$1000,MATCH($B100,목표문구!$A$1:$A$1000,0))</f>
        <v/>
      </c>
      <c r="F100" s="31" t="inlineStr">
        <is>
          <t>Vary your protein each meal</t>
        </is>
      </c>
      <c r="G100" s="24">
        <f>LEN(F100)</f>
        <v/>
      </c>
      <c r="H100" s="24" t="n">
        <v>30</v>
      </c>
      <c r="I100" s="24" t="n">
        <v>36</v>
      </c>
      <c r="J100" s="24">
        <f>IF(F100="","비어 있음",IF(G100&lt;=H100,"OK",IF(G100&lt;=I100,"길이 주의","상한 초과")))</f>
        <v/>
      </c>
      <c r="K100" s="24" t="inlineStr">
        <is>
          <t>초안(10-08)</t>
        </is>
      </c>
      <c r="L100" s="24" t="n"/>
    </row>
    <row r="101">
      <c r="A101" s="24" t="inlineStr">
        <is>
          <t>PHRASE</t>
        </is>
      </c>
      <c r="B101" s="24" t="inlineStr">
        <is>
          <t>DIET-P-0075</t>
        </is>
      </c>
      <c r="C101" s="24" t="n"/>
      <c r="D101" s="24" t="inlineStr">
        <is>
          <t>1.0.0</t>
        </is>
      </c>
      <c r="E101" s="25">
        <f>INDEX(목표문구!$G$1:$G$1000,MATCH($B101,목표문구!$A$1:$A$1000,0))</f>
        <v/>
      </c>
      <c r="F101" s="31" t="inlineStr">
        <is>
          <t>Grill or steam, don't fry</t>
        </is>
      </c>
      <c r="G101" s="24">
        <f>LEN(F101)</f>
        <v/>
      </c>
      <c r="H101" s="24" t="n">
        <v>30</v>
      </c>
      <c r="I101" s="24" t="n">
        <v>36</v>
      </c>
      <c r="J101" s="24">
        <f>IF(F101="","비어 있음",IF(G101&lt;=H101,"OK",IF(G101&lt;=I101,"길이 주의","상한 초과")))</f>
        <v/>
      </c>
      <c r="K101" s="24" t="inlineStr">
        <is>
          <t>초안(10-08)</t>
        </is>
      </c>
      <c r="L101" s="24" t="n"/>
    </row>
    <row r="102">
      <c r="A102" s="24" t="inlineStr">
        <is>
          <t>PHRASE</t>
        </is>
      </c>
      <c r="B102" s="24" t="inlineStr">
        <is>
          <t>DIET-P-0076</t>
        </is>
      </c>
      <c r="C102" s="24" t="n"/>
      <c r="D102" s="24" t="inlineStr">
        <is>
          <t>1.0.0</t>
        </is>
      </c>
      <c r="E102" s="25">
        <f>INDEX(목표문구!$G$1:$G$1000,MATCH($B102,목표문구!$A$1:$A$1000,0))</f>
        <v/>
      </c>
      <c r="F102" s="31" t="inlineStr">
        <is>
          <t>Choose leaner cuts</t>
        </is>
      </c>
      <c r="G102" s="24">
        <f>LEN(F102)</f>
        <v/>
      </c>
      <c r="H102" s="24" t="n">
        <v>30</v>
      </c>
      <c r="I102" s="24" t="n">
        <v>36</v>
      </c>
      <c r="J102" s="24">
        <f>IF(F102="","비어 있음",IF(G102&lt;=H102,"OK",IF(G102&lt;=I102,"길이 주의","상한 초과")))</f>
        <v/>
      </c>
      <c r="K102" s="24" t="inlineStr">
        <is>
          <t>초안(10-08)</t>
        </is>
      </c>
      <c r="L102" s="24" t="n"/>
    </row>
    <row r="103">
      <c r="A103" s="24" t="inlineStr">
        <is>
          <t>PHRASE</t>
        </is>
      </c>
      <c r="B103" s="24" t="inlineStr">
        <is>
          <t>DIET-P-0077</t>
        </is>
      </c>
      <c r="C103" s="24" t="n"/>
      <c r="D103" s="24" t="inlineStr">
        <is>
          <t>1.0.0</t>
        </is>
      </c>
      <c r="E103" s="25">
        <f>INDEX(목표문구!$G$1:$G$1000,MATCH($B103,목표문구!$A$1:$A$1000,0))</f>
        <v/>
      </c>
      <c r="F103" s="31" t="inlineStr">
        <is>
          <t>Use half the dressing</t>
        </is>
      </c>
      <c r="G103" s="24">
        <f>LEN(F103)</f>
        <v/>
      </c>
      <c r="H103" s="24" t="n">
        <v>30</v>
      </c>
      <c r="I103" s="24" t="n">
        <v>36</v>
      </c>
      <c r="J103" s="24">
        <f>IF(F103="","비어 있음",IF(G103&lt;=H103,"OK",IF(G103&lt;=I103,"길이 주의","상한 초과")))</f>
        <v/>
      </c>
      <c r="K103" s="24" t="inlineStr">
        <is>
          <t>초안(10-08)</t>
        </is>
      </c>
      <c r="L103" s="24" t="n"/>
    </row>
    <row r="104">
      <c r="A104" s="24" t="inlineStr">
        <is>
          <t>PHRASE</t>
        </is>
      </c>
      <c r="B104" s="24" t="inlineStr">
        <is>
          <t>DIET-P-0078</t>
        </is>
      </c>
      <c r="C104" s="24" t="n"/>
      <c r="D104" s="24" t="inlineStr">
        <is>
          <t>1.0.0</t>
        </is>
      </c>
      <c r="E104" s="25">
        <f>INDEX(목표문구!$G$1:$G$1000,MATCH($B104,목표문구!$A$1:$A$1000,0))</f>
        <v/>
      </c>
      <c r="F104" s="31" t="inlineStr">
        <is>
          <t>Swap fried noodles for rice</t>
        </is>
      </c>
      <c r="G104" s="24">
        <f>LEN(F104)</f>
        <v/>
      </c>
      <c r="H104" s="24" t="n">
        <v>30</v>
      </c>
      <c r="I104" s="24" t="n">
        <v>36</v>
      </c>
      <c r="J104" s="24">
        <f>IF(F104="","비어 있음",IF(G104&lt;=H104,"OK",IF(G104&lt;=I104,"길이 주의","상한 초과")))</f>
        <v/>
      </c>
      <c r="K104" s="24" t="inlineStr">
        <is>
          <t>초안(10-19)</t>
        </is>
      </c>
      <c r="L104" s="24" t="n"/>
    </row>
    <row r="105">
      <c r="A105" s="24" t="inlineStr">
        <is>
          <t>PHRASE</t>
        </is>
      </c>
      <c r="B105" s="24" t="inlineStr">
        <is>
          <t>DIET-P-0079</t>
        </is>
      </c>
      <c r="C105" s="24" t="n"/>
      <c r="D105" s="24" t="inlineStr">
        <is>
          <t>1.0.0</t>
        </is>
      </c>
      <c r="E105" s="25">
        <f>INDEX(목표문구!$G$1:$G$1000,MATCH($B105,목표문구!$A$1:$A$1000,0))</f>
        <v/>
      </c>
      <c r="F105" s="31" t="inlineStr">
        <is>
          <t>A fry-free day</t>
        </is>
      </c>
      <c r="G105" s="24">
        <f>LEN(F105)</f>
        <v/>
      </c>
      <c r="H105" s="24" t="n">
        <v>30</v>
      </c>
      <c r="I105" s="24" t="n">
        <v>36</v>
      </c>
      <c r="J105" s="24">
        <f>IF(F105="","비어 있음",IF(G105&lt;=H105,"OK",IF(G105&lt;=I105,"길이 주의","상한 초과")))</f>
        <v/>
      </c>
      <c r="K105" s="24" t="inlineStr">
        <is>
          <t>초안(10-08)</t>
        </is>
      </c>
      <c r="L105" s="24" t="n"/>
    </row>
    <row r="106">
      <c r="A106" s="24" t="inlineStr">
        <is>
          <t>PHRASE</t>
        </is>
      </c>
      <c r="B106" s="24" t="inlineStr">
        <is>
          <t>DIET-P-0082</t>
        </is>
      </c>
      <c r="C106" s="24" t="n"/>
      <c r="D106" s="24" t="inlineStr">
        <is>
          <t>1.0.0</t>
        </is>
      </c>
      <c r="E106" s="25">
        <f>INDEX(목표문구!$G$1:$G$1000,MATCH($B106,목표문구!$A$1:$A$1000,0))</f>
        <v/>
      </c>
      <c r="F106" s="31" t="inlineStr">
        <is>
          <t>A glass of milk with meals</t>
        </is>
      </c>
      <c r="G106" s="24">
        <f>LEN(F106)</f>
        <v/>
      </c>
      <c r="H106" s="24" t="n">
        <v>30</v>
      </c>
      <c r="I106" s="24" t="n">
        <v>36</v>
      </c>
      <c r="J106" s="24">
        <f>IF(F106="","비어 있음",IF(G106&lt;=H106,"OK",IF(G106&lt;=I106,"길이 주의","상한 초과")))</f>
        <v/>
      </c>
      <c r="K106" s="24" t="inlineStr">
        <is>
          <t>초안(10-08)</t>
        </is>
      </c>
      <c r="L106" s="24" t="n"/>
    </row>
    <row r="107">
      <c r="A107" s="24" t="inlineStr">
        <is>
          <t>PHRASE</t>
        </is>
      </c>
      <c r="B107" s="24" t="inlineStr">
        <is>
          <t>DIET-P-0083</t>
        </is>
      </c>
      <c r="C107" s="24" t="n"/>
      <c r="D107" s="24" t="inlineStr">
        <is>
          <t>1.0.0</t>
        </is>
      </c>
      <c r="E107" s="25">
        <f>INDEX(목표문구!$G$1:$G$1000,MATCH($B107,목표문구!$A$1:$A$1000,0))</f>
        <v/>
      </c>
      <c r="F107" s="31" t="inlineStr">
        <is>
          <t>Decaf tea instead of coffee</t>
        </is>
      </c>
      <c r="G107" s="24">
        <f>LEN(F107)</f>
        <v/>
      </c>
      <c r="H107" s="24" t="n">
        <v>30</v>
      </c>
      <c r="I107" s="24" t="n">
        <v>36</v>
      </c>
      <c r="J107" s="24">
        <f>IF(F107="","비어 있음",IF(G107&lt;=H107,"OK",IF(G107&lt;=I107,"길이 주의","상한 초과")))</f>
        <v/>
      </c>
      <c r="K107" s="24" t="inlineStr">
        <is>
          <t>초안(10-08)</t>
        </is>
      </c>
      <c r="L107" s="24" t="n"/>
    </row>
    <row r="108">
      <c r="A108" s="24" t="inlineStr">
        <is>
          <t>PHRASE</t>
        </is>
      </c>
      <c r="B108" s="24" t="inlineStr">
        <is>
          <t>DIET-P-0087</t>
        </is>
      </c>
      <c r="C108" s="24" t="n"/>
      <c r="D108" s="24" t="inlineStr">
        <is>
          <t>1.0.0</t>
        </is>
      </c>
      <c r="E108" s="25">
        <f>INDEX(목표문구!$G$1:$G$1000,MATCH($B108,목표문구!$A$1:$A$1000,0))</f>
        <v/>
      </c>
      <c r="F108" s="31" t="inlineStr">
        <is>
          <t>Keep dinner light</t>
        </is>
      </c>
      <c r="G108" s="24">
        <f>LEN(F108)</f>
        <v/>
      </c>
      <c r="H108" s="24" t="n">
        <v>30</v>
      </c>
      <c r="I108" s="24" t="n">
        <v>36</v>
      </c>
      <c r="J108" s="24">
        <f>IF(F108="","비어 있음",IF(G108&lt;=H108,"OK",IF(G108&lt;=I108,"길이 주의","상한 초과")))</f>
        <v/>
      </c>
      <c r="K108" s="24" t="inlineStr">
        <is>
          <t>초안(10-08)</t>
        </is>
      </c>
      <c r="L108" s="24" t="n"/>
    </row>
    <row r="109">
      <c r="A109" s="24" t="inlineStr">
        <is>
          <t>PHRASE</t>
        </is>
      </c>
      <c r="B109" s="24" t="inlineStr">
        <is>
          <t>DIET-P-0088</t>
        </is>
      </c>
      <c r="C109" s="24" t="n"/>
      <c r="D109" s="24" t="inlineStr">
        <is>
          <t>1.0.0</t>
        </is>
      </c>
      <c r="E109" s="25">
        <f>INDEX(목표문구!$G$1:$G$1000,MATCH($B109,목표문구!$A$1:$A$1000,0))</f>
        <v/>
      </c>
      <c r="F109" s="31" t="inlineStr">
        <is>
          <t>Eat breakfast on your commute</t>
        </is>
      </c>
      <c r="G109" s="24">
        <f>LEN(F109)</f>
        <v/>
      </c>
      <c r="H109" s="24" t="n">
        <v>30</v>
      </c>
      <c r="I109" s="24" t="n">
        <v>36</v>
      </c>
      <c r="J109" s="24">
        <f>IF(F109="","비어 있음",IF(G109&lt;=H109,"OK",IF(G109&lt;=I109,"길이 주의","상한 초과")))</f>
        <v/>
      </c>
      <c r="K109" s="24" t="inlineStr">
        <is>
          <t>초안(10-08)</t>
        </is>
      </c>
      <c r="L109" s="24" t="n"/>
    </row>
    <row r="110">
      <c r="A110" s="24" t="inlineStr">
        <is>
          <t>PHRASE</t>
        </is>
      </c>
      <c r="B110" s="24" t="inlineStr">
        <is>
          <t>DIET-P-0089</t>
        </is>
      </c>
      <c r="C110" s="24" t="n"/>
      <c r="D110" s="24" t="inlineStr">
        <is>
          <t>1.0.0</t>
        </is>
      </c>
      <c r="E110" s="25">
        <f>INDEX(목표문구!$G$1:$G$1000,MATCH($B110,목표문구!$A$1:$A$1000,0))</f>
        <v/>
      </c>
      <c r="F110" s="31" t="inlineStr">
        <is>
          <t>Eat three usual meals</t>
        </is>
      </c>
      <c r="G110" s="24">
        <f>LEN(F110)</f>
        <v/>
      </c>
      <c r="H110" s="24" t="n">
        <v>30</v>
      </c>
      <c r="I110" s="24" t="n">
        <v>36</v>
      </c>
      <c r="J110" s="24">
        <f>IF(F110="","비어 있음",IF(G110&lt;=H110,"OK",IF(G110&lt;=I110,"길이 주의","상한 초과")))</f>
        <v/>
      </c>
      <c r="K110" s="24" t="inlineStr">
        <is>
          <t>초안(10-08)</t>
        </is>
      </c>
      <c r="L110" s="24" t="n"/>
    </row>
    <row r="111">
      <c r="A111" s="24" t="inlineStr">
        <is>
          <t>PHRASE</t>
        </is>
      </c>
      <c r="B111" s="24" t="inlineStr">
        <is>
          <t>DIET-P-0093</t>
        </is>
      </c>
      <c r="C111" s="24" t="n"/>
      <c r="D111" s="24" t="inlineStr">
        <is>
          <t>1.0.0</t>
        </is>
      </c>
      <c r="E111" s="25">
        <f>INDEX(목표문구!$G$1:$G$1000,MATCH($B111,목표문구!$A$1:$A$1000,0))</f>
        <v/>
      </c>
      <c r="F111" s="31" t="inlineStr">
        <is>
          <t>A handful of veggies in soup</t>
        </is>
      </c>
      <c r="G111" s="24">
        <f>LEN(F111)</f>
        <v/>
      </c>
      <c r="H111" s="24" t="n">
        <v>30</v>
      </c>
      <c r="I111" s="24" t="n">
        <v>36</v>
      </c>
      <c r="J111" s="24">
        <f>IF(F111="","비어 있음",IF(G111&lt;=H111,"OK",IF(G111&lt;=I111,"길이 주의","상한 초과")))</f>
        <v/>
      </c>
      <c r="K111" s="24" t="inlineStr">
        <is>
          <t>초안(10-08)</t>
        </is>
      </c>
      <c r="L111" s="24" t="n"/>
    </row>
    <row r="112">
      <c r="A112" s="24" t="inlineStr">
        <is>
          <t>PHRASE</t>
        </is>
      </c>
      <c r="B112" s="24" t="inlineStr">
        <is>
          <t>DIET-P-0094</t>
        </is>
      </c>
      <c r="C112" s="24" t="n"/>
      <c r="D112" s="24" t="inlineStr">
        <is>
          <t>1.0.0</t>
        </is>
      </c>
      <c r="E112" s="25">
        <f>INDEX(목표문구!$G$1:$G$1000,MATCH($B112,목표문구!$A$1:$A$1000,0))</f>
        <v/>
      </c>
      <c r="F112" s="31" t="inlineStr">
        <is>
          <t>Add veggies to every meal</t>
        </is>
      </c>
      <c r="G112" s="24">
        <f>LEN(F112)</f>
        <v/>
      </c>
      <c r="H112" s="24" t="n">
        <v>30</v>
      </c>
      <c r="I112" s="24" t="n">
        <v>36</v>
      </c>
      <c r="J112" s="24">
        <f>IF(F112="","비어 있음",IF(G112&lt;=H112,"OK",IF(G112&lt;=I112,"길이 주의","상한 초과")))</f>
        <v/>
      </c>
      <c r="K112" s="24" t="inlineStr">
        <is>
          <t>초안(10-08)</t>
        </is>
      </c>
      <c r="L112" s="24" t="n"/>
    </row>
    <row r="113">
      <c r="A113" s="24" t="inlineStr">
        <is>
          <t>PHRASE</t>
        </is>
      </c>
      <c r="B113" s="24" t="inlineStr">
        <is>
          <t>DIET-P-0095</t>
        </is>
      </c>
      <c r="C113" s="24" t="n"/>
      <c r="D113" s="24" t="inlineStr">
        <is>
          <t>1.0.0</t>
        </is>
      </c>
      <c r="E113" s="25">
        <f>INDEX(목표문구!$G$1:$G$1000,MATCH($B113,목표문구!$A$1:$A$1000,0))</f>
        <v/>
      </c>
      <c r="F113" s="31" t="inlineStr">
        <is>
          <t>Lots of veggie sides at dinner</t>
        </is>
      </c>
      <c r="G113" s="24">
        <f>LEN(F113)</f>
        <v/>
      </c>
      <c r="H113" s="24" t="n">
        <v>30</v>
      </c>
      <c r="I113" s="24" t="n">
        <v>36</v>
      </c>
      <c r="J113" s="24">
        <f>IF(F113="","비어 있음",IF(G113&lt;=H113,"OK",IF(G113&lt;=I113,"길이 주의","상한 초과")))</f>
        <v/>
      </c>
      <c r="K113" s="24" t="inlineStr">
        <is>
          <t>초안(10-08)</t>
        </is>
      </c>
      <c r="L113" s="24" t="n"/>
    </row>
    <row r="114">
      <c r="A114" s="24" t="inlineStr">
        <is>
          <t>PHRASE</t>
        </is>
      </c>
      <c r="B114" s="24" t="inlineStr">
        <is>
          <t>DIET-P-0100</t>
        </is>
      </c>
      <c r="C114" s="24" t="n"/>
      <c r="D114" s="24" t="inlineStr">
        <is>
          <t>1.0.0</t>
        </is>
      </c>
      <c r="E114" s="25">
        <f>INDEX(목표문구!$G$1:$G$1000,MATCH($B114,목표문구!$A$1:$A$1000,0))</f>
        <v/>
      </c>
      <c r="F114" s="31" t="inlineStr">
        <is>
          <t>Share your dessert</t>
        </is>
      </c>
      <c r="G114" s="24">
        <f>LEN(F114)</f>
        <v/>
      </c>
      <c r="H114" s="24" t="n">
        <v>30</v>
      </c>
      <c r="I114" s="24" t="n">
        <v>36</v>
      </c>
      <c r="J114" s="24">
        <f>IF(F114="","비어 있음",IF(G114&lt;=H114,"OK",IF(G114&lt;=I114,"길이 주의","상한 초과")))</f>
        <v/>
      </c>
      <c r="K114" s="24" t="inlineStr">
        <is>
          <t>초안(10-08)</t>
        </is>
      </c>
      <c r="L114" s="24" t="n"/>
    </row>
    <row r="115">
      <c r="A115" s="24" t="inlineStr">
        <is>
          <t>PHRASE</t>
        </is>
      </c>
      <c r="B115" s="24" t="inlineStr">
        <is>
          <t>DIET-P-0102</t>
        </is>
      </c>
      <c r="C115" s="24" t="n"/>
      <c r="D115" s="24" t="inlineStr">
        <is>
          <t>1.0.0</t>
        </is>
      </c>
      <c r="E115" s="25">
        <f>INDEX(목표문구!$G$1:$G$1000,MATCH($B115,목표문구!$A$1:$A$1000,0))</f>
        <v/>
      </c>
      <c r="F115" s="31" t="inlineStr">
        <is>
          <t>Just the solids in stew</t>
        </is>
      </c>
      <c r="G115" s="24">
        <f>LEN(F115)</f>
        <v/>
      </c>
      <c r="H115" s="24" t="n">
        <v>30</v>
      </c>
      <c r="I115" s="24" t="n">
        <v>36</v>
      </c>
      <c r="J115" s="24">
        <f>IF(F115="","비어 있음",IF(G115&lt;=H115,"OK",IF(G115&lt;=I115,"길이 주의","상한 초과")))</f>
        <v/>
      </c>
      <c r="K115" s="24" t="inlineStr">
        <is>
          <t>초안(10-08)</t>
        </is>
      </c>
      <c r="L115" s="24" t="n"/>
    </row>
    <row r="116">
      <c r="A116" s="24" t="inlineStr">
        <is>
          <t>PHRASE</t>
        </is>
      </c>
      <c r="B116" s="24" t="inlineStr">
        <is>
          <t>DIET-P-0103</t>
        </is>
      </c>
      <c r="C116" s="24" t="n"/>
      <c r="D116" s="24" t="inlineStr">
        <is>
          <t>1.0.0</t>
        </is>
      </c>
      <c r="E116" s="25">
        <f>INDEX(목표문구!$G$1:$G$1000,MATCH($B116,목표문구!$A$1:$A$1000,0))</f>
        <v/>
      </c>
      <c r="F116" s="31" t="inlineStr">
        <is>
          <t>Half a bowl of soup</t>
        </is>
      </c>
      <c r="G116" s="24">
        <f>LEN(F116)</f>
        <v/>
      </c>
      <c r="H116" s="24" t="n">
        <v>30</v>
      </c>
      <c r="I116" s="24" t="n">
        <v>36</v>
      </c>
      <c r="J116" s="24">
        <f>IF(F116="","비어 있음",IF(G116&lt;=H116,"OK",IF(G116&lt;=I116,"길이 주의","상한 초과")))</f>
        <v/>
      </c>
      <c r="K116" s="24" t="inlineStr">
        <is>
          <t>초안(10-08)</t>
        </is>
      </c>
      <c r="L116" s="24" t="n"/>
    </row>
    <row r="117">
      <c r="A117" s="24" t="inlineStr">
        <is>
          <t>PHRASE</t>
        </is>
      </c>
      <c r="B117" s="24" t="inlineStr">
        <is>
          <t>DIET-P-0104</t>
        </is>
      </c>
      <c r="C117" s="24" t="n"/>
      <c r="D117" s="24" t="inlineStr">
        <is>
          <t>1.0.0</t>
        </is>
      </c>
      <c r="E117" s="25">
        <f>INDEX(목표문구!$G$1:$G$1000,MATCH($B117,목표문구!$A$1:$A$1000,0))</f>
        <v/>
      </c>
      <c r="F117" s="31" t="inlineStr">
        <is>
          <t>Only one salty side</t>
        </is>
      </c>
      <c r="G117" s="24">
        <f>LEN(F117)</f>
        <v/>
      </c>
      <c r="H117" s="24" t="n">
        <v>30</v>
      </c>
      <c r="I117" s="24" t="n">
        <v>36</v>
      </c>
      <c r="J117" s="24">
        <f>IF(F117="","비어 있음",IF(G117&lt;=H117,"OK",IF(G117&lt;=I117,"길이 주의","상한 초과")))</f>
        <v/>
      </c>
      <c r="K117" s="24" t="inlineStr">
        <is>
          <t>초안(10-08)</t>
        </is>
      </c>
      <c r="L117" s="24" t="n"/>
    </row>
    <row r="118">
      <c r="A118" s="24" t="inlineStr">
        <is>
          <t>PHRASE</t>
        </is>
      </c>
      <c r="B118" s="24" t="inlineStr">
        <is>
          <t>DIET-P-0105</t>
        </is>
      </c>
      <c r="C118" s="24" t="n"/>
      <c r="D118" s="24" t="inlineStr">
        <is>
          <t>1.0.0</t>
        </is>
      </c>
      <c r="E118" s="25">
        <f>INDEX(목표문구!$G$1:$G$1000,MATCH($B118,목표문구!$A$1:$A$1000,0))</f>
        <v/>
      </c>
      <c r="F118" s="31" t="inlineStr">
        <is>
          <t>Plain rice, not fried rice</t>
        </is>
      </c>
      <c r="G118" s="24">
        <f>LEN(F118)</f>
        <v/>
      </c>
      <c r="H118" s="24" t="n">
        <v>30</v>
      </c>
      <c r="I118" s="24" t="n">
        <v>36</v>
      </c>
      <c r="J118" s="24">
        <f>IF(F118="","비어 있음",IF(G118&lt;=H118,"OK",IF(G118&lt;=I118,"길이 주의","상한 초과")))</f>
        <v/>
      </c>
      <c r="K118" s="24" t="inlineStr">
        <is>
          <t>초안(10-08)</t>
        </is>
      </c>
      <c r="L118" s="24" t="n"/>
    </row>
    <row r="119">
      <c r="A119" s="24" t="inlineStr">
        <is>
          <t>PHRASE</t>
        </is>
      </c>
      <c r="B119" s="24" t="inlineStr">
        <is>
          <t>DIET-P-0107</t>
        </is>
      </c>
      <c r="C119" s="24" t="n"/>
      <c r="D119" s="24" t="inlineStr">
        <is>
          <t>1.0.0</t>
        </is>
      </c>
      <c r="E119" s="25">
        <f>INDEX(목표문구!$G$1:$G$1000,MATCH($B119,목표문구!$A$1:$A$1000,0))</f>
        <v/>
      </c>
      <c r="F119" s="31" t="inlineStr">
        <is>
          <t>Plate pickled sides</t>
        </is>
      </c>
      <c r="G119" s="24">
        <f>LEN(F119)</f>
        <v/>
      </c>
      <c r="H119" s="24" t="n">
        <v>30</v>
      </c>
      <c r="I119" s="24" t="n">
        <v>36</v>
      </c>
      <c r="J119" s="24">
        <f>IF(F119="","비어 있음",IF(G119&lt;=H119,"OK",IF(G119&lt;=I119,"길이 주의","상한 초과")))</f>
        <v/>
      </c>
      <c r="K119" s="24" t="inlineStr">
        <is>
          <t>초안(10-19)</t>
        </is>
      </c>
      <c r="L119" s="24" t="n"/>
    </row>
    <row r="120">
      <c r="A120" s="24" t="inlineStr">
        <is>
          <t>PHRASE</t>
        </is>
      </c>
      <c r="B120" s="24" t="inlineStr">
        <is>
          <t>DIET-P-0110</t>
        </is>
      </c>
      <c r="C120" s="24" t="n"/>
      <c r="D120" s="24" t="inlineStr">
        <is>
          <t>1.0.0</t>
        </is>
      </c>
      <c r="E120" s="25">
        <f>INDEX(목표문구!$G$1:$G$1000,MATCH($B120,목표문구!$A$1:$A$1000,0))</f>
        <v/>
      </c>
      <c r="F120" s="31" t="inlineStr">
        <is>
          <t>Dinner on time</t>
        </is>
      </c>
      <c r="G120" s="24">
        <f>LEN(F120)</f>
        <v/>
      </c>
      <c r="H120" s="24" t="n">
        <v>30</v>
      </c>
      <c r="I120" s="24" t="n">
        <v>36</v>
      </c>
      <c r="J120" s="24">
        <f>IF(F120="","비어 있음",IF(G120&lt;=H120,"OK",IF(G120&lt;=I120,"길이 주의","상한 초과")))</f>
        <v/>
      </c>
      <c r="K120" s="24" t="inlineStr">
        <is>
          <t>초안(10-19)</t>
        </is>
      </c>
      <c r="L120" s="24" t="n"/>
    </row>
    <row r="121">
      <c r="A121" s="24" t="inlineStr">
        <is>
          <t>PHRASE</t>
        </is>
      </c>
      <c r="B121" s="24" t="inlineStr">
        <is>
          <t>DIET-P-0114</t>
        </is>
      </c>
      <c r="C121" s="24" t="n"/>
      <c r="D121" s="24" t="inlineStr">
        <is>
          <t>1.0.0</t>
        </is>
      </c>
      <c r="E121" s="25">
        <f>INDEX(목표문구!$G$1:$G$1000,MATCH($B121,목표문구!$A$1:$A$1000,0))</f>
        <v/>
      </c>
      <c r="F121" s="31" t="inlineStr">
        <is>
          <t>Half-size spoonfuls</t>
        </is>
      </c>
      <c r="G121" s="24">
        <f>LEN(F121)</f>
        <v/>
      </c>
      <c r="H121" s="24" t="n">
        <v>30</v>
      </c>
      <c r="I121" s="24" t="n">
        <v>36</v>
      </c>
      <c r="J121" s="24">
        <f>IF(F121="","비어 있음",IF(G121&lt;=H121,"OK",IF(G121&lt;=I121,"길이 주의","상한 초과")))</f>
        <v/>
      </c>
      <c r="K121" s="24" t="inlineStr">
        <is>
          <t>초안(10-19)</t>
        </is>
      </c>
      <c r="L121" s="24" t="n"/>
    </row>
    <row r="122">
      <c r="A122" s="24" t="inlineStr">
        <is>
          <t>PHRASE</t>
        </is>
      </c>
      <c r="B122" s="24" t="inlineStr">
        <is>
          <t>DIET-P-0115</t>
        </is>
      </c>
      <c r="C122" s="24" t="n"/>
      <c r="D122" s="24" t="inlineStr">
        <is>
          <t>1.0.0</t>
        </is>
      </c>
      <c r="E122" s="25">
        <f>INDEX(목표문구!$G$1:$G$1000,MATCH($B122,목표문구!$A$1:$A$1000,0))</f>
        <v/>
      </c>
      <c r="F122" s="31" t="inlineStr">
        <is>
          <t>Pause once mid-meal</t>
        </is>
      </c>
      <c r="G122" s="24">
        <f>LEN(F122)</f>
        <v/>
      </c>
      <c r="H122" s="24" t="n">
        <v>30</v>
      </c>
      <c r="I122" s="24" t="n">
        <v>36</v>
      </c>
      <c r="J122" s="24">
        <f>IF(F122="","비어 있음",IF(G122&lt;=H122,"OK",IF(G122&lt;=I122,"길이 주의","상한 초과")))</f>
        <v/>
      </c>
      <c r="K122" s="24" t="inlineStr">
        <is>
          <t>초안(10-08)</t>
        </is>
      </c>
      <c r="L122" s="24" t="n"/>
    </row>
    <row r="123">
      <c r="A123" s="24" t="inlineStr">
        <is>
          <t>PHRASE</t>
        </is>
      </c>
      <c r="B123" s="24" t="inlineStr">
        <is>
          <t>DIET-P-0118</t>
        </is>
      </c>
      <c r="C123" s="24" t="n"/>
      <c r="D123" s="24" t="inlineStr">
        <is>
          <t>1.0.0</t>
        </is>
      </c>
      <c r="E123" s="25">
        <f>INDEX(목표문구!$G$1:$G$1000,MATCH($B123,목표문구!$A$1:$A$1000,0))</f>
        <v/>
      </c>
      <c r="F123" s="31" t="inlineStr">
        <is>
          <t>Pause when you feel full</t>
        </is>
      </c>
      <c r="G123" s="24">
        <f>LEN(F123)</f>
        <v/>
      </c>
      <c r="H123" s="24" t="n">
        <v>30</v>
      </c>
      <c r="I123" s="24" t="n">
        <v>36</v>
      </c>
      <c r="J123" s="24">
        <f>IF(F123="","비어 있음",IF(G123&lt;=H123,"OK",IF(G123&lt;=I123,"길이 주의","상한 초과")))</f>
        <v/>
      </c>
      <c r="K123" s="24" t="inlineStr">
        <is>
          <t>초안(10-08)</t>
        </is>
      </c>
      <c r="L123" s="24" t="n"/>
    </row>
    <row r="124">
      <c r="A124" s="24" t="inlineStr">
        <is>
          <t>PHRASE</t>
        </is>
      </c>
      <c r="B124" s="24" t="inlineStr">
        <is>
          <t>DIET-P-0119</t>
        </is>
      </c>
      <c r="C124" s="24" t="n"/>
      <c r="D124" s="24" t="inlineStr">
        <is>
          <t>1.0.0</t>
        </is>
      </c>
      <c r="E124" s="25">
        <f>INDEX(목표문구!$G$1:$G$1000,MATCH($B124,목표문구!$A$1:$A$1000,0))</f>
        <v/>
      </c>
      <c r="F124" s="31" t="inlineStr">
        <is>
          <t>Boiled egg as a snack</t>
        </is>
      </c>
      <c r="G124" s="24">
        <f>LEN(F124)</f>
        <v/>
      </c>
      <c r="H124" s="24" t="n">
        <v>30</v>
      </c>
      <c r="I124" s="24" t="n">
        <v>36</v>
      </c>
      <c r="J124" s="24">
        <f>IF(F124="","비어 있음",IF(G124&lt;=H124,"OK",IF(G124&lt;=I124,"길이 주의","상한 초과")))</f>
        <v/>
      </c>
      <c r="K124" s="24" t="inlineStr">
        <is>
          <t>초안(10-08)</t>
        </is>
      </c>
      <c r="L124" s="24" t="n"/>
    </row>
    <row r="125">
      <c r="A125" s="24" t="inlineStr">
        <is>
          <t>PHRASE</t>
        </is>
      </c>
      <c r="B125" s="24" t="inlineStr">
        <is>
          <t>DIET-P-0121</t>
        </is>
      </c>
      <c r="C125" s="24" t="n"/>
      <c r="D125" s="24" t="inlineStr">
        <is>
          <t>1.0.0</t>
        </is>
      </c>
      <c r="E125" s="25">
        <f>INDEX(목표문구!$G$1:$G$1000,MATCH($B125,목표문구!$A$1:$A$1000,0))</f>
        <v/>
      </c>
      <c r="F125" s="31" t="inlineStr">
        <is>
          <t>Chicken breast or lean meat</t>
        </is>
      </c>
      <c r="G125" s="24">
        <f>LEN(F125)</f>
        <v/>
      </c>
      <c r="H125" s="24" t="n">
        <v>30</v>
      </c>
      <c r="I125" s="24" t="n">
        <v>36</v>
      </c>
      <c r="J125" s="24">
        <f>IF(F125="","비어 있음",IF(G125&lt;=H125,"OK",IF(G125&lt;=I125,"길이 주의","상한 초과")))</f>
        <v/>
      </c>
      <c r="K125" s="24" t="inlineStr">
        <is>
          <t>초안(10-08)</t>
        </is>
      </c>
      <c r="L125" s="24" t="n"/>
    </row>
    <row r="126">
      <c r="A126" s="24" t="inlineStr">
        <is>
          <t>PHRASE</t>
        </is>
      </c>
      <c r="B126" s="24" t="inlineStr">
        <is>
          <t>DIET-P-0122</t>
        </is>
      </c>
      <c r="C126" s="24" t="n"/>
      <c r="D126" s="24" t="inlineStr">
        <is>
          <t>1.0.0</t>
        </is>
      </c>
      <c r="E126" s="25">
        <f>INDEX(목표문구!$G$1:$G$1000,MATCH($B126,목표문구!$A$1:$A$1000,0))</f>
        <v/>
      </c>
      <c r="F126" s="31" t="inlineStr">
        <is>
          <t>One bean side</t>
        </is>
      </c>
      <c r="G126" s="24">
        <f>LEN(F126)</f>
        <v/>
      </c>
      <c r="H126" s="24" t="n">
        <v>30</v>
      </c>
      <c r="I126" s="24" t="n">
        <v>36</v>
      </c>
      <c r="J126" s="24">
        <f>IF(F126="","비어 있음",IF(G126&lt;=H126,"OK",IF(G126&lt;=I126,"길이 주의","상한 초과")))</f>
        <v/>
      </c>
      <c r="K126" s="24" t="inlineStr">
        <is>
          <t>초안(10-08)</t>
        </is>
      </c>
      <c r="L126" s="24" t="n"/>
    </row>
    <row r="127">
      <c r="A127" s="24" t="inlineStr">
        <is>
          <t>PHRASE</t>
        </is>
      </c>
      <c r="B127" s="24" t="inlineStr">
        <is>
          <t>DIET-P-0124</t>
        </is>
      </c>
      <c r="C127" s="24" t="n"/>
      <c r="D127" s="24" t="inlineStr">
        <is>
          <t>1.0.0</t>
        </is>
      </c>
      <c r="E127" s="25">
        <f>INDEX(목표문구!$G$1:$G$1000,MATCH($B127,목표문구!$A$1:$A$1000,0))</f>
        <v/>
      </c>
      <c r="F127" s="31" t="inlineStr">
        <is>
          <t>Fish or tofu for dinner</t>
        </is>
      </c>
      <c r="G127" s="24">
        <f>LEN(F127)</f>
        <v/>
      </c>
      <c r="H127" s="24" t="n">
        <v>30</v>
      </c>
      <c r="I127" s="24" t="n">
        <v>36</v>
      </c>
      <c r="J127" s="24">
        <f>IF(F127="","비어 있음",IF(G127&lt;=H127,"OK",IF(G127&lt;=I127,"길이 주의","상한 초과")))</f>
        <v/>
      </c>
      <c r="K127" s="24" t="inlineStr">
        <is>
          <t>초안(10-08)</t>
        </is>
      </c>
      <c r="L127" s="24" t="n"/>
    </row>
    <row r="128">
      <c r="A128" s="24" t="inlineStr">
        <is>
          <t>PHRASE</t>
        </is>
      </c>
      <c r="B128" s="24" t="inlineStr">
        <is>
          <t>DIET-P-0126</t>
        </is>
      </c>
      <c r="C128" s="24" t="n"/>
      <c r="D128" s="24" t="inlineStr">
        <is>
          <t>1.0.0</t>
        </is>
      </c>
      <c r="E128" s="25">
        <f>INDEX(목표문구!$G$1:$G$1000,MATCH($B128,목표문구!$A$1:$A$1000,0))</f>
        <v/>
      </c>
      <c r="F128" s="31" t="inlineStr">
        <is>
          <t>Blanch instead of stir-fry</t>
        </is>
      </c>
      <c r="G128" s="24">
        <f>LEN(F128)</f>
        <v/>
      </c>
      <c r="H128" s="24" t="n">
        <v>30</v>
      </c>
      <c r="I128" s="24" t="n">
        <v>36</v>
      </c>
      <c r="J128" s="24">
        <f>IF(F128="","비어 있음",IF(G128&lt;=H128,"OK",IF(G128&lt;=I128,"길이 주의","상한 초과")))</f>
        <v/>
      </c>
      <c r="K128" s="24" t="inlineStr">
        <is>
          <t>초안(10-08)</t>
        </is>
      </c>
      <c r="L128" s="24" t="n"/>
    </row>
    <row r="129">
      <c r="A129" s="24" t="inlineStr">
        <is>
          <t>PHRASE</t>
        </is>
      </c>
      <c r="B129" s="24" t="inlineStr">
        <is>
          <t>DIET-P-0131</t>
        </is>
      </c>
      <c r="C129" s="24" t="n"/>
      <c r="D129" s="24" t="inlineStr">
        <is>
          <t>1.0.0</t>
        </is>
      </c>
      <c r="E129" s="25">
        <f>INDEX(목표문구!$G$1:$G$1000,MATCH($B129,목표문구!$A$1:$A$1000,0))</f>
        <v/>
      </c>
      <c r="F129" s="31" t="inlineStr">
        <is>
          <t>Set out tomorrow's breakfast</t>
        </is>
      </c>
      <c r="G129" s="24">
        <f>LEN(F129)</f>
        <v/>
      </c>
      <c r="H129" s="24" t="n">
        <v>30</v>
      </c>
      <c r="I129" s="24" t="n">
        <v>36</v>
      </c>
      <c r="J129" s="24">
        <f>IF(F129="","비어 있음",IF(G129&lt;=H129,"OK",IF(G129&lt;=I129,"길이 주의","상한 초과")))</f>
        <v/>
      </c>
      <c r="K129" s="24" t="inlineStr">
        <is>
          <t>초안(10-08)</t>
        </is>
      </c>
      <c r="L129" s="24" t="n"/>
    </row>
    <row r="130">
      <c r="A130" s="24" t="inlineStr">
        <is>
          <t>PHRASE</t>
        </is>
      </c>
      <c r="B130" s="24" t="inlineStr">
        <is>
          <t>DIET-P-0136</t>
        </is>
      </c>
      <c r="C130" s="24" t="n"/>
      <c r="D130" s="24" t="inlineStr">
        <is>
          <t>1.0.0</t>
        </is>
      </c>
      <c r="E130" s="25">
        <f>INDEX(목표문구!$G$1:$G$1000,MATCH($B130,목표문구!$A$1:$A$1000,0))</f>
        <v/>
      </c>
      <c r="F130" s="31" t="inlineStr">
        <is>
          <t>Eat on time over the holiday</t>
        </is>
      </c>
      <c r="G130" s="24">
        <f>LEN(F130)</f>
        <v/>
      </c>
      <c r="H130" s="24" t="n">
        <v>30</v>
      </c>
      <c r="I130" s="24" t="n">
        <v>36</v>
      </c>
      <c r="J130" s="24">
        <f>IF(F130="","비어 있음",IF(G130&lt;=H130,"OK",IF(G130&lt;=I130,"길이 주의","상한 초과")))</f>
        <v/>
      </c>
      <c r="K130" s="24" t="inlineStr">
        <is>
          <t>초안(10-08)</t>
        </is>
      </c>
      <c r="L130" s="24" t="n"/>
    </row>
    <row r="131">
      <c r="A131" s="24" t="inlineStr">
        <is>
          <t>PHRASE</t>
        </is>
      </c>
      <c r="B131" s="24" t="inlineStr">
        <is>
          <t>DIET-P-0139</t>
        </is>
      </c>
      <c r="C131" s="24" t="n"/>
      <c r="D131" s="24" t="inlineStr">
        <is>
          <t>1.0.0</t>
        </is>
      </c>
      <c r="E131" s="25">
        <f>INDEX(목표문구!$G$1:$G$1000,MATCH($B131,목표문구!$A$1:$A$1000,0))</f>
        <v/>
      </c>
      <c r="F131" s="31" t="inlineStr">
        <is>
          <t>A veggie at breakfast too</t>
        </is>
      </c>
      <c r="G131" s="24">
        <f>LEN(F131)</f>
        <v/>
      </c>
      <c r="H131" s="24" t="n">
        <v>30</v>
      </c>
      <c r="I131" s="24" t="n">
        <v>36</v>
      </c>
      <c r="J131" s="24">
        <f>IF(F131="","비어 있음",IF(G131&lt;=H131,"OK",IF(G131&lt;=I131,"길이 주의","상한 초과")))</f>
        <v/>
      </c>
      <c r="K131" s="24" t="inlineStr">
        <is>
          <t>초안(10-08)</t>
        </is>
      </c>
      <c r="L131" s="24" t="n"/>
    </row>
    <row r="132">
      <c r="A132" s="24" t="inlineStr">
        <is>
          <t>PHRASE</t>
        </is>
      </c>
      <c r="B132" s="24" t="inlineStr">
        <is>
          <t>DIET-P-0141</t>
        </is>
      </c>
      <c r="C132" s="24" t="n"/>
      <c r="D132" s="24" t="inlineStr">
        <is>
          <t>1.0.0</t>
        </is>
      </c>
      <c r="E132" s="25">
        <f>INDEX(목표문구!$G$1:$G$1000,MATCH($B132,목표문구!$A$1:$A$1000,0))</f>
        <v/>
      </c>
      <c r="F132" s="31" t="inlineStr">
        <is>
          <t>Greens first at holiday meals</t>
        </is>
      </c>
      <c r="G132" s="24">
        <f>LEN(F132)</f>
        <v/>
      </c>
      <c r="H132" s="24" t="n">
        <v>30</v>
      </c>
      <c r="I132" s="24" t="n">
        <v>36</v>
      </c>
      <c r="J132" s="24">
        <f>IF(F132="","비어 있음",IF(G132&lt;=H132,"OK",IF(G132&lt;=I132,"길이 주의","상한 초과")))</f>
        <v/>
      </c>
      <c r="K132" s="24" t="inlineStr">
        <is>
          <t>초안(10-08)</t>
        </is>
      </c>
      <c r="L132" s="24" t="n"/>
    </row>
    <row r="133">
      <c r="A133" s="24" t="inlineStr">
        <is>
          <t>PHRASE</t>
        </is>
      </c>
      <c r="B133" s="24" t="inlineStr">
        <is>
          <t>DIET-P-0146</t>
        </is>
      </c>
      <c r="C133" s="24" t="n"/>
      <c r="D133" s="24" t="inlineStr">
        <is>
          <t>1.0.0</t>
        </is>
      </c>
      <c r="E133" s="25">
        <f>INDEX(목표문구!$G$1:$G$1000,MATCH($B133,목표문구!$A$1:$A$1000,0))</f>
        <v/>
      </c>
      <c r="F133" s="31" t="inlineStr">
        <is>
          <t>No-sugar drinks on holidays</t>
        </is>
      </c>
      <c r="G133" s="24">
        <f>LEN(F133)</f>
        <v/>
      </c>
      <c r="H133" s="24" t="n">
        <v>30</v>
      </c>
      <c r="I133" s="24" t="n">
        <v>36</v>
      </c>
      <c r="J133" s="24">
        <f>IF(F133="","비어 있음",IF(G133&lt;=H133,"OK",IF(G133&lt;=I133,"길이 주의","상한 초과")))</f>
        <v/>
      </c>
      <c r="K133" s="24" t="inlineStr">
        <is>
          <t>초안(10-08)</t>
        </is>
      </c>
      <c r="L133" s="24" t="n"/>
    </row>
    <row r="134">
      <c r="A134" s="24" t="inlineStr">
        <is>
          <t>PHRASE</t>
        </is>
      </c>
      <c r="B134" s="24" t="inlineStr">
        <is>
          <t>DIET-P-0147</t>
        </is>
      </c>
      <c r="C134" s="24" t="n"/>
      <c r="D134" s="24" t="inlineStr">
        <is>
          <t>1.0.0</t>
        </is>
      </c>
      <c r="E134" s="25">
        <f>INDEX(목표문구!$G$1:$G$1000,MATCH($B134,목표문구!$A$1:$A$1000,0))</f>
        <v/>
      </c>
      <c r="F134" s="31" t="inlineStr">
        <is>
          <t>Take a break from sweet coffee</t>
        </is>
      </c>
      <c r="G134" s="24">
        <f>LEN(F134)</f>
        <v/>
      </c>
      <c r="H134" s="24" t="n">
        <v>30</v>
      </c>
      <c r="I134" s="24" t="n">
        <v>36</v>
      </c>
      <c r="J134" s="24">
        <f>IF(F134="","비어 있음",IF(G134&lt;=H134,"OK",IF(G134&lt;=I134,"길이 주의","상한 초과")))</f>
        <v/>
      </c>
      <c r="K134" s="24" t="inlineStr">
        <is>
          <t>초안(10-08)</t>
        </is>
      </c>
      <c r="L134" s="24" t="n"/>
    </row>
    <row r="135">
      <c r="A135" s="24" t="inlineStr">
        <is>
          <t>PHRASE</t>
        </is>
      </c>
      <c r="B135" s="24" t="inlineStr">
        <is>
          <t>DIET-P-0148</t>
        </is>
      </c>
      <c r="C135" s="24" t="n"/>
      <c r="D135" s="24" t="inlineStr">
        <is>
          <t>1.0.0</t>
        </is>
      </c>
      <c r="E135" s="25">
        <f>INDEX(목표문구!$G$1:$G$1000,MATCH($B135,목표문구!$A$1:$A$1000,0))</f>
        <v/>
      </c>
      <c r="F135" s="31" t="inlineStr">
        <is>
          <t>End meals without dessert</t>
        </is>
      </c>
      <c r="G135" s="24">
        <f>LEN(F135)</f>
        <v/>
      </c>
      <c r="H135" s="24" t="n">
        <v>30</v>
      </c>
      <c r="I135" s="24" t="n">
        <v>36</v>
      </c>
      <c r="J135" s="24">
        <f>IF(F135="","비어 있음",IF(G135&lt;=H135,"OK",IF(G135&lt;=I135,"길이 주의","상한 초과")))</f>
        <v/>
      </c>
      <c r="K135" s="24" t="inlineStr">
        <is>
          <t>초안(10-08)</t>
        </is>
      </c>
      <c r="L135" s="24" t="n"/>
    </row>
    <row r="136">
      <c r="A136" s="24" t="inlineStr">
        <is>
          <t>PHRASE</t>
        </is>
      </c>
      <c r="B136" s="24" t="inlineStr">
        <is>
          <t>DIET-P-0149</t>
        </is>
      </c>
      <c r="C136" s="24" t="n"/>
      <c r="D136" s="24" t="inlineStr">
        <is>
          <t>1.0.0</t>
        </is>
      </c>
      <c r="E136" s="25">
        <f>INDEX(목표문구!$G$1:$G$1000,MATCH($B136,목표문구!$A$1:$A$1000,0))</f>
        <v/>
      </c>
      <c r="F136" s="31" t="inlineStr">
        <is>
          <t>Keep salt off the table</t>
        </is>
      </c>
      <c r="G136" s="24">
        <f>LEN(F136)</f>
        <v/>
      </c>
      <c r="H136" s="24" t="n">
        <v>30</v>
      </c>
      <c r="I136" s="24" t="n">
        <v>36</v>
      </c>
      <c r="J136" s="24">
        <f>IF(F136="","비어 있음",IF(G136&lt;=H136,"OK",IF(G136&lt;=I136,"길이 주의","상한 초과")))</f>
        <v/>
      </c>
      <c r="K136" s="24" t="inlineStr">
        <is>
          <t>초안(10-08)</t>
        </is>
      </c>
      <c r="L136" s="24" t="n"/>
    </row>
    <row r="137">
      <c r="A137" s="24" t="inlineStr">
        <is>
          <t>PHRASE</t>
        </is>
      </c>
      <c r="B137" s="24" t="inlineStr">
        <is>
          <t>DIET-P-0150</t>
        </is>
      </c>
      <c r="C137" s="24" t="n"/>
      <c r="D137" s="24" t="inlineStr">
        <is>
          <t>1.0.0</t>
        </is>
      </c>
      <c r="E137" s="25">
        <f>INDEX(목표문구!$G$1:$G$1000,MATCH($B137,목표문구!$A$1:$A$1000,0))</f>
        <v/>
      </c>
      <c r="F137" s="31" t="inlineStr">
        <is>
          <t>Season soup at the end</t>
        </is>
      </c>
      <c r="G137" s="24">
        <f>LEN(F137)</f>
        <v/>
      </c>
      <c r="H137" s="24" t="n">
        <v>30</v>
      </c>
      <c r="I137" s="24" t="n">
        <v>36</v>
      </c>
      <c r="J137" s="24">
        <f>IF(F137="","비어 있음",IF(G137&lt;=H137,"OK",IF(G137&lt;=I137,"길이 주의","상한 초과")))</f>
        <v/>
      </c>
      <c r="K137" s="24" t="inlineStr">
        <is>
          <t>초안(10-08)</t>
        </is>
      </c>
      <c r="L137" s="24" t="n"/>
    </row>
    <row r="138">
      <c r="A138" s="24" t="inlineStr">
        <is>
          <t>PHRASE</t>
        </is>
      </c>
      <c r="B138" s="24" t="inlineStr">
        <is>
          <t>DIET-P-0153</t>
        </is>
      </c>
      <c r="C138" s="24" t="n"/>
      <c r="D138" s="24" t="inlineStr">
        <is>
          <t>1.0.0</t>
        </is>
      </c>
      <c r="E138" s="25">
        <f>INDEX(목표문구!$G$1:$G$1000,MATCH($B138,목표문구!$A$1:$A$1000,0))</f>
        <v/>
      </c>
      <c r="F138" s="31" t="inlineStr">
        <is>
          <t>Skip instant food today</t>
        </is>
      </c>
      <c r="G138" s="24">
        <f>LEN(F138)</f>
        <v/>
      </c>
      <c r="H138" s="24" t="n">
        <v>30</v>
      </c>
      <c r="I138" s="24" t="n">
        <v>36</v>
      </c>
      <c r="J138" s="24">
        <f>IF(F138="","비어 있음",IF(G138&lt;=H138,"OK",IF(G138&lt;=I138,"길이 주의","상한 초과")))</f>
        <v/>
      </c>
      <c r="K138" s="24" t="inlineStr">
        <is>
          <t>초안(10-08)</t>
        </is>
      </c>
      <c r="L138" s="24" t="n"/>
    </row>
    <row r="139">
      <c r="A139" s="24" t="inlineStr">
        <is>
          <t>PHRASE</t>
        </is>
      </c>
      <c r="B139" s="24" t="inlineStr">
        <is>
          <t>DIET-P-0154</t>
        </is>
      </c>
      <c r="C139" s="24" t="n"/>
      <c r="D139" s="24" t="inlineStr">
        <is>
          <t>1.0.0</t>
        </is>
      </c>
      <c r="E139" s="25">
        <f>INDEX(목표문구!$G$1:$G$1000,MATCH($B139,목표문구!$A$1:$A$1000,0))</f>
        <v/>
      </c>
      <c r="F139" s="31" t="inlineStr">
        <is>
          <t>Less broth on holidays</t>
        </is>
      </c>
      <c r="G139" s="24">
        <f>LEN(F139)</f>
        <v/>
      </c>
      <c r="H139" s="24" t="n">
        <v>30</v>
      </c>
      <c r="I139" s="24" t="n">
        <v>36</v>
      </c>
      <c r="J139" s="24">
        <f>IF(F139="","비어 있음",IF(G139&lt;=H139,"OK",IF(G139&lt;=I139,"길이 주의","상한 초과")))</f>
        <v/>
      </c>
      <c r="K139" s="24" t="inlineStr">
        <is>
          <t>초안(10-08)</t>
        </is>
      </c>
      <c r="L139" s="24" t="n"/>
    </row>
    <row r="140">
      <c r="A140" s="24" t="inlineStr">
        <is>
          <t>PHRASE</t>
        </is>
      </c>
      <c r="B140" s="24" t="inlineStr">
        <is>
          <t>DIET-P-0156</t>
        </is>
      </c>
      <c r="C140" s="24" t="n"/>
      <c r="D140" s="24" t="inlineStr">
        <is>
          <t>1.0.0</t>
        </is>
      </c>
      <c r="E140" s="25">
        <f>INDEX(목표문구!$G$1:$G$1000,MATCH($B140,목표문구!$A$1:$A$1000,0))</f>
        <v/>
      </c>
      <c r="F140" s="31" t="inlineStr">
        <is>
          <t>Tidy the kitchen after dinner</t>
        </is>
      </c>
      <c r="G140" s="24">
        <f>LEN(F140)</f>
        <v/>
      </c>
      <c r="H140" s="24" t="n">
        <v>30</v>
      </c>
      <c r="I140" s="24" t="n">
        <v>36</v>
      </c>
      <c r="J140" s="24">
        <f>IF(F140="","비어 있음",IF(G140&lt;=H140,"OK",IF(G140&lt;=I140,"길이 주의","상한 초과")))</f>
        <v/>
      </c>
      <c r="K140" s="24" t="inlineStr">
        <is>
          <t>초안(10-08)</t>
        </is>
      </c>
      <c r="L140" s="24" t="n"/>
    </row>
    <row r="141">
      <c r="A141" s="24" t="inlineStr">
        <is>
          <t>PHRASE</t>
        </is>
      </c>
      <c r="B141" s="24" t="inlineStr">
        <is>
          <t>DIET-P-0157</t>
        </is>
      </c>
      <c r="C141" s="24" t="n"/>
      <c r="D141" s="24" t="inlineStr">
        <is>
          <t>1.0.0</t>
        </is>
      </c>
      <c r="E141" s="25">
        <f>INDEX(목표문구!$G$1:$G$1000,MATCH($B141,목표문구!$A$1:$A$1000,0))</f>
        <v/>
      </c>
      <c r="F141" s="31" t="inlineStr">
        <is>
          <t>Weekend dinner on time</t>
        </is>
      </c>
      <c r="G141" s="24">
        <f>LEN(F141)</f>
        <v/>
      </c>
      <c r="H141" s="24" t="n">
        <v>30</v>
      </c>
      <c r="I141" s="24" t="n">
        <v>36</v>
      </c>
      <c r="J141" s="24">
        <f>IF(F141="","비어 있음",IF(G141&lt;=H141,"OK",IF(G141&lt;=I141,"길이 주의","상한 초과")))</f>
        <v/>
      </c>
      <c r="K141" s="24" t="inlineStr">
        <is>
          <t>초안(10-08)</t>
        </is>
      </c>
      <c r="L141" s="24" t="n"/>
    </row>
    <row r="142">
      <c r="A142" s="24" t="inlineStr">
        <is>
          <t>PHRASE</t>
        </is>
      </c>
      <c r="B142" s="24" t="inlineStr">
        <is>
          <t>DIET-P-0161</t>
        </is>
      </c>
      <c r="C142" s="24" t="n"/>
      <c r="D142" s="24" t="inlineStr">
        <is>
          <t>1.0.0</t>
        </is>
      </c>
      <c r="E142" s="25">
        <f>INDEX(목표문구!$G$1:$G$1000,MATCH($B142,목표문구!$A$1:$A$1000,0))</f>
        <v/>
      </c>
      <c r="F142" s="31" t="inlineStr">
        <is>
          <t>Don't overeat holiday food</t>
        </is>
      </c>
      <c r="G142" s="24">
        <f>LEN(F142)</f>
        <v/>
      </c>
      <c r="H142" s="24" t="n">
        <v>30</v>
      </c>
      <c r="I142" s="24" t="n">
        <v>36</v>
      </c>
      <c r="J142" s="24">
        <f>IF(F142="","비어 있음",IF(G142&lt;=H142,"OK",IF(G142&lt;=I142,"길이 주의","상한 초과")))</f>
        <v/>
      </c>
      <c r="K142" s="24" t="inlineStr">
        <is>
          <t>초안(10-08)</t>
        </is>
      </c>
      <c r="L142" s="24" t="n"/>
    </row>
    <row r="143">
      <c r="A143" s="24" t="inlineStr">
        <is>
          <t>PHRASE</t>
        </is>
      </c>
      <c r="B143" s="24" t="inlineStr">
        <is>
          <t>DIET-P-0165</t>
        </is>
      </c>
      <c r="C143" s="24" t="n"/>
      <c r="D143" s="24" t="inlineStr">
        <is>
          <t>1.0.0</t>
        </is>
      </c>
      <c r="E143" s="25">
        <f>INDEX(목표문구!$G$1:$G$1000,MATCH($B143,목표문구!$A$1:$A$1000,0))</f>
        <v/>
      </c>
      <c r="F143" s="31" t="inlineStr">
        <is>
          <t>One tofu dish at dinner</t>
        </is>
      </c>
      <c r="G143" s="24">
        <f>LEN(F143)</f>
        <v/>
      </c>
      <c r="H143" s="24" t="n">
        <v>30</v>
      </c>
      <c r="I143" s="24" t="n">
        <v>36</v>
      </c>
      <c r="J143" s="24">
        <f>IF(F143="","비어 있음",IF(G143&lt;=H143,"OK",IF(G143&lt;=I143,"길이 주의","상한 초과")))</f>
        <v/>
      </c>
      <c r="K143" s="24" t="inlineStr">
        <is>
          <t>초안(10-08)</t>
        </is>
      </c>
      <c r="L143" s="24" t="n"/>
    </row>
    <row r="144">
      <c r="A144" s="24" t="inlineStr">
        <is>
          <t>PHRASE</t>
        </is>
      </c>
      <c r="B144" s="24" t="inlineStr">
        <is>
          <t>DIET-P-0169</t>
        </is>
      </c>
      <c r="C144" s="24" t="n"/>
      <c r="D144" s="24" t="inlineStr">
        <is>
          <t>1.0.0</t>
        </is>
      </c>
      <c r="E144" s="25">
        <f>INDEX(목표문구!$G$1:$G$1000,MATCH($B144,목표문구!$A$1:$A$1000,0))</f>
        <v/>
      </c>
      <c r="F144" s="31" t="inlineStr">
        <is>
          <t>Include protein at breakfast</t>
        </is>
      </c>
      <c r="G144" s="24">
        <f>LEN(F144)</f>
        <v/>
      </c>
      <c r="H144" s="24" t="n">
        <v>30</v>
      </c>
      <c r="I144" s="24" t="n">
        <v>36</v>
      </c>
      <c r="J144" s="24">
        <f>IF(F144="","비어 있음",IF(G144&lt;=H144,"OK",IF(G144&lt;=I144,"길이 주의","상한 초과")))</f>
        <v/>
      </c>
      <c r="K144" s="24" t="inlineStr">
        <is>
          <t>초안(10-08)</t>
        </is>
      </c>
      <c r="L144" s="24" t="n"/>
    </row>
    <row r="145">
      <c r="A145" s="24" t="inlineStr">
        <is>
          <t>PHRASE</t>
        </is>
      </c>
      <c r="B145" s="24" t="inlineStr">
        <is>
          <t>DIET-P-0172</t>
        </is>
      </c>
      <c r="C145" s="24" t="n"/>
      <c r="D145" s="24" t="inlineStr">
        <is>
          <t>1.0.0</t>
        </is>
      </c>
      <c r="E145" s="25">
        <f>INDEX(목표문구!$G$1:$G$1000,MATCH($B145,목표문구!$A$1:$A$1000,0))</f>
        <v/>
      </c>
      <c r="F145" s="31" t="inlineStr">
        <is>
          <t>Grill without oil</t>
        </is>
      </c>
      <c r="G145" s="24">
        <f>LEN(F145)</f>
        <v/>
      </c>
      <c r="H145" s="24" t="n">
        <v>30</v>
      </c>
      <c r="I145" s="24" t="n">
        <v>36</v>
      </c>
      <c r="J145" s="24">
        <f>IF(F145="","비어 있음",IF(G145&lt;=H145,"OK",IF(G145&lt;=I145,"길이 주의","상한 초과")))</f>
        <v/>
      </c>
      <c r="K145" s="24" t="inlineStr">
        <is>
          <t>초안(10-08)</t>
        </is>
      </c>
      <c r="L145" s="24" t="n"/>
    </row>
    <row r="146">
      <c r="A146" s="24" t="inlineStr">
        <is>
          <t>PHRASE</t>
        </is>
      </c>
      <c r="B146" s="24" t="inlineStr">
        <is>
          <t>DIET-P-0173</t>
        </is>
      </c>
      <c r="C146" s="24" t="n"/>
      <c r="D146" s="24" t="inlineStr">
        <is>
          <t>1.0.0</t>
        </is>
      </c>
      <c r="E146" s="25">
        <f>INDEX(목표문구!$G$1:$G$1000,MATCH($B146,목표문구!$A$1:$A$1000,0))</f>
        <v/>
      </c>
      <c r="F146" s="31" t="inlineStr">
        <is>
          <t>One plate of fried food</t>
        </is>
      </c>
      <c r="G146" s="24">
        <f>LEN(F146)</f>
        <v/>
      </c>
      <c r="H146" s="24" t="n">
        <v>30</v>
      </c>
      <c r="I146" s="24" t="n">
        <v>36</v>
      </c>
      <c r="J146" s="24">
        <f>IF(F146="","비어 있음",IF(G146&lt;=H146,"OK",IF(G146&lt;=I146,"길이 주의","상한 초과")))</f>
        <v/>
      </c>
      <c r="K146" s="24" t="inlineStr">
        <is>
          <t>초안(10-08)</t>
        </is>
      </c>
      <c r="L146" s="24" t="n"/>
    </row>
    <row r="147">
      <c r="A147" s="24" t="inlineStr">
        <is>
          <t>PHRASE</t>
        </is>
      </c>
      <c r="B147" s="24" t="inlineStr">
        <is>
          <t>DIET-P-0180</t>
        </is>
      </c>
      <c r="C147" s="24" t="n"/>
      <c r="D147" s="24" t="inlineStr">
        <is>
          <t>1.0.0</t>
        </is>
      </c>
      <c r="E147" s="25">
        <f>INDEX(목표문구!$G$1:$G$1000,MATCH($B147,목표문구!$A$1:$A$1000,0))</f>
        <v/>
      </c>
      <c r="F147" s="31" t="inlineStr">
        <is>
          <t>One easy-to-eat meal</t>
        </is>
      </c>
      <c r="G147" s="24">
        <f>LEN(F147)</f>
        <v/>
      </c>
      <c r="H147" s="24" t="n">
        <v>30</v>
      </c>
      <c r="I147" s="24" t="n">
        <v>36</v>
      </c>
      <c r="J147" s="24">
        <f>IF(F147="","비어 있음",IF(G147&lt;=H147,"OK",IF(G147&lt;=I147,"길이 주의","상한 초과")))</f>
        <v/>
      </c>
      <c r="K147" s="24" t="inlineStr">
        <is>
          <t>초안(10-08)</t>
        </is>
      </c>
      <c r="L147" s="24" t="n"/>
    </row>
    <row r="148">
      <c r="A148" s="24" t="inlineStr">
        <is>
          <t>PHRASE</t>
        </is>
      </c>
      <c r="B148" s="24" t="inlineStr">
        <is>
          <t>DIET-P-0181</t>
        </is>
      </c>
      <c r="C148" s="24" t="n"/>
      <c r="D148" s="24" t="inlineStr">
        <is>
          <t>1.0.0</t>
        </is>
      </c>
      <c r="E148" s="25">
        <f>INDEX(목표문구!$G$1:$G$1000,MATCH($B148,목표문구!$A$1:$A$1000,0))</f>
        <v/>
      </c>
      <c r="F148" s="31" t="inlineStr">
        <is>
          <t>Eat whatever you can</t>
        </is>
      </c>
      <c r="G148" s="24">
        <f>LEN(F148)</f>
        <v/>
      </c>
      <c r="H148" s="24" t="n">
        <v>30</v>
      </c>
      <c r="I148" s="24" t="n">
        <v>36</v>
      </c>
      <c r="J148" s="24">
        <f>IF(F148="","비어 있음",IF(G148&lt;=H148,"OK",IF(G148&lt;=I148,"길이 주의","상한 초과")))</f>
        <v/>
      </c>
      <c r="K148" s="24" t="inlineStr">
        <is>
          <t>초안(10-08)</t>
        </is>
      </c>
      <c r="L148" s="24" t="n"/>
    </row>
    <row r="149">
      <c r="A149" s="24" t="inlineStr">
        <is>
          <t>PHRASE</t>
        </is>
      </c>
      <c r="B149" s="24" t="inlineStr">
        <is>
          <t>DIET-P-0182</t>
        </is>
      </c>
      <c r="C149" s="24" t="n"/>
      <c r="D149" s="24" t="inlineStr">
        <is>
          <t>1.0.0</t>
        </is>
      </c>
      <c r="E149" s="25">
        <f>INDEX(목표문구!$G$1:$G$1000,MATCH($B149,목표문구!$A$1:$A$1000,0))</f>
        <v/>
      </c>
      <c r="F149" s="31" t="inlineStr">
        <is>
          <t>One cooked veggie at dinner</t>
        </is>
      </c>
      <c r="G149" s="24">
        <f>LEN(F149)</f>
        <v/>
      </c>
      <c r="H149" s="24" t="n">
        <v>30</v>
      </c>
      <c r="I149" s="24" t="n">
        <v>36</v>
      </c>
      <c r="J149" s="24">
        <f>IF(F149="","비어 있음",IF(G149&lt;=H149,"OK",IF(G149&lt;=I149,"길이 주의","상한 초과")))</f>
        <v/>
      </c>
      <c r="K149" s="24" t="inlineStr">
        <is>
          <t>초안(10-08)</t>
        </is>
      </c>
      <c r="L149" s="24" t="n"/>
    </row>
    <row r="150">
      <c r="A150" s="24" t="inlineStr">
        <is>
          <t>PHRASE</t>
        </is>
      </c>
      <c r="B150" s="24" t="inlineStr">
        <is>
          <t>DIET-P-0183</t>
        </is>
      </c>
      <c r="C150" s="24" t="n"/>
      <c r="D150" s="24" t="inlineStr">
        <is>
          <t>1.0.0</t>
        </is>
      </c>
      <c r="E150" s="25">
        <f>INDEX(목표문구!$G$1:$G$1000,MATCH($B150,목표문구!$A$1:$A$1000,0))</f>
        <v/>
      </c>
      <c r="F150" s="31" t="inlineStr">
        <is>
          <t>Less broth late at night</t>
        </is>
      </c>
      <c r="G150" s="24">
        <f>LEN(F150)</f>
        <v/>
      </c>
      <c r="H150" s="24" t="n">
        <v>30</v>
      </c>
      <c r="I150" s="24" t="n">
        <v>36</v>
      </c>
      <c r="J150" s="24">
        <f>IF(F150="","비어 있음",IF(G150&lt;=H150,"OK",IF(G150&lt;=I150,"길이 주의","상한 초과")))</f>
        <v/>
      </c>
      <c r="K150" s="24" t="inlineStr">
        <is>
          <t>초안(10-08)</t>
        </is>
      </c>
      <c r="L150" s="24" t="n"/>
    </row>
    <row r="151">
      <c r="A151" s="24" t="inlineStr">
        <is>
          <t>PHRASE</t>
        </is>
      </c>
      <c r="B151" s="24" t="inlineStr">
        <is>
          <t>DIET-P-0198</t>
        </is>
      </c>
      <c r="C151" s="24" t="n"/>
      <c r="D151" s="24" t="inlineStr">
        <is>
          <t>1.0.0</t>
        </is>
      </c>
      <c r="E151" s="25">
        <f>INDEX(목표문구!$G$1:$G$1000,MATCH($B151,목표문구!$A$1:$A$1000,0))</f>
        <v/>
      </c>
      <c r="F151" s="31" t="inlineStr">
        <is>
          <t>Move dinner 30 min earlier</t>
        </is>
      </c>
      <c r="G151" s="24">
        <f>LEN(F151)</f>
        <v/>
      </c>
      <c r="H151" s="24" t="n">
        <v>30</v>
      </c>
      <c r="I151" s="24" t="n">
        <v>36</v>
      </c>
      <c r="J151" s="24">
        <f>IF(F151="","비어 있음",IF(G151&lt;=H151,"OK",IF(G151&lt;=I151,"길이 주의","상한 초과")))</f>
        <v/>
      </c>
      <c r="K151" s="24" t="inlineStr">
        <is>
          <t>초안(10-08)</t>
        </is>
      </c>
      <c r="L151" s="24" t="n"/>
    </row>
    <row r="152">
      <c r="A152" s="24" t="inlineStr">
        <is>
          <t>PHRASE</t>
        </is>
      </c>
      <c r="B152" s="24" t="inlineStr">
        <is>
          <t>DIET-P-0199</t>
        </is>
      </c>
      <c r="C152" s="24" t="n"/>
      <c r="D152" s="24" t="inlineStr">
        <is>
          <t>1.0.0</t>
        </is>
      </c>
      <c r="E152" s="25">
        <f>INDEX(목표문구!$G$1:$G$1000,MATCH($B152,목표문구!$A$1:$A$1000,0))</f>
        <v/>
      </c>
      <c r="F152" s="31" t="inlineStr">
        <is>
          <t>Eat on time on busy days</t>
        </is>
      </c>
      <c r="G152" s="24">
        <f>LEN(F152)</f>
        <v/>
      </c>
      <c r="H152" s="24" t="n">
        <v>30</v>
      </c>
      <c r="I152" s="24" t="n">
        <v>36</v>
      </c>
      <c r="J152" s="24">
        <f>IF(F152="","비어 있음",IF(G152&lt;=H152,"OK",IF(G152&lt;=I152,"길이 주의","상한 초과")))</f>
        <v/>
      </c>
      <c r="K152" s="24" t="inlineStr">
        <is>
          <t>초안(10-08)</t>
        </is>
      </c>
      <c r="L152" s="24" t="n"/>
    </row>
    <row r="153">
      <c r="A153" s="24" t="inlineStr">
        <is>
          <t>PHRASE</t>
        </is>
      </c>
      <c r="B153" s="24" t="inlineStr">
        <is>
          <t>DIET-P-0200</t>
        </is>
      </c>
      <c r="C153" s="24" t="n"/>
      <c r="D153" s="24" t="inlineStr">
        <is>
          <t>1.0.0</t>
        </is>
      </c>
      <c r="E153" s="25">
        <f>INDEX(목표문구!$G$1:$G$1000,MATCH($B153,목표문구!$A$1:$A$1000,0))</f>
        <v/>
      </c>
      <c r="F153" s="31" t="inlineStr">
        <is>
          <t>Protein snacks too</t>
        </is>
      </c>
      <c r="G153" s="24">
        <f>LEN(F153)</f>
        <v/>
      </c>
      <c r="H153" s="24" t="n">
        <v>30</v>
      </c>
      <c r="I153" s="24" t="n">
        <v>36</v>
      </c>
      <c r="J153" s="24">
        <f>IF(F153="","비어 있음",IF(G153&lt;=H153,"OK",IF(G153&lt;=I153,"길이 주의","상한 초과")))</f>
        <v/>
      </c>
      <c r="K153" s="24" t="inlineStr">
        <is>
          <t>초안(10-08)</t>
        </is>
      </c>
      <c r="L153" s="24" t="n"/>
    </row>
    <row r="154">
      <c r="A154" s="24" t="inlineStr">
        <is>
          <t>PHRASE</t>
        </is>
      </c>
      <c r="B154" s="24" t="inlineStr">
        <is>
          <t>DIET-P-0201</t>
        </is>
      </c>
      <c r="C154" s="24" t="n"/>
      <c r="D154" s="24" t="inlineStr">
        <is>
          <t>1.0.0</t>
        </is>
      </c>
      <c r="E154" s="25">
        <f>INDEX(목표문구!$G$1:$G$1000,MATCH($B154,목표문구!$A$1:$A$1000,0))</f>
        <v/>
      </c>
      <c r="F154" s="31" t="inlineStr">
        <is>
          <t>A red-meat-free day</t>
        </is>
      </c>
      <c r="G154" s="24">
        <f>LEN(F154)</f>
        <v/>
      </c>
      <c r="H154" s="24" t="n">
        <v>30</v>
      </c>
      <c r="I154" s="24" t="n">
        <v>36</v>
      </c>
      <c r="J154" s="24">
        <f>IF(F154="","비어 있음",IF(G154&lt;=H154,"OK",IF(G154&lt;=I154,"길이 주의","상한 초과")))</f>
        <v/>
      </c>
      <c r="K154" s="24" t="inlineStr">
        <is>
          <t>초안(10-08)</t>
        </is>
      </c>
      <c r="L154" s="24" t="n"/>
    </row>
    <row r="155">
      <c r="A155" s="24" t="inlineStr">
        <is>
          <t>PHRASE</t>
        </is>
      </c>
      <c r="B155" s="24" t="inlineStr">
        <is>
          <t>DIET-P-0202</t>
        </is>
      </c>
      <c r="C155" s="24" t="n"/>
      <c r="D155" s="24" t="inlineStr">
        <is>
          <t>1.0.0</t>
        </is>
      </c>
      <c r="E155" s="25">
        <f>INDEX(목표문구!$G$1:$G$1000,MATCH($B155,목표문구!$A$1:$A$1000,0))</f>
        <v/>
      </c>
      <c r="F155" s="31" t="inlineStr">
        <is>
          <t>Steam or grill, skip the fryer</t>
        </is>
      </c>
      <c r="G155" s="24">
        <f>LEN(F155)</f>
        <v/>
      </c>
      <c r="H155" s="24" t="n">
        <v>30</v>
      </c>
      <c r="I155" s="24" t="n">
        <v>36</v>
      </c>
      <c r="J155" s="24">
        <f>IF(F155="","비어 있음",IF(G155&lt;=H155,"OK",IF(G155&lt;=I155,"길이 주의","상한 초과")))</f>
        <v/>
      </c>
      <c r="K155" s="24" t="inlineStr">
        <is>
          <t>초안(10-08)</t>
        </is>
      </c>
      <c r="L155" s="24" t="n"/>
    </row>
    <row r="156">
      <c r="A156" s="24" t="inlineStr">
        <is>
          <t>PHRASE</t>
        </is>
      </c>
      <c r="B156" s="24" t="inlineStr">
        <is>
          <t>DIET-P-0204</t>
        </is>
      </c>
      <c r="C156" s="24" t="n"/>
      <c r="D156" s="24" t="inlineStr">
        <is>
          <t>1.0.0</t>
        </is>
      </c>
      <c r="E156" s="25">
        <f>INDEX(목표문구!$G$1:$G$1000,MATCH($B156,목표문구!$A$1:$A$1000,0))</f>
        <v/>
      </c>
      <c r="F156" s="31" t="inlineStr">
        <is>
          <t>Set a table, even alone</t>
        </is>
      </c>
      <c r="G156" s="24">
        <f>LEN(F156)</f>
        <v/>
      </c>
      <c r="H156" s="24" t="n">
        <v>30</v>
      </c>
      <c r="I156" s="24" t="n">
        <v>36</v>
      </c>
      <c r="J156" s="24">
        <f>IF(F156="","비어 있음",IF(G156&lt;=H156,"OK",IF(G156&lt;=I156,"길이 주의","상한 초과")))</f>
        <v/>
      </c>
      <c r="K156" s="24" t="inlineStr">
        <is>
          <t>초안(10-08)</t>
        </is>
      </c>
      <c r="L156" s="24" t="n"/>
    </row>
    <row r="157">
      <c r="A157" s="24" t="inlineStr">
        <is>
          <t>PHRASE</t>
        </is>
      </c>
      <c r="B157" s="24" t="inlineStr">
        <is>
          <t>DIET-P-0205</t>
        </is>
      </c>
      <c r="C157" s="24" t="n"/>
      <c r="D157" s="24" t="inlineStr">
        <is>
          <t>1.0.0</t>
        </is>
      </c>
      <c r="E157" s="25">
        <f>INDEX(목표문구!$G$1:$G$1000,MATCH($B157,목표문구!$A$1:$A$1000,0))</f>
        <v/>
      </c>
      <c r="F157" s="31" t="inlineStr">
        <is>
          <t>Plate your food, even alone</t>
        </is>
      </c>
      <c r="G157" s="24">
        <f>LEN(F157)</f>
        <v/>
      </c>
      <c r="H157" s="24" t="n">
        <v>30</v>
      </c>
      <c r="I157" s="24" t="n">
        <v>36</v>
      </c>
      <c r="J157" s="24">
        <f>IF(F157="","비어 있음",IF(G157&lt;=H157,"OK",IF(G157&lt;=I157,"길이 주의","상한 초과")))</f>
        <v/>
      </c>
      <c r="K157" s="24" t="inlineStr">
        <is>
          <t>초안(10-08)</t>
        </is>
      </c>
      <c r="L157" s="24" t="n"/>
    </row>
    <row r="158">
      <c r="A158" s="24" t="inlineStr">
        <is>
          <t>PHRASE</t>
        </is>
      </c>
      <c r="B158" s="24" t="inlineStr">
        <is>
          <t>DIET-P-0206</t>
        </is>
      </c>
      <c r="C158" s="24" t="n"/>
      <c r="D158" s="24" t="inlineStr">
        <is>
          <t>1.0.0</t>
        </is>
      </c>
      <c r="E158" s="25">
        <f>INDEX(목표문구!$G$1:$G$1000,MATCH($B158,목표문구!$A$1:$A$1000,0))</f>
        <v/>
      </c>
      <c r="F158" s="31" t="inlineStr">
        <is>
          <t>A veggie, even when alone</t>
        </is>
      </c>
      <c r="G158" s="24">
        <f>LEN(F158)</f>
        <v/>
      </c>
      <c r="H158" s="24" t="n">
        <v>30</v>
      </c>
      <c r="I158" s="24" t="n">
        <v>36</v>
      </c>
      <c r="J158" s="24">
        <f>IF(F158="","비어 있음",IF(G158&lt;=H158,"OK",IF(G158&lt;=I158,"길이 주의","상한 초과")))</f>
        <v/>
      </c>
      <c r="K158" s="24" t="inlineStr">
        <is>
          <t>초안(10-08)</t>
        </is>
      </c>
      <c r="L158" s="24" t="n"/>
    </row>
    <row r="159">
      <c r="A159" s="24" t="inlineStr">
        <is>
          <t>PHRASE</t>
        </is>
      </c>
      <c r="B159" s="24" t="inlineStr">
        <is>
          <t>DIET-P-0207</t>
        </is>
      </c>
      <c r="C159" s="24" t="n"/>
      <c r="D159" s="24" t="inlineStr">
        <is>
          <t>1.0.0</t>
        </is>
      </c>
      <c r="E159" s="25">
        <f>INDEX(목표문구!$G$1:$G$1000,MATCH($B159,목표문구!$A$1:$A$1000,0))</f>
        <v/>
      </c>
      <c r="F159" s="31" t="inlineStr">
        <is>
          <t>Protein, even when alone</t>
        </is>
      </c>
      <c r="G159" s="24">
        <f>LEN(F159)</f>
        <v/>
      </c>
      <c r="H159" s="24" t="n">
        <v>30</v>
      </c>
      <c r="I159" s="24" t="n">
        <v>36</v>
      </c>
      <c r="J159" s="24">
        <f>IF(F159="","비어 있음",IF(G159&lt;=H159,"OK",IF(G159&lt;=I159,"길이 주의","상한 초과")))</f>
        <v/>
      </c>
      <c r="K159" s="24" t="inlineStr">
        <is>
          <t>초안(10-08)</t>
        </is>
      </c>
      <c r="L159" s="24" t="n"/>
    </row>
    <row r="160">
      <c r="A160" s="24" t="inlineStr">
        <is>
          <t>PHRASE</t>
        </is>
      </c>
      <c r="B160" s="24" t="inlineStr">
        <is>
          <t>DIET-P-0208</t>
        </is>
      </c>
      <c r="C160" s="24" t="n"/>
      <c r="D160" s="24" t="inlineStr">
        <is>
          <t>1.0.0</t>
        </is>
      </c>
      <c r="E160" s="25">
        <f>INDEX(목표문구!$G$1:$G$1000,MATCH($B160,목표문구!$A$1:$A$1000,0))</f>
        <v/>
      </c>
      <c r="F160" s="31" t="inlineStr">
        <is>
          <t>A veggie in your lunchbox</t>
        </is>
      </c>
      <c r="G160" s="24">
        <f>LEN(F160)</f>
        <v/>
      </c>
      <c r="H160" s="24" t="n">
        <v>30</v>
      </c>
      <c r="I160" s="24" t="n">
        <v>36</v>
      </c>
      <c r="J160" s="24">
        <f>IF(F160="","비어 있음",IF(G160&lt;=H160,"OK",IF(G160&lt;=I160,"길이 주의","상한 초과")))</f>
        <v/>
      </c>
      <c r="K160" s="24" t="inlineStr">
        <is>
          <t>초안(10-08)</t>
        </is>
      </c>
      <c r="L160" s="24" t="n"/>
    </row>
    <row r="161">
      <c r="A161" s="24" t="inlineStr">
        <is>
          <t>PHRASE</t>
        </is>
      </c>
      <c r="B161" s="24" t="inlineStr">
        <is>
          <t>DIET-P-0209</t>
        </is>
      </c>
      <c r="C161" s="24" t="n"/>
      <c r="D161" s="24" t="inlineStr">
        <is>
          <t>1.0.0</t>
        </is>
      </c>
      <c r="E161" s="25">
        <f>INDEX(목표문구!$G$1:$G$1000,MATCH($B161,목표문구!$A$1:$A$1000,0))</f>
        <v/>
      </c>
      <c r="F161" s="31" t="inlineStr">
        <is>
          <t>An egg in your lunchbox</t>
        </is>
      </c>
      <c r="G161" s="24">
        <f>LEN(F161)</f>
        <v/>
      </c>
      <c r="H161" s="24" t="n">
        <v>30</v>
      </c>
      <c r="I161" s="24" t="n">
        <v>36</v>
      </c>
      <c r="J161" s="24">
        <f>IF(F161="","비어 있음",IF(G161&lt;=H161,"OK",IF(G161&lt;=I161,"길이 주의","상한 초과")))</f>
        <v/>
      </c>
      <c r="K161" s="24" t="inlineStr">
        <is>
          <t>초안(10-08)</t>
        </is>
      </c>
      <c r="L161" s="24" t="n"/>
    </row>
    <row r="162">
      <c r="A162" s="24" t="inlineStr">
        <is>
          <t>PHRASE</t>
        </is>
      </c>
      <c r="B162" s="24" t="inlineStr">
        <is>
          <t>DIET-P-0210</t>
        </is>
      </c>
      <c r="C162" s="24" t="n"/>
      <c r="D162" s="24" t="inlineStr">
        <is>
          <t>1.0.0</t>
        </is>
      </c>
      <c r="E162" s="25">
        <f>INDEX(목표문구!$G$1:$G$1000,MATCH($B162,목표문구!$A$1:$A$1000,0))</f>
        <v/>
      </c>
      <c r="F162" s="31" t="inlineStr">
        <is>
          <t>Leave soup out of lunchbox</t>
        </is>
      </c>
      <c r="G162" s="24">
        <f>LEN(F162)</f>
        <v/>
      </c>
      <c r="H162" s="24" t="n">
        <v>30</v>
      </c>
      <c r="I162" s="24" t="n">
        <v>36</v>
      </c>
      <c r="J162" s="24">
        <f>IF(F162="","비어 있음",IF(G162&lt;=H162,"OK",IF(G162&lt;=I162,"길이 주의","상한 초과")))</f>
        <v/>
      </c>
      <c r="K162" s="24" t="inlineStr">
        <is>
          <t>초안(10-08)</t>
        </is>
      </c>
      <c r="L162" s="24" t="n"/>
    </row>
    <row r="163">
      <c r="A163" s="24" t="inlineStr">
        <is>
          <t>PHRASE</t>
        </is>
      </c>
      <c r="B163" s="24" t="inlineStr">
        <is>
          <t>DIET-P-0211</t>
        </is>
      </c>
      <c r="C163" s="24" t="n"/>
      <c r="D163" s="24" t="inlineStr">
        <is>
          <t>1.0.0</t>
        </is>
      </c>
      <c r="E163" s="25">
        <f>INDEX(목표문구!$G$1:$G$1000,MATCH($B163,목표문구!$A$1:$A$1000,0))</f>
        <v/>
      </c>
      <c r="F163" s="31" t="inlineStr">
        <is>
          <t>Grilled sides for lunchbox</t>
        </is>
      </c>
      <c r="G163" s="24">
        <f>LEN(F163)</f>
        <v/>
      </c>
      <c r="H163" s="24" t="n">
        <v>30</v>
      </c>
      <c r="I163" s="24" t="n">
        <v>36</v>
      </c>
      <c r="J163" s="24">
        <f>IF(F163="","비어 있음",IF(G163&lt;=H163,"OK",IF(G163&lt;=I163,"길이 주의","상한 초과")))</f>
        <v/>
      </c>
      <c r="K163" s="24" t="inlineStr">
        <is>
          <t>초안(10-08)</t>
        </is>
      </c>
      <c r="L163" s="24" t="n"/>
    </row>
    <row r="164">
      <c r="A164" s="24" t="inlineStr">
        <is>
          <t>PHRASE</t>
        </is>
      </c>
      <c r="B164" s="24" t="inlineStr">
        <is>
          <t>DIET-P-0212</t>
        </is>
      </c>
      <c r="C164" s="24" t="n"/>
      <c r="D164" s="24" t="inlineStr">
        <is>
          <t>1.0.0</t>
        </is>
      </c>
      <c r="E164" s="25">
        <f>INDEX(목표문구!$G$1:$G$1000,MATCH($B164,목표문구!$A$1:$A$1000,0))</f>
        <v/>
      </c>
      <c r="F164" s="31" t="inlineStr">
        <is>
          <t>A veggie in family dishes</t>
        </is>
      </c>
      <c r="G164" s="24">
        <f>LEN(F164)</f>
        <v/>
      </c>
      <c r="H164" s="24" t="n">
        <v>30</v>
      </c>
      <c r="I164" s="24" t="n">
        <v>36</v>
      </c>
      <c r="J164" s="24">
        <f>IF(F164="","비어 있음",IF(G164&lt;=H164,"OK",IF(G164&lt;=I164,"길이 주의","상한 초과")))</f>
        <v/>
      </c>
      <c r="K164" s="24" t="inlineStr">
        <is>
          <t>초안(10-08)</t>
        </is>
      </c>
      <c r="L164" s="24" t="n"/>
    </row>
    <row r="165">
      <c r="A165" s="24" t="inlineStr">
        <is>
          <t>PHRASE</t>
        </is>
      </c>
      <c r="B165" s="24" t="inlineStr">
        <is>
          <t>DIET-P-0213</t>
        </is>
      </c>
      <c r="C165" s="24" t="n"/>
      <c r="D165" s="24" t="inlineStr">
        <is>
          <t>1.0.0</t>
        </is>
      </c>
      <c r="E165" s="25">
        <f>INDEX(목표문구!$G$1:$G$1000,MATCH($B165,목표문구!$A$1:$A$1000,0))</f>
        <v/>
      </c>
      <c r="F165" s="31" t="inlineStr">
        <is>
          <t>Serve soup in own bowls</t>
        </is>
      </c>
      <c r="G165" s="24">
        <f>LEN(F165)</f>
        <v/>
      </c>
      <c r="H165" s="24" t="n">
        <v>30</v>
      </c>
      <c r="I165" s="24" t="n">
        <v>36</v>
      </c>
      <c r="J165" s="24">
        <f>IF(F165="","비어 있음",IF(G165&lt;=H165,"OK",IF(G165&lt;=I165,"길이 주의","상한 초과")))</f>
        <v/>
      </c>
      <c r="K165" s="24" t="inlineStr">
        <is>
          <t>초안(10-08)</t>
        </is>
      </c>
      <c r="L165" s="24" t="n"/>
    </row>
    <row r="166">
      <c r="A166" s="24" t="inlineStr">
        <is>
          <t>PHRASE</t>
        </is>
      </c>
      <c r="B166" s="24" t="inlineStr">
        <is>
          <t>DIET-P-0214</t>
        </is>
      </c>
      <c r="C166" s="24" t="n"/>
      <c r="D166" s="24" t="inlineStr">
        <is>
          <t>1.0.0</t>
        </is>
      </c>
      <c r="E166" s="25">
        <f>INDEX(목표문구!$G$1:$G$1000,MATCH($B166,목표문구!$A$1:$A$1000,0))</f>
        <v/>
      </c>
      <c r="F166" s="31" t="inlineStr">
        <is>
          <t>Eat at your own pace</t>
        </is>
      </c>
      <c r="G166" s="24">
        <f>LEN(F166)</f>
        <v/>
      </c>
      <c r="H166" s="24" t="n">
        <v>30</v>
      </c>
      <c r="I166" s="24" t="n">
        <v>36</v>
      </c>
      <c r="J166" s="24">
        <f>IF(F166="","비어 있음",IF(G166&lt;=H166,"OK",IF(G166&lt;=I166,"길이 주의","상한 초과")))</f>
        <v/>
      </c>
      <c r="K166" s="24" t="inlineStr">
        <is>
          <t>초안(10-08)</t>
        </is>
      </c>
      <c r="L166" s="24" t="n"/>
    </row>
    <row r="167">
      <c r="A167" s="24" t="inlineStr">
        <is>
          <t>PHRASE</t>
        </is>
      </c>
      <c r="B167" s="24" t="inlineStr">
        <is>
          <t>DIET-P-0215</t>
        </is>
      </c>
      <c r="C167" s="24" t="n"/>
      <c r="D167" s="24" t="inlineStr">
        <is>
          <t>1.0.0</t>
        </is>
      </c>
      <c r="E167" s="25">
        <f>INDEX(목표문구!$G$1:$G$1000,MATCH($B167,목표문구!$A$1:$A$1000,0))</f>
        <v/>
      </c>
      <c r="F167" s="31" t="inlineStr">
        <is>
          <t>Only half the noodle broth</t>
        </is>
      </c>
      <c r="G167" s="24">
        <f>LEN(F167)</f>
        <v/>
      </c>
      <c r="H167" s="24" t="n">
        <v>30</v>
      </c>
      <c r="I167" s="24" t="n">
        <v>36</v>
      </c>
      <c r="J167" s="24">
        <f>IF(F167="","비어 있음",IF(G167&lt;=H167,"OK",IF(G167&lt;=I167,"길이 주의","상한 초과")))</f>
        <v/>
      </c>
      <c r="K167" s="24" t="inlineStr">
        <is>
          <t>초안(10-19)</t>
        </is>
      </c>
      <c r="L167" s="24" t="n"/>
    </row>
    <row r="168">
      <c r="A168" s="24" t="inlineStr">
        <is>
          <t>PHRASE</t>
        </is>
      </c>
      <c r="B168" s="24" t="inlineStr">
        <is>
          <t>DIET-P-0217</t>
        </is>
      </c>
      <c r="C168" s="24" t="n"/>
      <c r="D168" s="24" t="inlineStr">
        <is>
          <t>1.0.0</t>
        </is>
      </c>
      <c r="E168" s="25">
        <f>INDEX(목표문구!$G$1:$G$1000,MATCH($B168,목표문구!$A$1:$A$1000,0))</f>
        <v/>
      </c>
      <c r="F168" s="31" t="inlineStr">
        <is>
          <t>Skim the oil off soup</t>
        </is>
      </c>
      <c r="G168" s="24">
        <f>LEN(F168)</f>
        <v/>
      </c>
      <c r="H168" s="24" t="n">
        <v>30</v>
      </c>
      <c r="I168" s="24" t="n">
        <v>36</v>
      </c>
      <c r="J168" s="24">
        <f>IF(F168="","비어 있음",IF(G168&lt;=H168,"OK",IF(G168&lt;=I168,"길이 주의","상한 초과")))</f>
        <v/>
      </c>
      <c r="K168" s="24" t="inlineStr">
        <is>
          <t>초안(10-08)</t>
        </is>
      </c>
      <c r="L168" s="24" t="n"/>
    </row>
    <row r="169">
      <c r="A169" s="24" t="inlineStr">
        <is>
          <t>PHRASE</t>
        </is>
      </c>
      <c r="B169" s="24" t="inlineStr">
        <is>
          <t>DIET-P-0218</t>
        </is>
      </c>
      <c r="C169" s="24" t="n"/>
      <c r="D169" s="24" t="inlineStr">
        <is>
          <t>1.0.0</t>
        </is>
      </c>
      <c r="E169" s="25">
        <f>INDEX(목표문구!$G$1:$G$1000,MATCH($B169,목표문구!$A$1:$A$1000,0))</f>
        <v/>
      </c>
      <c r="F169" s="31" t="inlineStr">
        <is>
          <t>Drink water first on hot days</t>
        </is>
      </c>
      <c r="G169" s="24">
        <f>LEN(F169)</f>
        <v/>
      </c>
      <c r="H169" s="24" t="n">
        <v>30</v>
      </c>
      <c r="I169" s="24" t="n">
        <v>36</v>
      </c>
      <c r="J169" s="24">
        <f>IF(F169="","비어 있음",IF(G169&lt;=H169,"OK",IF(G169&lt;=I169,"길이 주의","상한 초과")))</f>
        <v/>
      </c>
      <c r="K169" s="24" t="inlineStr">
        <is>
          <t>초안(10-08)</t>
        </is>
      </c>
      <c r="L169" s="24" t="n"/>
    </row>
    <row r="170">
      <c r="A170" s="24" t="inlineStr">
        <is>
          <t>PHRASE</t>
        </is>
      </c>
      <c r="B170" s="24" t="inlineStr">
        <is>
          <t>DIET-P-0219</t>
        </is>
      </c>
      <c r="C170" s="24" t="n"/>
      <c r="D170" s="24" t="inlineStr">
        <is>
          <t>1.0.0</t>
        </is>
      </c>
      <c r="E170" s="25">
        <f>INDEX(목표문구!$G$1:$G$1000,MATCH($B170,목표문구!$A$1:$A$1000,0))</f>
        <v/>
      </c>
      <c r="F170" s="31" t="inlineStr">
        <is>
          <t>Unsweetened coffee after meals</t>
        </is>
      </c>
      <c r="G170" s="24">
        <f>LEN(F170)</f>
        <v/>
      </c>
      <c r="H170" s="24" t="n">
        <v>30</v>
      </c>
      <c r="I170" s="24" t="n">
        <v>36</v>
      </c>
      <c r="J170" s="24">
        <f>IF(F170="","비어 있음",IF(G170&lt;=H170,"OK",IF(G170&lt;=I170,"길이 주의","상한 초과")))</f>
        <v/>
      </c>
      <c r="K170" s="24" t="inlineStr">
        <is>
          <t>초안(10-08)</t>
        </is>
      </c>
      <c r="L170" s="24" t="n"/>
    </row>
    <row r="171">
      <c r="A171" s="24" t="inlineStr">
        <is>
          <t>PHRASE</t>
        </is>
      </c>
      <c r="B171" s="24" t="inlineStr">
        <is>
          <t>DIET-P-0220</t>
        </is>
      </c>
      <c r="C171" s="24" t="n"/>
      <c r="D171" s="24" t="inlineStr">
        <is>
          <t>1.0.0</t>
        </is>
      </c>
      <c r="E171" s="25">
        <f>INDEX(목표문구!$G$1:$G$1000,MATCH($B171,목표문구!$A$1:$A$1000,0))</f>
        <v/>
      </c>
      <c r="F171" s="31" t="inlineStr">
        <is>
          <t>Water first when thirsty</t>
        </is>
      </c>
      <c r="G171" s="24">
        <f>LEN(F171)</f>
        <v/>
      </c>
      <c r="H171" s="24" t="n">
        <v>30</v>
      </c>
      <c r="I171" s="24" t="n">
        <v>36</v>
      </c>
      <c r="J171" s="24">
        <f>IF(F171="","비어 있음",IF(G171&lt;=H171,"OK",IF(G171&lt;=I171,"길이 주의","상한 초과")))</f>
        <v/>
      </c>
      <c r="K171" s="24" t="inlineStr">
        <is>
          <t>초안(10-08)</t>
        </is>
      </c>
      <c r="L171" s="24" t="n"/>
    </row>
    <row r="172">
      <c r="A172" s="24" t="inlineStr">
        <is>
          <t>PHRASE</t>
        </is>
      </c>
      <c r="B172" s="24" t="inlineStr">
        <is>
          <t>DIET-P-0222</t>
        </is>
      </c>
      <c r="C172" s="24" t="n"/>
      <c r="D172" s="24" t="inlineStr">
        <is>
          <t>1.0.0</t>
        </is>
      </c>
      <c r="E172" s="25">
        <f>INDEX(목표문구!$G$1:$G$1000,MATCH($B172,목표문구!$A$1:$A$1000,0))</f>
        <v/>
      </c>
      <c r="F172" s="31" t="inlineStr">
        <is>
          <t>Eat small, frequent meals</t>
        </is>
      </c>
      <c r="G172" s="24">
        <f>LEN(F172)</f>
        <v/>
      </c>
      <c r="H172" s="24" t="n">
        <v>30</v>
      </c>
      <c r="I172" s="24" t="n">
        <v>36</v>
      </c>
      <c r="J172" s="24">
        <f>IF(F172="","비어 있음",IF(G172&lt;=H172,"OK",IF(G172&lt;=I172,"길이 주의","상한 초과")))</f>
        <v/>
      </c>
      <c r="K172" s="24" t="inlineStr">
        <is>
          <t>초안(10-08)</t>
        </is>
      </c>
      <c r="L172" s="24" t="n"/>
    </row>
    <row r="173">
      <c r="A173" s="24" t="inlineStr">
        <is>
          <t>PHRASE</t>
        </is>
      </c>
      <c r="B173" s="24" t="inlineStr">
        <is>
          <t>DIET-P-0224</t>
        </is>
      </c>
      <c r="C173" s="24" t="n"/>
      <c r="D173" s="24" t="inlineStr">
        <is>
          <t>1.0.0</t>
        </is>
      </c>
      <c r="E173" s="25">
        <f>INDEX(목표문구!$G$1:$G$1000,MATCH($B173,목표문구!$A$1:$A$1000,0))</f>
        <v/>
      </c>
      <c r="F173" s="31" t="inlineStr">
        <is>
          <t>Familiar food for dinner</t>
        </is>
      </c>
      <c r="G173" s="24">
        <f>LEN(F173)</f>
        <v/>
      </c>
      <c r="H173" s="24" t="n">
        <v>30</v>
      </c>
      <c r="I173" s="24" t="n">
        <v>36</v>
      </c>
      <c r="J173" s="24">
        <f>IF(F173="","비어 있음",IF(G173&lt;=H173,"OK",IF(G173&lt;=I173,"길이 주의","상한 초과")))</f>
        <v/>
      </c>
      <c r="K173" s="24" t="inlineStr">
        <is>
          <t>초안(10-08)</t>
        </is>
      </c>
      <c r="L173" s="24" t="n"/>
    </row>
    <row r="174">
      <c r="A174" s="24" t="inlineStr">
        <is>
          <t>PHRASE</t>
        </is>
      </c>
      <c r="B174" s="24" t="inlineStr">
        <is>
          <t>DIET-P-0225</t>
        </is>
      </c>
      <c r="C174" s="24" t="n"/>
      <c r="D174" s="24" t="inlineStr">
        <is>
          <t>1.0.0</t>
        </is>
      </c>
      <c r="E174" s="25">
        <f>INDEX(목표문구!$G$1:$G$1000,MATCH($B174,목표문구!$A$1:$A$1000,0))</f>
        <v/>
      </c>
      <c r="F174" s="31" t="inlineStr">
        <is>
          <t>Keep dinner simple</t>
        </is>
      </c>
      <c r="G174" s="24">
        <f>LEN(F174)</f>
        <v/>
      </c>
      <c r="H174" s="24" t="n">
        <v>30</v>
      </c>
      <c r="I174" s="24" t="n">
        <v>36</v>
      </c>
      <c r="J174" s="24">
        <f>IF(F174="","비어 있음",IF(G174&lt;=H174,"OK",IF(G174&lt;=I174,"길이 주의","상한 초과")))</f>
        <v/>
      </c>
      <c r="K174" s="24" t="inlineStr">
        <is>
          <t>초안(10-08)</t>
        </is>
      </c>
      <c r="L174" s="24" t="n"/>
    </row>
    <row r="175">
      <c r="A175" s="24" t="inlineStr">
        <is>
          <t>PHRASE</t>
        </is>
      </c>
      <c r="B175" s="24" t="inlineStr">
        <is>
          <t>DIET-P-0234</t>
        </is>
      </c>
      <c r="C175" s="24" t="n"/>
      <c r="D175" s="24" t="inlineStr">
        <is>
          <t>1.0.0</t>
        </is>
      </c>
      <c r="E175" s="25">
        <f>INDEX(목표문구!$G$1:$G$1000,MATCH($B175,목표문구!$A$1:$A$1000,0))</f>
        <v/>
      </c>
      <c r="F175" s="31" t="inlineStr">
        <is>
          <t>Log what you drink</t>
        </is>
      </c>
      <c r="G175" s="24">
        <f>LEN(F175)</f>
        <v/>
      </c>
      <c r="H175" s="24" t="n">
        <v>30</v>
      </c>
      <c r="I175" s="24" t="n">
        <v>36</v>
      </c>
      <c r="J175" s="24">
        <f>IF(F175="","비어 있음",IF(G175&lt;=H175,"OK",IF(G175&lt;=I175,"길이 주의","상한 초과")))</f>
        <v/>
      </c>
      <c r="K175" s="24" t="inlineStr">
        <is>
          <t>초안(10-08)</t>
        </is>
      </c>
      <c r="L175" s="24" t="n"/>
    </row>
    <row r="176">
      <c r="A176" s="24" t="inlineStr">
        <is>
          <t>PHRASE</t>
        </is>
      </c>
      <c r="B176" s="24" t="inlineStr">
        <is>
          <t>DIET-P-0235</t>
        </is>
      </c>
      <c r="C176" s="24" t="n"/>
      <c r="D176" s="24" t="inlineStr">
        <is>
          <t>1.0.0</t>
        </is>
      </c>
      <c r="E176" s="25">
        <f>INDEX(목표문구!$G$1:$G$1000,MATCH($B176,목표문구!$A$1:$A$1000,0))</f>
        <v/>
      </c>
      <c r="F176" s="31" t="inlineStr">
        <is>
          <t>Check sugar on drink labels</t>
        </is>
      </c>
      <c r="G176" s="24">
        <f>LEN(F176)</f>
        <v/>
      </c>
      <c r="H176" s="24" t="n">
        <v>30</v>
      </c>
      <c r="I176" s="24" t="n">
        <v>36</v>
      </c>
      <c r="J176" s="24">
        <f>IF(F176="","비어 있음",IF(G176&lt;=H176,"OK",IF(G176&lt;=I176,"길이 주의","상한 초과")))</f>
        <v/>
      </c>
      <c r="K176" s="24" t="inlineStr">
        <is>
          <t>초안(10-08)</t>
        </is>
      </c>
      <c r="L176" s="24" t="n"/>
    </row>
    <row r="177">
      <c r="A177" s="24" t="inlineStr">
        <is>
          <t>PHRASE</t>
        </is>
      </c>
      <c r="B177" s="24" t="inlineStr">
        <is>
          <t>DIET-P-0236</t>
        </is>
      </c>
      <c r="C177" s="24" t="n"/>
      <c r="D177" s="24" t="inlineStr">
        <is>
          <t>1.0.0</t>
        </is>
      </c>
      <c r="E177" s="25">
        <f>INDEX(목표문구!$G$1:$G$1000,MATCH($B177,목표문구!$A$1:$A$1000,0))</f>
        <v/>
      </c>
      <c r="F177" s="31" t="inlineStr">
        <is>
          <t>Plan your drinks ahead</t>
        </is>
      </c>
      <c r="G177" s="24">
        <f>LEN(F177)</f>
        <v/>
      </c>
      <c r="H177" s="24" t="n">
        <v>30</v>
      </c>
      <c r="I177" s="24" t="n">
        <v>36</v>
      </c>
      <c r="J177" s="24">
        <f>IF(F177="","비어 있음",IF(G177&lt;=H177,"OK",IF(G177&lt;=I177,"길이 주의","상한 초과")))</f>
        <v/>
      </c>
      <c r="K177" s="24" t="inlineStr">
        <is>
          <t>초안(10-08)</t>
        </is>
      </c>
      <c r="L177" s="24" t="n"/>
    </row>
    <row r="178">
      <c r="A178" s="24" t="inlineStr">
        <is>
          <t>PHRASE</t>
        </is>
      </c>
      <c r="B178" s="24" t="inlineStr">
        <is>
          <t>DIET-P-0237</t>
        </is>
      </c>
      <c r="C178" s="24" t="n"/>
      <c r="D178" s="24" t="inlineStr">
        <is>
          <t>1.0.0</t>
        </is>
      </c>
      <c r="E178" s="25">
        <f>INDEX(목표문구!$G$1:$G$1000,MATCH($B178,목표문구!$A$1:$A$1000,0))</f>
        <v/>
      </c>
      <c r="F178" s="31" t="inlineStr">
        <is>
          <t>Set utensils down each bite</t>
        </is>
      </c>
      <c r="G178" s="24">
        <f>LEN(F178)</f>
        <v/>
      </c>
      <c r="H178" s="24" t="n">
        <v>30</v>
      </c>
      <c r="I178" s="24" t="n">
        <v>36</v>
      </c>
      <c r="J178" s="24">
        <f>IF(F178="","비어 있음",IF(G178&lt;=H178,"OK",IF(G178&lt;=I178,"길이 주의","상한 초과")))</f>
        <v/>
      </c>
      <c r="K178" s="24" t="inlineStr">
        <is>
          <t>초안(10-08)</t>
        </is>
      </c>
      <c r="L178" s="24" t="n"/>
    </row>
    <row r="179">
      <c r="A179" s="24" t="inlineStr">
        <is>
          <t>PHRASE</t>
        </is>
      </c>
      <c r="B179" s="24" t="inlineStr">
        <is>
          <t>DIET-P-0238</t>
        </is>
      </c>
      <c r="C179" s="24" t="n"/>
      <c r="D179" s="24" t="inlineStr">
        <is>
          <t>1.0.0</t>
        </is>
      </c>
      <c r="E179" s="25">
        <f>INDEX(목표문구!$G$1:$G$1000,MATCH($B179,목표문구!$A$1:$A$1000,0))</f>
        <v/>
      </c>
      <c r="F179" s="31" t="inlineStr">
        <is>
          <t>Eat all meals slowly</t>
        </is>
      </c>
      <c r="G179" s="24">
        <f>LEN(F179)</f>
        <v/>
      </c>
      <c r="H179" s="24" t="n">
        <v>30</v>
      </c>
      <c r="I179" s="24" t="n">
        <v>36</v>
      </c>
      <c r="J179" s="24">
        <f>IF(F179="","비어 있음",IF(G179&lt;=H179,"OK",IF(G179&lt;=I179,"길이 주의","상한 초과")))</f>
        <v/>
      </c>
      <c r="K179" s="24" t="inlineStr">
        <is>
          <t>초안(10-08)</t>
        </is>
      </c>
      <c r="L179" s="24" t="n"/>
    </row>
    <row r="180">
      <c r="A180" s="24" t="inlineStr">
        <is>
          <t>PHRASE</t>
        </is>
      </c>
      <c r="B180" s="24" t="inlineStr">
        <is>
          <t>DIET-P-0226</t>
        </is>
      </c>
      <c r="C180" s="24" t="n"/>
      <c r="D180" s="24" t="inlineStr">
        <is>
          <t>1.0.0</t>
        </is>
      </c>
      <c r="E180" s="25">
        <f>INDEX(목표문구!$G$1:$G$1000,MATCH($B180,목표문구!$A$1:$A$1000,0))</f>
        <v/>
      </c>
      <c r="F180" s="31" t="inlineStr">
        <is>
          <t>Clear a spot for breakfast</t>
        </is>
      </c>
      <c r="G180" s="24">
        <f>LEN(F180)</f>
        <v/>
      </c>
      <c r="H180" s="24" t="n">
        <v>30</v>
      </c>
      <c r="I180" s="24" t="n">
        <v>36</v>
      </c>
      <c r="J180" s="24">
        <f>IF(F180="","비어 있음",IF(G180&lt;=H180,"OK",IF(G180&lt;=I180,"길이 주의","상한 초과")))</f>
        <v/>
      </c>
      <c r="K180" s="24" t="inlineStr">
        <is>
          <t>초안(10-08)</t>
        </is>
      </c>
      <c r="L180" s="24" t="n"/>
    </row>
    <row r="181">
      <c r="A181" s="24" t="inlineStr">
        <is>
          <t>PHRASE</t>
        </is>
      </c>
      <c r="B181" s="24" t="inlineStr">
        <is>
          <t>DIET-P-0227</t>
        </is>
      </c>
      <c r="C181" s="24" t="n"/>
      <c r="D181" s="24" t="inlineStr">
        <is>
          <t>1.0.0</t>
        </is>
      </c>
      <c r="E181" s="25">
        <f>INDEX(목표문구!$G$1:$G$1000,MATCH($B181,목표문구!$A$1:$A$1000,0))</f>
        <v/>
      </c>
      <c r="F181" s="31" t="inlineStr">
        <is>
          <t>Set tomorrow's breakfast time</t>
        </is>
      </c>
      <c r="G181" s="24">
        <f>LEN(F181)</f>
        <v/>
      </c>
      <c r="H181" s="24" t="n">
        <v>30</v>
      </c>
      <c r="I181" s="24" t="n">
        <v>36</v>
      </c>
      <c r="J181" s="24">
        <f>IF(F181="","비어 있음",IF(G181&lt;=H181,"OK",IF(G181&lt;=I181,"길이 주의","상한 초과")))</f>
        <v/>
      </c>
      <c r="K181" s="24" t="inlineStr">
        <is>
          <t>초안(10-08)</t>
        </is>
      </c>
      <c r="L181" s="24" t="n"/>
    </row>
    <row r="182">
      <c r="A182" s="24" t="inlineStr">
        <is>
          <t>PHRASE</t>
        </is>
      </c>
      <c r="B182" s="24" t="inlineStr">
        <is>
          <t>DIET-P-0228</t>
        </is>
      </c>
      <c r="C182" s="24" t="n"/>
      <c r="D182" s="24" t="inlineStr">
        <is>
          <t>1.0.0</t>
        </is>
      </c>
      <c r="E182" s="25">
        <f>INDEX(목표문구!$G$1:$G$1000,MATCH($B182,목표문구!$A$1:$A$1000,0))</f>
        <v/>
      </c>
      <c r="F182" s="31" t="inlineStr">
        <is>
          <t>Wash veggies ahead of time</t>
        </is>
      </c>
      <c r="G182" s="24">
        <f>LEN(F182)</f>
        <v/>
      </c>
      <c r="H182" s="24" t="n">
        <v>30</v>
      </c>
      <c r="I182" s="24" t="n">
        <v>36</v>
      </c>
      <c r="J182" s="24">
        <f>IF(F182="","비어 있음",IF(G182&lt;=H182,"OK",IF(G182&lt;=I182,"길이 주의","상한 초과")))</f>
        <v/>
      </c>
      <c r="K182" s="24" t="inlineStr">
        <is>
          <t>초안(10-08)</t>
        </is>
      </c>
      <c r="L182" s="24" t="n"/>
    </row>
    <row r="183">
      <c r="A183" s="24" t="inlineStr">
        <is>
          <t>PHRASE</t>
        </is>
      </c>
      <c r="B183" s="24" t="inlineStr">
        <is>
          <t>DIET-P-0229</t>
        </is>
      </c>
      <c r="C183" s="24" t="n"/>
      <c r="D183" s="24" t="inlineStr">
        <is>
          <t>1.0.0</t>
        </is>
      </c>
      <c r="E183" s="25">
        <f>INDEX(목표문구!$G$1:$G$1000,MATCH($B183,목표문구!$A$1:$A$1000,0))</f>
        <v/>
      </c>
      <c r="F183" s="31" t="inlineStr">
        <is>
          <t>Add veggies to shopping list</t>
        </is>
      </c>
      <c r="G183" s="24">
        <f>LEN(F183)</f>
        <v/>
      </c>
      <c r="H183" s="24" t="n">
        <v>30</v>
      </c>
      <c r="I183" s="24" t="n">
        <v>36</v>
      </c>
      <c r="J183" s="24">
        <f>IF(F183="","비어 있음",IF(G183&lt;=H183,"OK",IF(G183&lt;=I183,"길이 주의","상한 초과")))</f>
        <v/>
      </c>
      <c r="K183" s="24" t="inlineStr">
        <is>
          <t>초안(10-08)</t>
        </is>
      </c>
      <c r="L183" s="24" t="n"/>
    </row>
    <row r="184">
      <c r="A184" s="24" t="inlineStr">
        <is>
          <t>PHRASE</t>
        </is>
      </c>
      <c r="B184" s="24" t="inlineStr">
        <is>
          <t>DIET-P-0230</t>
        </is>
      </c>
      <c r="C184" s="24" t="n"/>
      <c r="D184" s="24" t="inlineStr">
        <is>
          <t>1.0.0</t>
        </is>
      </c>
      <c r="E184" s="25">
        <f>INDEX(목표문구!$G$1:$G$1000,MATCH($B184,목표문구!$A$1:$A$1000,0))</f>
        <v/>
      </c>
      <c r="F184" s="31" t="inlineStr">
        <is>
          <t>Boil eggs ahead of time</t>
        </is>
      </c>
      <c r="G184" s="24">
        <f>LEN(F184)</f>
        <v/>
      </c>
      <c r="H184" s="24" t="n">
        <v>30</v>
      </c>
      <c r="I184" s="24" t="n">
        <v>36</v>
      </c>
      <c r="J184" s="24">
        <f>IF(F184="","비어 있음",IF(G184&lt;=H184,"OK",IF(G184&lt;=I184,"길이 주의","상한 초과")))</f>
        <v/>
      </c>
      <c r="K184" s="24" t="inlineStr">
        <is>
          <t>초안(10-08)</t>
        </is>
      </c>
      <c r="L184" s="24" t="n"/>
    </row>
    <row r="185">
      <c r="A185" s="24" t="inlineStr">
        <is>
          <t>PHRASE</t>
        </is>
      </c>
      <c r="B185" s="24" t="inlineStr">
        <is>
          <t>DIET-P-0231</t>
        </is>
      </c>
      <c r="C185" s="24" t="n"/>
      <c r="D185" s="24" t="inlineStr">
        <is>
          <t>1.0.0</t>
        </is>
      </c>
      <c r="E185" s="25">
        <f>INDEX(목표문구!$G$1:$G$1000,MATCH($B185,목표문구!$A$1:$A$1000,0))</f>
        <v/>
      </c>
      <c r="F185" s="31" t="inlineStr">
        <is>
          <t>Prep tomorrow's tofu</t>
        </is>
      </c>
      <c r="G185" s="24">
        <f>LEN(F185)</f>
        <v/>
      </c>
      <c r="H185" s="24" t="n">
        <v>30</v>
      </c>
      <c r="I185" s="24" t="n">
        <v>36</v>
      </c>
      <c r="J185" s="24">
        <f>IF(F185="","비어 있음",IF(G185&lt;=H185,"OK",IF(G185&lt;=I185,"길이 주의","상한 초과")))</f>
        <v/>
      </c>
      <c r="K185" s="24" t="inlineStr">
        <is>
          <t>초안(10-08)</t>
        </is>
      </c>
      <c r="L185" s="24" t="n"/>
    </row>
    <row r="186">
      <c r="A186" s="24" t="inlineStr">
        <is>
          <t>PHRASE</t>
        </is>
      </c>
      <c r="B186" s="24" t="inlineStr">
        <is>
          <t>DIET-P-0232</t>
        </is>
      </c>
      <c r="C186" s="24" t="n"/>
      <c r="D186" s="24" t="inlineStr">
        <is>
          <t>1.0.0</t>
        </is>
      </c>
      <c r="E186" s="25">
        <f>INDEX(목표문구!$G$1:$G$1000,MATCH($B186,목표문구!$A$1:$A$1000,0))</f>
        <v/>
      </c>
      <c r="F186" s="31" t="inlineStr">
        <is>
          <t>Set out decaf tea</t>
        </is>
      </c>
      <c r="G186" s="24">
        <f>LEN(F186)</f>
        <v/>
      </c>
      <c r="H186" s="24" t="n">
        <v>30</v>
      </c>
      <c r="I186" s="24" t="n">
        <v>36</v>
      </c>
      <c r="J186" s="24">
        <f>IF(F186="","비어 있음",IF(G186&lt;=H186,"OK",IF(G186&lt;=I186,"길이 주의","상한 초과")))</f>
        <v/>
      </c>
      <c r="K186" s="24" t="inlineStr">
        <is>
          <t>초안(10-08)</t>
        </is>
      </c>
      <c r="L186" s="24" t="n"/>
    </row>
    <row r="187">
      <c r="A187" s="24" t="inlineStr">
        <is>
          <t>PHRASE</t>
        </is>
      </c>
      <c r="B187" s="24" t="inlineStr">
        <is>
          <t>DIET-P-0233</t>
        </is>
      </c>
      <c r="C187" s="24" t="n"/>
      <c r="D187" s="24" t="inlineStr">
        <is>
          <t>1.0.0</t>
        </is>
      </c>
      <c r="E187" s="25">
        <f>INDEX(목표문구!$G$1:$G$1000,MATCH($B187,목표문구!$A$1:$A$1000,0))</f>
        <v/>
      </c>
      <c r="F187" s="31" t="inlineStr">
        <is>
          <t>Plan tomorrow's breakfast</t>
        </is>
      </c>
      <c r="G187" s="24">
        <f>LEN(F187)</f>
        <v/>
      </c>
      <c r="H187" s="24" t="n">
        <v>30</v>
      </c>
      <c r="I187" s="24" t="n">
        <v>36</v>
      </c>
      <c r="J187" s="24">
        <f>IF(F187="","비어 있음",IF(G187&lt;=H187,"OK",IF(G187&lt;=I187,"길이 주의","상한 초과")))</f>
        <v/>
      </c>
      <c r="K187" s="24" t="inlineStr">
        <is>
          <t>초안(10-08)</t>
        </is>
      </c>
      <c r="L187" s="24" t="n"/>
    </row>
    <row r="188">
      <c r="A188" s="24" t="inlineStr">
        <is>
          <t>PHRASE</t>
        </is>
      </c>
      <c r="B188" s="24" t="inlineStr">
        <is>
          <t>DIET-P-0239</t>
        </is>
      </c>
      <c r="C188" s="24" t="n"/>
      <c r="D188" s="24" t="inlineStr">
        <is>
          <t>1.0.0</t>
        </is>
      </c>
      <c r="E188" s="25">
        <f>INDEX(목표문구!$G$1:$G$1000,MATCH($B188,목표문구!$A$1:$A$1000,0))</f>
        <v/>
      </c>
      <c r="F188" s="31" t="inlineStr">
        <is>
          <t>Decide your portion first</t>
        </is>
      </c>
      <c r="G188" s="24">
        <f>LEN(F188)</f>
        <v/>
      </c>
      <c r="H188" s="24" t="n">
        <v>30</v>
      </c>
      <c r="I188" s="24" t="n">
        <v>36</v>
      </c>
      <c r="J188" s="24">
        <f>IF(F188="","비어 있음",IF(G188&lt;=H188,"OK",IF(G188&lt;=I188,"길이 주의","상한 초과")))</f>
        <v/>
      </c>
      <c r="K188" s="24" t="inlineStr">
        <is>
          <t>초안(10-08)</t>
        </is>
      </c>
      <c r="L188" s="24" t="n"/>
    </row>
    <row r="189">
      <c r="A189" s="24" t="inlineStr">
        <is>
          <t>PHRASE</t>
        </is>
      </c>
      <c r="B189" s="24" t="inlineStr">
        <is>
          <t>DIET-P-0240</t>
        </is>
      </c>
      <c r="C189" s="24" t="n"/>
      <c r="D189" s="24" t="inlineStr">
        <is>
          <t>1.0.0</t>
        </is>
      </c>
      <c r="E189" s="25">
        <f>INDEX(목표문구!$G$1:$G$1000,MATCH($B189,목표문구!$A$1:$A$1000,0))</f>
        <v/>
      </c>
      <c r="F189" s="31" t="inlineStr">
        <is>
          <t>Chew well</t>
        </is>
      </c>
      <c r="G189" s="24">
        <f>LEN(F189)</f>
        <v/>
      </c>
      <c r="H189" s="24" t="n">
        <v>30</v>
      </c>
      <c r="I189" s="24" t="n">
        <v>36</v>
      </c>
      <c r="J189" s="24">
        <f>IF(F189="","비어 있음",IF(G189&lt;=H189,"OK",IF(G189&lt;=I189,"길이 주의","상한 초과")))</f>
        <v/>
      </c>
      <c r="K189" s="24" t="inlineStr">
        <is>
          <t>초안(10-08)</t>
        </is>
      </c>
      <c r="L189" s="24" t="n"/>
    </row>
    <row r="190">
      <c r="A190" s="24" t="inlineStr">
        <is>
          <t>PHRASE</t>
        </is>
      </c>
      <c r="B190" s="24" t="inlineStr">
        <is>
          <t>DIET-P-0241</t>
        </is>
      </c>
      <c r="C190" s="24" t="n"/>
      <c r="D190" s="24" t="inlineStr">
        <is>
          <t>1.0.0</t>
        </is>
      </c>
      <c r="E190" s="25">
        <f>INDEX(목표문구!$G$1:$G$1000,MATCH($B190,목표문구!$A$1:$A$1000,0))</f>
        <v/>
      </c>
      <c r="F190" s="31" t="inlineStr">
        <is>
          <t>Skip margarine and shortening</t>
        </is>
      </c>
      <c r="G190" s="24">
        <f>LEN(F190)</f>
        <v/>
      </c>
      <c r="H190" s="24" t="n">
        <v>30</v>
      </c>
      <c r="I190" s="24" t="n">
        <v>36</v>
      </c>
      <c r="J190" s="24">
        <f>IF(F190="","비어 있음",IF(G190&lt;=H190,"OK",IF(G190&lt;=I190,"길이 주의","상한 초과")))</f>
        <v/>
      </c>
      <c r="K190" s="24" t="inlineStr">
        <is>
          <t>초안(10-08)</t>
        </is>
      </c>
      <c r="L190" s="24" t="n"/>
    </row>
    <row r="191">
      <c r="A191" s="24" t="inlineStr">
        <is>
          <t>PHRASE</t>
        </is>
      </c>
      <c r="B191" s="24" t="inlineStr">
        <is>
          <t>DIET-P-0242</t>
        </is>
      </c>
      <c r="C191" s="24" t="n"/>
      <c r="D191" s="24" t="inlineStr">
        <is>
          <t>1.0.0</t>
        </is>
      </c>
      <c r="E191" s="25">
        <f>INDEX(목표문구!$G$1:$G$1000,MATCH($B191,목표문구!$A$1:$A$1000,0))</f>
        <v/>
      </c>
      <c r="F191" s="31" t="inlineStr">
        <is>
          <t>Trim the fat from meat</t>
        </is>
      </c>
      <c r="G191" s="24">
        <f>LEN(F191)</f>
        <v/>
      </c>
      <c r="H191" s="24" t="n">
        <v>30</v>
      </c>
      <c r="I191" s="24" t="n">
        <v>36</v>
      </c>
      <c r="J191" s="24">
        <f>IF(F191="","비어 있음",IF(G191&lt;=H191,"OK",IF(G191&lt;=I191,"길이 주의","상한 초과")))</f>
        <v/>
      </c>
      <c r="K191" s="24" t="inlineStr">
        <is>
          <t>초안(10-08)</t>
        </is>
      </c>
      <c r="L191" s="24" t="n"/>
    </row>
    <row r="192">
      <c r="A192" s="24" t="inlineStr">
        <is>
          <t>PHRASE</t>
        </is>
      </c>
      <c r="B192" s="24" t="inlineStr">
        <is>
          <t>DIET-P-0243</t>
        </is>
      </c>
      <c r="C192" s="24" t="n"/>
      <c r="D192" s="24" t="inlineStr">
        <is>
          <t>1.0.0</t>
        </is>
      </c>
      <c r="E192" s="25">
        <f>INDEX(목표문구!$G$1:$G$1000,MATCH($B192,목표문구!$A$1:$A$1000,0))</f>
        <v/>
      </c>
      <c r="F192" s="31" t="inlineStr">
        <is>
          <t>Check saturated fat labels</t>
        </is>
      </c>
      <c r="G192" s="24">
        <f>LEN(F192)</f>
        <v/>
      </c>
      <c r="H192" s="24" t="n">
        <v>30</v>
      </c>
      <c r="I192" s="24" t="n">
        <v>36</v>
      </c>
      <c r="J192" s="24">
        <f>IF(F192="","비어 있음",IF(G192&lt;=H192,"OK",IF(G192&lt;=I192,"길이 주의","상한 초과")))</f>
        <v/>
      </c>
      <c r="K192" s="24" t="inlineStr">
        <is>
          <t>초안(10-08)</t>
        </is>
      </c>
      <c r="L192" s="24" t="n"/>
    </row>
    <row r="193">
      <c r="A193" s="24" t="inlineStr">
        <is>
          <t>PHRASE</t>
        </is>
      </c>
      <c r="B193" s="24" t="inlineStr">
        <is>
          <t>DIET-P-0244</t>
        </is>
      </c>
      <c r="C193" s="24" t="n"/>
      <c r="D193" s="24" t="inlineStr">
        <is>
          <t>1.0.0</t>
        </is>
      </c>
      <c r="E193" s="25">
        <f>INDEX(목표문구!$G$1:$G$1000,MATCH($B193,목표문구!$A$1:$A$1000,0))</f>
        <v/>
      </c>
      <c r="F193" s="31" t="inlineStr">
        <is>
          <t>Flavor with mushroom or kelp</t>
        </is>
      </c>
      <c r="G193" s="24">
        <f>LEN(F193)</f>
        <v/>
      </c>
      <c r="H193" s="24" t="n">
        <v>30</v>
      </c>
      <c r="I193" s="24" t="n">
        <v>36</v>
      </c>
      <c r="J193" s="24">
        <f>IF(F193="","비어 있음",IF(G193&lt;=H193,"OK",IF(G193&lt;=I193,"길이 주의","상한 초과")))</f>
        <v/>
      </c>
      <c r="K193" s="24" t="inlineStr">
        <is>
          <t>초안(10-08)</t>
        </is>
      </c>
      <c r="L193" s="24" t="n"/>
    </row>
    <row r="194">
      <c r="A194" s="24" t="inlineStr">
        <is>
          <t>PHRASE</t>
        </is>
      </c>
      <c r="B194" s="24" t="inlineStr">
        <is>
          <t>DIET-P-0245</t>
        </is>
      </c>
      <c r="C194" s="24" t="n"/>
      <c r="D194" s="24" t="inlineStr">
        <is>
          <t>1.0.0</t>
        </is>
      </c>
      <c r="E194" s="25">
        <f>INDEX(목표문구!$G$1:$G$1000,MATCH($B194,목표문구!$A$1:$A$1000,0))</f>
        <v/>
      </c>
      <c r="F194" s="31" t="inlineStr">
        <is>
          <t>Pick lower-sodium products</t>
        </is>
      </c>
      <c r="G194" s="24">
        <f>LEN(F194)</f>
        <v/>
      </c>
      <c r="H194" s="24" t="n">
        <v>30</v>
      </c>
      <c r="I194" s="24" t="n">
        <v>36</v>
      </c>
      <c r="J194" s="24">
        <f>IF(F194="","비어 있음",IF(G194&lt;=H194,"OK",IF(G194&lt;=I194,"길이 주의","상한 초과")))</f>
        <v/>
      </c>
      <c r="K194" s="24" t="inlineStr">
        <is>
          <t>초안(10-08)</t>
        </is>
      </c>
      <c r="L194" s="24" t="n"/>
    </row>
    <row r="195">
      <c r="A195" s="24" t="inlineStr">
        <is>
          <t>PHRASE</t>
        </is>
      </c>
      <c r="B195" s="24" t="inlineStr">
        <is>
          <t>DIET-P-0246</t>
        </is>
      </c>
      <c r="C195" s="24" t="n"/>
      <c r="D195" s="24" t="inlineStr">
        <is>
          <t>1.0.0</t>
        </is>
      </c>
      <c r="E195" s="25">
        <f>INDEX(목표문구!$G$1:$G$1000,MATCH($B195,목표문구!$A$1:$A$1000,0))</f>
        <v/>
      </c>
      <c r="F195" s="31" t="inlineStr">
        <is>
          <t>A bean or tofu side</t>
        </is>
      </c>
      <c r="G195" s="24">
        <f>LEN(F195)</f>
        <v/>
      </c>
      <c r="H195" s="24" t="n">
        <v>30</v>
      </c>
      <c r="I195" s="24" t="n">
        <v>36</v>
      </c>
      <c r="J195" s="24">
        <f>IF(F195="","비어 있음",IF(G195&lt;=H195,"OK",IF(G195&lt;=I195,"길이 주의","상한 초과")))</f>
        <v/>
      </c>
      <c r="K195" s="24" t="inlineStr">
        <is>
          <t>초안(10-08)</t>
        </is>
      </c>
      <c r="L195" s="24" t="n"/>
    </row>
    <row r="196">
      <c r="A196" s="24" t="inlineStr">
        <is>
          <t>PHRASE</t>
        </is>
      </c>
      <c r="B196" s="24" t="inlineStr">
        <is>
          <t>DIET-P-0247</t>
        </is>
      </c>
      <c r="C196" s="24" t="n"/>
      <c r="D196" s="24" t="inlineStr">
        <is>
          <t>1.0.0</t>
        </is>
      </c>
      <c r="E196" s="25">
        <f>INDEX(목표문구!$G$1:$G$1000,MATCH($B196,목표문구!$A$1:$A$1000,0))</f>
        <v/>
      </c>
      <c r="F196" s="31" t="inlineStr">
        <is>
          <t>Check sugar on snack labels</t>
        </is>
      </c>
      <c r="G196" s="24">
        <f>LEN(F196)</f>
        <v/>
      </c>
      <c r="H196" s="24" t="n">
        <v>30</v>
      </c>
      <c r="I196" s="24" t="n">
        <v>36</v>
      </c>
      <c r="J196" s="24">
        <f>IF(F196="","비어 있음",IF(G196&lt;=H196,"OK",IF(G196&lt;=I196,"길이 주의","상한 초과")))</f>
        <v/>
      </c>
      <c r="K196" s="24" t="inlineStr">
        <is>
          <t>초안(10-08)</t>
        </is>
      </c>
      <c r="L196" s="24" t="n"/>
    </row>
    <row r="197">
      <c r="A197" s="24" t="inlineStr">
        <is>
          <t>PHRASE</t>
        </is>
      </c>
      <c r="B197" s="24" t="inlineStr">
        <is>
          <t>DIET-P-0248</t>
        </is>
      </c>
      <c r="C197" s="24" t="n"/>
      <c r="D197" s="24" t="inlineStr">
        <is>
          <t>1.0.0</t>
        </is>
      </c>
      <c r="E197" s="25">
        <f>INDEX(목표문구!$G$1:$G$1000,MATCH($B197,목표문구!$A$1:$A$1000,0))</f>
        <v/>
      </c>
      <c r="F197" s="31" t="inlineStr">
        <is>
          <t>Set times for three meals</t>
        </is>
      </c>
      <c r="G197" s="24">
        <f>LEN(F197)</f>
        <v/>
      </c>
      <c r="H197" s="24" t="n">
        <v>30</v>
      </c>
      <c r="I197" s="24" t="n">
        <v>36</v>
      </c>
      <c r="J197" s="24">
        <f>IF(F197="","비어 있음",IF(G197&lt;=H197,"OK",IF(G197&lt;=I197,"길이 주의","상한 초과")))</f>
        <v/>
      </c>
      <c r="K197" s="24" t="inlineStr">
        <is>
          <t>초안(10-08)</t>
        </is>
      </c>
      <c r="L197" s="24" t="n"/>
    </row>
    <row r="198">
      <c r="A198" s="24" t="inlineStr">
        <is>
          <t>PHRASE</t>
        </is>
      </c>
      <c r="B198" s="24" t="inlineStr">
        <is>
          <t>DIET-P-0249</t>
        </is>
      </c>
      <c r="C198" s="24" t="n"/>
      <c r="D198" s="24" t="inlineStr">
        <is>
          <t>1.0.0</t>
        </is>
      </c>
      <c r="E198" s="25">
        <f>INDEX(목표문구!$G$1:$G$1000,MATCH($B198,목표문구!$A$1:$A$1000,0))</f>
        <v/>
      </c>
      <c r="F198" s="31" t="inlineStr">
        <is>
          <t>Set a breakfast time</t>
        </is>
      </c>
      <c r="G198" s="24">
        <f>LEN(F198)</f>
        <v/>
      </c>
      <c r="H198" s="24" t="n">
        <v>30</v>
      </c>
      <c r="I198" s="24" t="n">
        <v>36</v>
      </c>
      <c r="J198" s="24">
        <f>IF(F198="","비어 있음",IF(G198&lt;=H198,"OK",IF(G198&lt;=I198,"길이 주의","상한 초과")))</f>
        <v/>
      </c>
      <c r="K198" s="24" t="inlineStr">
        <is>
          <t>초안(10-08)</t>
        </is>
      </c>
      <c r="L198" s="24" t="n"/>
    </row>
    <row r="199">
      <c r="A199" s="24" t="inlineStr">
        <is>
          <t>PHRASE</t>
        </is>
      </c>
      <c r="B199" s="24" t="inlineStr">
        <is>
          <t>DIET-P-0250</t>
        </is>
      </c>
      <c r="C199" s="24" t="n"/>
      <c r="D199" s="24" t="inlineStr">
        <is>
          <t>1.0.0</t>
        </is>
      </c>
      <c r="E199" s="25">
        <f>INDEX(목표문구!$G$1:$G$1000,MATCH($B199,목표문구!$A$1:$A$1000,0))</f>
        <v/>
      </c>
      <c r="F199" s="31" t="inlineStr">
        <is>
          <t>Plate your late-night snack</t>
        </is>
      </c>
      <c r="G199" s="24">
        <f>LEN(F199)</f>
        <v/>
      </c>
      <c r="H199" s="24" t="n">
        <v>30</v>
      </c>
      <c r="I199" s="24" t="n">
        <v>36</v>
      </c>
      <c r="J199" s="24">
        <f>IF(F199="","비어 있음",IF(G199&lt;=H199,"OK",IF(G199&lt;=I199,"길이 주의","상한 초과")))</f>
        <v/>
      </c>
      <c r="K199" s="24" t="inlineStr">
        <is>
          <t>초안(10-08)</t>
        </is>
      </c>
      <c r="L199" s="24" t="n"/>
    </row>
    <row r="200">
      <c r="A200" s="24" t="inlineStr">
        <is>
          <t>PHRASE</t>
        </is>
      </c>
      <c r="B200" s="24" t="inlineStr">
        <is>
          <t>DIET-P-0251</t>
        </is>
      </c>
      <c r="C200" s="24" t="n"/>
      <c r="D200" s="24" t="inlineStr">
        <is>
          <t>1.0.0</t>
        </is>
      </c>
      <c r="E200" s="25">
        <f>INDEX(목표문구!$G$1:$G$1000,MATCH($B200,목표문구!$A$1:$A$1000,0))</f>
        <v/>
      </c>
      <c r="F200" s="31" t="inlineStr">
        <is>
          <t>A glass of water after dinner</t>
        </is>
      </c>
      <c r="G200" s="24">
        <f>LEN(F200)</f>
        <v/>
      </c>
      <c r="H200" s="24" t="n">
        <v>30</v>
      </c>
      <c r="I200" s="24" t="n">
        <v>36</v>
      </c>
      <c r="J200" s="24">
        <f>IF(F200="","비어 있음",IF(G200&lt;=H200,"OK",IF(G200&lt;=I200,"길이 주의","상한 초과")))</f>
        <v/>
      </c>
      <c r="K200" s="24" t="inlineStr">
        <is>
          <t>초안(10-08)</t>
        </is>
      </c>
      <c r="L200" s="24" t="n"/>
    </row>
    <row r="201">
      <c r="A201" s="24" t="inlineStr">
        <is>
          <t>PHRASE</t>
        </is>
      </c>
      <c r="B201" s="24" t="inlineStr">
        <is>
          <t>DIET-P-0252</t>
        </is>
      </c>
      <c r="C201" s="24" t="n"/>
      <c r="D201" s="24" t="inlineStr">
        <is>
          <t>1.0.0</t>
        </is>
      </c>
      <c r="E201" s="25">
        <f>INDEX(목표문구!$G$1:$G$1000,MATCH($B201,목표문구!$A$1:$A$1000,0))</f>
        <v/>
      </c>
      <c r="F201" s="31" t="inlineStr">
        <is>
          <t>Take only what you'll eat</t>
        </is>
      </c>
      <c r="G201" s="24">
        <f>LEN(F201)</f>
        <v/>
      </c>
      <c r="H201" s="24" t="n">
        <v>30</v>
      </c>
      <c r="I201" s="24" t="n">
        <v>36</v>
      </c>
      <c r="J201" s="24">
        <f>IF(F201="","비어 있음",IF(G201&lt;=H201,"OK",IF(G201&lt;=I201,"길이 주의","상한 초과")))</f>
        <v/>
      </c>
      <c r="K201" s="24" t="inlineStr">
        <is>
          <t>초안(10-08)</t>
        </is>
      </c>
      <c r="L201" s="24" t="n"/>
    </row>
    <row r="202">
      <c r="A202" s="24" t="inlineStr">
        <is>
          <t>PHRASE</t>
        </is>
      </c>
      <c r="B202" s="24" t="inlineStr">
        <is>
          <t>DIET-P-0253</t>
        </is>
      </c>
      <c r="C202" s="24" t="n"/>
      <c r="D202" s="24" t="inlineStr">
        <is>
          <t>1.0.0</t>
        </is>
      </c>
      <c r="E202" s="25">
        <f>INDEX(목표문구!$G$1:$G$1000,MATCH($B202,목표문구!$A$1:$A$1000,0))</f>
        <v/>
      </c>
      <c r="F202" s="31" t="inlineStr">
        <is>
          <t>Olive oil instead of butter</t>
        </is>
      </c>
      <c r="G202" s="24">
        <f>LEN(F202)</f>
        <v/>
      </c>
      <c r="H202" s="24" t="n">
        <v>30</v>
      </c>
      <c r="I202" s="24" t="n">
        <v>36</v>
      </c>
      <c r="J202" s="24">
        <f>IF(F202="","비어 있음",IF(G202&lt;=H202,"OK",IF(G202&lt;=I202,"길이 주의","상한 초과")))</f>
        <v/>
      </c>
      <c r="K202" s="24" t="inlineStr">
        <is>
          <t>초안(10-08)</t>
        </is>
      </c>
      <c r="L202" s="24" t="n"/>
    </row>
    <row r="203">
      <c r="A203" s="24" t="inlineStr">
        <is>
          <t>PHRASE</t>
        </is>
      </c>
      <c r="B203" s="24" t="inlineStr">
        <is>
          <t>DIET-P-0254</t>
        </is>
      </c>
      <c r="C203" s="24" t="n"/>
      <c r="D203" s="24" t="inlineStr">
        <is>
          <t>1.0.0</t>
        </is>
      </c>
      <c r="E203" s="25">
        <f>INDEX(목표문구!$G$1:$G$1000,MATCH($B203,목표문구!$A$1:$A$1000,0))</f>
        <v/>
      </c>
      <c r="F203" s="31" t="inlineStr">
        <is>
          <t>Season with perilla oil</t>
        </is>
      </c>
      <c r="G203" s="24">
        <f>LEN(F203)</f>
        <v/>
      </c>
      <c r="H203" s="24" t="n">
        <v>30</v>
      </c>
      <c r="I203" s="24" t="n">
        <v>36</v>
      </c>
      <c r="J203" s="24">
        <f>IF(F203="","비어 있음",IF(G203&lt;=H203,"OK",IF(G203&lt;=I203,"길이 주의","상한 초과")))</f>
        <v/>
      </c>
      <c r="K203" s="24" t="inlineStr">
        <is>
          <t>초안(10-08)</t>
        </is>
      </c>
      <c r="L203" s="24" t="n"/>
    </row>
    <row r="204">
      <c r="A204" s="24" t="inlineStr">
        <is>
          <t>PHRASE</t>
        </is>
      </c>
      <c r="B204" s="24" t="inlineStr">
        <is>
          <t>DIET-P-0255</t>
        </is>
      </c>
      <c r="C204" s="24" t="n"/>
      <c r="D204" s="24" t="inlineStr">
        <is>
          <t>1.0.0</t>
        </is>
      </c>
      <c r="E204" s="25">
        <f>INDEX(목표문구!$G$1:$G$1000,MATCH($B204,목표문구!$A$1:$A$1000,0))</f>
        <v/>
      </c>
      <c r="F204" s="31" t="inlineStr">
        <is>
          <t>Mustard instead of mayo</t>
        </is>
      </c>
      <c r="G204" s="24">
        <f>LEN(F204)</f>
        <v/>
      </c>
      <c r="H204" s="24" t="n">
        <v>30</v>
      </c>
      <c r="I204" s="24" t="n">
        <v>36</v>
      </c>
      <c r="J204" s="24">
        <f>IF(F204="","비어 있음",IF(G204&lt;=H204,"OK",IF(G204&lt;=I204,"길이 주의","상한 초과")))</f>
        <v/>
      </c>
      <c r="K204" s="24" t="inlineStr">
        <is>
          <t>초안(10-08)</t>
        </is>
      </c>
      <c r="L204" s="24" t="n"/>
    </row>
    <row r="205">
      <c r="A205" s="24" t="inlineStr">
        <is>
          <t>PHRASE</t>
        </is>
      </c>
      <c r="B205" s="24" t="inlineStr">
        <is>
          <t>DIET-P-0256</t>
        </is>
      </c>
      <c r="C205" s="24" t="n"/>
      <c r="D205" s="24" t="inlineStr">
        <is>
          <t>1.0.0</t>
        </is>
      </c>
      <c r="E205" s="25">
        <f>INDEX(목표문구!$G$1:$G$1000,MATCH($B205,목표문구!$A$1:$A$1000,0))</f>
        <v/>
      </c>
      <c r="F205" s="31" t="inlineStr">
        <is>
          <t>Tomato, not cream sauce</t>
        </is>
      </c>
      <c r="G205" s="24">
        <f>LEN(F205)</f>
        <v/>
      </c>
      <c r="H205" s="24" t="n">
        <v>30</v>
      </c>
      <c r="I205" s="24" t="n">
        <v>36</v>
      </c>
      <c r="J205" s="24">
        <f>IF(F205="","비어 있음",IF(G205&lt;=H205,"OK",IF(G205&lt;=I205,"길이 주의","상한 초과")))</f>
        <v/>
      </c>
      <c r="K205" s="24" t="inlineStr">
        <is>
          <t>초안(10-08)</t>
        </is>
      </c>
      <c r="L205" s="24" t="n"/>
    </row>
    <row r="206">
      <c r="A206" s="24" t="inlineStr">
        <is>
          <t>PHRASE</t>
        </is>
      </c>
      <c r="B206" s="24" t="inlineStr">
        <is>
          <t>DIET-P-0257</t>
        </is>
      </c>
      <c r="C206" s="24" t="n"/>
      <c r="D206" s="24" t="inlineStr">
        <is>
          <t>1.0.0</t>
        </is>
      </c>
      <c r="E206" s="25">
        <f>INDEX(목표문구!$G$1:$G$1000,MATCH($B206,목표문구!$A$1:$A$1000,0))</f>
        <v/>
      </c>
      <c r="F206" s="31" t="inlineStr">
        <is>
          <t>Skip the chicken skin</t>
        </is>
      </c>
      <c r="G206" s="24">
        <f>LEN(F206)</f>
        <v/>
      </c>
      <c r="H206" s="24" t="n">
        <v>30</v>
      </c>
      <c r="I206" s="24" t="n">
        <v>36</v>
      </c>
      <c r="J206" s="24">
        <f>IF(F206="","비어 있음",IF(G206&lt;=H206,"OK",IF(G206&lt;=I206,"길이 주의","상한 초과")))</f>
        <v/>
      </c>
      <c r="K206" s="24" t="inlineStr">
        <is>
          <t>초안(10-08)</t>
        </is>
      </c>
      <c r="L206" s="24" t="n"/>
    </row>
    <row r="207">
      <c r="A207" s="24" t="inlineStr">
        <is>
          <t>PHRASE</t>
        </is>
      </c>
      <c r="B207" s="24" t="inlineStr">
        <is>
          <t>DIET-P-0258</t>
        </is>
      </c>
      <c r="C207" s="24" t="n"/>
      <c r="D207" s="24" t="inlineStr">
        <is>
          <t>1.0.0</t>
        </is>
      </c>
      <c r="E207" s="25">
        <f>INDEX(목표문구!$G$1:$G$1000,MATCH($B207,목표문구!$A$1:$A$1000,0))</f>
        <v/>
      </c>
      <c r="F207" s="31" t="inlineStr">
        <is>
          <t>Lean meat, not processed</t>
        </is>
      </c>
      <c r="G207" s="24">
        <f>LEN(F207)</f>
        <v/>
      </c>
      <c r="H207" s="24" t="n">
        <v>30</v>
      </c>
      <c r="I207" s="24" t="n">
        <v>36</v>
      </c>
      <c r="J207" s="24">
        <f>IF(F207="","비어 있음",IF(G207&lt;=H207,"OK",IF(G207&lt;=I207,"길이 주의","상한 초과")))</f>
        <v/>
      </c>
      <c r="K207" s="24" t="inlineStr">
        <is>
          <t>초안(10-08)</t>
        </is>
      </c>
      <c r="L207" s="24" t="n"/>
    </row>
    <row r="208">
      <c r="A208" s="24" t="inlineStr">
        <is>
          <t>PHRASE</t>
        </is>
      </c>
      <c r="B208" s="24" t="inlineStr">
        <is>
          <t>DIET-P-0259</t>
        </is>
      </c>
      <c r="C208" s="24" t="n"/>
      <c r="D208" s="24" t="inlineStr">
        <is>
          <t>1.0.0</t>
        </is>
      </c>
      <c r="E208" s="25">
        <f>INDEX(목표문구!$G$1:$G$1000,MATCH($B208,목표문구!$A$1:$A$1000,0))</f>
        <v/>
      </c>
      <c r="F208" s="31" t="inlineStr">
        <is>
          <t>Vinegar or lemon for soy sauce</t>
        </is>
      </c>
      <c r="G208" s="24">
        <f>LEN(F208)</f>
        <v/>
      </c>
      <c r="H208" s="24" t="n">
        <v>30</v>
      </c>
      <c r="I208" s="24" t="n">
        <v>36</v>
      </c>
      <c r="J208" s="24">
        <f>IF(F208="","비어 있음",IF(G208&lt;=H208,"OK",IF(G208&lt;=I208,"길이 주의","상한 초과")))</f>
        <v/>
      </c>
      <c r="K208" s="24" t="inlineStr">
        <is>
          <t>초안(10-08)</t>
        </is>
      </c>
      <c r="L208" s="24" t="n"/>
    </row>
    <row r="209">
      <c r="A209" s="24" t="inlineStr">
        <is>
          <t>PHRASE</t>
        </is>
      </c>
      <c r="B209" s="24" t="inlineStr">
        <is>
          <t>DIET-P-0260</t>
        </is>
      </c>
      <c r="C209" s="24" t="n"/>
      <c r="D209" s="24" t="inlineStr">
        <is>
          <t>1.0.0</t>
        </is>
      </c>
      <c r="E209" s="25">
        <f>INDEX(목표문구!$G$1:$G$1000,MATCH($B209,목표문구!$A$1:$A$1000,0))</f>
        <v/>
      </c>
      <c r="F209" s="31" t="inlineStr">
        <is>
          <t>Pepper and garlic, not salt</t>
        </is>
      </c>
      <c r="G209" s="24">
        <f>LEN(F209)</f>
        <v/>
      </c>
      <c r="H209" s="24" t="n">
        <v>30</v>
      </c>
      <c r="I209" s="24" t="n">
        <v>36</v>
      </c>
      <c r="J209" s="24">
        <f>IF(F209="","비어 있음",IF(G209&lt;=H209,"OK",IF(G209&lt;=I209,"길이 주의","상한 초과")))</f>
        <v/>
      </c>
      <c r="K209" s="24" t="inlineStr">
        <is>
          <t>초안(10-08)</t>
        </is>
      </c>
      <c r="L209" s="24" t="n"/>
    </row>
    <row r="210">
      <c r="A210" s="24" t="inlineStr">
        <is>
          <t>PHRASE</t>
        </is>
      </c>
      <c r="B210" s="24" t="inlineStr">
        <is>
          <t>DIET-P-0262</t>
        </is>
      </c>
      <c r="C210" s="24" t="n"/>
      <c r="D210" s="24" t="inlineStr">
        <is>
          <t>1.0.0</t>
        </is>
      </c>
      <c r="E210" s="25">
        <f>INDEX(목표문구!$G$1:$G$1000,MATCH($B210,목표문구!$A$1:$A$1000,0))</f>
        <v/>
      </c>
      <c r="F210" s="31" t="inlineStr">
        <is>
          <t>Cinnamon instead of syrup</t>
        </is>
      </c>
      <c r="G210" s="24">
        <f>LEN(F210)</f>
        <v/>
      </c>
      <c r="H210" s="24" t="n">
        <v>30</v>
      </c>
      <c r="I210" s="24" t="n">
        <v>36</v>
      </c>
      <c r="J210" s="24">
        <f>IF(F210="","비어 있음",IF(G210&lt;=H210,"OK",IF(G210&lt;=I210,"길이 주의","상한 초과")))</f>
        <v/>
      </c>
      <c r="K210" s="24" t="inlineStr">
        <is>
          <t>초안(10-08)</t>
        </is>
      </c>
      <c r="L210" s="24" t="n"/>
    </row>
    <row r="211">
      <c r="A211" s="24" t="inlineStr">
        <is>
          <t>PHRASE</t>
        </is>
      </c>
      <c r="B211" s="24" t="inlineStr">
        <is>
          <t>DIET-P-0263</t>
        </is>
      </c>
      <c r="C211" s="24" t="n"/>
      <c r="D211" s="24" t="inlineStr">
        <is>
          <t>1.0.0</t>
        </is>
      </c>
      <c r="E211" s="25">
        <f>INDEX(목표문구!$G$1:$G$1000,MATCH($B211,목표문구!$A$1:$A$1000,0))</f>
        <v/>
      </c>
      <c r="F211" s="31" t="inlineStr">
        <is>
          <t>Go light on dressing</t>
        </is>
      </c>
      <c r="G211" s="24">
        <f>LEN(F211)</f>
        <v/>
      </c>
      <c r="H211" s="24" t="n">
        <v>30</v>
      </c>
      <c r="I211" s="24" t="n">
        <v>36</v>
      </c>
      <c r="J211" s="24">
        <f>IF(F211="","비어 있음",IF(G211&lt;=H211,"OK",IF(G211&lt;=I211,"길이 주의","상한 초과")))</f>
        <v/>
      </c>
      <c r="K211" s="24" t="inlineStr">
        <is>
          <t>초안(10-08)</t>
        </is>
      </c>
      <c r="L211" s="24" t="n"/>
    </row>
    <row r="212">
      <c r="A212" s="24" t="inlineStr">
        <is>
          <t>PHRASE</t>
        </is>
      </c>
      <c r="B212" s="24" t="inlineStr">
        <is>
          <t>DIET-P-0264</t>
        </is>
      </c>
      <c r="C212" s="24" t="n"/>
      <c r="D212" s="24" t="inlineStr">
        <is>
          <t>1.0.0</t>
        </is>
      </c>
      <c r="E212" s="25">
        <f>INDEX(목표문구!$G$1:$G$1000,MATCH($B212,목표문구!$A$1:$A$1000,0))</f>
        <v/>
      </c>
      <c r="F212" s="31" t="inlineStr">
        <is>
          <t>Eat breakfast on weekends too</t>
        </is>
      </c>
      <c r="G212" s="24">
        <f>LEN(F212)</f>
        <v/>
      </c>
      <c r="H212" s="24" t="n">
        <v>30</v>
      </c>
      <c r="I212" s="24" t="n">
        <v>36</v>
      </c>
      <c r="J212" s="24">
        <f>IF(F212="","비어 있음",IF(G212&lt;=H212,"OK",IF(G212&lt;=I212,"길이 주의","상한 초과")))</f>
        <v/>
      </c>
      <c r="K212" s="24" t="inlineStr">
        <is>
          <t>초안(10-08)</t>
        </is>
      </c>
      <c r="L212" s="24" t="n"/>
    </row>
    <row r="213">
      <c r="A213" s="24" t="inlineStr">
        <is>
          <t>PHRASE</t>
        </is>
      </c>
      <c r="B213" s="24" t="inlineStr">
        <is>
          <t>DIET-P-0265</t>
        </is>
      </c>
      <c r="C213" s="24" t="n"/>
      <c r="D213" s="24" t="inlineStr">
        <is>
          <t>1.0.0</t>
        </is>
      </c>
      <c r="E213" s="25">
        <f>INDEX(목표문구!$G$1:$G$1000,MATCH($B213,목표문구!$A$1:$A$1000,0))</f>
        <v/>
      </c>
      <c r="F213" s="31" t="inlineStr">
        <is>
          <t>Dinner right after work</t>
        </is>
      </c>
      <c r="G213" s="24">
        <f>LEN(F213)</f>
        <v/>
      </c>
      <c r="H213" s="24" t="n">
        <v>30</v>
      </c>
      <c r="I213" s="24" t="n">
        <v>36</v>
      </c>
      <c r="J213" s="24">
        <f>IF(F213="","비어 있음",IF(G213&lt;=H213,"OK",IF(G213&lt;=I213,"길이 주의","상한 초과")))</f>
        <v/>
      </c>
      <c r="K213" s="24" t="inlineStr">
        <is>
          <t>초안(10-08)</t>
        </is>
      </c>
      <c r="L213" s="24" t="n"/>
    </row>
    <row r="214">
      <c r="A214" s="24" t="inlineStr">
        <is>
          <t>PHRASE</t>
        </is>
      </c>
      <c r="B214" s="24" t="inlineStr">
        <is>
          <t>DIET-P-0266</t>
        </is>
      </c>
      <c r="C214" s="24" t="n"/>
      <c r="D214" s="24" t="inlineStr">
        <is>
          <t>1.0.0</t>
        </is>
      </c>
      <c r="E214" s="25">
        <f>INDEX(목표문구!$G$1:$G$1000,MATCH($B214,목표문구!$A$1:$A$1000,0))</f>
        <v/>
      </c>
      <c r="F214" s="31" t="inlineStr">
        <is>
          <t>Keep late meals light</t>
        </is>
      </c>
      <c r="G214" s="24">
        <f>LEN(F214)</f>
        <v/>
      </c>
      <c r="H214" s="24" t="n">
        <v>30</v>
      </c>
      <c r="I214" s="24" t="n">
        <v>36</v>
      </c>
      <c r="J214" s="24">
        <f>IF(F214="","비어 있음",IF(G214&lt;=H214,"OK",IF(G214&lt;=I214,"길이 주의","상한 초과")))</f>
        <v/>
      </c>
      <c r="K214" s="24" t="inlineStr">
        <is>
          <t>초안(10-08)</t>
        </is>
      </c>
      <c r="L214" s="24" t="n"/>
    </row>
    <row r="215">
      <c r="A215" s="24" t="inlineStr">
        <is>
          <t>PHRASE</t>
        </is>
      </c>
      <c r="B215" s="24" t="inlineStr">
        <is>
          <t>DIET-P-0267</t>
        </is>
      </c>
      <c r="C215" s="24" t="n"/>
      <c r="D215" s="24" t="inlineStr">
        <is>
          <t>1.0.0</t>
        </is>
      </c>
      <c r="E215" s="25">
        <f>INDEX(목표문구!$G$1:$G$1000,MATCH($B215,목표문구!$A$1:$A$1000,0))</f>
        <v/>
      </c>
      <c r="F215" s="31" t="inlineStr">
        <is>
          <t>One seafood meal</t>
        </is>
      </c>
      <c r="G215" s="24">
        <f>LEN(F215)</f>
        <v/>
      </c>
      <c r="H215" s="24" t="n">
        <v>30</v>
      </c>
      <c r="I215" s="24" t="n">
        <v>36</v>
      </c>
      <c r="J215" s="24">
        <f>IF(F215="","비어 있음",IF(G215&lt;=H215,"OK",IF(G215&lt;=I215,"길이 주의","상한 초과")))</f>
        <v/>
      </c>
      <c r="K215" s="24" t="inlineStr">
        <is>
          <t>초안(10-19)</t>
        </is>
      </c>
      <c r="L215" s="24" t="n"/>
    </row>
    <row r="216">
      <c r="A216" s="24" t="inlineStr">
        <is>
          <t>PHRASE</t>
        </is>
      </c>
      <c r="B216" s="24" t="inlineStr">
        <is>
          <t>DIET-P-0268</t>
        </is>
      </c>
      <c r="C216" s="24" t="n"/>
      <c r="D216" s="24" t="inlineStr">
        <is>
          <t>1.0.0</t>
        </is>
      </c>
      <c r="E216" s="25">
        <f>INDEX(목표문구!$G$1:$G$1000,MATCH($B216,목표문구!$A$1:$A$1000,0))</f>
        <v/>
      </c>
      <c r="F216" s="31" t="inlineStr">
        <is>
          <t>Grill your fish</t>
        </is>
      </c>
      <c r="G216" s="24">
        <f>LEN(F216)</f>
        <v/>
      </c>
      <c r="H216" s="24" t="n">
        <v>30</v>
      </c>
      <c r="I216" s="24" t="n">
        <v>36</v>
      </c>
      <c r="J216" s="24">
        <f>IF(F216="","비어 있음",IF(G216&lt;=H216,"OK",IF(G216&lt;=I216,"길이 주의","상한 초과")))</f>
        <v/>
      </c>
      <c r="K216" s="24" t="inlineStr">
        <is>
          <t>초안(10-08)</t>
        </is>
      </c>
      <c r="L216" s="24" t="n"/>
    </row>
    <row r="217">
      <c r="A217" s="24" t="inlineStr">
        <is>
          <t>PHRASE</t>
        </is>
      </c>
      <c r="B217" s="24" t="inlineStr">
        <is>
          <t>DIET-P-0269</t>
        </is>
      </c>
      <c r="C217" s="24" t="n"/>
      <c r="D217" s="24" t="inlineStr">
        <is>
          <t>1.0.0</t>
        </is>
      </c>
      <c r="E217" s="25">
        <f>INDEX(목표문구!$G$1:$G$1000,MATCH($B217,목표문구!$A$1:$A$1000,0))</f>
        <v/>
      </c>
      <c r="F217" s="31" t="inlineStr">
        <is>
          <t>Have a light bite if peckish</t>
        </is>
      </c>
      <c r="G217" s="24">
        <f>LEN(F217)</f>
        <v/>
      </c>
      <c r="H217" s="24" t="n">
        <v>30</v>
      </c>
      <c r="I217" s="24" t="n">
        <v>36</v>
      </c>
      <c r="J217" s="24">
        <f>IF(F217="","비어 있음",IF(G217&lt;=H217,"OK",IF(G217&lt;=I217,"길이 주의","상한 초과")))</f>
        <v/>
      </c>
      <c r="K217" s="24" t="inlineStr">
        <is>
          <t>초안(10-08)</t>
        </is>
      </c>
      <c r="L217" s="24" t="n"/>
    </row>
    <row r="218">
      <c r="A218" s="24" t="inlineStr">
        <is>
          <t>PHRASE</t>
        </is>
      </c>
      <c r="B218" s="24" t="inlineStr">
        <is>
          <t>DIET-P-0270</t>
        </is>
      </c>
      <c r="C218" s="24" t="n"/>
      <c r="D218" s="24" t="inlineStr">
        <is>
          <t>1.0.0</t>
        </is>
      </c>
      <c r="E218" s="25">
        <f>INDEX(목표문구!$G$1:$G$1000,MATCH($B218,목표문구!$A$1:$A$1000,0))</f>
        <v/>
      </c>
      <c r="F218" s="31" t="inlineStr">
        <is>
          <t>A warm cup of milk or soy milk</t>
        </is>
      </c>
      <c r="G218" s="24">
        <f>LEN(F218)</f>
        <v/>
      </c>
      <c r="H218" s="24" t="n">
        <v>30</v>
      </c>
      <c r="I218" s="24" t="n">
        <v>36</v>
      </c>
      <c r="J218" s="24">
        <f>IF(F218="","비어 있음",IF(G218&lt;=H218,"OK",IF(G218&lt;=I218,"길이 주의","상한 초과")))</f>
        <v/>
      </c>
      <c r="K218" s="24" t="inlineStr">
        <is>
          <t>초안(10-08)</t>
        </is>
      </c>
      <c r="L218" s="24" t="n"/>
    </row>
    <row r="219">
      <c r="A219" s="24" t="inlineStr">
        <is>
          <t>PHRASE</t>
        </is>
      </c>
      <c r="B219" s="24" t="inlineStr">
        <is>
          <t>DIET-P-0271</t>
        </is>
      </c>
      <c r="C219" s="24" t="n"/>
      <c r="D219" s="24" t="inlineStr">
        <is>
          <t>1.0.0</t>
        </is>
      </c>
      <c r="E219" s="25">
        <f>INDEX(목표문구!$G$1:$G$1000,MATCH($B219,목표문구!$A$1:$A$1000,0))</f>
        <v/>
      </c>
      <c r="F219" s="31" t="inlineStr">
        <is>
          <t>Prep tomorrow's breakfast</t>
        </is>
      </c>
      <c r="G219" s="24">
        <f>LEN(F219)</f>
        <v/>
      </c>
      <c r="H219" s="24" t="n">
        <v>30</v>
      </c>
      <c r="I219" s="24" t="n">
        <v>36</v>
      </c>
      <c r="J219" s="24">
        <f>IF(F219="","비어 있음",IF(G219&lt;=H219,"OK",IF(G219&lt;=I219,"길이 주의","상한 초과")))</f>
        <v/>
      </c>
      <c r="K219" s="24" t="inlineStr">
        <is>
          <t>초안(10-08)</t>
        </is>
      </c>
      <c r="L219" s="24" t="n"/>
    </row>
    <row r="220">
      <c r="A220" s="24" t="inlineStr">
        <is>
          <t>PHRASE</t>
        </is>
      </c>
      <c r="B220" s="24" t="inlineStr">
        <is>
          <t>DIET-P-0272</t>
        </is>
      </c>
      <c r="C220" s="24" t="n"/>
      <c r="D220" s="24" t="inlineStr">
        <is>
          <t>1.0.0</t>
        </is>
      </c>
      <c r="E220" s="25">
        <f>INDEX(목표문구!$G$1:$G$1000,MATCH($B220,목표문구!$A$1:$A$1000,0))</f>
        <v/>
      </c>
      <c r="F220" s="31" t="inlineStr">
        <is>
          <t>Note days you lack appetite</t>
        </is>
      </c>
      <c r="G220" s="24">
        <f>LEN(F220)</f>
        <v/>
      </c>
      <c r="H220" s="24" t="n">
        <v>30</v>
      </c>
      <c r="I220" s="24" t="n">
        <v>36</v>
      </c>
      <c r="J220" s="24">
        <f>IF(F220="","비어 있음",IF(G220&lt;=H220,"OK",IF(G220&lt;=I220,"길이 주의","상한 초과")))</f>
        <v/>
      </c>
      <c r="K220" s="24" t="inlineStr">
        <is>
          <t>초안(10-08)</t>
        </is>
      </c>
      <c r="L220" s="24" t="n"/>
    </row>
    <row r="221">
      <c r="A221" s="24" t="inlineStr">
        <is>
          <t>PHRASE</t>
        </is>
      </c>
      <c r="B221" s="24" t="inlineStr">
        <is>
          <t>DIET-P-0273</t>
        </is>
      </c>
      <c r="C221" s="24" t="n"/>
      <c r="D221" s="24" t="inlineStr">
        <is>
          <t>1.0.0</t>
        </is>
      </c>
      <c r="E221" s="25">
        <f>INDEX(목표문구!$G$1:$G$1000,MATCH($B221,목표문구!$A$1:$A$1000,0))</f>
        <v/>
      </c>
      <c r="F221" s="31" t="inlineStr">
        <is>
          <t>Set regular mealtimes</t>
        </is>
      </c>
      <c r="G221" s="24">
        <f>LEN(F221)</f>
        <v/>
      </c>
      <c r="H221" s="24" t="n">
        <v>30</v>
      </c>
      <c r="I221" s="24" t="n">
        <v>36</v>
      </c>
      <c r="J221" s="24">
        <f>IF(F221="","비어 있음",IF(G221&lt;=H221,"OK",IF(G221&lt;=I221,"길이 주의","상한 초과")))</f>
        <v/>
      </c>
      <c r="K221" s="24" t="inlineStr">
        <is>
          <t>초안(10-08)</t>
        </is>
      </c>
      <c r="L221" s="24" t="n"/>
    </row>
    <row r="222">
      <c r="A222" s="24" t="inlineStr">
        <is>
          <t>PHRASE</t>
        </is>
      </c>
      <c r="B222" s="24" t="inlineStr">
        <is>
          <t>DIET-P-0274</t>
        </is>
      </c>
      <c r="C222" s="24" t="n"/>
      <c r="D222" s="24" t="inlineStr">
        <is>
          <t>1.0.0</t>
        </is>
      </c>
      <c r="E222" s="25">
        <f>INDEX(목표문구!$G$1:$G$1000,MATCH($B222,목표문구!$A$1:$A$1000,0))</f>
        <v/>
      </c>
      <c r="F222" s="25" t="inlineStr">
        <is>
          <t>Pick tomorrow's breakfast menu</t>
        </is>
      </c>
      <c r="G222" s="24">
        <f>LEN(F222)</f>
        <v/>
      </c>
      <c r="H222" s="24" t="n">
        <v>30</v>
      </c>
      <c r="I222" s="24" t="n">
        <v>36</v>
      </c>
      <c r="J222" s="24">
        <f>IF(F222="","비어 있음",IF(G222&lt;=H222,"OK",IF(G222&lt;=I222,"길이 주의","상한 초과")))</f>
        <v/>
      </c>
      <c r="K222" s="24" t="inlineStr">
        <is>
          <t>초안(10-13) · 외주 검수 예정</t>
        </is>
      </c>
      <c r="L222" s="24" t="n"/>
    </row>
    <row r="223">
      <c r="A223" s="24" t="inlineStr">
        <is>
          <t>PHRASE</t>
        </is>
      </c>
      <c r="B223" s="24" t="inlineStr">
        <is>
          <t>DIET-P-0275</t>
        </is>
      </c>
      <c r="C223" s="24" t="n"/>
      <c r="D223" s="24" t="inlineStr">
        <is>
          <t>1.0.0</t>
        </is>
      </c>
      <c r="E223" s="25">
        <f>INDEX(목표문구!$G$1:$G$1000,MATCH($B223,목표문구!$A$1:$A$1000,0))</f>
        <v/>
      </c>
      <c r="F223" s="25" t="inlineStr">
        <is>
          <t>Write down your lunch time</t>
        </is>
      </c>
      <c r="G223" s="24">
        <f>LEN(F223)</f>
        <v/>
      </c>
      <c r="H223" s="24" t="n">
        <v>30</v>
      </c>
      <c r="I223" s="24" t="n">
        <v>36</v>
      </c>
      <c r="J223" s="24">
        <f>IF(F223="","비어 있음",IF(G223&lt;=H223,"OK",IF(G223&lt;=I223,"길이 주의","상한 초과")))</f>
        <v/>
      </c>
      <c r="K223" s="24" t="inlineStr">
        <is>
          <t>초안(10-13) · 외주 검수 예정</t>
        </is>
      </c>
      <c r="L223" s="24" t="n"/>
    </row>
    <row r="224">
      <c r="A224" s="24" t="inlineStr">
        <is>
          <t>PHRASE</t>
        </is>
      </c>
      <c r="B224" s="24" t="inlineStr">
        <is>
          <t>DIET-P-0276</t>
        </is>
      </c>
      <c r="C224" s="24" t="n"/>
      <c r="D224" s="24" t="inlineStr">
        <is>
          <t>1.0.0</t>
        </is>
      </c>
      <c r="E224" s="25">
        <f>INDEX(목표문구!$G$1:$G$1000,MATCH($B224,목표문구!$A$1:$A$1000,0))</f>
        <v/>
      </c>
      <c r="F224" s="25" t="inlineStr">
        <is>
          <t>Set out veggies for tomorrow</t>
        </is>
      </c>
      <c r="G224" s="24">
        <f>LEN(F224)</f>
        <v/>
      </c>
      <c r="H224" s="24" t="n">
        <v>30</v>
      </c>
      <c r="I224" s="24" t="n">
        <v>36</v>
      </c>
      <c r="J224" s="24">
        <f>IF(F224="","비어 있음",IF(G224&lt;=H224,"OK",IF(G224&lt;=I224,"길이 주의","상한 초과")))</f>
        <v/>
      </c>
      <c r="K224" s="24" t="inlineStr">
        <is>
          <t>초안(10-13) · 외주 검수 예정</t>
        </is>
      </c>
      <c r="L224" s="24" t="n"/>
    </row>
    <row r="225">
      <c r="A225" s="24" t="inlineStr">
        <is>
          <t>PHRASE</t>
        </is>
      </c>
      <c r="B225" s="24" t="inlineStr">
        <is>
          <t>DIET-P-0277</t>
        </is>
      </c>
      <c r="C225" s="24" t="n"/>
      <c r="D225" s="24" t="inlineStr">
        <is>
          <t>1.0.0</t>
        </is>
      </c>
      <c r="E225" s="25">
        <f>INDEX(목표문구!$G$1:$G$1000,MATCH($B225,목표문구!$A$1:$A$1000,0))</f>
        <v/>
      </c>
      <c r="F225" s="25" t="inlineStr">
        <is>
          <t>Make a veggie side ahead</t>
        </is>
      </c>
      <c r="G225" s="24">
        <f>LEN(F225)</f>
        <v/>
      </c>
      <c r="H225" s="24" t="n">
        <v>30</v>
      </c>
      <c r="I225" s="24" t="n">
        <v>36</v>
      </c>
      <c r="J225" s="24">
        <f>IF(F225="","비어 있음",IF(G225&lt;=H225,"OK",IF(G225&lt;=I225,"길이 주의","상한 초과")))</f>
        <v/>
      </c>
      <c r="K225" s="24" t="inlineStr">
        <is>
          <t>초안(10-13) · 외주 검수 예정</t>
        </is>
      </c>
      <c r="L225" s="24" t="n"/>
    </row>
    <row r="226">
      <c r="A226" s="24" t="inlineStr">
        <is>
          <t>PHRASE</t>
        </is>
      </c>
      <c r="B226" s="24" t="inlineStr">
        <is>
          <t>DIET-P-0278</t>
        </is>
      </c>
      <c r="C226" s="24" t="n"/>
      <c r="D226" s="24" t="inlineStr">
        <is>
          <t>1.0.0</t>
        </is>
      </c>
      <c r="E226" s="25">
        <f>INDEX(목표문구!$G$1:$G$1000,MATCH($B226,목표문구!$A$1:$A$1000,0))</f>
        <v/>
      </c>
      <c r="F226" s="25" t="inlineStr">
        <is>
          <t>Two veggie sides at lunch</t>
        </is>
      </c>
      <c r="G226" s="24">
        <f>LEN(F226)</f>
        <v/>
      </c>
      <c r="H226" s="24" t="n">
        <v>30</v>
      </c>
      <c r="I226" s="24" t="n">
        <v>36</v>
      </c>
      <c r="J226" s="24">
        <f>IF(F226="","비어 있음",IF(G226&lt;=H226,"OK",IF(G226&lt;=I226,"길이 주의","상한 초과")))</f>
        <v/>
      </c>
      <c r="K226" s="24" t="inlineStr">
        <is>
          <t>초안(10-13) · 외주 검수 예정</t>
        </is>
      </c>
      <c r="L226" s="24" t="n"/>
    </row>
    <row r="227">
      <c r="A227" s="24" t="inlineStr">
        <is>
          <t>PHRASE</t>
        </is>
      </c>
      <c r="B227" s="24" t="inlineStr">
        <is>
          <t>DIET-P-0279</t>
        </is>
      </c>
      <c r="C227" s="24" t="n"/>
      <c r="D227" s="24" t="inlineStr">
        <is>
          <t>1.0.0</t>
        </is>
      </c>
      <c r="E227" s="25">
        <f>INDEX(목표문구!$G$1:$G$1000,MATCH($B227,목표문구!$A$1:$A$1000,0))</f>
        <v/>
      </c>
      <c r="F227" s="25" t="inlineStr">
        <is>
          <t>Put sweet snacks away</t>
        </is>
      </c>
      <c r="G227" s="24">
        <f>LEN(F227)</f>
        <v/>
      </c>
      <c r="H227" s="24" t="n">
        <v>30</v>
      </c>
      <c r="I227" s="24" t="n">
        <v>36</v>
      </c>
      <c r="J227" s="24">
        <f>IF(F227="","비어 있음",IF(G227&lt;=H227,"OK",IF(G227&lt;=I227,"길이 주의","상한 초과")))</f>
        <v/>
      </c>
      <c r="K227" s="24" t="inlineStr">
        <is>
          <t>초안(10-13) · 외주 검수 예정</t>
        </is>
      </c>
      <c r="L227" s="24" t="n"/>
    </row>
    <row r="228">
      <c r="A228" s="24" t="inlineStr">
        <is>
          <t>PHRASE</t>
        </is>
      </c>
      <c r="B228" s="24" t="inlineStr">
        <is>
          <t>DIET-P-0280</t>
        </is>
      </c>
      <c r="C228" s="24" t="n"/>
      <c r="D228" s="24" t="inlineStr">
        <is>
          <t>1.0.0</t>
        </is>
      </c>
      <c r="E228" s="25">
        <f>INDEX(목표문구!$G$1:$G$1000,MATCH($B228,목표문구!$A$1:$A$1000,0))</f>
        <v/>
      </c>
      <c r="F228" s="25" t="inlineStr">
        <is>
          <t>Look back on today's drinks</t>
        </is>
      </c>
      <c r="G228" s="24">
        <f>LEN(F228)</f>
        <v/>
      </c>
      <c r="H228" s="24" t="n">
        <v>30</v>
      </c>
      <c r="I228" s="24" t="n">
        <v>36</v>
      </c>
      <c r="J228" s="24">
        <f>IF(F228="","비어 있음",IF(G228&lt;=H228,"OK",IF(G228&lt;=I228,"길이 주의","상한 초과")))</f>
        <v/>
      </c>
      <c r="K228" s="24" t="inlineStr">
        <is>
          <t>초안(10-13) · 외주 검수 예정</t>
        </is>
      </c>
      <c r="L228" s="24" t="n"/>
    </row>
    <row r="229">
      <c r="A229" s="24" t="inlineStr">
        <is>
          <t>PHRASE</t>
        </is>
      </c>
      <c r="B229" s="24" t="inlineStr">
        <is>
          <t>DIET-P-0281</t>
        </is>
      </c>
      <c r="C229" s="24" t="n"/>
      <c r="D229" s="24" t="inlineStr">
        <is>
          <t>1.0.0</t>
        </is>
      </c>
      <c r="E229" s="25">
        <f>INDEX(목표문구!$G$1:$G$1000,MATCH($B229,목표문구!$A$1:$A$1000,0))</f>
        <v/>
      </c>
      <c r="F229" s="25" t="inlineStr">
        <is>
          <t>Use a smaller soup bowl</t>
        </is>
      </c>
      <c r="G229" s="24">
        <f>LEN(F229)</f>
        <v/>
      </c>
      <c r="H229" s="24" t="n">
        <v>30</v>
      </c>
      <c r="I229" s="24" t="n">
        <v>36</v>
      </c>
      <c r="J229" s="24">
        <f>IF(F229="","비어 있음",IF(G229&lt;=H229,"OK",IF(G229&lt;=I229,"길이 주의","상한 초과")))</f>
        <v/>
      </c>
      <c r="K229" s="24" t="inlineStr">
        <is>
          <t>초안(10-13) · 외주 검수 예정</t>
        </is>
      </c>
      <c r="L229" s="24" t="n"/>
    </row>
    <row r="230">
      <c r="A230" s="24" t="inlineStr">
        <is>
          <t>PHRASE</t>
        </is>
      </c>
      <c r="B230" s="24" t="inlineStr">
        <is>
          <t>DIET-P-0282</t>
        </is>
      </c>
      <c r="C230" s="24" t="n"/>
      <c r="D230" s="24" t="inlineStr">
        <is>
          <t>1.0.0</t>
        </is>
      </c>
      <c r="E230" s="25">
        <f>INDEX(목표문구!$G$1:$G$1000,MATCH($B230,목표문구!$A$1:$A$1000,0))</f>
        <v/>
      </c>
      <c r="F230" s="25" t="inlineStr">
        <is>
          <t>List low-sodium products</t>
        </is>
      </c>
      <c r="G230" s="24">
        <f>LEN(F230)</f>
        <v/>
      </c>
      <c r="H230" s="24" t="n">
        <v>30</v>
      </c>
      <c r="I230" s="24" t="n">
        <v>36</v>
      </c>
      <c r="J230" s="24">
        <f>IF(F230="","비어 있음",IF(G230&lt;=H230,"OK",IF(G230&lt;=I230,"길이 주의","상한 초과")))</f>
        <v/>
      </c>
      <c r="K230" s="24" t="inlineStr">
        <is>
          <t>초안(10-13) · 외주 검수 예정</t>
        </is>
      </c>
      <c r="L230" s="24" t="n"/>
    </row>
    <row r="231">
      <c r="A231" s="24" t="inlineStr">
        <is>
          <t>PHRASE</t>
        </is>
      </c>
      <c r="B231" s="24" t="inlineStr">
        <is>
          <t>DIET-P-0283</t>
        </is>
      </c>
      <c r="C231" s="24" t="n"/>
      <c r="D231" s="24" t="inlineStr">
        <is>
          <t>1.0.0</t>
        </is>
      </c>
      <c r="E231" s="25">
        <f>INDEX(목표문구!$G$1:$G$1000,MATCH($B231,목표문구!$A$1:$A$1000,0))</f>
        <v/>
      </c>
      <c r="F231" s="25" t="inlineStr">
        <is>
          <t>Set tomorrow's dinner time</t>
        </is>
      </c>
      <c r="G231" s="24">
        <f>LEN(F231)</f>
        <v/>
      </c>
      <c r="H231" s="24" t="n">
        <v>30</v>
      </c>
      <c r="I231" s="24" t="n">
        <v>36</v>
      </c>
      <c r="J231" s="24">
        <f>IF(F231="","비어 있음",IF(G231&lt;=H231,"OK",IF(G231&lt;=I231,"길이 주의","상한 초과")))</f>
        <v/>
      </c>
      <c r="K231" s="24" t="inlineStr">
        <is>
          <t>초안(10-13) · 외주 검수 예정</t>
        </is>
      </c>
      <c r="L231" s="24" t="n"/>
    </row>
    <row r="232">
      <c r="A232" s="24" t="inlineStr">
        <is>
          <t>PHRASE</t>
        </is>
      </c>
      <c r="B232" s="24" t="inlineStr">
        <is>
          <t>DIET-P-0284</t>
        </is>
      </c>
      <c r="C232" s="24" t="n"/>
      <c r="D232" s="24" t="inlineStr">
        <is>
          <t>1.0.0</t>
        </is>
      </c>
      <c r="E232" s="25">
        <f>INDEX(목표문구!$G$1:$G$1000,MATCH($B232,목표문구!$A$1:$A$1000,0))</f>
        <v/>
      </c>
      <c r="F232" s="25" t="inlineStr">
        <is>
          <t>Close the kitchen after 9 pm</t>
        </is>
      </c>
      <c r="G232" s="24">
        <f>LEN(F232)</f>
        <v/>
      </c>
      <c r="H232" s="24" t="n">
        <v>30</v>
      </c>
      <c r="I232" s="24" t="n">
        <v>36</v>
      </c>
      <c r="J232" s="24">
        <f>IF(F232="","비어 있음",IF(G232&lt;=H232,"OK",IF(G232&lt;=I232,"길이 주의","상한 초과")))</f>
        <v/>
      </c>
      <c r="K232" s="24" t="inlineStr">
        <is>
          <t>초안(10-13) · 외주 검수 예정</t>
        </is>
      </c>
      <c r="L232" s="24" t="n"/>
    </row>
    <row r="233">
      <c r="A233" s="24" t="inlineStr">
        <is>
          <t>PHRASE</t>
        </is>
      </c>
      <c r="B233" s="24" t="inlineStr">
        <is>
          <t>DIET-P-0285</t>
        </is>
      </c>
      <c r="C233" s="24" t="n"/>
      <c r="D233" s="24" t="inlineStr">
        <is>
          <t>1.0.0</t>
        </is>
      </c>
      <c r="E233" s="25">
        <f>INDEX(목표문구!$G$1:$G$1000,MATCH($B233,목표문구!$A$1:$A$1000,0))</f>
        <v/>
      </c>
      <c r="F233" s="25" t="inlineStr">
        <is>
          <t>Reflect on how fast you ate</t>
        </is>
      </c>
      <c r="G233" s="24">
        <f>LEN(F233)</f>
        <v/>
      </c>
      <c r="H233" s="24" t="n">
        <v>30</v>
      </c>
      <c r="I233" s="24" t="n">
        <v>36</v>
      </c>
      <c r="J233" s="24">
        <f>IF(F233="","비어 있음",IF(G233&lt;=H233,"OK",IF(G233&lt;=I233,"길이 주의","상한 초과")))</f>
        <v/>
      </c>
      <c r="K233" s="24" t="inlineStr">
        <is>
          <t>초안(10-13) · 외주 검수 예정</t>
        </is>
      </c>
      <c r="L233" s="24" t="n"/>
    </row>
    <row r="234">
      <c r="A234" s="24" t="inlineStr">
        <is>
          <t>PHRASE</t>
        </is>
      </c>
      <c r="B234" s="24" t="inlineStr">
        <is>
          <t>DIET-P-0286</t>
        </is>
      </c>
      <c r="C234" s="24" t="n"/>
      <c r="D234" s="24" t="inlineStr">
        <is>
          <t>1.0.0</t>
        </is>
      </c>
      <c r="E234" s="25">
        <f>INDEX(목표문구!$G$1:$G$1000,MATCH($B234,목표문구!$A$1:$A$1000,0))</f>
        <v/>
      </c>
      <c r="F234" s="25" t="inlineStr">
        <is>
          <t>Set out a smaller plate</t>
        </is>
      </c>
      <c r="G234" s="24">
        <f>LEN(F234)</f>
        <v/>
      </c>
      <c r="H234" s="24" t="n">
        <v>30</v>
      </c>
      <c r="I234" s="24" t="n">
        <v>36</v>
      </c>
      <c r="J234" s="24">
        <f>IF(F234="","비어 있음",IF(G234&lt;=H234,"OK",IF(G234&lt;=I234,"길이 주의","상한 초과")))</f>
        <v/>
      </c>
      <c r="K234" s="24" t="inlineStr">
        <is>
          <t>초안(10-13) · 외주 검수 예정</t>
        </is>
      </c>
      <c r="L234" s="24" t="n"/>
    </row>
    <row r="235">
      <c r="A235" s="24" t="inlineStr">
        <is>
          <t>PHRASE</t>
        </is>
      </c>
      <c r="B235" s="24" t="inlineStr">
        <is>
          <t>DIET-P-0287</t>
        </is>
      </c>
      <c r="C235" s="24" t="n"/>
      <c r="D235" s="24" t="inlineStr">
        <is>
          <t>1.0.0</t>
        </is>
      </c>
      <c r="E235" s="25">
        <f>INDEX(목표문구!$G$1:$G$1000,MATCH($B235,목표문구!$A$1:$A$1000,0))</f>
        <v/>
      </c>
      <c r="F235" s="25" t="inlineStr">
        <is>
          <t>A tofu side tomorrow</t>
        </is>
      </c>
      <c r="G235" s="24">
        <f>LEN(F235)</f>
        <v/>
      </c>
      <c r="H235" s="24" t="n">
        <v>30</v>
      </c>
      <c r="I235" s="24" t="n">
        <v>36</v>
      </c>
      <c r="J235" s="24">
        <f>IF(F235="","비어 있음",IF(G235&lt;=H235,"OK",IF(G235&lt;=I235,"길이 주의","상한 초과")))</f>
        <v/>
      </c>
      <c r="K235" s="24" t="inlineStr">
        <is>
          <t>초안(10-19)</t>
        </is>
      </c>
      <c r="L235" s="24" t="n"/>
    </row>
    <row r="236">
      <c r="A236" s="24" t="inlineStr">
        <is>
          <t>PHRASE</t>
        </is>
      </c>
      <c r="B236" s="24" t="inlineStr">
        <is>
          <t>DIET-P-0288</t>
        </is>
      </c>
      <c r="C236" s="24" t="n"/>
      <c r="D236" s="24" t="inlineStr">
        <is>
          <t>1.0.0</t>
        </is>
      </c>
      <c r="E236" s="25">
        <f>INDEX(목표문구!$G$1:$G$1000,MATCH($B236,목표문구!$A$1:$A$1000,0))</f>
        <v/>
      </c>
      <c r="F236" s="25" t="inlineStr">
        <is>
          <t>Buy a tray of eggs</t>
        </is>
      </c>
      <c r="G236" s="24">
        <f>LEN(F236)</f>
        <v/>
      </c>
      <c r="H236" s="24" t="n">
        <v>30</v>
      </c>
      <c r="I236" s="24" t="n">
        <v>36</v>
      </c>
      <c r="J236" s="24">
        <f>IF(F236="","비어 있음",IF(G236&lt;=H236,"OK",IF(G236&lt;=I236,"길이 주의","상한 초과")))</f>
        <v/>
      </c>
      <c r="K236" s="24" t="inlineStr">
        <is>
          <t>초안(10-13) · 외주 검수 예정</t>
        </is>
      </c>
      <c r="L236" s="24" t="n"/>
    </row>
    <row r="237">
      <c r="A237" s="24" t="inlineStr">
        <is>
          <t>PHRASE</t>
        </is>
      </c>
      <c r="B237" s="24" t="inlineStr">
        <is>
          <t>DIET-P-0289</t>
        </is>
      </c>
      <c r="C237" s="24" t="n"/>
      <c r="D237" s="24" t="inlineStr">
        <is>
          <t>1.0.0</t>
        </is>
      </c>
      <c r="E237" s="25">
        <f>INDEX(목표문구!$G$1:$G$1000,MATCH($B237,목표문구!$A$1:$A$1000,0))</f>
        <v/>
      </c>
      <c r="F237" s="25" t="inlineStr">
        <is>
          <t>Grilled fish tomorrow</t>
        </is>
      </c>
      <c r="G237" s="24">
        <f>LEN(F237)</f>
        <v/>
      </c>
      <c r="H237" s="24" t="n">
        <v>30</v>
      </c>
      <c r="I237" s="24" t="n">
        <v>36</v>
      </c>
      <c r="J237" s="24">
        <f>IF(F237="","비어 있음",IF(G237&lt;=H237,"OK",IF(G237&lt;=I237,"길이 주의","상한 초과")))</f>
        <v/>
      </c>
      <c r="K237" s="24" t="inlineStr">
        <is>
          <t>초안(10-19)</t>
        </is>
      </c>
      <c r="L237" s="24" t="n"/>
    </row>
    <row r="238">
      <c r="A238" s="24" t="inlineStr">
        <is>
          <t>PHRASE</t>
        </is>
      </c>
      <c r="B238" s="24" t="inlineStr">
        <is>
          <t>DIET-P-0290</t>
        </is>
      </c>
      <c r="C238" s="24" t="n"/>
      <c r="D238" s="24" t="inlineStr">
        <is>
          <t>1.0.0</t>
        </is>
      </c>
      <c r="E238" s="25">
        <f>INDEX(목표문구!$G$1:$G$1000,MATCH($B238,목표문구!$A$1:$A$1000,0))</f>
        <v/>
      </c>
      <c r="F238" s="25" t="inlineStr">
        <is>
          <t>Steamed eggs instead of fried</t>
        </is>
      </c>
      <c r="G238" s="24">
        <f>LEN(F238)</f>
        <v/>
      </c>
      <c r="H238" s="24" t="n">
        <v>30</v>
      </c>
      <c r="I238" s="24" t="n">
        <v>36</v>
      </c>
      <c r="J238" s="24">
        <f>IF(F238="","비어 있음",IF(G238&lt;=H238,"OK",IF(G238&lt;=I238,"길이 주의","상한 초과")))</f>
        <v/>
      </c>
      <c r="K238" s="24" t="inlineStr">
        <is>
          <t>초안(10-13) · 외주 검수 예정</t>
        </is>
      </c>
      <c r="L238" s="24" t="n"/>
    </row>
    <row r="239">
      <c r="A239" s="24" t="inlineStr">
        <is>
          <t>PHRASE</t>
        </is>
      </c>
      <c r="B239" s="24" t="inlineStr">
        <is>
          <t>DIET-P-0291</t>
        </is>
      </c>
      <c r="C239" s="24" t="n"/>
      <c r="D239" s="24" t="inlineStr">
        <is>
          <t>1.0.0</t>
        </is>
      </c>
      <c r="E239" s="25">
        <f>INDEX(목표문구!$G$1:$G$1000,MATCH($B239,목표문구!$A$1:$A$1000,0))</f>
        <v/>
      </c>
      <c r="F239" s="25" t="inlineStr">
        <is>
          <t>Note the meals you ate</t>
        </is>
      </c>
      <c r="G239" s="24">
        <f>LEN(F239)</f>
        <v/>
      </c>
      <c r="H239" s="24" t="n">
        <v>30</v>
      </c>
      <c r="I239" s="24" t="n">
        <v>36</v>
      </c>
      <c r="J239" s="24">
        <f>IF(F239="","비어 있음",IF(G239&lt;=H239,"OK",IF(G239&lt;=I239,"길이 주의","상한 초과")))</f>
        <v/>
      </c>
      <c r="K239" s="24" t="inlineStr">
        <is>
          <t>초안(10-13) · 외주 검수 예정</t>
        </is>
      </c>
      <c r="L239" s="24" t="n"/>
    </row>
    <row r="240">
      <c r="A240" s="24" t="inlineStr">
        <is>
          <t>PHRASE</t>
        </is>
      </c>
      <c r="B240" s="24" t="inlineStr">
        <is>
          <t>DIET-P-0292</t>
        </is>
      </c>
      <c r="C240" s="24" t="n"/>
      <c r="D240" s="24" t="inlineStr">
        <is>
          <t>1.0.0</t>
        </is>
      </c>
      <c r="E240" s="25">
        <f>INDEX(목표문구!$G$1:$G$1000,MATCH($B240,목표문구!$A$1:$A$1000,0))</f>
        <v/>
      </c>
      <c r="F240" s="25" t="inlineStr">
        <is>
          <t>Note when eating feels easy</t>
        </is>
      </c>
      <c r="G240" s="24">
        <f>LEN(F240)</f>
        <v/>
      </c>
      <c r="H240" s="24" t="n">
        <v>30</v>
      </c>
      <c r="I240" s="24" t="n">
        <v>36</v>
      </c>
      <c r="J240" s="24">
        <f>IF(F240="","비어 있음",IF(G240&lt;=H240,"OK",IF(G240&lt;=I240,"길이 주의","상한 초과")))</f>
        <v/>
      </c>
      <c r="K240" s="24" t="inlineStr">
        <is>
          <t>초안(10-13) · 외주 검수 예정</t>
        </is>
      </c>
      <c r="L240" s="24" t="n"/>
    </row>
    <row r="241">
      <c r="A241" s="24" t="inlineStr">
        <is>
          <t>PHRASE</t>
        </is>
      </c>
      <c r="B241" s="24" t="inlineStr">
        <is>
          <t>DIET-P-0293</t>
        </is>
      </c>
      <c r="C241" s="24" t="n"/>
      <c r="D241" s="24" t="inlineStr">
        <is>
          <t>1.0.0</t>
        </is>
      </c>
      <c r="E241" s="25">
        <f>INDEX(목표문구!$G$1:$G$1000,MATCH($B241,목표문구!$A$1:$A$1000,0))</f>
        <v/>
      </c>
      <c r="F241" s="25" t="inlineStr">
        <is>
          <t>A soft, easy meal tomorrow</t>
        </is>
      </c>
      <c r="G241" s="24">
        <f>LEN(F241)</f>
        <v/>
      </c>
      <c r="H241" s="24" t="n">
        <v>30</v>
      </c>
      <c r="I241" s="24" t="n">
        <v>36</v>
      </c>
      <c r="J241" s="24">
        <f>IF(F241="","비어 있음",IF(G241&lt;=H241,"OK",IF(G241&lt;=I241,"길이 주의","상한 초과")))</f>
        <v/>
      </c>
      <c r="K241" s="24" t="inlineStr">
        <is>
          <t>초안(10-19)</t>
        </is>
      </c>
      <c r="L241" s="24" t="n"/>
    </row>
    <row r="242">
      <c r="A242" s="24" t="inlineStr">
        <is>
          <t>PHRASE</t>
        </is>
      </c>
      <c r="B242" s="24" t="inlineStr">
        <is>
          <t>DIET-P-0294</t>
        </is>
      </c>
      <c r="C242" s="24" t="n"/>
      <c r="D242" s="24" t="inlineStr">
        <is>
          <t>1.0.0</t>
        </is>
      </c>
      <c r="E242" s="25">
        <f>INDEX(목표문구!$G$1:$G$1000,MATCH($B242,목표문구!$A$1:$A$1000,0))</f>
        <v/>
      </c>
      <c r="F242" s="25" t="inlineStr">
        <is>
          <t>Plan tomorrow's three meals</t>
        </is>
      </c>
      <c r="G242" s="24">
        <f>LEN(F242)</f>
        <v/>
      </c>
      <c r="H242" s="24" t="n">
        <v>30</v>
      </c>
      <c r="I242" s="24" t="n">
        <v>36</v>
      </c>
      <c r="J242" s="24">
        <f>IF(F242="","비어 있음",IF(G242&lt;=H242,"OK",IF(G242&lt;=I242,"길이 주의","상한 초과")))</f>
        <v/>
      </c>
      <c r="K242" s="24" t="inlineStr">
        <is>
          <t>초안(10-13) · 외주 검수 예정</t>
        </is>
      </c>
      <c r="L242" s="24" t="n"/>
    </row>
    <row r="243">
      <c r="A243" s="24" t="inlineStr">
        <is>
          <t>PHRASE</t>
        </is>
      </c>
      <c r="B243" s="24" t="inlineStr">
        <is>
          <t>DIET-P-0295</t>
        </is>
      </c>
      <c r="C243" s="24" t="n"/>
      <c r="D243" s="24" t="inlineStr">
        <is>
          <t>1.0.0</t>
        </is>
      </c>
      <c r="E243" s="25">
        <f>INDEX(목표문구!$G$1:$G$1000,MATCH($B243,목표문구!$A$1:$A$1000,0))</f>
        <v/>
      </c>
      <c r="F243" s="25" t="inlineStr">
        <is>
          <t>Look back on skipped meals</t>
        </is>
      </c>
      <c r="G243" s="24">
        <f>LEN(F243)</f>
        <v/>
      </c>
      <c r="H243" s="24" t="n">
        <v>30</v>
      </c>
      <c r="I243" s="24" t="n">
        <v>36</v>
      </c>
      <c r="J243" s="24">
        <f>IF(F243="","비어 있음",IF(G243&lt;=H243,"OK",IF(G243&lt;=I243,"길이 주의","상한 초과")))</f>
        <v/>
      </c>
      <c r="K243" s="24" t="inlineStr">
        <is>
          <t>초안(10-13) · 외주 검수 예정</t>
        </is>
      </c>
      <c r="L243" s="24" t="n"/>
    </row>
    <row r="244">
      <c r="A244" s="24" t="inlineStr">
        <is>
          <t>PHRASE</t>
        </is>
      </c>
      <c r="B244" s="24" t="inlineStr">
        <is>
          <t>DIET-P-0296</t>
        </is>
      </c>
      <c r="C244" s="24" t="n"/>
      <c r="D244" s="24" t="inlineStr">
        <is>
          <t>1.0.0</t>
        </is>
      </c>
      <c r="E244" s="25">
        <f>INDEX(목표문구!$G$1:$G$1000,MATCH($B244,목표문구!$A$1:$A$1000,0))</f>
        <v/>
      </c>
      <c r="F244" s="25" t="inlineStr">
        <is>
          <t>Look back on today's veggies</t>
        </is>
      </c>
      <c r="G244" s="24">
        <f>LEN(F244)</f>
        <v/>
      </c>
      <c r="H244" s="24" t="n">
        <v>30</v>
      </c>
      <c r="I244" s="24" t="n">
        <v>36</v>
      </c>
      <c r="J244" s="24">
        <f>IF(F244="","비어 있음",IF(G244&lt;=H244,"OK",IF(G244&lt;=I244,"길이 주의","상한 초과")))</f>
        <v/>
      </c>
      <c r="K244" s="24" t="inlineStr">
        <is>
          <t>초안(10-13) · 외주 검수 예정</t>
        </is>
      </c>
      <c r="L244" s="24" t="n"/>
    </row>
    <row r="245">
      <c r="A245" s="24" t="inlineStr">
        <is>
          <t>PHRASE</t>
        </is>
      </c>
      <c r="B245" s="24" t="inlineStr">
        <is>
          <t>DIET-P-0297</t>
        </is>
      </c>
      <c r="C245" s="24" t="n"/>
      <c r="D245" s="24" t="inlineStr">
        <is>
          <t>1.0.0</t>
        </is>
      </c>
      <c r="E245" s="25">
        <f>INDEX(목표문구!$G$1:$G$1000,MATCH($B245,목표문구!$A$1:$A$1000,0))</f>
        <v/>
      </c>
      <c r="F245" s="25" t="inlineStr">
        <is>
          <t>Buy two seasonal veggies</t>
        </is>
      </c>
      <c r="G245" s="24">
        <f>LEN(F245)</f>
        <v/>
      </c>
      <c r="H245" s="24" t="n">
        <v>30</v>
      </c>
      <c r="I245" s="24" t="n">
        <v>36</v>
      </c>
      <c r="J245" s="24">
        <f>IF(F245="","비어 있음",IF(G245&lt;=H245,"OK",IF(G245&lt;=I245,"길이 주의","상한 초과")))</f>
        <v/>
      </c>
      <c r="K245" s="24" t="inlineStr">
        <is>
          <t>초안(10-13) · 외주 검수 예정</t>
        </is>
      </c>
      <c r="L245" s="24" t="n"/>
    </row>
    <row r="246">
      <c r="A246" s="24" t="inlineStr">
        <is>
          <t>PHRASE</t>
        </is>
      </c>
      <c r="B246" s="24" t="inlineStr">
        <is>
          <t>DIET-P-0298</t>
        </is>
      </c>
      <c r="C246" s="24" t="n"/>
      <c r="D246" s="24" t="inlineStr">
        <is>
          <t>1.0.0</t>
        </is>
      </c>
      <c r="E246" s="25">
        <f>INDEX(목표문구!$G$1:$G$1000,MATCH($B246,목표문구!$A$1:$A$1000,0))</f>
        <v/>
      </c>
      <c r="F246" s="25" t="inlineStr">
        <is>
          <t>Bottled water instead of juice</t>
        </is>
      </c>
      <c r="G246" s="24">
        <f>LEN(F246)</f>
        <v/>
      </c>
      <c r="H246" s="24" t="n">
        <v>30</v>
      </c>
      <c r="I246" s="24" t="n">
        <v>36</v>
      </c>
      <c r="J246" s="24">
        <f>IF(F246="","비어 있음",IF(G246&lt;=H246,"OK",IF(G246&lt;=I246,"길이 주의","상한 초과")))</f>
        <v/>
      </c>
      <c r="K246" s="24" t="inlineStr">
        <is>
          <t>초안(10-13) · 외주 검수 예정</t>
        </is>
      </c>
      <c r="L246" s="24" t="n"/>
    </row>
    <row r="247">
      <c r="A247" s="24" t="inlineStr">
        <is>
          <t>PHRASE</t>
        </is>
      </c>
      <c r="B247" s="24" t="inlineStr">
        <is>
          <t>DIET-P-0299</t>
        </is>
      </c>
      <c r="C247" s="24" t="n"/>
      <c r="D247" s="24" t="inlineStr">
        <is>
          <t>1.0.0</t>
        </is>
      </c>
      <c r="E247" s="25">
        <f>INDEX(목표문구!$G$1:$G$1000,MATCH($B247,목표문구!$A$1:$A$1000,0))</f>
        <v/>
      </c>
      <c r="F247" s="25" t="inlineStr">
        <is>
          <t>Steamed sweet potato, not chips</t>
        </is>
      </c>
      <c r="G247" s="24">
        <f>LEN(F247)</f>
        <v/>
      </c>
      <c r="H247" s="24" t="n">
        <v>30</v>
      </c>
      <c r="I247" s="24" t="n">
        <v>36</v>
      </c>
      <c r="J247" s="24">
        <f>IF(F247="","비어 있음",IF(G247&lt;=H247,"OK",IF(G247&lt;=I247,"길이 주의","상한 초과")))</f>
        <v/>
      </c>
      <c r="K247" s="24" t="inlineStr">
        <is>
          <t>초안(10-13) · 외주 검수 예정</t>
        </is>
      </c>
      <c r="L247" s="24" t="n"/>
    </row>
    <row r="248">
      <c r="A248" s="24" t="inlineStr">
        <is>
          <t>PHRASE</t>
        </is>
      </c>
      <c r="B248" s="24" t="inlineStr">
        <is>
          <t>DIET-P-0300</t>
        </is>
      </c>
      <c r="C248" s="24" t="n"/>
      <c r="D248" s="24" t="inlineStr">
        <is>
          <t>1.0.0</t>
        </is>
      </c>
      <c r="E248" s="25">
        <f>INDEX(목표문구!$G$1:$G$1000,MATCH($B248,목표문구!$A$1:$A$1000,0))</f>
        <v/>
      </c>
      <c r="F248" s="25" t="inlineStr">
        <is>
          <t>Recall how much soup you had</t>
        </is>
      </c>
      <c r="G248" s="24">
        <f>LEN(F248)</f>
        <v/>
      </c>
      <c r="H248" s="24" t="n">
        <v>30</v>
      </c>
      <c r="I248" s="24" t="n">
        <v>36</v>
      </c>
      <c r="J248" s="24">
        <f>IF(F248="","비어 있음",IF(G248&lt;=H248,"OK",IF(G248&lt;=I248,"길이 주의","상한 초과")))</f>
        <v/>
      </c>
      <c r="K248" s="24" t="inlineStr">
        <is>
          <t>초안(10-13) · 외주 검수 예정</t>
        </is>
      </c>
      <c r="L248" s="24" t="n"/>
    </row>
    <row r="249">
      <c r="A249" s="24" t="inlineStr">
        <is>
          <t>PHRASE</t>
        </is>
      </c>
      <c r="B249" s="24" t="inlineStr">
        <is>
          <t>DIET-P-0301</t>
        </is>
      </c>
      <c r="C249" s="24" t="n"/>
      <c r="D249" s="24" t="inlineStr">
        <is>
          <t>1.0.0</t>
        </is>
      </c>
      <c r="E249" s="25">
        <f>INDEX(목표문구!$G$1:$G$1000,MATCH($B249,목표문구!$A$1:$A$1000,0))</f>
        <v/>
      </c>
      <c r="F249" s="25" t="inlineStr">
        <is>
          <t>Fresh slaw instead of pickles</t>
        </is>
      </c>
      <c r="G249" s="24">
        <f>LEN(F249)</f>
        <v/>
      </c>
      <c r="H249" s="24" t="n">
        <v>30</v>
      </c>
      <c r="I249" s="24" t="n">
        <v>36</v>
      </c>
      <c r="J249" s="24">
        <f>IF(F249="","비어 있음",IF(G249&lt;=H249,"OK",IF(G249&lt;=I249,"길이 주의","상한 초과")))</f>
        <v/>
      </c>
      <c r="K249" s="24" t="inlineStr">
        <is>
          <t>초안(10-13) · 외주 검수 예정</t>
        </is>
      </c>
      <c r="L249" s="24" t="n"/>
    </row>
    <row r="250">
      <c r="A250" s="24" t="inlineStr">
        <is>
          <t>PHRASE</t>
        </is>
      </c>
      <c r="B250" s="24" t="inlineStr">
        <is>
          <t>DIET-P-0302</t>
        </is>
      </c>
      <c r="C250" s="24" t="n"/>
      <c r="D250" s="24" t="inlineStr">
        <is>
          <t>1.0.0</t>
        </is>
      </c>
      <c r="E250" s="25">
        <f>INDEX(목표문구!$G$1:$G$1000,MATCH($B250,목표문구!$A$1:$A$1000,0))</f>
        <v/>
      </c>
      <c r="F250" s="25" t="inlineStr">
        <is>
          <t>Finish dinner by 8 pm</t>
        </is>
      </c>
      <c r="G250" s="24">
        <f>LEN(F250)</f>
        <v/>
      </c>
      <c r="H250" s="24" t="n">
        <v>30</v>
      </c>
      <c r="I250" s="24" t="n">
        <v>36</v>
      </c>
      <c r="J250" s="24">
        <f>IF(F250="","비어 있음",IF(G250&lt;=H250,"OK",IF(G250&lt;=I250,"길이 주의","상한 초과")))</f>
        <v/>
      </c>
      <c r="K250" s="24" t="inlineStr">
        <is>
          <t>초안(10-13) · 외주 검수 예정</t>
        </is>
      </c>
      <c r="L250" s="24" t="n"/>
    </row>
    <row r="251">
      <c r="A251" s="24" t="inlineStr">
        <is>
          <t>PHRASE</t>
        </is>
      </c>
      <c r="B251" s="24" t="inlineStr">
        <is>
          <t>DIET-P-0303</t>
        </is>
      </c>
      <c r="C251" s="24" t="n"/>
      <c r="D251" s="24" t="inlineStr">
        <is>
          <t>1.0.0</t>
        </is>
      </c>
      <c r="E251" s="25">
        <f>INDEX(목표문구!$G$1:$G$1000,MATCH($B251,목표문구!$A$1:$A$1000,0))</f>
        <v/>
      </c>
      <c r="F251" s="25" t="inlineStr">
        <is>
          <t>Note when you had dinner</t>
        </is>
      </c>
      <c r="G251" s="24">
        <f>LEN(F251)</f>
        <v/>
      </c>
      <c r="H251" s="24" t="n">
        <v>30</v>
      </c>
      <c r="I251" s="24" t="n">
        <v>36</v>
      </c>
      <c r="J251" s="24">
        <f>IF(F251="","비어 있음",IF(G251&lt;=H251,"OK",IF(G251&lt;=I251,"길이 주의","상한 초과")))</f>
        <v/>
      </c>
      <c r="K251" s="24" t="inlineStr">
        <is>
          <t>초안(10-13) · 외주 검수 예정</t>
        </is>
      </c>
      <c r="L251" s="24" t="n"/>
    </row>
    <row r="252">
      <c r="A252" s="24" t="inlineStr">
        <is>
          <t>PHRASE</t>
        </is>
      </c>
      <c r="B252" s="24" t="inlineStr">
        <is>
          <t>DIET-P-0304</t>
        </is>
      </c>
      <c r="C252" s="24" t="n"/>
      <c r="D252" s="24" t="inlineStr">
        <is>
          <t>1.0.0</t>
        </is>
      </c>
      <c r="E252" s="25">
        <f>INDEX(목표문구!$G$1:$G$1000,MATCH($B252,목표문구!$A$1:$A$1000,0))</f>
        <v/>
      </c>
      <c r="F252" s="25" t="inlineStr">
        <is>
          <t>Chew each bite 30 times</t>
        </is>
      </c>
      <c r="G252" s="24">
        <f>LEN(F252)</f>
        <v/>
      </c>
      <c r="H252" s="24" t="n">
        <v>30</v>
      </c>
      <c r="I252" s="24" t="n">
        <v>36</v>
      </c>
      <c r="J252" s="24">
        <f>IF(F252="","비어 있음",IF(G252&lt;=H252,"OK",IF(G252&lt;=I252,"길이 주의","상한 초과")))</f>
        <v/>
      </c>
      <c r="K252" s="24" t="inlineStr">
        <is>
          <t>초안(10-13) · 외주 검수 예정</t>
        </is>
      </c>
      <c r="L252" s="24" t="n"/>
    </row>
    <row r="253">
      <c r="A253" s="24" t="inlineStr">
        <is>
          <t>PHRASE</t>
        </is>
      </c>
      <c r="B253" s="24" t="inlineStr">
        <is>
          <t>DIET-P-0305</t>
        </is>
      </c>
      <c r="C253" s="24" t="n"/>
      <c r="D253" s="24" t="inlineStr">
        <is>
          <t>1.0.0</t>
        </is>
      </c>
      <c r="E253" s="25">
        <f>INDEX(목표문구!$G$1:$G$1000,MATCH($B253,목표문구!$A$1:$A$1000,0))</f>
        <v/>
      </c>
      <c r="F253" s="25" t="inlineStr">
        <is>
          <t>Keep your phone off the table</t>
        </is>
      </c>
      <c r="G253" s="24">
        <f>LEN(F253)</f>
        <v/>
      </c>
      <c r="H253" s="24" t="n">
        <v>30</v>
      </c>
      <c r="I253" s="24" t="n">
        <v>36</v>
      </c>
      <c r="J253" s="24">
        <f>IF(F253="","비어 있음",IF(G253&lt;=H253,"OK",IF(G253&lt;=I253,"길이 주의","상한 초과")))</f>
        <v/>
      </c>
      <c r="K253" s="24" t="inlineStr">
        <is>
          <t>초안(10-13) · 외주 검수 예정</t>
        </is>
      </c>
      <c r="L253" s="24" t="n"/>
    </row>
    <row r="254">
      <c r="A254" s="24" t="inlineStr">
        <is>
          <t>PHRASE</t>
        </is>
      </c>
      <c r="B254" s="24" t="inlineStr">
        <is>
          <t>DIET-P-0306</t>
        </is>
      </c>
      <c r="C254" s="24" t="n"/>
      <c r="D254" s="24" t="inlineStr">
        <is>
          <t>1.0.0</t>
        </is>
      </c>
      <c r="E254" s="25">
        <f>INDEX(목표문구!$G$1:$G$1000,MATCH($B254,목표문구!$A$1:$A$1000,0))</f>
        <v/>
      </c>
      <c r="F254" s="25" t="inlineStr">
        <is>
          <t>Protein salad for lunch</t>
        </is>
      </c>
      <c r="G254" s="24">
        <f>LEN(F254)</f>
        <v/>
      </c>
      <c r="H254" s="24" t="n">
        <v>30</v>
      </c>
      <c r="I254" s="24" t="n">
        <v>36</v>
      </c>
      <c r="J254" s="24">
        <f>IF(F254="","비어 있음",IF(G254&lt;=H254,"OK",IF(G254&lt;=I254,"길이 주의","상한 초과")))</f>
        <v/>
      </c>
      <c r="K254" s="24" t="inlineStr">
        <is>
          <t>초안(10-19)</t>
        </is>
      </c>
      <c r="L254" s="24" t="n"/>
    </row>
    <row r="255">
      <c r="A255" s="24" t="inlineStr">
        <is>
          <t>PHRASE</t>
        </is>
      </c>
      <c r="B255" s="24" t="inlineStr">
        <is>
          <t>DIET-P-0307</t>
        </is>
      </c>
      <c r="C255" s="24" t="n"/>
      <c r="D255" s="24" t="inlineStr">
        <is>
          <t>1.0.0</t>
        </is>
      </c>
      <c r="E255" s="25">
        <f>INDEX(목표문구!$G$1:$G$1000,MATCH($B255,목표문구!$A$1:$A$1000,0))</f>
        <v/>
      </c>
      <c r="F255" s="25" t="inlineStr">
        <is>
          <t>Look back on today's protein</t>
        </is>
      </c>
      <c r="G255" s="24">
        <f>LEN(F255)</f>
        <v/>
      </c>
      <c r="H255" s="24" t="n">
        <v>30</v>
      </c>
      <c r="I255" s="24" t="n">
        <v>36</v>
      </c>
      <c r="J255" s="24">
        <f>IF(F255="","비어 있음",IF(G255&lt;=H255,"OK",IF(G255&lt;=I255,"길이 주의","상한 초과")))</f>
        <v/>
      </c>
      <c r="K255" s="24" t="inlineStr">
        <is>
          <t>초안(10-13) · 외주 검수 예정</t>
        </is>
      </c>
      <c r="L255" s="24" t="n"/>
    </row>
    <row r="256">
      <c r="A256" s="24" t="inlineStr">
        <is>
          <t>PHRASE</t>
        </is>
      </c>
      <c r="B256" s="24" t="inlineStr">
        <is>
          <t>DIET-P-0308</t>
        </is>
      </c>
      <c r="C256" s="24" t="n"/>
      <c r="D256" s="24" t="inlineStr">
        <is>
          <t>1.0.0</t>
        </is>
      </c>
      <c r="E256" s="25">
        <f>INDEX(목표문구!$G$1:$G$1000,MATCH($B256,목표문구!$A$1:$A$1000,0))</f>
        <v/>
      </c>
      <c r="F256" s="25" t="inlineStr">
        <is>
          <t>Greens instead of fritters</t>
        </is>
      </c>
      <c r="G256" s="24">
        <f>LEN(F256)</f>
        <v/>
      </c>
      <c r="H256" s="24" t="n">
        <v>30</v>
      </c>
      <c r="I256" s="24" t="n">
        <v>36</v>
      </c>
      <c r="J256" s="24">
        <f>IF(F256="","비어 있음",IF(G256&lt;=H256,"OK",IF(G256&lt;=I256,"길이 주의","상한 초과")))</f>
        <v/>
      </c>
      <c r="K256" s="24" t="inlineStr">
        <is>
          <t>초안(10-13) · 외주 검수 예정</t>
        </is>
      </c>
      <c r="L256" s="24" t="n"/>
    </row>
    <row r="257">
      <c r="A257" s="24" t="inlineStr">
        <is>
          <t>PHRASE</t>
        </is>
      </c>
      <c r="B257" s="24" t="inlineStr">
        <is>
          <t>DIET-P-0309</t>
        </is>
      </c>
      <c r="C257" s="24" t="n"/>
      <c r="D257" s="24" t="inlineStr">
        <is>
          <t>1.0.0</t>
        </is>
      </c>
      <c r="E257" s="25">
        <f>INDEX(목표문구!$G$1:$G$1000,MATCH($B257,목표문구!$A$1:$A$1000,0))</f>
        <v/>
      </c>
      <c r="F257" s="25" t="inlineStr">
        <is>
          <t>Look back on fried food</t>
        </is>
      </c>
      <c r="G257" s="24">
        <f>LEN(F257)</f>
        <v/>
      </c>
      <c r="H257" s="24" t="n">
        <v>30</v>
      </c>
      <c r="I257" s="24" t="n">
        <v>36</v>
      </c>
      <c r="J257" s="24">
        <f>IF(F257="","비어 있음",IF(G257&lt;=H257,"OK",IF(G257&lt;=I257,"길이 주의","상한 초과")))</f>
        <v/>
      </c>
      <c r="K257" s="24" t="inlineStr">
        <is>
          <t>초안(10-13) · 외주 검수 예정</t>
        </is>
      </c>
      <c r="L257" s="24" t="n"/>
    </row>
    <row r="258">
      <c r="A258" s="24" t="inlineStr">
        <is>
          <t>PHRASE</t>
        </is>
      </c>
      <c r="B258" s="24" t="inlineStr">
        <is>
          <t>DIET-P-0310</t>
        </is>
      </c>
      <c r="C258" s="24" t="n"/>
      <c r="D258" s="24" t="inlineStr">
        <is>
          <t>1.0.0</t>
        </is>
      </c>
      <c r="E258" s="25">
        <f>INDEX(목표문구!$G$1:$G$1000,MATCH($B258,목표문구!$A$1:$A$1000,0))</f>
        <v/>
      </c>
      <c r="F258" s="25" t="inlineStr">
        <is>
          <t>Eat when your appetite returns</t>
        </is>
      </c>
      <c r="G258" s="24">
        <f>LEN(F258)</f>
        <v/>
      </c>
      <c r="H258" s="24" t="n">
        <v>30</v>
      </c>
      <c r="I258" s="24" t="n">
        <v>36</v>
      </c>
      <c r="J258" s="24">
        <f>IF(F258="","비어 있음",IF(G258&lt;=H258,"OK",IF(G258&lt;=I258,"길이 주의","상한 초과")))</f>
        <v/>
      </c>
      <c r="K258" s="24" t="inlineStr">
        <is>
          <t>초안(10-13) · 외주 검수 예정</t>
        </is>
      </c>
      <c r="L258" s="24" t="n"/>
    </row>
    <row r="259">
      <c r="A259" s="24" t="inlineStr">
        <is>
          <t>PHRASE</t>
        </is>
      </c>
      <c r="B259" s="24" t="inlineStr">
        <is>
          <t>DIET-P-0311</t>
        </is>
      </c>
      <c r="C259" s="24" t="n"/>
      <c r="D259" s="24" t="inlineStr">
        <is>
          <t>1.0.0</t>
        </is>
      </c>
      <c r="E259" s="25">
        <f>INDEX(목표문구!$G$1:$G$1000,MATCH($B259,목표문구!$A$1:$A$1000,0))</f>
        <v/>
      </c>
      <c r="F259" s="25" t="inlineStr">
        <is>
          <t>Set your first meal time</t>
        </is>
      </c>
      <c r="G259" s="24">
        <f>LEN(F259)</f>
        <v/>
      </c>
      <c r="H259" s="24" t="n">
        <v>30</v>
      </c>
      <c r="I259" s="24" t="n">
        <v>36</v>
      </c>
      <c r="J259" s="24">
        <f>IF(F259="","비어 있음",IF(G259&lt;=H259,"OK",IF(G259&lt;=I259,"길이 주의","상한 초과")))</f>
        <v/>
      </c>
      <c r="K259" s="24" t="inlineStr">
        <is>
          <t>초안(10-13) · 외주 검수 예정</t>
        </is>
      </c>
      <c r="L259" s="24" t="n"/>
    </row>
    <row r="260">
      <c r="A260" s="24" t="inlineStr">
        <is>
          <t>PHRASE</t>
        </is>
      </c>
      <c r="B260" s="24" t="inlineStr">
        <is>
          <t>DIET-P-0312</t>
        </is>
      </c>
      <c r="C260" s="24" t="n"/>
      <c r="D260" s="24" t="inlineStr">
        <is>
          <t>1.0.0</t>
        </is>
      </c>
      <c r="E260" s="25">
        <f>INDEX(목표문구!$G$1:$G$1000,MATCH($B260,목표문구!$A$1:$A$1000,0))</f>
        <v/>
      </c>
      <c r="F260" s="25" t="inlineStr">
        <is>
          <t>Buy breakfast basics</t>
        </is>
      </c>
      <c r="G260" s="24">
        <f>LEN(F260)</f>
        <v/>
      </c>
      <c r="H260" s="24" t="n">
        <v>30</v>
      </c>
      <c r="I260" s="24" t="n">
        <v>36</v>
      </c>
      <c r="J260" s="24">
        <f>IF(F260="","비어 있음",IF(G260&lt;=H260,"OK",IF(G260&lt;=I260,"길이 주의","상한 초과")))</f>
        <v/>
      </c>
      <c r="K260" s="24" t="inlineStr">
        <is>
          <t>초안(10-13) · 외주 검수 예정</t>
        </is>
      </c>
      <c r="L260" s="24" t="n"/>
    </row>
    <row r="261">
      <c r="A261" s="24" t="inlineStr">
        <is>
          <t>PHRASE</t>
        </is>
      </c>
      <c r="B261" s="24" t="inlineStr">
        <is>
          <t>DIET-P-0313</t>
        </is>
      </c>
      <c r="C261" s="24" t="n"/>
      <c r="D261" s="24" t="inlineStr">
        <is>
          <t>1.0.0</t>
        </is>
      </c>
      <c r="E261" s="25">
        <f>INDEX(목표문구!$G$1:$G$1000,MATCH($B261,목표문구!$A$1:$A$1000,0))</f>
        <v/>
      </c>
      <c r="F261" s="25" t="inlineStr">
        <is>
          <t>A simple meal on busy days</t>
        </is>
      </c>
      <c r="G261" s="24">
        <f>LEN(F261)</f>
        <v/>
      </c>
      <c r="H261" s="24" t="n">
        <v>30</v>
      </c>
      <c r="I261" s="24" t="n">
        <v>36</v>
      </c>
      <c r="J261" s="24">
        <f>IF(F261="","비어 있음",IF(G261&lt;=H261,"OK",IF(G261&lt;=I261,"길이 주의","상한 초과")))</f>
        <v/>
      </c>
      <c r="K261" s="24" t="inlineStr">
        <is>
          <t>초안(10-19)</t>
        </is>
      </c>
      <c r="L261" s="24" t="n"/>
    </row>
    <row r="262">
      <c r="A262" s="24" t="inlineStr">
        <is>
          <t>PHRASE</t>
        </is>
      </c>
      <c r="B262" s="24" t="inlineStr">
        <is>
          <t>DIET-P-0314</t>
        </is>
      </c>
      <c r="C262" s="24" t="n"/>
      <c r="D262" s="24" t="inlineStr">
        <is>
          <t>1.0.0</t>
        </is>
      </c>
      <c r="E262" s="25">
        <f>INDEX(목표문구!$G$1:$G$1000,MATCH($B262,목표문구!$A$1:$A$1000,0))</f>
        <v/>
      </c>
      <c r="F262" s="25" t="inlineStr">
        <is>
          <t>Keep veggies front and center</t>
        </is>
      </c>
      <c r="G262" s="24">
        <f>LEN(F262)</f>
        <v/>
      </c>
      <c r="H262" s="24" t="n">
        <v>30</v>
      </c>
      <c r="I262" s="24" t="n">
        <v>36</v>
      </c>
      <c r="J262" s="24">
        <f>IF(F262="","비어 있음",IF(G262&lt;=H262,"OK",IF(G262&lt;=I262,"길이 주의","상한 초과")))</f>
        <v/>
      </c>
      <c r="K262" s="24" t="inlineStr">
        <is>
          <t>초안(10-13) · 외주 검수 예정</t>
        </is>
      </c>
      <c r="L262" s="24" t="n"/>
    </row>
    <row r="263">
      <c r="A263" s="24" t="inlineStr">
        <is>
          <t>PHRASE</t>
        </is>
      </c>
      <c r="B263" s="24" t="inlineStr">
        <is>
          <t>DIET-P-0315</t>
        </is>
      </c>
      <c r="C263" s="24" t="n"/>
      <c r="D263" s="24" t="inlineStr">
        <is>
          <t>1.0.0</t>
        </is>
      </c>
      <c r="E263" s="25">
        <f>INDEX(목표문구!$G$1:$G$1000,MATCH($B263,목표문구!$A$1:$A$1000,0))</f>
        <v/>
      </c>
      <c r="F263" s="25" t="inlineStr">
        <is>
          <t>Squash or mushroom in soup</t>
        </is>
      </c>
      <c r="G263" s="24">
        <f>LEN(F263)</f>
        <v/>
      </c>
      <c r="H263" s="24" t="n">
        <v>30</v>
      </c>
      <c r="I263" s="24" t="n">
        <v>36</v>
      </c>
      <c r="J263" s="24">
        <f>IF(F263="","비어 있음",IF(G263&lt;=H263,"OK",IF(G263&lt;=I263,"길이 주의","상한 초과")))</f>
        <v/>
      </c>
      <c r="K263" s="24" t="inlineStr">
        <is>
          <t>초안(10-19)</t>
        </is>
      </c>
      <c r="L263" s="24" t="n"/>
    </row>
    <row r="264">
      <c r="A264" s="24" t="inlineStr">
        <is>
          <t>PHRASE</t>
        </is>
      </c>
      <c r="B264" s="24" t="inlineStr">
        <is>
          <t>DIET-P-0316</t>
        </is>
      </c>
      <c r="C264" s="24" t="n"/>
      <c r="D264" s="24" t="inlineStr">
        <is>
          <t>1.0.0</t>
        </is>
      </c>
      <c r="E264" s="25">
        <f>INDEX(목표문구!$G$1:$G$1000,MATCH($B264,목표문구!$A$1:$A$1000,0))</f>
        <v/>
      </c>
      <c r="F264" s="25" t="inlineStr">
        <is>
          <t>One veggie side every day</t>
        </is>
      </c>
      <c r="G264" s="24">
        <f>LEN(F264)</f>
        <v/>
      </c>
      <c r="H264" s="24" t="n">
        <v>30</v>
      </c>
      <c r="I264" s="24" t="n">
        <v>36</v>
      </c>
      <c r="J264" s="24">
        <f>IF(F264="","비어 있음",IF(G264&lt;=H264,"OK",IF(G264&lt;=I264,"길이 주의","상한 초과")))</f>
        <v/>
      </c>
      <c r="K264" s="24" t="inlineStr">
        <is>
          <t>초안(10-13) · 외주 검수 예정</t>
        </is>
      </c>
      <c r="L264" s="24" t="n"/>
    </row>
    <row r="265">
      <c r="A265" s="24" t="inlineStr">
        <is>
          <t>PHRASE</t>
        </is>
      </c>
      <c r="B265" s="24" t="inlineStr">
        <is>
          <t>DIET-P-0317</t>
        </is>
      </c>
      <c r="C265" s="24" t="n"/>
      <c r="D265" s="24" t="inlineStr">
        <is>
          <t>1.0.0</t>
        </is>
      </c>
      <c r="E265" s="25">
        <f>INDEX(목표문구!$G$1:$G$1000,MATCH($B265,목표문구!$A$1:$A$1000,0))</f>
        <v/>
      </c>
      <c r="F265" s="25" t="inlineStr">
        <is>
          <t>Check sugar on drink labels</t>
        </is>
      </c>
      <c r="G265" s="24">
        <f>LEN(F265)</f>
        <v/>
      </c>
      <c r="H265" s="24" t="n">
        <v>30</v>
      </c>
      <c r="I265" s="24" t="n">
        <v>36</v>
      </c>
      <c r="J265" s="24">
        <f>IF(F265="","비어 있음",IF(G265&lt;=H265,"OK",IF(G265&lt;=I265,"길이 주의","상한 초과")))</f>
        <v/>
      </c>
      <c r="K265" s="24" t="inlineStr">
        <is>
          <t>초안(10-13) · 외주 검수 예정</t>
        </is>
      </c>
      <c r="L265" s="24" t="n"/>
    </row>
    <row r="266">
      <c r="A266" s="24" t="inlineStr">
        <is>
          <t>PHRASE</t>
        </is>
      </c>
      <c r="B266" s="24" t="inlineStr">
        <is>
          <t>DIET-P-0318</t>
        </is>
      </c>
      <c r="C266" s="24" t="n"/>
      <c r="D266" s="24" t="inlineStr">
        <is>
          <t>1.0.0</t>
        </is>
      </c>
      <c r="E266" s="25">
        <f>INDEX(목표문구!$G$1:$G$1000,MATCH($B266,목표문구!$A$1:$A$1000,0))</f>
        <v/>
      </c>
      <c r="F266" s="25" t="inlineStr">
        <is>
          <t>Don't stock sweet drinks</t>
        </is>
      </c>
      <c r="G266" s="24">
        <f>LEN(F266)</f>
        <v/>
      </c>
      <c r="H266" s="24" t="n">
        <v>30</v>
      </c>
      <c r="I266" s="24" t="n">
        <v>36</v>
      </c>
      <c r="J266" s="24">
        <f>IF(F266="","비어 있음",IF(G266&lt;=H266,"OK",IF(G266&lt;=I266,"길이 주의","상한 초과")))</f>
        <v/>
      </c>
      <c r="K266" s="24" t="inlineStr">
        <is>
          <t>초안(10-13) · 외주 검수 예정</t>
        </is>
      </c>
      <c r="L266" s="24" t="n"/>
    </row>
    <row r="267">
      <c r="A267" s="24" t="inlineStr">
        <is>
          <t>PHRASE</t>
        </is>
      </c>
      <c r="B267" s="24" t="inlineStr">
        <is>
          <t>DIET-P-0319</t>
        </is>
      </c>
      <c r="C267" s="24" t="n"/>
      <c r="D267" s="24" t="inlineStr">
        <is>
          <t>1.0.0</t>
        </is>
      </c>
      <c r="E267" s="25">
        <f>INDEX(목표문구!$G$1:$G$1000,MATCH($B267,목표문구!$A$1:$A$1000,0))</f>
        <v/>
      </c>
      <c r="F267" s="25" t="inlineStr">
        <is>
          <t>3 days a week, no sweet drinks</t>
        </is>
      </c>
      <c r="G267" s="24">
        <f>LEN(F267)</f>
        <v/>
      </c>
      <c r="H267" s="24" t="n">
        <v>30</v>
      </c>
      <c r="I267" s="24" t="n">
        <v>36</v>
      </c>
      <c r="J267" s="24">
        <f>IF(F267="","비어 있음",IF(G267&lt;=H267,"OK",IF(G267&lt;=I267,"길이 주의","상한 초과")))</f>
        <v/>
      </c>
      <c r="K267" s="24" t="inlineStr">
        <is>
          <t>초안(10-13) · 외주 검수 예정</t>
        </is>
      </c>
      <c r="L267" s="24" t="n"/>
    </row>
    <row r="268">
      <c r="A268" s="24" t="inlineStr">
        <is>
          <t>PHRASE</t>
        </is>
      </c>
      <c r="B268" s="24" t="inlineStr">
        <is>
          <t>DIET-P-0320</t>
        </is>
      </c>
      <c r="C268" s="24" t="n"/>
      <c r="D268" s="24" t="inlineStr">
        <is>
          <t>1.0.0</t>
        </is>
      </c>
      <c r="E268" s="25">
        <f>INDEX(목표문구!$G$1:$G$1000,MATCH($B268,목표문구!$A$1:$A$1000,0))</f>
        <v/>
      </c>
      <c r="F268" s="25" t="inlineStr">
        <is>
          <t>Put the salt shaker away</t>
        </is>
      </c>
      <c r="G268" s="24">
        <f>LEN(F268)</f>
        <v/>
      </c>
      <c r="H268" s="24" t="n">
        <v>30</v>
      </c>
      <c r="I268" s="24" t="n">
        <v>36</v>
      </c>
      <c r="J268" s="24">
        <f>IF(F268="","비어 있음",IF(G268&lt;=H268,"OK",IF(G268&lt;=I268,"길이 주의","상한 초과")))</f>
        <v/>
      </c>
      <c r="K268" s="24" t="inlineStr">
        <is>
          <t>초안(10-13) · 외주 검수 예정</t>
        </is>
      </c>
      <c r="L268" s="24" t="n"/>
    </row>
    <row r="269">
      <c r="A269" s="24" t="inlineStr">
        <is>
          <t>PHRASE</t>
        </is>
      </c>
      <c r="B269" s="24" t="inlineStr">
        <is>
          <t>DIET-P-0321</t>
        </is>
      </c>
      <c r="C269" s="24" t="n"/>
      <c r="D269" s="24" t="inlineStr">
        <is>
          <t>1.0.0</t>
        </is>
      </c>
      <c r="E269" s="25">
        <f>INDEX(목표문구!$G$1:$G$1000,MATCH($B269,목표문구!$A$1:$A$1000,0))</f>
        <v/>
      </c>
      <c r="F269" s="25" t="inlineStr">
        <is>
          <t>Eat the solids in soup</t>
        </is>
      </c>
      <c r="G269" s="24">
        <f>LEN(F269)</f>
        <v/>
      </c>
      <c r="H269" s="24" t="n">
        <v>30</v>
      </c>
      <c r="I269" s="24" t="n">
        <v>36</v>
      </c>
      <c r="J269" s="24">
        <f>IF(F269="","비어 있음",IF(G269&lt;=H269,"OK",IF(G269&lt;=I269,"길이 주의","상한 초과")))</f>
        <v/>
      </c>
      <c r="K269" s="24" t="inlineStr">
        <is>
          <t>초안(10-13) · 외주 검수 예정</t>
        </is>
      </c>
      <c r="L269" s="24" t="n"/>
    </row>
    <row r="270">
      <c r="A270" s="24" t="inlineStr">
        <is>
          <t>PHRASE</t>
        </is>
      </c>
      <c r="B270" s="24" t="inlineStr">
        <is>
          <t>DIET-P-0322</t>
        </is>
      </c>
      <c r="C270" s="24" t="n"/>
      <c r="D270" s="24" t="inlineStr">
        <is>
          <t>1.0.0</t>
        </is>
      </c>
      <c r="E270" s="25">
        <f>INDEX(목표문구!$G$1:$G$1000,MATCH($B270,목표문구!$A$1:$A$1000,0))</f>
        <v/>
      </c>
      <c r="F270" s="25" t="inlineStr">
        <is>
          <t>Compare sodium on labels</t>
        </is>
      </c>
      <c r="G270" s="24">
        <f>LEN(F270)</f>
        <v/>
      </c>
      <c r="H270" s="24" t="n">
        <v>30</v>
      </c>
      <c r="I270" s="24" t="n">
        <v>36</v>
      </c>
      <c r="J270" s="24">
        <f>IF(F270="","비어 있음",IF(G270&lt;=H270,"OK",IF(G270&lt;=I270,"길이 주의","상한 초과")))</f>
        <v/>
      </c>
      <c r="K270" s="24" t="inlineStr">
        <is>
          <t>초안(10-13) · 외주 검수 예정</t>
        </is>
      </c>
      <c r="L270" s="24" t="n"/>
    </row>
    <row r="271">
      <c r="A271" s="24" t="inlineStr">
        <is>
          <t>PHRASE</t>
        </is>
      </c>
      <c r="B271" s="24" t="inlineStr">
        <is>
          <t>DIET-P-0323</t>
        </is>
      </c>
      <c r="C271" s="24" t="n"/>
      <c r="D271" s="24" t="inlineStr">
        <is>
          <t>1.0.0</t>
        </is>
      </c>
      <c r="E271" s="25">
        <f>INDEX(목표문구!$G$1:$G$1000,MATCH($B271,목표문구!$A$1:$A$1000,0))</f>
        <v/>
      </c>
      <c r="F271" s="25" t="inlineStr">
        <is>
          <t>Clear your snack spot</t>
        </is>
      </c>
      <c r="G271" s="24">
        <f>LEN(F271)</f>
        <v/>
      </c>
      <c r="H271" s="24" t="n">
        <v>30</v>
      </c>
      <c r="I271" s="24" t="n">
        <v>36</v>
      </c>
      <c r="J271" s="24">
        <f>IF(F271="","비어 있음",IF(G271&lt;=H271,"OK",IF(G271&lt;=I271,"길이 주의","상한 초과")))</f>
        <v/>
      </c>
      <c r="K271" s="24" t="inlineStr">
        <is>
          <t>초안(10-13) · 외주 검수 예정</t>
        </is>
      </c>
      <c r="L271" s="24" t="n"/>
    </row>
    <row r="272">
      <c r="A272" s="24" t="inlineStr">
        <is>
          <t>PHRASE</t>
        </is>
      </c>
      <c r="B272" s="24" t="inlineStr">
        <is>
          <t>DIET-P-0324</t>
        </is>
      </c>
      <c r="C272" s="24" t="n"/>
      <c r="D272" s="24" t="inlineStr">
        <is>
          <t>1.0.0</t>
        </is>
      </c>
      <c r="E272" s="25">
        <f>INDEX(목표문구!$G$1:$G$1000,MATCH($B272,목표문구!$A$1:$A$1000,0))</f>
        <v/>
      </c>
      <c r="F272" s="25" t="inlineStr">
        <is>
          <t>Have dinner before 7 pm</t>
        </is>
      </c>
      <c r="G272" s="24">
        <f>LEN(F272)</f>
        <v/>
      </c>
      <c r="H272" s="24" t="n">
        <v>30</v>
      </c>
      <c r="I272" s="24" t="n">
        <v>36</v>
      </c>
      <c r="J272" s="24">
        <f>IF(F272="","비어 있음",IF(G272&lt;=H272,"OK",IF(G272&lt;=I272,"길이 주의","상한 초과")))</f>
        <v/>
      </c>
      <c r="K272" s="24" t="inlineStr">
        <is>
          <t>초안(10-13) · 외주 검수 예정</t>
        </is>
      </c>
      <c r="L272" s="24" t="n"/>
    </row>
    <row r="273">
      <c r="A273" s="24" t="inlineStr">
        <is>
          <t>PHRASE</t>
        </is>
      </c>
      <c r="B273" s="24" t="inlineStr">
        <is>
          <t>DIET-P-0325</t>
        </is>
      </c>
      <c r="C273" s="24" t="n"/>
      <c r="D273" s="24" t="inlineStr">
        <is>
          <t>1.0.0</t>
        </is>
      </c>
      <c r="E273" s="25">
        <f>INDEX(목표문구!$G$1:$G$1000,MATCH($B273,목표문구!$A$1:$A$1000,0))</f>
        <v/>
      </c>
      <c r="F273" s="25" t="inlineStr">
        <is>
          <t>Dinner around 7 pm daily</t>
        </is>
      </c>
      <c r="G273" s="24">
        <f>LEN(F273)</f>
        <v/>
      </c>
      <c r="H273" s="24" t="n">
        <v>30</v>
      </c>
      <c r="I273" s="24" t="n">
        <v>36</v>
      </c>
      <c r="J273" s="24">
        <f>IF(F273="","비어 있음",IF(G273&lt;=H273,"OK",IF(G273&lt;=I273,"길이 주의","상한 초과")))</f>
        <v/>
      </c>
      <c r="K273" s="24" t="inlineStr">
        <is>
          <t>초안(10-13) · 외주 검수 예정</t>
        </is>
      </c>
      <c r="L273" s="24" t="n"/>
    </row>
    <row r="274">
      <c r="A274" s="24" t="inlineStr">
        <is>
          <t>PHRASE</t>
        </is>
      </c>
      <c r="B274" s="24" t="inlineStr">
        <is>
          <t>DIET-P-0326</t>
        </is>
      </c>
      <c r="C274" s="24" t="n"/>
      <c r="D274" s="24" t="inlineStr">
        <is>
          <t>1.0.0</t>
        </is>
      </c>
      <c r="E274" s="25">
        <f>INDEX(목표문구!$G$1:$G$1000,MATCH($B274,목표문구!$A$1:$A$1000,0))</f>
        <v/>
      </c>
      <c r="F274" s="25" t="inlineStr">
        <is>
          <t>Take 15+ minutes to eat</t>
        </is>
      </c>
      <c r="G274" s="24">
        <f>LEN(F274)</f>
        <v/>
      </c>
      <c r="H274" s="24" t="n">
        <v>30</v>
      </c>
      <c r="I274" s="24" t="n">
        <v>36</v>
      </c>
      <c r="J274" s="24">
        <f>IF(F274="","비어 있음",IF(G274&lt;=H274,"OK",IF(G274&lt;=I274,"길이 주의","상한 초과")))</f>
        <v/>
      </c>
      <c r="K274" s="24" t="inlineStr">
        <is>
          <t>초안(10-13) · 외주 검수 예정</t>
        </is>
      </c>
      <c r="L274" s="24" t="n"/>
    </row>
    <row r="275">
      <c r="A275" s="24" t="inlineStr">
        <is>
          <t>PHRASE</t>
        </is>
      </c>
      <c r="B275" s="24" t="inlineStr">
        <is>
          <t>DIET-P-0327</t>
        </is>
      </c>
      <c r="C275" s="24" t="n"/>
      <c r="D275" s="24" t="inlineStr">
        <is>
          <t>1.0.0</t>
        </is>
      </c>
      <c r="E275" s="25">
        <f>INDEX(목표문구!$G$1:$G$1000,MATCH($B275,목표문구!$A$1:$A$1000,0))</f>
        <v/>
      </c>
      <c r="F275" s="25" t="inlineStr">
        <is>
          <t>Eat with the TV off</t>
        </is>
      </c>
      <c r="G275" s="24">
        <f>LEN(F275)</f>
        <v/>
      </c>
      <c r="H275" s="24" t="n">
        <v>30</v>
      </c>
      <c r="I275" s="24" t="n">
        <v>36</v>
      </c>
      <c r="J275" s="24">
        <f>IF(F275="","비어 있음",IF(G275&lt;=H275,"OK",IF(G275&lt;=I275,"길이 주의","상한 초과")))</f>
        <v/>
      </c>
      <c r="K275" s="24" t="inlineStr">
        <is>
          <t>초안(10-13) · 외주 검수 예정</t>
        </is>
      </c>
      <c r="L275" s="24" t="n"/>
    </row>
    <row r="276">
      <c r="A276" s="24" t="inlineStr">
        <is>
          <t>PHRASE</t>
        </is>
      </c>
      <c r="B276" s="24" t="inlineStr">
        <is>
          <t>DIET-P-0328</t>
        </is>
      </c>
      <c r="C276" s="24" t="n"/>
      <c r="D276" s="24" t="inlineStr">
        <is>
          <t>1.0.0</t>
        </is>
      </c>
      <c r="E276" s="25">
        <f>INDEX(목표문구!$G$1:$G$1000,MATCH($B276,목표문구!$A$1:$A$1000,0))</f>
        <v/>
      </c>
      <c r="F276" s="25" t="inlineStr">
        <is>
          <t>Plan a meal to share</t>
        </is>
      </c>
      <c r="G276" s="24">
        <f>LEN(F276)</f>
        <v/>
      </c>
      <c r="H276" s="24" t="n">
        <v>30</v>
      </c>
      <c r="I276" s="24" t="n">
        <v>36</v>
      </c>
      <c r="J276" s="24">
        <f>IF(F276="","비어 있음",IF(G276&lt;=H276,"OK",IF(G276&lt;=I276,"길이 주의","상한 초과")))</f>
        <v/>
      </c>
      <c r="K276" s="24" t="inlineStr">
        <is>
          <t>초안(10-13) · 외주 검수 예정</t>
        </is>
      </c>
      <c r="L276" s="24" t="n"/>
    </row>
    <row r="277">
      <c r="A277" s="24" t="inlineStr">
        <is>
          <t>PHRASE</t>
        </is>
      </c>
      <c r="B277" s="24" t="inlineStr">
        <is>
          <t>DIET-P-0329</t>
        </is>
      </c>
      <c r="C277" s="24" t="n"/>
      <c r="D277" s="24" t="inlineStr">
        <is>
          <t>1.0.0</t>
        </is>
      </c>
      <c r="E277" s="25">
        <f>INDEX(목표문구!$G$1:$G$1000,MATCH($B277,목표문구!$A$1:$A$1000,0))</f>
        <v/>
      </c>
      <c r="F277" s="25" t="inlineStr">
        <is>
          <t>Set out eggs for breakfast</t>
        </is>
      </c>
      <c r="G277" s="24">
        <f>LEN(F277)</f>
        <v/>
      </c>
      <c r="H277" s="24" t="n">
        <v>30</v>
      </c>
      <c r="I277" s="24" t="n">
        <v>36</v>
      </c>
      <c r="J277" s="24">
        <f>IF(F277="","비어 있음",IF(G277&lt;=H277,"OK",IF(G277&lt;=I277,"길이 주의","상한 초과")))</f>
        <v/>
      </c>
      <c r="K277" s="24" t="inlineStr">
        <is>
          <t>초안(10-13) · 외주 검수 예정</t>
        </is>
      </c>
      <c r="L277" s="24" t="n"/>
    </row>
    <row r="278">
      <c r="A278" s="24" t="inlineStr">
        <is>
          <t>PHRASE</t>
        </is>
      </c>
      <c r="B278" s="24" t="inlineStr">
        <is>
          <t>DIET-P-0330</t>
        </is>
      </c>
      <c r="C278" s="24" t="n"/>
      <c r="D278" s="24" t="inlineStr">
        <is>
          <t>1.0.0</t>
        </is>
      </c>
      <c r="E278" s="25">
        <f>INDEX(목표문구!$G$1:$G$1000,MATCH($B278,목표문구!$A$1:$A$1000,0))</f>
        <v/>
      </c>
      <c r="F278" s="25" t="inlineStr">
        <is>
          <t>Fish twice a week</t>
        </is>
      </c>
      <c r="G278" s="24">
        <f>LEN(F278)</f>
        <v/>
      </c>
      <c r="H278" s="24" t="n">
        <v>30</v>
      </c>
      <c r="I278" s="24" t="n">
        <v>36</v>
      </c>
      <c r="J278" s="24">
        <f>IF(F278="","비어 있음",IF(G278&lt;=H278,"OK",IF(G278&lt;=I278,"길이 주의","상한 초과")))</f>
        <v/>
      </c>
      <c r="K278" s="24" t="inlineStr">
        <is>
          <t>초안(10-13) · 외주 검수 예정</t>
        </is>
      </c>
      <c r="L278" s="24" t="n"/>
    </row>
    <row r="279">
      <c r="A279" s="24" t="inlineStr">
        <is>
          <t>PHRASE</t>
        </is>
      </c>
      <c r="B279" s="24" t="inlineStr">
        <is>
          <t>DIET-P-0331</t>
        </is>
      </c>
      <c r="C279" s="24" t="n"/>
      <c r="D279" s="24" t="inlineStr">
        <is>
          <t>1.0.0</t>
        </is>
      </c>
      <c r="E279" s="25">
        <f>INDEX(목표문구!$G$1:$G$1000,MATCH($B279,목표문구!$A$1:$A$1000,0))</f>
        <v/>
      </c>
      <c r="F279" s="25" t="inlineStr">
        <is>
          <t>Make pan-fried tofu</t>
        </is>
      </c>
      <c r="G279" s="24">
        <f>LEN(F279)</f>
        <v/>
      </c>
      <c r="H279" s="24" t="n">
        <v>30</v>
      </c>
      <c r="I279" s="24" t="n">
        <v>36</v>
      </c>
      <c r="J279" s="24">
        <f>IF(F279="","비어 있음",IF(G279&lt;=H279,"OK",IF(G279&lt;=I279,"길이 주의","상한 초과")))</f>
        <v/>
      </c>
      <c r="K279" s="24" t="inlineStr">
        <is>
          <t>초안(10-13) · 외주 검수 예정</t>
        </is>
      </c>
      <c r="L279" s="24" t="n"/>
    </row>
    <row r="280">
      <c r="A280" s="24" t="inlineStr">
        <is>
          <t>PHRASE</t>
        </is>
      </c>
      <c r="B280" s="24" t="inlineStr">
        <is>
          <t>DIET-P-0332</t>
        </is>
      </c>
      <c r="C280" s="24" t="n"/>
      <c r="D280" s="24" t="inlineStr">
        <is>
          <t>1.0.0</t>
        </is>
      </c>
      <c r="E280" s="25">
        <f>INDEX(목표문구!$G$1:$G$1000,MATCH($B280,목표문구!$A$1:$A$1000,0))</f>
        <v/>
      </c>
      <c r="F280" s="25" t="inlineStr">
        <is>
          <t>Set out food to grill</t>
        </is>
      </c>
      <c r="G280" s="24">
        <f>LEN(F280)</f>
        <v/>
      </c>
      <c r="H280" s="24" t="n">
        <v>30</v>
      </c>
      <c r="I280" s="24" t="n">
        <v>36</v>
      </c>
      <c r="J280" s="24">
        <f>IF(F280="","비어 있음",IF(G280&lt;=H280,"OK",IF(G280&lt;=I280,"길이 주의","상한 초과")))</f>
        <v/>
      </c>
      <c r="K280" s="24" t="inlineStr">
        <is>
          <t>초안(10-13) · 외주 검수 예정</t>
        </is>
      </c>
      <c r="L280" s="24" t="n"/>
    </row>
    <row r="281">
      <c r="A281" s="24" t="inlineStr">
        <is>
          <t>PHRASE</t>
        </is>
      </c>
      <c r="B281" s="24" t="inlineStr">
        <is>
          <t>DIET-P-0333</t>
        </is>
      </c>
      <c r="C281" s="24" t="n"/>
      <c r="D281" s="24" t="inlineStr">
        <is>
          <t>1.0.0</t>
        </is>
      </c>
      <c r="E281" s="25">
        <f>INDEX(목표문구!$G$1:$G$1000,MATCH($B281,목표문구!$A$1:$A$1000,0))</f>
        <v/>
      </c>
      <c r="F281" s="25" t="inlineStr">
        <is>
          <t>Steamed potato, not fries</t>
        </is>
      </c>
      <c r="G281" s="24">
        <f>LEN(F281)</f>
        <v/>
      </c>
      <c r="H281" s="24" t="n">
        <v>30</v>
      </c>
      <c r="I281" s="24" t="n">
        <v>36</v>
      </c>
      <c r="J281" s="24">
        <f>IF(F281="","비어 있음",IF(G281&lt;=H281,"OK",IF(G281&lt;=I281,"길이 주의","상한 초과")))</f>
        <v/>
      </c>
      <c r="K281" s="24" t="inlineStr">
        <is>
          <t>초안(10-13) · 외주 검수 예정</t>
        </is>
      </c>
      <c r="L281" s="24" t="n"/>
    </row>
    <row r="282">
      <c r="A282" s="24" t="inlineStr">
        <is>
          <t>PHRASE</t>
        </is>
      </c>
      <c r="B282" s="24" t="inlineStr">
        <is>
          <t>DIET-P-0334</t>
        </is>
      </c>
      <c r="C282" s="24" t="n"/>
      <c r="D282" s="24" t="inlineStr">
        <is>
          <t>1.0.0</t>
        </is>
      </c>
      <c r="E282" s="25">
        <f>INDEX(목표문구!$G$1:$G$1000,MATCH($B282,목표문구!$A$1:$A$1000,0))</f>
        <v/>
      </c>
      <c r="F282" s="25" t="inlineStr">
        <is>
          <t>Steamed fish, not glazed meat</t>
        </is>
      </c>
      <c r="G282" s="24">
        <f>LEN(F282)</f>
        <v/>
      </c>
      <c r="H282" s="24" t="n">
        <v>30</v>
      </c>
      <c r="I282" s="24" t="n">
        <v>36</v>
      </c>
      <c r="J282" s="24">
        <f>IF(F282="","비어 있음",IF(G282&lt;=H282,"OK",IF(G282&lt;=I282,"길이 주의","상한 초과")))</f>
        <v/>
      </c>
      <c r="K282" s="24" t="inlineStr">
        <is>
          <t>초안(10-19)</t>
        </is>
      </c>
      <c r="L282" s="24" t="n"/>
    </row>
    <row r="283">
      <c r="A283" s="24" t="inlineStr">
        <is>
          <t>PHRASE</t>
        </is>
      </c>
      <c r="B283" s="24" t="inlineStr">
        <is>
          <t>DIET-P-0335</t>
        </is>
      </c>
      <c r="C283" s="24" t="n"/>
      <c r="D283" s="24" t="inlineStr">
        <is>
          <t>1.0.0</t>
        </is>
      </c>
      <c r="E283" s="25">
        <f>INDEX(목표문구!$G$1:$G$1000,MATCH($B283,목표문구!$A$1:$A$1000,0))</f>
        <v/>
      </c>
      <c r="F283" s="25" t="inlineStr">
        <is>
          <t>Warm soup with rice</t>
        </is>
      </c>
      <c r="G283" s="24">
        <f>LEN(F283)</f>
        <v/>
      </c>
      <c r="H283" s="24" t="n">
        <v>30</v>
      </c>
      <c r="I283" s="24" t="n">
        <v>36</v>
      </c>
      <c r="J283" s="24">
        <f>IF(F283="","비어 있음",IF(G283&lt;=H283,"OK",IF(G283&lt;=I283,"길이 주의","상한 초과")))</f>
        <v/>
      </c>
      <c r="K283" s="24" t="inlineStr">
        <is>
          <t>초안(10-13) · 외주 검수 예정</t>
        </is>
      </c>
      <c r="L283" s="24" t="n"/>
    </row>
    <row r="284">
      <c r="A284" s="24" t="inlineStr">
        <is>
          <t>PHRASE</t>
        </is>
      </c>
      <c r="B284" s="24" t="inlineStr">
        <is>
          <t>DIET-P-0336</t>
        </is>
      </c>
      <c r="C284" s="24" t="n"/>
      <c r="D284" s="24" t="inlineStr">
        <is>
          <t>1.0.0</t>
        </is>
      </c>
      <c r="E284" s="25">
        <f>INDEX(목표문구!$G$1:$G$1000,MATCH($B284,목표문구!$A$1:$A$1000,0))</f>
        <v/>
      </c>
      <c r="F284" s="25" t="inlineStr">
        <is>
          <t>Write a line about your meal</t>
        </is>
      </c>
      <c r="G284" s="24">
        <f>LEN(F284)</f>
        <v/>
      </c>
      <c r="H284" s="24" t="n">
        <v>30</v>
      </c>
      <c r="I284" s="24" t="n">
        <v>36</v>
      </c>
      <c r="J284" s="24">
        <f>IF(F284="","비어 있음",IF(G284&lt;=H284,"OK",IF(G284&lt;=I284,"길이 주의","상한 초과")))</f>
        <v/>
      </c>
      <c r="K284" s="24" t="inlineStr">
        <is>
          <t>초안(10-13) · 외주 검수 예정</t>
        </is>
      </c>
      <c r="L284" s="24" t="n"/>
    </row>
    <row r="285">
      <c r="A285" s="24" t="inlineStr">
        <is>
          <t>PHRASE</t>
        </is>
      </c>
      <c r="B285" s="24" t="inlineStr">
        <is>
          <t>DIET-P-0337</t>
        </is>
      </c>
      <c r="C285" s="24" t="n"/>
      <c r="D285" s="24" t="inlineStr">
        <is>
          <t>1.0.0</t>
        </is>
      </c>
      <c r="E285" s="25">
        <f>INDEX(목표문구!$G$1:$G$1000,MATCH($B285,목표문구!$A$1:$A$1000,0))</f>
        <v/>
      </c>
      <c r="F285" s="25" t="inlineStr">
        <is>
          <t>Set a lunch alarm for noon</t>
        </is>
      </c>
      <c r="G285" s="24">
        <f>LEN(F285)</f>
        <v/>
      </c>
      <c r="H285" s="24" t="n">
        <v>30</v>
      </c>
      <c r="I285" s="24" t="n">
        <v>36</v>
      </c>
      <c r="J285" s="24">
        <f>IF(F285="","비어 있음",IF(G285&lt;=H285,"OK",IF(G285&lt;=I285,"길이 주의","상한 초과")))</f>
        <v/>
      </c>
      <c r="K285" s="24" t="inlineStr">
        <is>
          <t>초안(10-13) · 외주 검수 예정</t>
        </is>
      </c>
      <c r="L285" s="24" t="n"/>
    </row>
    <row r="286">
      <c r="A286" s="24" t="inlineStr">
        <is>
          <t>PHRASE</t>
        </is>
      </c>
      <c r="B286" s="24" t="inlineStr">
        <is>
          <t>DIET-P-0338</t>
        </is>
      </c>
      <c r="C286" s="24" t="n"/>
      <c r="D286" s="24" t="inlineStr">
        <is>
          <t>1.0.0</t>
        </is>
      </c>
      <c r="E286" s="25">
        <f>INDEX(목표문구!$G$1:$G$1000,MATCH($B286,목표문구!$A$1:$A$1000,0))</f>
        <v/>
      </c>
      <c r="F286" s="25" t="inlineStr">
        <is>
          <t>Add meal times to your calendar</t>
        </is>
      </c>
      <c r="G286" s="24">
        <f>LEN(F286)</f>
        <v/>
      </c>
      <c r="H286" s="24" t="n">
        <v>30</v>
      </c>
      <c r="I286" s="24" t="n">
        <v>36</v>
      </c>
      <c r="J286" s="24">
        <f>IF(F286="","비어 있음",IF(G286&lt;=H286,"OK",IF(G286&lt;=I286,"길이 주의","상한 초과")))</f>
        <v/>
      </c>
      <c r="K286" s="24" t="inlineStr">
        <is>
          <t>초안(10-13) · 외주 검수 예정</t>
        </is>
      </c>
      <c r="L286" s="24" t="n"/>
    </row>
    <row r="287">
      <c r="A287" s="24" t="inlineStr">
        <is>
          <t>PHRASE</t>
        </is>
      </c>
      <c r="B287" s="24" t="inlineStr">
        <is>
          <t>DIET-P-0339</t>
        </is>
      </c>
      <c r="C287" s="24" t="n"/>
      <c r="D287" s="24" t="inlineStr">
        <is>
          <t>1.0.0</t>
        </is>
      </c>
      <c r="E287" s="25">
        <f>INDEX(목표문구!$G$1:$G$1000,MATCH($B287,목표문구!$A$1:$A$1000,0))</f>
        <v/>
      </c>
      <c r="F287" s="25" t="inlineStr">
        <is>
          <t>Eat every 4 hours</t>
        </is>
      </c>
      <c r="G287" s="24">
        <f>LEN(F287)</f>
        <v/>
      </c>
      <c r="H287" s="24" t="n">
        <v>30</v>
      </c>
      <c r="I287" s="24" t="n">
        <v>36</v>
      </c>
      <c r="J287" s="24">
        <f>IF(F287="","비어 있음",IF(G287&lt;=H287,"OK",IF(G287&lt;=I287,"길이 주의","상한 초과")))</f>
        <v/>
      </c>
      <c r="K287" s="24" t="inlineStr">
        <is>
          <t>초안(10-13) · 외주 검수 예정</t>
        </is>
      </c>
      <c r="L287" s="24" t="n"/>
    </row>
    <row r="288">
      <c r="A288" s="24" t="inlineStr">
        <is>
          <t>PHRASE</t>
        </is>
      </c>
      <c r="B288" s="24" t="inlineStr">
        <is>
          <t>DIET-P-0340</t>
        </is>
      </c>
      <c r="C288" s="24" t="n"/>
      <c r="D288" s="24" t="inlineStr">
        <is>
          <t>1.0.0</t>
        </is>
      </c>
      <c r="E288" s="25">
        <f>INDEX(목표문구!$G$1:$G$1000,MATCH($B288,목표문구!$A$1:$A$1000,0))</f>
        <v/>
      </c>
      <c r="F288" s="25" t="inlineStr">
        <is>
          <t>Bring a snack when you go out</t>
        </is>
      </c>
      <c r="G288" s="24">
        <f>LEN(F288)</f>
        <v/>
      </c>
      <c r="H288" s="24" t="n">
        <v>30</v>
      </c>
      <c r="I288" s="24" t="n">
        <v>36</v>
      </c>
      <c r="J288" s="24">
        <f>IF(F288="","비어 있음",IF(G288&lt;=H288,"OK",IF(G288&lt;=I288,"길이 주의","상한 초과")))</f>
        <v/>
      </c>
      <c r="K288" s="24" t="inlineStr">
        <is>
          <t>초안(10-13) · 외주 검수 예정</t>
        </is>
      </c>
      <c r="L288" s="24" t="n"/>
    </row>
    <row r="289">
      <c r="A289" s="24" t="inlineStr">
        <is>
          <t>PHRASE</t>
        </is>
      </c>
      <c r="B289" s="24" t="inlineStr">
        <is>
          <t>DIET-P-0341</t>
        </is>
      </c>
      <c r="C289" s="24" t="n"/>
      <c r="D289" s="24" t="inlineStr">
        <is>
          <t>1.0.0</t>
        </is>
      </c>
      <c r="E289" s="25">
        <f>INDEX(목표문구!$G$1:$G$1000,MATCH($B289,목표문구!$A$1:$A$1000,0))</f>
        <v/>
      </c>
      <c r="F289" s="25" t="inlineStr">
        <is>
          <t>Set out a breakfast bowl</t>
        </is>
      </c>
      <c r="G289" s="24">
        <f>LEN(F289)</f>
        <v/>
      </c>
      <c r="H289" s="24" t="n">
        <v>30</v>
      </c>
      <c r="I289" s="24" t="n">
        <v>36</v>
      </c>
      <c r="J289" s="24">
        <f>IF(F289="","비어 있음",IF(G289&lt;=H289,"OK",IF(G289&lt;=I289,"길이 주의","상한 초과")))</f>
        <v/>
      </c>
      <c r="K289" s="24" t="inlineStr">
        <is>
          <t>초안(10-13) · 외주 검수 예정</t>
        </is>
      </c>
      <c r="L289" s="24" t="n"/>
    </row>
    <row r="290">
      <c r="A290" s="24" t="inlineStr">
        <is>
          <t>PHRASE</t>
        </is>
      </c>
      <c r="B290" s="24" t="inlineStr">
        <is>
          <t>DIET-P-0342</t>
        </is>
      </c>
      <c r="C290" s="24" t="n"/>
      <c r="D290" s="24" t="inlineStr">
        <is>
          <t>1.0.0</t>
        </is>
      </c>
      <c r="E290" s="25">
        <f>INDEX(목표문구!$G$1:$G$1000,MATCH($B290,목표문구!$A$1:$A$1000,0))</f>
        <v/>
      </c>
      <c r="F290" s="25" t="inlineStr">
        <is>
          <t>Think of tomorrow's first meal</t>
        </is>
      </c>
      <c r="G290" s="24">
        <f>LEN(F290)</f>
        <v/>
      </c>
      <c r="H290" s="24" t="n">
        <v>30</v>
      </c>
      <c r="I290" s="24" t="n">
        <v>36</v>
      </c>
      <c r="J290" s="24">
        <f>IF(F290="","비어 있음",IF(G290&lt;=H290,"OK",IF(G290&lt;=I290,"길이 주의","상한 초과")))</f>
        <v/>
      </c>
      <c r="K290" s="24" t="inlineStr">
        <is>
          <t>초안(10-13) · 외주 검수 예정</t>
        </is>
      </c>
      <c r="L290" s="24" t="n"/>
    </row>
    <row r="291">
      <c r="A291" s="24" t="inlineStr">
        <is>
          <t>PHRASE</t>
        </is>
      </c>
      <c r="B291" s="24" t="inlineStr">
        <is>
          <t>DIET-P-0343</t>
        </is>
      </c>
      <c r="C291" s="24" t="n"/>
      <c r="D291" s="24" t="inlineStr">
        <is>
          <t>1.0.0</t>
        </is>
      </c>
      <c r="E291" s="25">
        <f>INDEX(목표문구!$G$1:$G$1000,MATCH($B291,목표문구!$A$1:$A$1000,0))</f>
        <v/>
      </c>
      <c r="F291" s="25" t="inlineStr">
        <is>
          <t>Pick the veggie side first</t>
        </is>
      </c>
      <c r="G291" s="24">
        <f>LEN(F291)</f>
        <v/>
      </c>
      <c r="H291" s="24" t="n">
        <v>30</v>
      </c>
      <c r="I291" s="24" t="n">
        <v>36</v>
      </c>
      <c r="J291" s="24">
        <f>IF(F291="","비어 있음",IF(G291&lt;=H291,"OK",IF(G291&lt;=I291,"길이 주의","상한 초과")))</f>
        <v/>
      </c>
      <c r="K291" s="24" t="inlineStr">
        <is>
          <t>초안(10-13) · 외주 검수 예정</t>
        </is>
      </c>
      <c r="L291" s="24" t="n"/>
    </row>
    <row r="292">
      <c r="A292" s="24" t="inlineStr">
        <is>
          <t>PHRASE</t>
        </is>
      </c>
      <c r="B292" s="24" t="inlineStr">
        <is>
          <t>DIET-P-0344</t>
        </is>
      </c>
      <c r="C292" s="24" t="n"/>
      <c r="D292" s="24" t="inlineStr">
        <is>
          <t>1.0.0</t>
        </is>
      </c>
      <c r="E292" s="25">
        <f>INDEX(목표문구!$G$1:$G$1000,MATCH($B292,목표문구!$A$1:$A$1000,0))</f>
        <v/>
      </c>
      <c r="F292" s="25" t="inlineStr">
        <is>
          <t>Add veggies to noodles</t>
        </is>
      </c>
      <c r="G292" s="24">
        <f>LEN(F292)</f>
        <v/>
      </c>
      <c r="H292" s="24" t="n">
        <v>30</v>
      </c>
      <c r="I292" s="24" t="n">
        <v>36</v>
      </c>
      <c r="J292" s="24">
        <f>IF(F292="","비어 있음",IF(G292&lt;=H292,"OK",IF(G292&lt;=I292,"길이 주의","상한 초과")))</f>
        <v/>
      </c>
      <c r="K292" s="24" t="inlineStr">
        <is>
          <t>초안(10-19)</t>
        </is>
      </c>
      <c r="L292" s="24" t="n"/>
    </row>
    <row r="293">
      <c r="A293" s="24" t="inlineStr">
        <is>
          <t>PHRASE</t>
        </is>
      </c>
      <c r="B293" s="24" t="inlineStr">
        <is>
          <t>DIET-P-0345</t>
        </is>
      </c>
      <c r="C293" s="24" t="n"/>
      <c r="D293" s="24" t="inlineStr">
        <is>
          <t>1.0.0</t>
        </is>
      </c>
      <c r="E293" s="25">
        <f>INDEX(목표문구!$G$1:$G$1000,MATCH($B293,목표문구!$A$1:$A$1000,0))</f>
        <v/>
      </c>
      <c r="F293" s="25" t="inlineStr">
        <is>
          <t>Pick the veggie-rich option</t>
        </is>
      </c>
      <c r="G293" s="24">
        <f>LEN(F293)</f>
        <v/>
      </c>
      <c r="H293" s="24" t="n">
        <v>30</v>
      </c>
      <c r="I293" s="24" t="n">
        <v>36</v>
      </c>
      <c r="J293" s="24">
        <f>IF(F293="","비어 있음",IF(G293&lt;=H293,"OK",IF(G293&lt;=I293,"길이 주의","상한 초과")))</f>
        <v/>
      </c>
      <c r="K293" s="24" t="inlineStr">
        <is>
          <t>초안(10-19)</t>
        </is>
      </c>
      <c r="L293" s="24" t="n"/>
    </row>
    <row r="294">
      <c r="A294" s="24" t="inlineStr">
        <is>
          <t>PHRASE</t>
        </is>
      </c>
      <c r="B294" s="24" t="inlineStr">
        <is>
          <t>DIET-P-0346</t>
        </is>
      </c>
      <c r="C294" s="24" t="n"/>
      <c r="D294" s="24" t="inlineStr">
        <is>
          <t>1.0.0</t>
        </is>
      </c>
      <c r="E294" s="25">
        <f>INDEX(목표문구!$G$1:$G$1000,MATCH($B294,목표문구!$A$1:$A$1000,0))</f>
        <v/>
      </c>
      <c r="F294" s="25" t="inlineStr">
        <is>
          <t>Pack cucumber or carrot sticks</t>
        </is>
      </c>
      <c r="G294" s="24">
        <f>LEN(F294)</f>
        <v/>
      </c>
      <c r="H294" s="24" t="n">
        <v>30</v>
      </c>
      <c r="I294" s="24" t="n">
        <v>36</v>
      </c>
      <c r="J294" s="24">
        <f>IF(F294="","비어 있음",IF(G294&lt;=H294,"OK",IF(G294&lt;=I294,"길이 주의","상한 초과")))</f>
        <v/>
      </c>
      <c r="K294" s="24" t="inlineStr">
        <is>
          <t>초안(10-13) · 외주 검수 예정</t>
        </is>
      </c>
      <c r="L294" s="24" t="n"/>
    </row>
    <row r="295">
      <c r="A295" s="24" t="inlineStr">
        <is>
          <t>PHRASE</t>
        </is>
      </c>
      <c r="B295" s="24" t="inlineStr">
        <is>
          <t>DIET-P-0347</t>
        </is>
      </c>
      <c r="C295" s="24" t="n"/>
      <c r="D295" s="24" t="inlineStr">
        <is>
          <t>1.0.0</t>
        </is>
      </c>
      <c r="E295" s="25">
        <f>INDEX(목표문구!$G$1:$G$1000,MATCH($B295,목표문구!$A$1:$A$1000,0))</f>
        <v/>
      </c>
      <c r="F295" s="25" t="inlineStr">
        <is>
          <t>Prep veggies for tomorrow</t>
        </is>
      </c>
      <c r="G295" s="24">
        <f>LEN(F295)</f>
        <v/>
      </c>
      <c r="H295" s="24" t="n">
        <v>30</v>
      </c>
      <c r="I295" s="24" t="n">
        <v>36</v>
      </c>
      <c r="J295" s="24">
        <f>IF(F295="","비어 있음",IF(G295&lt;=H295,"OK",IF(G295&lt;=I295,"길이 주의","상한 초과")))</f>
        <v/>
      </c>
      <c r="K295" s="24" t="inlineStr">
        <is>
          <t>초안(10-13) · 외주 검수 예정</t>
        </is>
      </c>
      <c r="L295" s="24" t="n"/>
    </row>
    <row r="296">
      <c r="A296" s="24" t="inlineStr">
        <is>
          <t>PHRASE</t>
        </is>
      </c>
      <c r="B296" s="24" t="inlineStr">
        <is>
          <t>DIET-P-0348</t>
        </is>
      </c>
      <c r="C296" s="24" t="n"/>
      <c r="D296" s="24" t="inlineStr">
        <is>
          <t>1.0.0</t>
        </is>
      </c>
      <c r="E296" s="25">
        <f>INDEX(목표문구!$G$1:$G$1000,MATCH($B296,목표문구!$A$1:$A$1000,0))</f>
        <v/>
      </c>
      <c r="F296" s="25" t="inlineStr">
        <is>
          <t>Wash salad greens ahead</t>
        </is>
      </c>
      <c r="G296" s="24">
        <f>LEN(F296)</f>
        <v/>
      </c>
      <c r="H296" s="24" t="n">
        <v>30</v>
      </c>
      <c r="I296" s="24" t="n">
        <v>36</v>
      </c>
      <c r="J296" s="24">
        <f>IF(F296="","비어 있음",IF(G296&lt;=H296,"OK",IF(G296&lt;=I296,"길이 주의","상한 초과")))</f>
        <v/>
      </c>
      <c r="K296" s="24" t="inlineStr">
        <is>
          <t>초안(10-13) · 외주 검수 예정</t>
        </is>
      </c>
      <c r="L296" s="24" t="n"/>
    </row>
    <row r="297">
      <c r="A297" s="24" t="inlineStr">
        <is>
          <t>PHRASE</t>
        </is>
      </c>
      <c r="B297" s="24" t="inlineStr">
        <is>
          <t>DIET-P-0349</t>
        </is>
      </c>
      <c r="C297" s="24" t="n"/>
      <c r="D297" s="24" t="inlineStr">
        <is>
          <t>1.0.0</t>
        </is>
      </c>
      <c r="E297" s="25">
        <f>INDEX(목표문구!$G$1:$G$1000,MATCH($B297,목표문구!$A$1:$A$1000,0))</f>
        <v/>
      </c>
      <c r="F297" s="25" t="inlineStr">
        <is>
          <t>Order coffee without syrup</t>
        </is>
      </c>
      <c r="G297" s="24">
        <f>LEN(F297)</f>
        <v/>
      </c>
      <c r="H297" s="24" t="n">
        <v>30</v>
      </c>
      <c r="I297" s="24" t="n">
        <v>36</v>
      </c>
      <c r="J297" s="24">
        <f>IF(F297="","비어 있음",IF(G297&lt;=H297,"OK",IF(G297&lt;=I297,"길이 주의","상한 초과")))</f>
        <v/>
      </c>
      <c r="K297" s="24" t="inlineStr">
        <is>
          <t>초안(10-13) · 외주 검수 예정</t>
        </is>
      </c>
      <c r="L297" s="24" t="n"/>
    </row>
    <row r="298">
      <c r="A298" s="24" t="inlineStr">
        <is>
          <t>PHRASE</t>
        </is>
      </c>
      <c r="B298" s="24" t="inlineStr">
        <is>
          <t>DIET-P-0350</t>
        </is>
      </c>
      <c r="C298" s="24" t="n"/>
      <c r="D298" s="24" t="inlineStr">
        <is>
          <t>1.0.0</t>
        </is>
      </c>
      <c r="E298" s="25">
        <f>INDEX(목표문구!$G$1:$G$1000,MATCH($B298,목표문구!$A$1:$A$1000,0))</f>
        <v/>
      </c>
      <c r="F298" s="25" t="inlineStr">
        <is>
          <t>Choose unsweetened drinks</t>
        </is>
      </c>
      <c r="G298" s="24">
        <f>LEN(F298)</f>
        <v/>
      </c>
      <c r="H298" s="24" t="n">
        <v>30</v>
      </c>
      <c r="I298" s="24" t="n">
        <v>36</v>
      </c>
      <c r="J298" s="24">
        <f>IF(F298="","비어 있음",IF(G298&lt;=H298,"OK",IF(G298&lt;=I298,"길이 주의","상한 초과")))</f>
        <v/>
      </c>
      <c r="K298" s="24" t="inlineStr">
        <is>
          <t>초안(10-13) · 외주 검수 예정</t>
        </is>
      </c>
      <c r="L298" s="24" t="n"/>
    </row>
    <row r="299">
      <c r="A299" s="24" t="inlineStr">
        <is>
          <t>PHRASE</t>
        </is>
      </c>
      <c r="B299" s="24" t="inlineStr">
        <is>
          <t>DIET-P-0351</t>
        </is>
      </c>
      <c r="C299" s="24" t="n"/>
      <c r="D299" s="24" t="inlineStr">
        <is>
          <t>1.0.0</t>
        </is>
      </c>
      <c r="E299" s="25">
        <f>INDEX(목표문구!$G$1:$G$1000,MATCH($B299,목표문구!$A$1:$A$1000,0))</f>
        <v/>
      </c>
      <c r="F299" s="25" t="inlineStr">
        <is>
          <t>Pick a less sweet bread</t>
        </is>
      </c>
      <c r="G299" s="24">
        <f>LEN(F299)</f>
        <v/>
      </c>
      <c r="H299" s="24" t="n">
        <v>30</v>
      </c>
      <c r="I299" s="24" t="n">
        <v>36</v>
      </c>
      <c r="J299" s="24">
        <f>IF(F299="","비어 있음",IF(G299&lt;=H299,"OK",IF(G299&lt;=I299,"길이 주의","상한 초과")))</f>
        <v/>
      </c>
      <c r="K299" s="24" t="inlineStr">
        <is>
          <t>초안(10-13) · 외주 검수 예정</t>
        </is>
      </c>
      <c r="L299" s="24" t="n"/>
    </row>
    <row r="300">
      <c r="A300" s="24" t="inlineStr">
        <is>
          <t>PHRASE</t>
        </is>
      </c>
      <c r="B300" s="24" t="inlineStr">
        <is>
          <t>DIET-P-0352</t>
        </is>
      </c>
      <c r="C300" s="24" t="n"/>
      <c r="D300" s="24" t="inlineStr">
        <is>
          <t>1.0.0</t>
        </is>
      </c>
      <c r="E300" s="25">
        <f>INDEX(목표문구!$G$1:$G$1000,MATCH($B300,목표문구!$A$1:$A$1000,0))</f>
        <v/>
      </c>
      <c r="F300" s="25" t="inlineStr">
        <is>
          <t>Carry a water bottle</t>
        </is>
      </c>
      <c r="G300" s="24">
        <f>LEN(F300)</f>
        <v/>
      </c>
      <c r="H300" s="24" t="n">
        <v>30</v>
      </c>
      <c r="I300" s="24" t="n">
        <v>36</v>
      </c>
      <c r="J300" s="24">
        <f>IF(F300="","비어 있음",IF(G300&lt;=H300,"OK",IF(G300&lt;=I300,"길이 주의","상한 초과")))</f>
        <v/>
      </c>
      <c r="K300" s="24" t="inlineStr">
        <is>
          <t>초안(10-13) · 외주 검수 예정</t>
        </is>
      </c>
      <c r="L300" s="24" t="n"/>
    </row>
    <row r="301">
      <c r="A301" s="24" t="inlineStr">
        <is>
          <t>PHRASE</t>
        </is>
      </c>
      <c r="B301" s="24" t="inlineStr">
        <is>
          <t>DIET-P-0353</t>
        </is>
      </c>
      <c r="C301" s="24" t="n"/>
      <c r="D301" s="24" t="inlineStr">
        <is>
          <t>1.0.0</t>
        </is>
      </c>
      <c r="E301" s="25">
        <f>INDEX(목표문구!$G$1:$G$1000,MATCH($B301,목표문구!$A$1:$A$1000,0))</f>
        <v/>
      </c>
      <c r="F301" s="25" t="inlineStr">
        <is>
          <t>Brew barley tea ahead</t>
        </is>
      </c>
      <c r="G301" s="24">
        <f>LEN(F301)</f>
        <v/>
      </c>
      <c r="H301" s="24" t="n">
        <v>30</v>
      </c>
      <c r="I301" s="24" t="n">
        <v>36</v>
      </c>
      <c r="J301" s="24">
        <f>IF(F301="","비어 있음",IF(G301&lt;=H301,"OK",IF(G301&lt;=I301,"길이 주의","상한 초과")))</f>
        <v/>
      </c>
      <c r="K301" s="24" t="inlineStr">
        <is>
          <t>초안(10-13) · 외주 검수 예정</t>
        </is>
      </c>
      <c r="L301" s="24" t="n"/>
    </row>
    <row r="302">
      <c r="A302" s="24" t="inlineStr">
        <is>
          <t>PHRASE</t>
        </is>
      </c>
      <c r="B302" s="24" t="inlineStr">
        <is>
          <t>DIET-P-0354</t>
        </is>
      </c>
      <c r="C302" s="24" t="n"/>
      <c r="D302" s="24" t="inlineStr">
        <is>
          <t>1.0.0</t>
        </is>
      </c>
      <c r="E302" s="25">
        <f>INDEX(목표문구!$G$1:$G$1000,MATCH($B302,목표문구!$A$1:$A$1000,0))</f>
        <v/>
      </c>
      <c r="F302" s="25" t="inlineStr">
        <is>
          <t>Shop without sweet snacks</t>
        </is>
      </c>
      <c r="G302" s="24">
        <f>LEN(F302)</f>
        <v/>
      </c>
      <c r="H302" s="24" t="n">
        <v>30</v>
      </c>
      <c r="I302" s="24" t="n">
        <v>36</v>
      </c>
      <c r="J302" s="24">
        <f>IF(F302="","비어 있음",IF(G302&lt;=H302,"OK",IF(G302&lt;=I302,"길이 주의","상한 초과")))</f>
        <v/>
      </c>
      <c r="K302" s="24" t="inlineStr">
        <is>
          <t>초안(10-13) · 외주 검수 예정</t>
        </is>
      </c>
      <c r="L302" s="24" t="n"/>
    </row>
    <row r="303">
      <c r="A303" s="24" t="inlineStr">
        <is>
          <t>PHRASE</t>
        </is>
      </c>
      <c r="B303" s="24" t="inlineStr">
        <is>
          <t>DIET-P-0355</t>
        </is>
      </c>
      <c r="C303" s="24" t="n"/>
      <c r="D303" s="24" t="inlineStr">
        <is>
          <t>1.0.0</t>
        </is>
      </c>
      <c r="E303" s="25">
        <f>INDEX(목표문구!$G$1:$G$1000,MATCH($B303,목표문구!$A$1:$A$1000,0))</f>
        <v/>
      </c>
      <c r="F303" s="25" t="inlineStr">
        <is>
          <t>Eat soup solids first</t>
        </is>
      </c>
      <c r="G303" s="24">
        <f>LEN(F303)</f>
        <v/>
      </c>
      <c r="H303" s="24" t="n">
        <v>30</v>
      </c>
      <c r="I303" s="24" t="n">
        <v>36</v>
      </c>
      <c r="J303" s="24">
        <f>IF(F303="","비어 있음",IF(G303&lt;=H303,"OK",IF(G303&lt;=I303,"길이 주의","상한 초과")))</f>
        <v/>
      </c>
      <c r="K303" s="24" t="inlineStr">
        <is>
          <t>초안(10-13) · 외주 검수 예정</t>
        </is>
      </c>
      <c r="L303" s="24" t="n"/>
    </row>
    <row r="304">
      <c r="A304" s="24" t="inlineStr">
        <is>
          <t>PHRASE</t>
        </is>
      </c>
      <c r="B304" s="24" t="inlineStr">
        <is>
          <t>DIET-P-0356</t>
        </is>
      </c>
      <c r="C304" s="24" t="n"/>
      <c r="D304" s="24" t="inlineStr">
        <is>
          <t>1.0.0</t>
        </is>
      </c>
      <c r="E304" s="25">
        <f>INDEX(목표문구!$G$1:$G$1000,MATCH($B304,목표문구!$A$1:$A$1000,0))</f>
        <v/>
      </c>
      <c r="F304" s="25" t="inlineStr">
        <is>
          <t>Skip the extra salt</t>
        </is>
      </c>
      <c r="G304" s="24">
        <f>LEN(F304)</f>
        <v/>
      </c>
      <c r="H304" s="24" t="n">
        <v>30</v>
      </c>
      <c r="I304" s="24" t="n">
        <v>36</v>
      </c>
      <c r="J304" s="24">
        <f>IF(F304="","비어 있음",IF(G304&lt;=H304,"OK",IF(G304&lt;=I304,"길이 주의","상한 초과")))</f>
        <v/>
      </c>
      <c r="K304" s="24" t="inlineStr">
        <is>
          <t>초안(10-13) · 외주 검수 예정</t>
        </is>
      </c>
      <c r="L304" s="24" t="n"/>
    </row>
    <row r="305">
      <c r="A305" s="24" t="inlineStr">
        <is>
          <t>PHRASE</t>
        </is>
      </c>
      <c r="B305" s="24" t="inlineStr">
        <is>
          <t>DIET-P-0357</t>
        </is>
      </c>
      <c r="C305" s="24" t="n"/>
      <c r="D305" s="24" t="inlineStr">
        <is>
          <t>1.0.0</t>
        </is>
      </c>
      <c r="E305" s="25">
        <f>INDEX(목표문구!$G$1:$G$1000,MATCH($B305,목표문구!$A$1:$A$1000,0))</f>
        <v/>
      </c>
      <c r="F305" s="25" t="inlineStr">
        <is>
          <t>Dip in sauce just once</t>
        </is>
      </c>
      <c r="G305" s="24">
        <f>LEN(F305)</f>
        <v/>
      </c>
      <c r="H305" s="24" t="n">
        <v>30</v>
      </c>
      <c r="I305" s="24" t="n">
        <v>36</v>
      </c>
      <c r="J305" s="24">
        <f>IF(F305="","비어 있음",IF(G305&lt;=H305,"OK",IF(G305&lt;=I305,"길이 주의","상한 초과")))</f>
        <v/>
      </c>
      <c r="K305" s="24" t="inlineStr">
        <is>
          <t>초안(10-13) · 외주 검수 예정</t>
        </is>
      </c>
      <c r="L305" s="24" t="n"/>
    </row>
    <row r="306">
      <c r="A306" s="24" t="inlineStr">
        <is>
          <t>PHRASE</t>
        </is>
      </c>
      <c r="B306" s="24" t="inlineStr">
        <is>
          <t>DIET-P-0358</t>
        </is>
      </c>
      <c r="C306" s="24" t="n"/>
      <c r="D306" s="24" t="inlineStr">
        <is>
          <t>1.0.0</t>
        </is>
      </c>
      <c r="E306" s="25">
        <f>INDEX(목표문구!$G$1:$G$1000,MATCH($B306,목표문구!$A$1:$A$1000,0))</f>
        <v/>
      </c>
      <c r="F306" s="25" t="inlineStr">
        <is>
          <t>Make soup less salty</t>
        </is>
      </c>
      <c r="G306" s="24">
        <f>LEN(F306)</f>
        <v/>
      </c>
      <c r="H306" s="24" t="n">
        <v>30</v>
      </c>
      <c r="I306" s="24" t="n">
        <v>36</v>
      </c>
      <c r="J306" s="24">
        <f>IF(F306="","비어 있음",IF(G306&lt;=H306,"OK",IF(G306&lt;=I306,"길이 주의","상한 초과")))</f>
        <v/>
      </c>
      <c r="K306" s="24" t="inlineStr">
        <is>
          <t>초안(10-13) · 외주 검수 예정</t>
        </is>
      </c>
      <c r="L306" s="24" t="n"/>
    </row>
    <row r="307">
      <c r="A307" s="24" t="inlineStr">
        <is>
          <t>PHRASE</t>
        </is>
      </c>
      <c r="B307" s="24" t="inlineStr">
        <is>
          <t>DIET-P-0359</t>
        </is>
      </c>
      <c r="C307" s="24" t="n"/>
      <c r="D307" s="24" t="inlineStr">
        <is>
          <t>1.0.0</t>
        </is>
      </c>
      <c r="E307" s="25">
        <f>INDEX(목표문구!$G$1:$G$1000,MATCH($B307,목표문구!$A$1:$A$1000,0))</f>
        <v/>
      </c>
      <c r="F307" s="25" t="inlineStr">
        <is>
          <t>Clear soup tomorrow</t>
        </is>
      </c>
      <c r="G307" s="24">
        <f>LEN(F307)</f>
        <v/>
      </c>
      <c r="H307" s="24" t="n">
        <v>30</v>
      </c>
      <c r="I307" s="24" t="n">
        <v>36</v>
      </c>
      <c r="J307" s="24">
        <f>IF(F307="","비어 있음",IF(G307&lt;=H307,"OK",IF(G307&lt;=I307,"길이 주의","상한 초과")))</f>
        <v/>
      </c>
      <c r="K307" s="24" t="inlineStr">
        <is>
          <t>초안(10-19)</t>
        </is>
      </c>
      <c r="L307" s="24" t="n"/>
    </row>
    <row r="308">
      <c r="A308" s="24" t="inlineStr">
        <is>
          <t>PHRASE</t>
        </is>
      </c>
      <c r="B308" s="24" t="inlineStr">
        <is>
          <t>DIET-P-0360</t>
        </is>
      </c>
      <c r="C308" s="24" t="n"/>
      <c r="D308" s="24" t="inlineStr">
        <is>
          <t>1.0.0</t>
        </is>
      </c>
      <c r="E308" s="25">
        <f>INDEX(목표문구!$G$1:$G$1000,MATCH($B308,목표문구!$A$1:$A$1000,0))</f>
        <v/>
      </c>
      <c r="F308" s="25" t="inlineStr">
        <is>
          <t>Buy low-sodium soy sauce</t>
        </is>
      </c>
      <c r="G308" s="24">
        <f>LEN(F308)</f>
        <v/>
      </c>
      <c r="H308" s="24" t="n">
        <v>30</v>
      </c>
      <c r="I308" s="24" t="n">
        <v>36</v>
      </c>
      <c r="J308" s="24">
        <f>IF(F308="","비어 있음",IF(G308&lt;=H308,"OK",IF(G308&lt;=I308,"길이 주의","상한 초과")))</f>
        <v/>
      </c>
      <c r="K308" s="24" t="inlineStr">
        <is>
          <t>초안(10-13) · 외주 검수 예정</t>
        </is>
      </c>
      <c r="L308" s="24" t="n"/>
    </row>
    <row r="309">
      <c r="A309" s="24" t="inlineStr">
        <is>
          <t>PHRASE</t>
        </is>
      </c>
      <c r="B309" s="24" t="inlineStr">
        <is>
          <t>DIET-P-0361</t>
        </is>
      </c>
      <c r="C309" s="24" t="n"/>
      <c r="D309" s="24" t="inlineStr">
        <is>
          <t>1.0.0</t>
        </is>
      </c>
      <c r="E309" s="25">
        <f>INDEX(목표문구!$G$1:$G$1000,MATCH($B309,목표문구!$A$1:$A$1000,0))</f>
        <v/>
      </c>
      <c r="F309" s="25" t="inlineStr">
        <is>
          <t>Set a snack time</t>
        </is>
      </c>
      <c r="G309" s="24">
        <f>LEN(F309)</f>
        <v/>
      </c>
      <c r="H309" s="24" t="n">
        <v>30</v>
      </c>
      <c r="I309" s="24" t="n">
        <v>36</v>
      </c>
      <c r="J309" s="24">
        <f>IF(F309="","비어 있음",IF(G309&lt;=H309,"OK",IF(G309&lt;=I309,"길이 주의","상한 초과")))</f>
        <v/>
      </c>
      <c r="K309" s="24" t="inlineStr">
        <is>
          <t>초안(10-13) · 외주 검수 예정</t>
        </is>
      </c>
      <c r="L309" s="24" t="n"/>
    </row>
    <row r="310">
      <c r="A310" s="24" t="inlineStr">
        <is>
          <t>PHRASE</t>
        </is>
      </c>
      <c r="B310" s="24" t="inlineStr">
        <is>
          <t>DIET-P-0362</t>
        </is>
      </c>
      <c r="C310" s="24" t="n"/>
      <c r="D310" s="24" t="inlineStr">
        <is>
          <t>1.0.0</t>
        </is>
      </c>
      <c r="E310" s="25">
        <f>INDEX(목표문구!$G$1:$G$1000,MATCH($B310,목표문구!$A$1:$A$1000,0))</f>
        <v/>
      </c>
      <c r="F310" s="25" t="inlineStr">
        <is>
          <t>Set your dinner time ahead</t>
        </is>
      </c>
      <c r="G310" s="24">
        <f>LEN(F310)</f>
        <v/>
      </c>
      <c r="H310" s="24" t="n">
        <v>30</v>
      </c>
      <c r="I310" s="24" t="n">
        <v>36</v>
      </c>
      <c r="J310" s="24">
        <f>IF(F310="","비어 있음",IF(G310&lt;=H310,"OK",IF(G310&lt;=I310,"길이 주의","상한 초과")))</f>
        <v/>
      </c>
      <c r="K310" s="24" t="inlineStr">
        <is>
          <t>초안(10-13) · 외주 검수 예정</t>
        </is>
      </c>
      <c r="L310" s="24" t="n"/>
    </row>
    <row r="311">
      <c r="A311" s="24" t="inlineStr">
        <is>
          <t>PHRASE</t>
        </is>
      </c>
      <c r="B311" s="24" t="inlineStr">
        <is>
          <t>DIET-P-0363</t>
        </is>
      </c>
      <c r="C311" s="24" t="n"/>
      <c r="D311" s="24" t="inlineStr">
        <is>
          <t>1.0.0</t>
        </is>
      </c>
      <c r="E311" s="25">
        <f>INDEX(목표문구!$G$1:$G$1000,MATCH($B311,목표문구!$A$1:$A$1000,0))</f>
        <v/>
      </c>
      <c r="F311" s="25" t="inlineStr">
        <is>
          <t>Make time for breakfast</t>
        </is>
      </c>
      <c r="G311" s="24">
        <f>LEN(F311)</f>
        <v/>
      </c>
      <c r="H311" s="24" t="n">
        <v>30</v>
      </c>
      <c r="I311" s="24" t="n">
        <v>36</v>
      </c>
      <c r="J311" s="24">
        <f>IF(F311="","비어 있음",IF(G311&lt;=H311,"OK",IF(G311&lt;=I311,"길이 주의","상한 초과")))</f>
        <v/>
      </c>
      <c r="K311" s="24" t="inlineStr">
        <is>
          <t>초안(10-13) · 외주 검수 예정</t>
        </is>
      </c>
      <c r="L311" s="24" t="n"/>
    </row>
    <row r="312">
      <c r="A312" s="24" t="inlineStr">
        <is>
          <t>PHRASE</t>
        </is>
      </c>
      <c r="B312" s="24" t="inlineStr">
        <is>
          <t>DIET-P-0364</t>
        </is>
      </c>
      <c r="C312" s="24" t="n"/>
      <c r="D312" s="24" t="inlineStr">
        <is>
          <t>1.0.0</t>
        </is>
      </c>
      <c r="E312" s="25">
        <f>INDEX(목표문구!$G$1:$G$1000,MATCH($B312,목표문구!$A$1:$A$1000,0))</f>
        <v/>
      </c>
      <c r="F312" s="25" t="inlineStr">
        <is>
          <t>Eat at regular times</t>
        </is>
      </c>
      <c r="G312" s="24">
        <f>LEN(F312)</f>
        <v/>
      </c>
      <c r="H312" s="24" t="n">
        <v>30</v>
      </c>
      <c r="I312" s="24" t="n">
        <v>36</v>
      </c>
      <c r="J312" s="24">
        <f>IF(F312="","비어 있음",IF(G312&lt;=H312,"OK",IF(G312&lt;=I312,"길이 주의","상한 초과")))</f>
        <v/>
      </c>
      <c r="K312" s="24" t="inlineStr">
        <is>
          <t>초안(10-13) · 외주 검수 예정</t>
        </is>
      </c>
      <c r="L312" s="24" t="n"/>
    </row>
    <row r="313">
      <c r="A313" s="24" t="inlineStr">
        <is>
          <t>PHRASE</t>
        </is>
      </c>
      <c r="B313" s="24" t="inlineStr">
        <is>
          <t>DIET-P-0365</t>
        </is>
      </c>
      <c r="C313" s="24" t="n"/>
      <c r="D313" s="24" t="inlineStr">
        <is>
          <t>1.0.0</t>
        </is>
      </c>
      <c r="E313" s="25">
        <f>INDEX(목표문구!$G$1:$G$1000,MATCH($B313,목표문구!$A$1:$A$1000,0))</f>
        <v/>
      </c>
      <c r="F313" s="25" t="inlineStr">
        <is>
          <t>Water instead of a late snack</t>
        </is>
      </c>
      <c r="G313" s="24">
        <f>LEN(F313)</f>
        <v/>
      </c>
      <c r="H313" s="24" t="n">
        <v>30</v>
      </c>
      <c r="I313" s="24" t="n">
        <v>36</v>
      </c>
      <c r="J313" s="24">
        <f>IF(F313="","비어 있음",IF(G313&lt;=H313,"OK",IF(G313&lt;=I313,"길이 주의","상한 초과")))</f>
        <v/>
      </c>
      <c r="K313" s="24" t="inlineStr">
        <is>
          <t>초안(10-13) · 외주 검수 예정</t>
        </is>
      </c>
      <c r="L313" s="24" t="n"/>
    </row>
    <row r="314">
      <c r="A314" s="24" t="inlineStr">
        <is>
          <t>PHRASE</t>
        </is>
      </c>
      <c r="B314" s="24" t="inlineStr">
        <is>
          <t>DIET-P-0366</t>
        </is>
      </c>
      <c r="C314" s="24" t="n"/>
      <c r="D314" s="24" t="inlineStr">
        <is>
          <t>1.0.0</t>
        </is>
      </c>
      <c r="E314" s="25">
        <f>INDEX(목표문구!$G$1:$G$1000,MATCH($B314,목표문구!$A$1:$A$1000,0))</f>
        <v/>
      </c>
      <c r="F314" s="25" t="inlineStr">
        <is>
          <t>Go to bed without a late snack</t>
        </is>
      </c>
      <c r="G314" s="24">
        <f>LEN(F314)</f>
        <v/>
      </c>
      <c r="H314" s="24" t="n">
        <v>30</v>
      </c>
      <c r="I314" s="24" t="n">
        <v>36</v>
      </c>
      <c r="J314" s="24">
        <f>IF(F314="","비어 있음",IF(G314&lt;=H314,"OK",IF(G314&lt;=I314,"길이 주의","상한 초과")))</f>
        <v/>
      </c>
      <c r="K314" s="24" t="inlineStr">
        <is>
          <t>초안(10-13) · 외주 검수 예정</t>
        </is>
      </c>
      <c r="L314" s="24" t="n"/>
    </row>
    <row r="315">
      <c r="A315" s="24" t="inlineStr">
        <is>
          <t>PHRASE</t>
        </is>
      </c>
      <c r="B315" s="24" t="inlineStr">
        <is>
          <t>DIET-P-0367</t>
        </is>
      </c>
      <c r="C315" s="24" t="n"/>
      <c r="D315" s="24" t="inlineStr">
        <is>
          <t>1.0.0</t>
        </is>
      </c>
      <c r="E315" s="25">
        <f>INDEX(목표문구!$G$1:$G$1000,MATCH($B315,목표문구!$A$1:$A$1000,0))</f>
        <v/>
      </c>
      <c r="F315" s="25" t="inlineStr">
        <is>
          <t>Pause 10 seconds per bite</t>
        </is>
      </c>
      <c r="G315" s="24">
        <f>LEN(F315)</f>
        <v/>
      </c>
      <c r="H315" s="24" t="n">
        <v>30</v>
      </c>
      <c r="I315" s="24" t="n">
        <v>36</v>
      </c>
      <c r="J315" s="24">
        <f>IF(F315="","비어 있음",IF(G315&lt;=H315,"OK",IF(G315&lt;=I315,"길이 주의","상한 초과")))</f>
        <v/>
      </c>
      <c r="K315" s="24" t="inlineStr">
        <is>
          <t>초안(10-13) · 외주 검수 예정</t>
        </is>
      </c>
      <c r="L315" s="24" t="n"/>
    </row>
    <row r="316">
      <c r="A316" s="24" t="inlineStr">
        <is>
          <t>PHRASE</t>
        </is>
      </c>
      <c r="B316" s="24" t="inlineStr">
        <is>
          <t>DIET-P-0368</t>
        </is>
      </c>
      <c r="C316" s="24" t="n"/>
      <c r="D316" s="24" t="inlineStr">
        <is>
          <t>1.0.0</t>
        </is>
      </c>
      <c r="E316" s="25">
        <f>INDEX(목표문구!$G$1:$G$1000,MATCH($B316,목표문구!$A$1:$A$1000,0))</f>
        <v/>
      </c>
      <c r="F316" s="25" t="inlineStr">
        <is>
          <t>Pause with a sip of water</t>
        </is>
      </c>
      <c r="G316" s="24">
        <f>LEN(F316)</f>
        <v/>
      </c>
      <c r="H316" s="24" t="n">
        <v>30</v>
      </c>
      <c r="I316" s="24" t="n">
        <v>36</v>
      </c>
      <c r="J316" s="24">
        <f>IF(F316="","비어 있음",IF(G316&lt;=H316,"OK",IF(G316&lt;=I316,"길이 주의","상한 초과")))</f>
        <v/>
      </c>
      <c r="K316" s="24" t="inlineStr">
        <is>
          <t>초안(10-13) · 외주 검수 예정</t>
        </is>
      </c>
      <c r="L316" s="24" t="n"/>
    </row>
    <row r="317">
      <c r="A317" s="24" t="inlineStr">
        <is>
          <t>PHRASE</t>
        </is>
      </c>
      <c r="B317" s="24" t="inlineStr">
        <is>
          <t>DIET-P-0369</t>
        </is>
      </c>
      <c r="C317" s="24" t="n"/>
      <c r="D317" s="24" t="inlineStr">
        <is>
          <t>1.0.0</t>
        </is>
      </c>
      <c r="E317" s="25">
        <f>INDEX(목표문구!$G$1:$G$1000,MATCH($B317,목표문구!$A$1:$A$1000,0))</f>
        <v/>
      </c>
      <c r="F317" s="25" t="inlineStr">
        <is>
          <t>Use your usual rice bowl</t>
        </is>
      </c>
      <c r="G317" s="24">
        <f>LEN(F317)</f>
        <v/>
      </c>
      <c r="H317" s="24" t="n">
        <v>30</v>
      </c>
      <c r="I317" s="24" t="n">
        <v>36</v>
      </c>
      <c r="J317" s="24">
        <f>IF(F317="","비어 있음",IF(G317&lt;=H317,"OK",IF(G317&lt;=I317,"길이 주의","상한 초과")))</f>
        <v/>
      </c>
      <c r="K317" s="24" t="inlineStr">
        <is>
          <t>초안(10-13) · 외주 검수 예정</t>
        </is>
      </c>
      <c r="L317" s="24" t="n"/>
    </row>
    <row r="318">
      <c r="A318" s="24" t="inlineStr">
        <is>
          <t>PHRASE</t>
        </is>
      </c>
      <c r="B318" s="24" t="inlineStr">
        <is>
          <t>DIET-P-0370</t>
        </is>
      </c>
      <c r="C318" s="24" t="n"/>
      <c r="D318" s="24" t="inlineStr">
        <is>
          <t>1.0.0</t>
        </is>
      </c>
      <c r="E318" s="25">
        <f>INDEX(목표문구!$G$1:$G$1000,MATCH($B318,목표문구!$A$1:$A$1000,0))</f>
        <v/>
      </c>
      <c r="F318" s="25" t="inlineStr">
        <is>
          <t>Check how hungry you are</t>
        </is>
      </c>
      <c r="G318" s="24">
        <f>LEN(F318)</f>
        <v/>
      </c>
      <c r="H318" s="24" t="n">
        <v>30</v>
      </c>
      <c r="I318" s="24" t="n">
        <v>36</v>
      </c>
      <c r="J318" s="24">
        <f>IF(F318="","비어 있음",IF(G318&lt;=H318,"OK",IF(G318&lt;=I318,"길이 주의","상한 초과")))</f>
        <v/>
      </c>
      <c r="K318" s="24" t="inlineStr">
        <is>
          <t>초안(10-13) · 외주 검수 예정</t>
        </is>
      </c>
      <c r="L318" s="24" t="n"/>
    </row>
    <row r="319">
      <c r="A319" s="24" t="inlineStr">
        <is>
          <t>PHRASE</t>
        </is>
      </c>
      <c r="B319" s="24" t="inlineStr">
        <is>
          <t>DIET-P-0371</t>
        </is>
      </c>
      <c r="C319" s="24" t="n"/>
      <c r="D319" s="24" t="inlineStr">
        <is>
          <t>1.0.0</t>
        </is>
      </c>
      <c r="E319" s="25">
        <f>INDEX(목표문구!$G$1:$G$1000,MATCH($B319,목표문구!$A$1:$A$1000,0))</f>
        <v/>
      </c>
      <c r="F319" s="25" t="inlineStr">
        <is>
          <t>Reflect on how full you got</t>
        </is>
      </c>
      <c r="G319" s="24">
        <f>LEN(F319)</f>
        <v/>
      </c>
      <c r="H319" s="24" t="n">
        <v>30</v>
      </c>
      <c r="I319" s="24" t="n">
        <v>36</v>
      </c>
      <c r="J319" s="24">
        <f>IF(F319="","비어 있음",IF(G319&lt;=H319,"OK",IF(G319&lt;=I319,"길이 주의","상한 초과")))</f>
        <v/>
      </c>
      <c r="K319" s="24" t="inlineStr">
        <is>
          <t>초안(10-13) · 외주 검수 예정</t>
        </is>
      </c>
      <c r="L319" s="24" t="n"/>
    </row>
    <row r="320">
      <c r="A320" s="24" t="inlineStr">
        <is>
          <t>PHRASE</t>
        </is>
      </c>
      <c r="B320" s="24" t="inlineStr">
        <is>
          <t>DIET-P-0372</t>
        </is>
      </c>
      <c r="C320" s="24" t="n"/>
      <c r="D320" s="24" t="inlineStr">
        <is>
          <t>1.0.0</t>
        </is>
      </c>
      <c r="E320" s="25">
        <f>INDEX(목표문구!$G$1:$G$1000,MATCH($B320,목표문구!$A$1:$A$1000,0))</f>
        <v/>
      </c>
      <c r="F320" s="25" t="inlineStr">
        <is>
          <t>Decide tomorrow's portions</t>
        </is>
      </c>
      <c r="G320" s="24">
        <f>LEN(F320)</f>
        <v/>
      </c>
      <c r="H320" s="24" t="n">
        <v>30</v>
      </c>
      <c r="I320" s="24" t="n">
        <v>36</v>
      </c>
      <c r="J320" s="24">
        <f>IF(F320="","비어 있음",IF(G320&lt;=H320,"OK",IF(G320&lt;=I320,"길이 주의","상한 초과")))</f>
        <v/>
      </c>
      <c r="K320" s="24" t="inlineStr">
        <is>
          <t>초안(10-13) · 외주 검수 예정</t>
        </is>
      </c>
      <c r="L320" s="24" t="n"/>
    </row>
    <row r="321">
      <c r="A321" s="24" t="inlineStr">
        <is>
          <t>PHRASE</t>
        </is>
      </c>
      <c r="B321" s="24" t="inlineStr">
        <is>
          <t>DIET-P-0373</t>
        </is>
      </c>
      <c r="C321" s="24" t="n"/>
      <c r="D321" s="24" t="inlineStr">
        <is>
          <t>1.0.0</t>
        </is>
      </c>
      <c r="E321" s="25">
        <f>INDEX(목표문구!$G$1:$G$1000,MATCH($B321,목표문구!$A$1:$A$1000,0))</f>
        <v/>
      </c>
      <c r="F321" s="25" t="inlineStr">
        <is>
          <t>Pick a protein for lunch</t>
        </is>
      </c>
      <c r="G321" s="24">
        <f>LEN(F321)</f>
        <v/>
      </c>
      <c r="H321" s="24" t="n">
        <v>30</v>
      </c>
      <c r="I321" s="24" t="n">
        <v>36</v>
      </c>
      <c r="J321" s="24">
        <f>IF(F321="","비어 있음",IF(G321&lt;=H321,"OK",IF(G321&lt;=I321,"길이 주의","상한 초과")))</f>
        <v/>
      </c>
      <c r="K321" s="24" t="inlineStr">
        <is>
          <t>초안(10-13) · 외주 검수 예정</t>
        </is>
      </c>
      <c r="L321" s="24" t="n"/>
    </row>
    <row r="322">
      <c r="A322" s="24" t="inlineStr">
        <is>
          <t>PHRASE</t>
        </is>
      </c>
      <c r="B322" s="24" t="inlineStr">
        <is>
          <t>DIET-P-0374</t>
        </is>
      </c>
      <c r="C322" s="24" t="n"/>
      <c r="D322" s="24" t="inlineStr">
        <is>
          <t>1.0.0</t>
        </is>
      </c>
      <c r="E322" s="25">
        <f>INDEX(목표문구!$G$1:$G$1000,MATCH($B322,목표문구!$A$1:$A$1000,0))</f>
        <v/>
      </c>
      <c r="F322" s="25" t="inlineStr">
        <is>
          <t>Bring a carton of soy milk</t>
        </is>
      </c>
      <c r="G322" s="24">
        <f>LEN(F322)</f>
        <v/>
      </c>
      <c r="H322" s="24" t="n">
        <v>30</v>
      </c>
      <c r="I322" s="24" t="n">
        <v>36</v>
      </c>
      <c r="J322" s="24">
        <f>IF(F322="","비어 있음",IF(G322&lt;=H322,"OK",IF(G322&lt;=I322,"길이 주의","상한 초과")))</f>
        <v/>
      </c>
      <c r="K322" s="24" t="inlineStr">
        <is>
          <t>초안(10-13) · 외주 검수 예정</t>
        </is>
      </c>
      <c r="L322" s="24" t="n"/>
    </row>
    <row r="323">
      <c r="A323" s="24" t="inlineStr">
        <is>
          <t>PHRASE</t>
        </is>
      </c>
      <c r="B323" s="24" t="inlineStr">
        <is>
          <t>DIET-P-0375</t>
        </is>
      </c>
      <c r="C323" s="24" t="n"/>
      <c r="D323" s="24" t="inlineStr">
        <is>
          <t>1.0.0</t>
        </is>
      </c>
      <c r="E323" s="25">
        <f>INDEX(목표문구!$G$1:$G$1000,MATCH($B323,목표문구!$A$1:$A$1000,0))</f>
        <v/>
      </c>
      <c r="F323" s="25" t="inlineStr">
        <is>
          <t>Soy milk for breakfast</t>
        </is>
      </c>
      <c r="G323" s="24">
        <f>LEN(F323)</f>
        <v/>
      </c>
      <c r="H323" s="24" t="n">
        <v>30</v>
      </c>
      <c r="I323" s="24" t="n">
        <v>36</v>
      </c>
      <c r="J323" s="24">
        <f>IF(F323="","비어 있음",IF(G323&lt;=H323,"OK",IF(G323&lt;=I323,"길이 주의","상한 초과")))</f>
        <v/>
      </c>
      <c r="K323" s="24" t="inlineStr">
        <is>
          <t>초안(10-13) · 외주 검수 예정</t>
        </is>
      </c>
      <c r="L323" s="24" t="n"/>
    </row>
    <row r="324">
      <c r="A324" s="24" t="inlineStr">
        <is>
          <t>PHRASE</t>
        </is>
      </c>
      <c r="B324" s="24" t="inlineStr">
        <is>
          <t>DIET-P-0376</t>
        </is>
      </c>
      <c r="C324" s="24" t="n"/>
      <c r="D324" s="24" t="inlineStr">
        <is>
          <t>1.0.0</t>
        </is>
      </c>
      <c r="E324" s="25">
        <f>INDEX(목표문구!$G$1:$G$1000,MATCH($B324,목표문구!$A$1:$A$1000,0))</f>
        <v/>
      </c>
      <c r="F324" s="25" t="inlineStr">
        <is>
          <t>Half a block of tofu in soup</t>
        </is>
      </c>
      <c r="G324" s="24">
        <f>LEN(F324)</f>
        <v/>
      </c>
      <c r="H324" s="24" t="n">
        <v>30</v>
      </c>
      <c r="I324" s="24" t="n">
        <v>36</v>
      </c>
      <c r="J324" s="24">
        <f>IF(F324="","비어 있음",IF(G324&lt;=H324,"OK",IF(G324&lt;=I324,"길이 주의","상한 초과")))</f>
        <v/>
      </c>
      <c r="K324" s="24" t="inlineStr">
        <is>
          <t>초안(10-13) · 외주 검수 예정</t>
        </is>
      </c>
      <c r="L324" s="24" t="n"/>
    </row>
    <row r="325">
      <c r="A325" s="24" t="inlineStr">
        <is>
          <t>PHRASE</t>
        </is>
      </c>
      <c r="B325" s="24" t="inlineStr">
        <is>
          <t>DIET-P-0377</t>
        </is>
      </c>
      <c r="C325" s="24" t="n"/>
      <c r="D325" s="24" t="inlineStr">
        <is>
          <t>1.0.0</t>
        </is>
      </c>
      <c r="E325" s="25">
        <f>INDEX(목표문구!$G$1:$G$1000,MATCH($B325,목표문구!$A$1:$A$1000,0))</f>
        <v/>
      </c>
      <c r="F325" s="25" t="inlineStr">
        <is>
          <t>Slice tofu for breakfast</t>
        </is>
      </c>
      <c r="G325" s="24">
        <f>LEN(F325)</f>
        <v/>
      </c>
      <c r="H325" s="24" t="n">
        <v>30</v>
      </c>
      <c r="I325" s="24" t="n">
        <v>36</v>
      </c>
      <c r="J325" s="24">
        <f>IF(F325="","비어 있음",IF(G325&lt;=H325,"OK",IF(G325&lt;=I325,"길이 주의","상한 초과")))</f>
        <v/>
      </c>
      <c r="K325" s="24" t="inlineStr">
        <is>
          <t>초안(10-13) · 외주 검수 예정</t>
        </is>
      </c>
      <c r="L325" s="24" t="n"/>
    </row>
    <row r="326">
      <c r="A326" s="24" t="inlineStr">
        <is>
          <t>PHRASE</t>
        </is>
      </c>
      <c r="B326" s="24" t="inlineStr">
        <is>
          <t>DIET-P-0378</t>
        </is>
      </c>
      <c r="C326" s="24" t="n"/>
      <c r="D326" s="24" t="inlineStr">
        <is>
          <t>1.0.0</t>
        </is>
      </c>
      <c r="E326" s="25">
        <f>INDEX(목표문구!$G$1:$G$1000,MATCH($B326,목표문구!$A$1:$A$1000,0))</f>
        <v/>
      </c>
      <c r="F326" s="25" t="inlineStr">
        <is>
          <t>Pack protein in your lunch</t>
        </is>
      </c>
      <c r="G326" s="24">
        <f>LEN(F326)</f>
        <v/>
      </c>
      <c r="H326" s="24" t="n">
        <v>30</v>
      </c>
      <c r="I326" s="24" t="n">
        <v>36</v>
      </c>
      <c r="J326" s="24">
        <f>IF(F326="","비어 있음",IF(G326&lt;=H326,"OK",IF(G326&lt;=I326,"길이 주의","상한 초과")))</f>
        <v/>
      </c>
      <c r="K326" s="24" t="inlineStr">
        <is>
          <t>초안(10-13) · 외주 검수 예정</t>
        </is>
      </c>
      <c r="L326" s="24" t="n"/>
    </row>
    <row r="327">
      <c r="A327" s="24" t="inlineStr">
        <is>
          <t>PHRASE</t>
        </is>
      </c>
      <c r="B327" s="24" t="inlineStr">
        <is>
          <t>DIET-P-0379</t>
        </is>
      </c>
      <c r="C327" s="24" t="n"/>
      <c r="D327" s="24" t="inlineStr">
        <is>
          <t>1.0.0</t>
        </is>
      </c>
      <c r="E327" s="25">
        <f>INDEX(목표문구!$G$1:$G$1000,MATCH($B327,목표문구!$A$1:$A$1000,0))</f>
        <v/>
      </c>
      <c r="F327" s="25" t="inlineStr">
        <is>
          <t>Boiled meat, not grilled</t>
        </is>
      </c>
      <c r="G327" s="24">
        <f>LEN(F327)</f>
        <v/>
      </c>
      <c r="H327" s="24" t="n">
        <v>30</v>
      </c>
      <c r="I327" s="24" t="n">
        <v>36</v>
      </c>
      <c r="J327" s="24">
        <f>IF(F327="","비어 있음",IF(G327&lt;=H327,"OK",IF(G327&lt;=I327,"길이 주의","상한 초과")))</f>
        <v/>
      </c>
      <c r="K327" s="24" t="inlineStr">
        <is>
          <t>초안(10-19)</t>
        </is>
      </c>
      <c r="L327" s="24" t="n"/>
    </row>
    <row r="328">
      <c r="A328" s="24" t="inlineStr">
        <is>
          <t>PHRASE</t>
        </is>
      </c>
      <c r="B328" s="24" t="inlineStr">
        <is>
          <t>DIET-P-0380</t>
        </is>
      </c>
      <c r="C328" s="24" t="n"/>
      <c r="D328" s="24" t="inlineStr">
        <is>
          <t>1.0.0</t>
        </is>
      </c>
      <c r="E328" s="25">
        <f>INDEX(목표문구!$G$1:$G$1000,MATCH($B328,목표문구!$A$1:$A$1000,0))</f>
        <v/>
      </c>
      <c r="F328" s="25" t="inlineStr">
        <is>
          <t>Seasoned greens, not stir-fry</t>
        </is>
      </c>
      <c r="G328" s="24">
        <f>LEN(F328)</f>
        <v/>
      </c>
      <c r="H328" s="24" t="n">
        <v>30</v>
      </c>
      <c r="I328" s="24" t="n">
        <v>36</v>
      </c>
      <c r="J328" s="24">
        <f>IF(F328="","비어 있음",IF(G328&lt;=H328,"OK",IF(G328&lt;=I328,"길이 주의","상한 초과")))</f>
        <v/>
      </c>
      <c r="K328" s="24" t="inlineStr">
        <is>
          <t>초안(10-19)</t>
        </is>
      </c>
      <c r="L328" s="24" t="n"/>
    </row>
    <row r="329">
      <c r="A329" s="24" t="inlineStr">
        <is>
          <t>PHRASE</t>
        </is>
      </c>
      <c r="B329" s="24" t="inlineStr">
        <is>
          <t>DIET-P-0381</t>
        </is>
      </c>
      <c r="C329" s="24" t="n"/>
      <c r="D329" s="24" t="inlineStr">
        <is>
          <t>1.0.0</t>
        </is>
      </c>
      <c r="E329" s="25">
        <f>INDEX(목표문구!$G$1:$G$1000,MATCH($B329,목표문구!$A$1:$A$1000,0))</f>
        <v/>
      </c>
      <c r="F329" s="25" t="inlineStr">
        <is>
          <t>Peel off the batter</t>
        </is>
      </c>
      <c r="G329" s="24">
        <f>LEN(F329)</f>
        <v/>
      </c>
      <c r="H329" s="24" t="n">
        <v>30</v>
      </c>
      <c r="I329" s="24" t="n">
        <v>36</v>
      </c>
      <c r="J329" s="24">
        <f>IF(F329="","비어 있음",IF(G329&lt;=H329,"OK",IF(G329&lt;=I329,"길이 주의","상한 초과")))</f>
        <v/>
      </c>
      <c r="K329" s="24" t="inlineStr">
        <is>
          <t>초안(10-13) · 외주 검수 예정</t>
        </is>
      </c>
      <c r="L329" s="24" t="n"/>
    </row>
    <row r="330">
      <c r="A330" s="24" t="inlineStr">
        <is>
          <t>PHRASE</t>
        </is>
      </c>
      <c r="B330" s="24" t="inlineStr">
        <is>
          <t>DIET-P-0382</t>
        </is>
      </c>
      <c r="C330" s="24" t="n"/>
      <c r="D330" s="24" t="inlineStr">
        <is>
          <t>1.0.0</t>
        </is>
      </c>
      <c r="E330" s="25">
        <f>INDEX(목표문구!$G$1:$G$1000,MATCH($B330,목표문구!$A$1:$A$1000,0))</f>
        <v/>
      </c>
      <c r="F330" s="25" t="inlineStr">
        <is>
          <t>1 spoon of salad dressing</t>
        </is>
      </c>
      <c r="G330" s="24">
        <f>LEN(F330)</f>
        <v/>
      </c>
      <c r="H330" s="24" t="n">
        <v>30</v>
      </c>
      <c r="I330" s="24" t="n">
        <v>36</v>
      </c>
      <c r="J330" s="24">
        <f>IF(F330="","비어 있음",IF(G330&lt;=H330,"OK",IF(G330&lt;=I330,"길이 주의","상한 초과")))</f>
        <v/>
      </c>
      <c r="K330" s="24" t="inlineStr">
        <is>
          <t>초안(10-13) · 외주 검수 예정</t>
        </is>
      </c>
      <c r="L330" s="24" t="n"/>
    </row>
    <row r="331">
      <c r="A331" s="24" t="inlineStr">
        <is>
          <t>PHRASE</t>
        </is>
      </c>
      <c r="B331" s="24" t="inlineStr">
        <is>
          <t>DIET-P-0383</t>
        </is>
      </c>
      <c r="C331" s="24" t="n"/>
      <c r="D331" s="24" t="inlineStr">
        <is>
          <t>1.0.0</t>
        </is>
      </c>
      <c r="E331" s="25">
        <f>INDEX(목표문구!$G$1:$G$1000,MATCH($B331,목표문구!$A$1:$A$1000,0))</f>
        <v/>
      </c>
      <c r="F331" s="25" t="inlineStr">
        <is>
          <t>Seasoned greens tomorrow</t>
        </is>
      </c>
      <c r="G331" s="24">
        <f>LEN(F331)</f>
        <v/>
      </c>
      <c r="H331" s="24" t="n">
        <v>30</v>
      </c>
      <c r="I331" s="24" t="n">
        <v>36</v>
      </c>
      <c r="J331" s="24">
        <f>IF(F331="","비어 있음",IF(G331&lt;=H331,"OK",IF(G331&lt;=I331,"길이 주의","상한 초과")))</f>
        <v/>
      </c>
      <c r="K331" s="24" t="inlineStr">
        <is>
          <t>초안(10-19)</t>
        </is>
      </c>
      <c r="L331" s="24" t="n"/>
    </row>
    <row r="332">
      <c r="A332" s="24" t="inlineStr">
        <is>
          <t>PHRASE</t>
        </is>
      </c>
      <c r="B332" s="24" t="inlineStr">
        <is>
          <t>DIET-P-0384</t>
        </is>
      </c>
      <c r="C332" s="24" t="n"/>
      <c r="D332" s="24" t="inlineStr">
        <is>
          <t>1.0.0</t>
        </is>
      </c>
      <c r="E332" s="25">
        <f>INDEX(목표문구!$G$1:$G$1000,MATCH($B332,목표문구!$A$1:$A$1000,0))</f>
        <v/>
      </c>
      <c r="F332" s="25" t="inlineStr">
        <is>
          <t>Boiled pork, not stir-fried</t>
        </is>
      </c>
      <c r="G332" s="24">
        <f>LEN(F332)</f>
        <v/>
      </c>
      <c r="H332" s="24" t="n">
        <v>30</v>
      </c>
      <c r="I332" s="24" t="n">
        <v>36</v>
      </c>
      <c r="J332" s="24">
        <f>IF(F332="","비어 있음",IF(G332&lt;=H332,"OK",IF(G332&lt;=I332,"길이 주의","상한 초과")))</f>
        <v/>
      </c>
      <c r="K332" s="24" t="inlineStr">
        <is>
          <t>초안(10-19)</t>
        </is>
      </c>
      <c r="L332" s="24" t="n"/>
    </row>
    <row r="333">
      <c r="A333" s="24" t="inlineStr">
        <is>
          <t>PHRASE</t>
        </is>
      </c>
      <c r="B333" s="24" t="inlineStr">
        <is>
          <t>DIET-P-0385</t>
        </is>
      </c>
      <c r="C333" s="24" t="n"/>
      <c r="D333" s="24" t="inlineStr">
        <is>
          <t>1.0.0</t>
        </is>
      </c>
      <c r="E333" s="25">
        <f>INDEX(목표문구!$G$1:$G$1000,MATCH($B333,목표문구!$A$1:$A$1000,0))</f>
        <v/>
      </c>
      <c r="F333" s="25" t="inlineStr">
        <is>
          <t>Grilled fish, not fried meat</t>
        </is>
      </c>
      <c r="G333" s="24">
        <f>LEN(F333)</f>
        <v/>
      </c>
      <c r="H333" s="24" t="n">
        <v>30</v>
      </c>
      <c r="I333" s="24" t="n">
        <v>36</v>
      </c>
      <c r="J333" s="24">
        <f>IF(F333="","비어 있음",IF(G333&lt;=H333,"OK",IF(G333&lt;=I333,"길이 주의","상한 초과")))</f>
        <v/>
      </c>
      <c r="K333" s="24" t="inlineStr">
        <is>
          <t>초안(10-19)</t>
        </is>
      </c>
      <c r="L333" s="24" t="n"/>
    </row>
    <row r="334">
      <c r="A334" s="24" t="inlineStr">
        <is>
          <t>PHRASE</t>
        </is>
      </c>
      <c r="B334" s="24" t="inlineStr">
        <is>
          <t>DIET-P-0386</t>
        </is>
      </c>
      <c r="C334" s="24" t="n"/>
      <c r="D334" s="24" t="inlineStr">
        <is>
          <t>1.0.0</t>
        </is>
      </c>
      <c r="E334" s="25">
        <f>INDEX(목표문구!$G$1:$G$1000,MATCH($B334,목표문구!$A$1:$A$1000,0))</f>
        <v/>
      </c>
      <c r="F334" s="25" t="inlineStr">
        <is>
          <t>Boiled chicken, not fried</t>
        </is>
      </c>
      <c r="G334" s="24">
        <f>LEN(F334)</f>
        <v/>
      </c>
      <c r="H334" s="24" t="n">
        <v>30</v>
      </c>
      <c r="I334" s="24" t="n">
        <v>36</v>
      </c>
      <c r="J334" s="24">
        <f>IF(F334="","비어 있음",IF(G334&lt;=H334,"OK",IF(G334&lt;=I334,"길이 주의","상한 초과")))</f>
        <v/>
      </c>
      <c r="K334" s="24" t="inlineStr">
        <is>
          <t>초안(10-19)</t>
        </is>
      </c>
      <c r="L334" s="24" t="n"/>
    </row>
    <row r="335">
      <c r="A335" s="24" t="inlineStr">
        <is>
          <t>PHRASE</t>
        </is>
      </c>
      <c r="B335" s="24" t="inlineStr">
        <is>
          <t>DIET-P-0387</t>
        </is>
      </c>
      <c r="C335" s="24" t="n"/>
      <c r="D335" s="24" t="inlineStr">
        <is>
          <t>1.0.0</t>
        </is>
      </c>
      <c r="E335" s="25">
        <f>INDEX(목표문구!$G$1:$G$1000,MATCH($B335,목표문구!$A$1:$A$1000,0))</f>
        <v/>
      </c>
      <c r="F335" s="25" t="inlineStr">
        <is>
          <t>Clear soup, not stew</t>
        </is>
      </c>
      <c r="G335" s="24">
        <f>LEN(F335)</f>
        <v/>
      </c>
      <c r="H335" s="24" t="n">
        <v>30</v>
      </c>
      <c r="I335" s="24" t="n">
        <v>36</v>
      </c>
      <c r="J335" s="24">
        <f>IF(F335="","비어 있음",IF(G335&lt;=H335,"OK",IF(G335&lt;=I335,"길이 주의","상한 초과")))</f>
        <v/>
      </c>
      <c r="K335" s="24" t="inlineStr">
        <is>
          <t>초안(10-19)</t>
        </is>
      </c>
      <c r="L335" s="24" t="n"/>
    </row>
    <row r="336">
      <c r="A336" s="24" t="inlineStr">
        <is>
          <t>PHRASE</t>
        </is>
      </c>
      <c r="B336" s="24" t="inlineStr">
        <is>
          <t>DIET-P-0388</t>
        </is>
      </c>
      <c r="C336" s="24" t="n"/>
      <c r="D336" s="24" t="inlineStr">
        <is>
          <t>1.0.0</t>
        </is>
      </c>
      <c r="E336" s="25">
        <f>INDEX(목표문구!$G$1:$G$1000,MATCH($B336,목표문구!$A$1:$A$1000,0))</f>
        <v/>
      </c>
      <c r="F336" s="25" t="inlineStr">
        <is>
          <t>Black coffee, not sweet</t>
        </is>
      </c>
      <c r="G336" s="24">
        <f>LEN(F336)</f>
        <v/>
      </c>
      <c r="H336" s="24" t="n">
        <v>30</v>
      </c>
      <c r="I336" s="24" t="n">
        <v>36</v>
      </c>
      <c r="J336" s="24">
        <f>IF(F336="","비어 있음",IF(G336&lt;=H336,"OK",IF(G336&lt;=I336,"길이 주의","상한 초과")))</f>
        <v/>
      </c>
      <c r="K336" s="24" t="inlineStr">
        <is>
          <t>초안(10-19)</t>
        </is>
      </c>
      <c r="L336" s="24" t="n"/>
    </row>
    <row r="337">
      <c r="A337" s="24" t="inlineStr">
        <is>
          <t>PHRASE</t>
        </is>
      </c>
      <c r="B337" s="24" t="inlineStr">
        <is>
          <t>DIET-P-0389</t>
        </is>
      </c>
      <c r="C337" s="24" t="n"/>
      <c r="D337" s="24" t="inlineStr">
        <is>
          <t>1.0.0</t>
        </is>
      </c>
      <c r="E337" s="25">
        <f>INDEX(목표문구!$G$1:$G$1000,MATCH($B337,목표문구!$A$1:$A$1000,0))</f>
        <v/>
      </c>
      <c r="F337" s="25" t="inlineStr">
        <is>
          <t>Yogurt instead of dessert</t>
        </is>
      </c>
      <c r="G337" s="24">
        <f>LEN(F337)</f>
        <v/>
      </c>
      <c r="H337" s="24" t="n">
        <v>30</v>
      </c>
      <c r="I337" s="24" t="n">
        <v>36</v>
      </c>
      <c r="J337" s="24">
        <f>IF(F337="","비어 있음",IF(G337&lt;=H337,"OK",IF(G337&lt;=I337,"길이 주의","상한 초과")))</f>
        <v/>
      </c>
      <c r="K337" s="24" t="inlineStr">
        <is>
          <t>초안(10-19)</t>
        </is>
      </c>
      <c r="L337" s="24" t="n"/>
    </row>
    <row r="338">
      <c r="A338" s="24" t="inlineStr">
        <is>
          <t>PHRASE</t>
        </is>
      </c>
      <c r="B338" s="24" t="inlineStr">
        <is>
          <t>DIET-P-0390</t>
        </is>
      </c>
      <c r="C338" s="24" t="n"/>
      <c r="D338" s="24" t="inlineStr">
        <is>
          <t>1.0.0</t>
        </is>
      </c>
      <c r="E338" s="25">
        <f>INDEX(목표문구!$G$1:$G$1000,MATCH($B338,목표문구!$A$1:$A$1000,0))</f>
        <v/>
      </c>
      <c r="F338" s="25" t="inlineStr">
        <is>
          <t>Veggie rice, not oily noodles</t>
        </is>
      </c>
      <c r="G338" s="24">
        <f>LEN(F338)</f>
        <v/>
      </c>
      <c r="H338" s="24" t="n">
        <v>30</v>
      </c>
      <c r="I338" s="24" t="n">
        <v>36</v>
      </c>
      <c r="J338" s="24">
        <f>IF(F338="","비어 있음",IF(G338&lt;=H338,"OK",IF(G338&lt;=I338,"길이 주의","상한 초과")))</f>
        <v/>
      </c>
      <c r="K338" s="24" t="inlineStr">
        <is>
          <t>초안(10-19)</t>
        </is>
      </c>
      <c r="L338" s="24" t="n"/>
    </row>
    <row r="339">
      <c r="A339" s="24" t="inlineStr">
        <is>
          <t>PHRASE</t>
        </is>
      </c>
      <c r="B339" s="24" t="inlineStr">
        <is>
          <t>DIET-P-0391</t>
        </is>
      </c>
      <c r="C339" s="24" t="n"/>
      <c r="D339" s="24" t="inlineStr">
        <is>
          <t>1.0.0</t>
        </is>
      </c>
      <c r="E339" s="25">
        <f>INDEX(목표문구!$G$1:$G$1000,MATCH($B339,목표문구!$A$1:$A$1000,0))</f>
        <v/>
      </c>
      <c r="F339" s="25" t="inlineStr">
        <is>
          <t>No caffeine after noon</t>
        </is>
      </c>
      <c r="G339" s="24">
        <f>LEN(F339)</f>
        <v/>
      </c>
      <c r="H339" s="24" t="n">
        <v>30</v>
      </c>
      <c r="I339" s="24" t="n">
        <v>36</v>
      </c>
      <c r="J339" s="24">
        <f>IF(F339="","비어 있음",IF(G339&lt;=H339,"OK",IF(G339&lt;=I339,"길이 주의","상한 초과")))</f>
        <v/>
      </c>
      <c r="K339" s="24" t="inlineStr">
        <is>
          <t>초안(10-13) · 외주 검수 예정</t>
        </is>
      </c>
      <c r="L339" s="24" t="n"/>
    </row>
    <row r="340">
      <c r="A340" s="24" t="inlineStr">
        <is>
          <t>PHRASE</t>
        </is>
      </c>
      <c r="B340" s="24" t="inlineStr">
        <is>
          <t>DIET-P-0392</t>
        </is>
      </c>
      <c r="C340" s="24" t="n"/>
      <c r="D340" s="24" t="inlineStr">
        <is>
          <t>1.0.0</t>
        </is>
      </c>
      <c r="E340" s="25">
        <f>INDEX(목표문구!$G$1:$G$1000,MATCH($B340,목표문구!$A$1:$A$1000,0))</f>
        <v/>
      </c>
      <c r="F340" s="25" t="inlineStr">
        <is>
          <t>A warm bowl for breakfast</t>
        </is>
      </c>
      <c r="G340" s="24">
        <f>LEN(F340)</f>
        <v/>
      </c>
      <c r="H340" s="24" t="n">
        <v>30</v>
      </c>
      <c r="I340" s="24" t="n">
        <v>36</v>
      </c>
      <c r="J340" s="24">
        <f>IF(F340="","비어 있음",IF(G340&lt;=H340,"OK",IF(G340&lt;=I340,"길이 주의","상한 초과")))</f>
        <v/>
      </c>
      <c r="K340" s="24" t="inlineStr">
        <is>
          <t>초안(10-19)</t>
        </is>
      </c>
      <c r="L340" s="24" t="n"/>
    </row>
    <row r="341">
      <c r="A341" s="24" t="inlineStr">
        <is>
          <t>PHRASE</t>
        </is>
      </c>
      <c r="B341" s="24" t="inlineStr">
        <is>
          <t>DIET-P-0393</t>
        </is>
      </c>
      <c r="C341" s="24" t="n"/>
      <c r="D341" s="24" t="inlineStr">
        <is>
          <t>1.0.0</t>
        </is>
      </c>
      <c r="E341" s="25">
        <f>INDEX(목표문구!$G$1:$G$1000,MATCH($B341,목표문구!$A$1:$A$1000,0))</f>
        <v/>
      </c>
      <c r="F341" s="25" t="inlineStr">
        <is>
          <t>Busy morning? A boiled egg</t>
        </is>
      </c>
      <c r="G341" s="24">
        <f>LEN(F341)</f>
        <v/>
      </c>
      <c r="H341" s="24" t="n">
        <v>30</v>
      </c>
      <c r="I341" s="24" t="n">
        <v>36</v>
      </c>
      <c r="J341" s="24">
        <f>IF(F341="","비어 있음",IF(G341&lt;=H341,"OK",IF(G341&lt;=I341,"길이 주의","상한 초과")))</f>
        <v/>
      </c>
      <c r="K341" s="24" t="inlineStr">
        <is>
          <t>초안(10-13) · 외주 검수 예정</t>
        </is>
      </c>
      <c r="L341" s="24" t="n"/>
    </row>
    <row r="342">
      <c r="A342" s="24" t="inlineStr">
        <is>
          <t>PHRASE</t>
        </is>
      </c>
      <c r="B342" s="24" t="inlineStr">
        <is>
          <t>DIET-P-0394</t>
        </is>
      </c>
      <c r="C342" s="24" t="n"/>
      <c r="D342" s="24" t="inlineStr">
        <is>
          <t>1.0.0</t>
        </is>
      </c>
      <c r="E342" s="25">
        <f>INDEX(목표문구!$G$1:$G$1000,MATCH($B342,목표문구!$A$1:$A$1000,0))</f>
        <v/>
      </c>
      <c r="F342" s="25" t="inlineStr">
        <is>
          <t>Add sprouts to noodles</t>
        </is>
      </c>
      <c r="G342" s="24">
        <f>LEN(F342)</f>
        <v/>
      </c>
      <c r="H342" s="24" t="n">
        <v>30</v>
      </c>
      <c r="I342" s="24" t="n">
        <v>36</v>
      </c>
      <c r="J342" s="24">
        <f>IF(F342="","비어 있음",IF(G342&lt;=H342,"OK",IF(G342&lt;=I342,"길이 주의","상한 초과")))</f>
        <v/>
      </c>
      <c r="K342" s="24" t="inlineStr">
        <is>
          <t>초안(10-19)</t>
        </is>
      </c>
      <c r="L342" s="24" t="n"/>
    </row>
    <row r="343">
      <c r="A343" s="24" t="inlineStr">
        <is>
          <t>PHRASE</t>
        </is>
      </c>
      <c r="B343" s="24" t="inlineStr">
        <is>
          <t>DIET-P-0395</t>
        </is>
      </c>
      <c r="C343" s="24" t="n"/>
      <c r="D343" s="24" t="inlineStr">
        <is>
          <t>1.0.0</t>
        </is>
      </c>
      <c r="E343" s="25">
        <f>INDEX(목표문구!$G$1:$G$1000,MATCH($B343,목표문구!$A$1:$A$1000,0))</f>
        <v/>
      </c>
      <c r="F343" s="25" t="inlineStr">
        <is>
          <t>Pile greens on your rice</t>
        </is>
      </c>
      <c r="G343" s="24">
        <f>LEN(F343)</f>
        <v/>
      </c>
      <c r="H343" s="24" t="n">
        <v>30</v>
      </c>
      <c r="I343" s="24" t="n">
        <v>36</v>
      </c>
      <c r="J343" s="24">
        <f>IF(F343="","비어 있음",IF(G343&lt;=H343,"OK",IF(G343&lt;=I343,"길이 주의","상한 초과")))</f>
        <v/>
      </c>
      <c r="K343" s="24" t="inlineStr">
        <is>
          <t>초안(10-19)</t>
        </is>
      </c>
      <c r="L343" s="24" t="n"/>
    </row>
    <row r="344">
      <c r="A344" s="24" t="inlineStr">
        <is>
          <t>PHRASE</t>
        </is>
      </c>
      <c r="B344" s="24" t="inlineStr">
        <is>
          <t>DIET-P-0396</t>
        </is>
      </c>
      <c r="C344" s="24" t="n"/>
      <c r="D344" s="24" t="inlineStr">
        <is>
          <t>1.0.0</t>
        </is>
      </c>
      <c r="E344" s="25">
        <f>INDEX(목표문구!$G$1:$G$1000,MATCH($B344,목표문구!$A$1:$A$1000,0))</f>
        <v/>
      </c>
      <c r="F344" s="25" t="inlineStr">
        <is>
          <t>Add veggies to egg dishes</t>
        </is>
      </c>
      <c r="G344" s="24">
        <f>LEN(F344)</f>
        <v/>
      </c>
      <c r="H344" s="24" t="n">
        <v>30</v>
      </c>
      <c r="I344" s="24" t="n">
        <v>36</v>
      </c>
      <c r="J344" s="24">
        <f>IF(F344="","비어 있음",IF(G344&lt;=H344,"OK",IF(G344&lt;=I344,"길이 주의","상한 초과")))</f>
        <v/>
      </c>
      <c r="K344" s="24" t="inlineStr">
        <is>
          <t>초안(10-19)</t>
        </is>
      </c>
      <c r="L344" s="24" t="n"/>
    </row>
    <row r="345">
      <c r="A345" s="24" t="inlineStr">
        <is>
          <t>PHRASE</t>
        </is>
      </c>
      <c r="B345" s="24" t="inlineStr">
        <is>
          <t>DIET-P-0397</t>
        </is>
      </c>
      <c r="C345" s="24" t="n"/>
      <c r="D345" s="24" t="inlineStr">
        <is>
          <t>1.0.0</t>
        </is>
      </c>
      <c r="E345" s="25">
        <f>INDEX(목표문구!$G$1:$G$1000,MATCH($B345,목표문구!$A$1:$A$1000,0))</f>
        <v/>
      </c>
      <c r="F345" s="25" t="inlineStr">
        <is>
          <t>Add an egg to noodles</t>
        </is>
      </c>
      <c r="G345" s="24">
        <f>LEN(F345)</f>
        <v/>
      </c>
      <c r="H345" s="24" t="n">
        <v>30</v>
      </c>
      <c r="I345" s="24" t="n">
        <v>36</v>
      </c>
      <c r="J345" s="24">
        <f>IF(F345="","비어 있음",IF(G345&lt;=H345,"OK",IF(G345&lt;=I345,"길이 주의","상한 초과")))</f>
        <v/>
      </c>
      <c r="K345" s="24" t="inlineStr">
        <is>
          <t>초안(10-19)</t>
        </is>
      </c>
      <c r="L345" s="24" t="n"/>
    </row>
    <row r="346">
      <c r="A346" s="24" t="inlineStr">
        <is>
          <t>PHRASE</t>
        </is>
      </c>
      <c r="B346" s="24" t="inlineStr">
        <is>
          <t>DIET-P-0398</t>
        </is>
      </c>
      <c r="C346" s="24" t="n"/>
      <c r="D346" s="24" t="inlineStr">
        <is>
          <t>1.0.0</t>
        </is>
      </c>
      <c r="E346" s="25">
        <f>INDEX(목표문구!$G$1:$G$1000,MATCH($B346,목표문구!$A$1:$A$1000,0))</f>
        <v/>
      </c>
      <c r="F346" s="25" t="inlineStr">
        <is>
          <t>Grab tuna or egg to-go</t>
        </is>
      </c>
      <c r="G346" s="24">
        <f>LEN(F346)</f>
        <v/>
      </c>
      <c r="H346" s="24" t="n">
        <v>30</v>
      </c>
      <c r="I346" s="24" t="n">
        <v>36</v>
      </c>
      <c r="J346" s="24">
        <f>IF(F346="","비어 있음",IF(G346&lt;=H346,"OK",IF(G346&lt;=I346,"길이 주의","상한 초과")))</f>
        <v/>
      </c>
      <c r="K346" s="24" t="inlineStr">
        <is>
          <t>초안(10-19)</t>
        </is>
      </c>
      <c r="L346" s="24" t="n"/>
    </row>
    <row r="347">
      <c r="A347" s="24" t="inlineStr">
        <is>
          <t>PHRASE</t>
        </is>
      </c>
      <c r="B347" s="24" t="inlineStr">
        <is>
          <t>DIET-P-0399</t>
        </is>
      </c>
      <c r="C347" s="24" t="n"/>
      <c r="D347" s="24" t="inlineStr">
        <is>
          <t>1.0.0</t>
        </is>
      </c>
      <c r="E347" s="25">
        <f>INDEX(목표문구!$G$1:$G$1000,MATCH($B347,목표문구!$A$1:$A$1000,0))</f>
        <v/>
      </c>
      <c r="F347" s="25" t="inlineStr">
        <is>
          <t>Top your salad with an egg</t>
        </is>
      </c>
      <c r="G347" s="24">
        <f>LEN(F347)</f>
        <v/>
      </c>
      <c r="H347" s="24" t="n">
        <v>30</v>
      </c>
      <c r="I347" s="24" t="n">
        <v>36</v>
      </c>
      <c r="J347" s="24">
        <f>IF(F347="","비어 있음",IF(G347&lt;=H347,"OK",IF(G347&lt;=I347,"길이 주의","상한 초과")))</f>
        <v/>
      </c>
      <c r="K347" s="24" t="inlineStr">
        <is>
          <t>초안(10-13) · 외주 검수 예정</t>
        </is>
      </c>
      <c r="L347" s="24" t="n"/>
    </row>
    <row r="348">
      <c r="A348" s="24" t="inlineStr">
        <is>
          <t>PHRASE</t>
        </is>
      </c>
      <c r="B348" s="24" t="inlineStr">
        <is>
          <t>DIET-P-0400</t>
        </is>
      </c>
      <c r="C348" s="24" t="n"/>
      <c r="D348" s="24" t="inlineStr">
        <is>
          <t>1.0.0</t>
        </is>
      </c>
      <c r="E348" s="25">
        <f>INDEX(목표문구!$G$1:$G$1000,MATCH($B348,목표문구!$A$1:$A$1000,0))</f>
        <v/>
      </c>
      <c r="F348" s="25" t="inlineStr">
        <is>
          <t>Barley tea, not sweet drinks</t>
        </is>
      </c>
      <c r="G348" s="24">
        <f>LEN(F348)</f>
        <v/>
      </c>
      <c r="H348" s="24" t="n">
        <v>30</v>
      </c>
      <c r="I348" s="24" t="n">
        <v>36</v>
      </c>
      <c r="J348" s="24">
        <f>IF(F348="","비어 있음",IF(G348&lt;=H348,"OK",IF(G348&lt;=I348,"길이 주의","상한 초과")))</f>
        <v/>
      </c>
      <c r="K348" s="24" t="inlineStr">
        <is>
          <t>초안(10-19)</t>
        </is>
      </c>
      <c r="L348" s="24" t="n"/>
    </row>
    <row r="349">
      <c r="A349" s="24" t="inlineStr">
        <is>
          <t>PHRASE</t>
        </is>
      </c>
      <c r="B349" s="24" t="inlineStr">
        <is>
          <t>DIET-P-0401</t>
        </is>
      </c>
      <c r="C349" s="24" t="n"/>
      <c r="D349" s="24" t="inlineStr">
        <is>
          <t>1.0.0</t>
        </is>
      </c>
      <c r="E349" s="25">
        <f>INDEX(목표문구!$G$1:$G$1000,MATCH($B349,목표문구!$A$1:$A$1000,0))</f>
        <v/>
      </c>
      <c r="F349" s="25" t="inlineStr">
        <is>
          <t>Order it without syrup</t>
        </is>
      </c>
      <c r="G349" s="24">
        <f>LEN(F349)</f>
        <v/>
      </c>
      <c r="H349" s="24" t="n">
        <v>30</v>
      </c>
      <c r="I349" s="24" t="n">
        <v>36</v>
      </c>
      <c r="J349" s="24">
        <f>IF(F349="","비어 있음",IF(G349&lt;=H349,"OK",IF(G349&lt;=I349,"길이 주의","상한 초과")))</f>
        <v/>
      </c>
      <c r="K349" s="24" t="inlineStr">
        <is>
          <t>초안(10-19)</t>
        </is>
      </c>
      <c r="L349" s="24" t="n"/>
    </row>
    <row r="350">
      <c r="A350" s="24" t="inlineStr">
        <is>
          <t>PHRASE</t>
        </is>
      </c>
      <c r="B350" s="24" t="inlineStr">
        <is>
          <t>DIET-P-0402</t>
        </is>
      </c>
      <c r="C350" s="24" t="n"/>
      <c r="D350" s="24" t="inlineStr">
        <is>
          <t>1.0.0</t>
        </is>
      </c>
      <c r="E350" s="25">
        <f>INDEX(목표문구!$G$1:$G$1000,MATCH($B350,목표문구!$A$1:$A$1000,0))</f>
        <v/>
      </c>
      <c r="F350" s="25" t="inlineStr">
        <is>
          <t>Half the sugar in coffee</t>
        </is>
      </c>
      <c r="G350" s="24">
        <f>LEN(F350)</f>
        <v/>
      </c>
      <c r="H350" s="24" t="n">
        <v>30</v>
      </c>
      <c r="I350" s="24" t="n">
        <v>36</v>
      </c>
      <c r="J350" s="24">
        <f>IF(F350="","비어 있음",IF(G350&lt;=H350,"OK",IF(G350&lt;=I350,"길이 주의","상한 초과")))</f>
        <v/>
      </c>
      <c r="K350" s="24" t="inlineStr">
        <is>
          <t>초안(10-19)</t>
        </is>
      </c>
      <c r="L350" s="24" t="n"/>
    </row>
    <row r="351">
      <c r="A351" s="24" t="inlineStr">
        <is>
          <t>PHRASE</t>
        </is>
      </c>
      <c r="B351" s="24" t="inlineStr">
        <is>
          <t>DIET-P-0403</t>
        </is>
      </c>
      <c r="C351" s="24" t="n"/>
      <c r="D351" s="24" t="inlineStr">
        <is>
          <t>1.0.0</t>
        </is>
      </c>
      <c r="E351" s="25">
        <f>INDEX(목표문구!$G$1:$G$1000,MATCH($B351,목표문구!$A$1:$A$1000,0))</f>
        <v/>
      </c>
      <c r="F351" s="25" t="inlineStr">
        <is>
          <t>Use half the soup powder</t>
        </is>
      </c>
      <c r="G351" s="24">
        <f>LEN(F351)</f>
        <v/>
      </c>
      <c r="H351" s="24" t="n">
        <v>30</v>
      </c>
      <c r="I351" s="24" t="n">
        <v>36</v>
      </c>
      <c r="J351" s="24">
        <f>IF(F351="","비어 있음",IF(G351&lt;=H351,"OK",IF(G351&lt;=I351,"길이 주의","상한 초과")))</f>
        <v/>
      </c>
      <c r="K351" s="24" t="inlineStr">
        <is>
          <t>초안(10-19)</t>
        </is>
      </c>
      <c r="L351" s="24" t="n"/>
    </row>
    <row r="352">
      <c r="A352" s="24" t="inlineStr">
        <is>
          <t>PHRASE</t>
        </is>
      </c>
      <c r="B352" s="24" t="inlineStr">
        <is>
          <t>DIET-P-0404</t>
        </is>
      </c>
      <c r="C352" s="24" t="n"/>
      <c r="D352" s="24" t="inlineStr">
        <is>
          <t>1.0.0</t>
        </is>
      </c>
      <c r="E352" s="25">
        <f>INDEX(목표문구!$G$1:$G$1000,MATCH($B352,목표문구!$A$1:$A$1000,0))</f>
        <v/>
      </c>
      <c r="F352" s="25" t="inlineStr">
        <is>
          <t>Choose less salty pickles</t>
        </is>
      </c>
      <c r="G352" s="24">
        <f>LEN(F352)</f>
        <v/>
      </c>
      <c r="H352" s="24" t="n">
        <v>30</v>
      </c>
      <c r="I352" s="24" t="n">
        <v>36</v>
      </c>
      <c r="J352" s="24">
        <f>IF(F352="","비어 있음",IF(G352&lt;=H352,"OK",IF(G352&lt;=I352,"길이 주의","상한 초과")))</f>
        <v/>
      </c>
      <c r="K352" s="24" t="inlineStr">
        <is>
          <t>초안(10-19)</t>
        </is>
      </c>
      <c r="L352" s="24" t="n"/>
    </row>
    <row r="353">
      <c r="A353" s="24" t="inlineStr">
        <is>
          <t>PHRASE</t>
        </is>
      </c>
      <c r="B353" s="24" t="inlineStr">
        <is>
          <t>DIET-P-0405</t>
        </is>
      </c>
      <c r="C353" s="24" t="n"/>
      <c r="D353" s="24" t="inlineStr">
        <is>
          <t>1.0.0</t>
        </is>
      </c>
      <c r="E353" s="25">
        <f>INDEX(목표문구!$G$1:$G$1000,MATCH($B353,목표문구!$A$1:$A$1000,0))</f>
        <v/>
      </c>
      <c r="F353" s="25" t="inlineStr">
        <is>
          <t>Blanched seafood, not fried</t>
        </is>
      </c>
      <c r="G353" s="24">
        <f>LEN(F353)</f>
        <v/>
      </c>
      <c r="H353" s="24" t="n">
        <v>30</v>
      </c>
      <c r="I353" s="24" t="n">
        <v>36</v>
      </c>
      <c r="J353" s="24">
        <f>IF(F353="","비어 있음",IF(G353&lt;=H353,"OK",IF(G353&lt;=I353,"길이 주의","상한 초과")))</f>
        <v/>
      </c>
      <c r="K353" s="24" t="inlineStr">
        <is>
          <t>초안(10-19)</t>
        </is>
      </c>
      <c r="L353" s="24" t="n"/>
    </row>
    <row r="354">
      <c r="A354" s="24" t="inlineStr">
        <is>
          <t>PHRASE</t>
        </is>
      </c>
      <c r="B354" s="24" t="inlineStr">
        <is>
          <t>DIET-P-0406</t>
        </is>
      </c>
      <c r="C354" s="24" t="n"/>
      <c r="D354" s="24" t="inlineStr">
        <is>
          <t>1.0.0</t>
        </is>
      </c>
      <c r="E354" s="25">
        <f>INDEX(목표문구!$G$1:$G$1000,MATCH($B354,목표문구!$A$1:$A$1000,0))</f>
        <v/>
      </c>
      <c r="F354" s="25" t="inlineStr">
        <is>
          <t>Roast chicken, don't fry it</t>
        </is>
      </c>
      <c r="G354" s="24">
        <f>LEN(F354)</f>
        <v/>
      </c>
      <c r="H354" s="24" t="n">
        <v>30</v>
      </c>
      <c r="I354" s="24" t="n">
        <v>36</v>
      </c>
      <c r="J354" s="24">
        <f>IF(F354="","비어 있음",IF(G354&lt;=H354,"OK",IF(G354&lt;=I354,"길이 주의","상한 초과")))</f>
        <v/>
      </c>
      <c r="K354" s="24" t="inlineStr">
        <is>
          <t>초안(10-19)</t>
        </is>
      </c>
      <c r="L354" s="24" t="n"/>
    </row>
    <row r="355">
      <c r="A355" s="24" t="inlineStr">
        <is>
          <t>PHRASE</t>
        </is>
      </c>
      <c r="B355" s="24" t="inlineStr">
        <is>
          <t>DIET-P-0407</t>
        </is>
      </c>
      <c r="C355" s="24" t="n"/>
      <c r="D355" s="24" t="inlineStr">
        <is>
          <t>1.0.0</t>
        </is>
      </c>
      <c r="E355" s="25">
        <f>INDEX(목표문구!$G$1:$G$1000,MATCH($B355,목표문구!$A$1:$A$1000,0))</f>
        <v/>
      </c>
      <c r="F355" s="25" t="inlineStr">
        <is>
          <t>Warm tea instead of a snack</t>
        </is>
      </c>
      <c r="G355" s="24">
        <f>LEN(F355)</f>
        <v/>
      </c>
      <c r="H355" s="24" t="n">
        <v>30</v>
      </c>
      <c r="I355" s="24" t="n">
        <v>36</v>
      </c>
      <c r="J355" s="24">
        <f>IF(F355="","비어 있음",IF(G355&lt;=H355,"OK",IF(G355&lt;=I355,"길이 주의","상한 초과")))</f>
        <v/>
      </c>
      <c r="K355" s="24" t="inlineStr">
        <is>
          <t>초안(10-13) · 외주 검수 예정</t>
        </is>
      </c>
      <c r="L355" s="24" t="n"/>
    </row>
    <row r="356">
      <c r="A356" s="24" t="inlineStr">
        <is>
          <t>PHRASE</t>
        </is>
      </c>
      <c r="B356" s="24" t="inlineStr">
        <is>
          <t>DIET-P-0408</t>
        </is>
      </c>
      <c r="C356" s="24" t="n"/>
      <c r="D356" s="24" t="inlineStr">
        <is>
          <t>1.0.0</t>
        </is>
      </c>
      <c r="E356" s="25">
        <f>INDEX(목표문구!$G$1:$G$1000,MATCH($B356,목표문구!$A$1:$A$1000,0))</f>
        <v/>
      </c>
      <c r="F356" s="25" t="inlineStr">
        <is>
          <t>Brush your teeth before bed</t>
        </is>
      </c>
      <c r="G356" s="24">
        <f>LEN(F356)</f>
        <v/>
      </c>
      <c r="H356" s="24" t="n">
        <v>30</v>
      </c>
      <c r="I356" s="24" t="n">
        <v>36</v>
      </c>
      <c r="J356" s="24">
        <f>IF(F356="","비어 있음",IF(G356&lt;=H356,"OK",IF(G356&lt;=I356,"길이 주의","상한 초과")))</f>
        <v/>
      </c>
      <c r="K356" s="24" t="inlineStr">
        <is>
          <t>초안(10-13) · 외주 검수 예정</t>
        </is>
      </c>
      <c r="L356" s="24" t="n"/>
    </row>
    <row r="357">
      <c r="A357" s="24" t="inlineStr">
        <is>
          <t>PHRASE</t>
        </is>
      </c>
      <c r="B357" s="24" t="inlineStr">
        <is>
          <t>DIET-P-0409</t>
        </is>
      </c>
      <c r="C357" s="24" t="n"/>
      <c r="D357" s="24" t="inlineStr">
        <is>
          <t>1.0.0</t>
        </is>
      </c>
      <c r="E357" s="25">
        <f>INDEX(목표문구!$G$1:$G$1000,MATCH($B357,목표문구!$A$1:$A$1000,0))</f>
        <v/>
      </c>
      <c r="F357" s="25" t="inlineStr">
        <is>
          <t>Breathe after each spoonful</t>
        </is>
      </c>
      <c r="G357" s="24">
        <f>LEN(F357)</f>
        <v/>
      </c>
      <c r="H357" s="24" t="n">
        <v>30</v>
      </c>
      <c r="I357" s="24" t="n">
        <v>36</v>
      </c>
      <c r="J357" s="24">
        <f>IF(F357="","비어 있음",IF(G357&lt;=H357,"OK",IF(G357&lt;=I357,"길이 주의","상한 초과")))</f>
        <v/>
      </c>
      <c r="K357" s="24" t="inlineStr">
        <is>
          <t>초안(10-13) · 외주 검수 예정</t>
        </is>
      </c>
      <c r="L357" s="24" t="n"/>
    </row>
    <row r="358">
      <c r="A358" s="24" t="inlineStr">
        <is>
          <t>PHRASE</t>
        </is>
      </c>
      <c r="B358" s="24" t="inlineStr">
        <is>
          <t>DIET-P-0410</t>
        </is>
      </c>
      <c r="C358" s="24" t="n"/>
      <c r="D358" s="24" t="inlineStr">
        <is>
          <t>1.0.0</t>
        </is>
      </c>
      <c r="E358" s="25">
        <f>INDEX(목표문구!$G$1:$G$1000,MATCH($B358,목표문구!$A$1:$A$1000,0))</f>
        <v/>
      </c>
      <c r="F358" s="25" t="inlineStr">
        <is>
          <t>Use a small rice bowl</t>
        </is>
      </c>
      <c r="G358" s="24">
        <f>LEN(F358)</f>
        <v/>
      </c>
      <c r="H358" s="24" t="n">
        <v>30</v>
      </c>
      <c r="I358" s="24" t="n">
        <v>36</v>
      </c>
      <c r="J358" s="24">
        <f>IF(F358="","비어 있음",IF(G358&lt;=H358,"OK",IF(G358&lt;=I358,"길이 주의","상한 초과")))</f>
        <v/>
      </c>
      <c r="K358" s="24" t="inlineStr">
        <is>
          <t>초안(10-13) · 외주 검수 예정</t>
        </is>
      </c>
      <c r="L358" s="24" t="n"/>
    </row>
    <row r="359">
      <c r="A359" s="24" t="inlineStr">
        <is>
          <t>PHRASE</t>
        </is>
      </c>
      <c r="B359" s="24" t="inlineStr">
        <is>
          <t>DIET-P-0411</t>
        </is>
      </c>
      <c r="C359" s="24" t="n"/>
      <c r="D359" s="24" t="inlineStr">
        <is>
          <t>1.0.0</t>
        </is>
      </c>
      <c r="E359" s="25">
        <f>INDEX(목표문구!$G$1:$G$1000,MATCH($B359,목표문구!$A$1:$A$1000,0))</f>
        <v/>
      </c>
      <c r="F359" s="25" t="inlineStr">
        <is>
          <t>Chew noodles slowly</t>
        </is>
      </c>
      <c r="G359" s="24">
        <f>LEN(F359)</f>
        <v/>
      </c>
      <c r="H359" s="24" t="n">
        <v>30</v>
      </c>
      <c r="I359" s="24" t="n">
        <v>36</v>
      </c>
      <c r="J359" s="24">
        <f>IF(F359="","비어 있음",IF(G359&lt;=H359,"OK",IF(G359&lt;=I359,"길이 주의","상한 초과")))</f>
        <v/>
      </c>
      <c r="K359" s="24" t="inlineStr">
        <is>
          <t>초안(10-13) · 외주 검수 예정</t>
        </is>
      </c>
      <c r="L359" s="24" t="n"/>
    </row>
    <row r="360">
      <c r="A360" s="24" t="inlineStr">
        <is>
          <t>PHRASE</t>
        </is>
      </c>
      <c r="B360" s="24" t="inlineStr">
        <is>
          <t>DIET-P-0412</t>
        </is>
      </c>
      <c r="C360" s="24" t="n"/>
      <c r="D360" s="24" t="inlineStr">
        <is>
          <t>1.0.0</t>
        </is>
      </c>
      <c r="E360" s="25">
        <f>INDEX(목표문구!$G$1:$G$1000,MATCH($B360,목표문구!$A$1:$A$1000,0))</f>
        <v/>
      </c>
      <c r="F360" s="25" t="inlineStr">
        <is>
          <t>Breakfast: brown rice + greens</t>
        </is>
      </c>
      <c r="G360" s="24">
        <f>LEN(F360)</f>
        <v/>
      </c>
      <c r="H360" s="24" t="n">
        <v>30</v>
      </c>
      <c r="I360" s="24" t="n">
        <v>36</v>
      </c>
      <c r="J360" s="24">
        <f>IF(F360="","비어 있음",IF(G360&lt;=H360,"OK",IF(G360&lt;=I360,"길이 주의","상한 초과")))</f>
        <v/>
      </c>
      <c r="K360" s="24" t="inlineStr">
        <is>
          <t>초안(10-13) · 외주 검수 예정</t>
        </is>
      </c>
      <c r="L360" s="24" t="n"/>
    </row>
    <row r="361">
      <c r="A361" s="24" t="inlineStr">
        <is>
          <t>PHRASE</t>
        </is>
      </c>
      <c r="B361" s="24" t="inlineStr">
        <is>
          <t>DIET-P-0413</t>
        </is>
      </c>
      <c r="C361" s="24" t="n"/>
      <c r="D361" s="24" t="inlineStr">
        <is>
          <t>1.0.0</t>
        </is>
      </c>
      <c r="E361" s="25">
        <f>INDEX(목표문구!$G$1:$G$1000,MATCH($B361,목표문구!$A$1:$A$1000,0))</f>
        <v/>
      </c>
      <c r="F361" s="25" t="inlineStr">
        <is>
          <t>Breakfast: grain rice + tofu</t>
        </is>
      </c>
      <c r="G361" s="24">
        <f>LEN(F361)</f>
        <v/>
      </c>
      <c r="H361" s="24" t="n">
        <v>30</v>
      </c>
      <c r="I361" s="24" t="n">
        <v>36</v>
      </c>
      <c r="J361" s="24">
        <f>IF(F361="","비어 있음",IF(G361&lt;=H361,"OK",IF(G361&lt;=I361,"길이 주의","상한 초과")))</f>
        <v/>
      </c>
      <c r="K361" s="24" t="inlineStr">
        <is>
          <t>초안(10-13) · 외주 검수 예정</t>
        </is>
      </c>
      <c r="L361" s="24" t="n"/>
    </row>
    <row r="362">
      <c r="A362" s="24" t="inlineStr">
        <is>
          <t>PHRASE</t>
        </is>
      </c>
      <c r="B362" s="24" t="inlineStr">
        <is>
          <t>DIET-P-0414</t>
        </is>
      </c>
      <c r="C362" s="24" t="n"/>
      <c r="D362" s="24" t="inlineStr">
        <is>
          <t>1.0.0</t>
        </is>
      </c>
      <c r="E362" s="25">
        <f>INDEX(목표문구!$G$1:$G$1000,MATCH($B362,목표문구!$A$1:$A$1000,0))</f>
        <v/>
      </c>
      <c r="F362" s="25" t="inlineStr">
        <is>
          <t>Breakfast: oatmeal + milk</t>
        </is>
      </c>
      <c r="G362" s="24">
        <f>LEN(F362)</f>
        <v/>
      </c>
      <c r="H362" s="24" t="n">
        <v>30</v>
      </c>
      <c r="I362" s="24" t="n">
        <v>36</v>
      </c>
      <c r="J362" s="24">
        <f>IF(F362="","비어 있음",IF(G362&lt;=H362,"OK",IF(G362&lt;=I362,"길이 주의","상한 초과")))</f>
        <v/>
      </c>
      <c r="K362" s="24" t="inlineStr">
        <is>
          <t>초안(10-13) · 외주 검수 예정</t>
        </is>
      </c>
      <c r="L362" s="24" t="n"/>
    </row>
    <row r="363">
      <c r="A363" s="24" t="inlineStr">
        <is>
          <t>PHRASE</t>
        </is>
      </c>
      <c r="B363" s="24" t="inlineStr">
        <is>
          <t>DIET-P-0415</t>
        </is>
      </c>
      <c r="C363" s="24" t="n"/>
      <c r="D363" s="24" t="inlineStr">
        <is>
          <t>1.0.0</t>
        </is>
      </c>
      <c r="E363" s="25">
        <f>INDEX(목표문구!$G$1:$G$1000,MATCH($B363,목표문구!$A$1:$A$1000,0))</f>
        <v/>
      </c>
      <c r="F363" s="25" t="inlineStr">
        <is>
          <t>Breakfast: sweet potato + soy</t>
        </is>
      </c>
      <c r="G363" s="24">
        <f>LEN(F363)</f>
        <v/>
      </c>
      <c r="H363" s="24" t="n">
        <v>30</v>
      </c>
      <c r="I363" s="24" t="n">
        <v>36</v>
      </c>
      <c r="J363" s="24">
        <f>IF(F363="","비어 있음",IF(G363&lt;=H363,"OK",IF(G363&lt;=I363,"길이 주의","상한 초과")))</f>
        <v/>
      </c>
      <c r="K363" s="24" t="inlineStr">
        <is>
          <t>초안(10-13) · 외주 검수 예정</t>
        </is>
      </c>
      <c r="L363" s="24" t="n"/>
    </row>
    <row r="364">
      <c r="A364" s="24" t="inlineStr">
        <is>
          <t>PHRASE</t>
        </is>
      </c>
      <c r="B364" s="24" t="inlineStr">
        <is>
          <t>DIET-P-0416</t>
        </is>
      </c>
      <c r="C364" s="24" t="n"/>
      <c r="D364" s="24" t="inlineStr">
        <is>
          <t>1.0.0</t>
        </is>
      </c>
      <c r="E364" s="25">
        <f>INDEX(목표문구!$G$1:$G$1000,MATCH($B364,목표문구!$A$1:$A$1000,0))</f>
        <v/>
      </c>
      <c r="F364" s="25" t="inlineStr">
        <is>
          <t>Breakfast: brown rice + fish</t>
        </is>
      </c>
      <c r="G364" s="24">
        <f>LEN(F364)</f>
        <v/>
      </c>
      <c r="H364" s="24" t="n">
        <v>30</v>
      </c>
      <c r="I364" s="24" t="n">
        <v>36</v>
      </c>
      <c r="J364" s="24">
        <f>IF(F364="","비어 있음",IF(G364&lt;=H364,"OK",IF(G364&lt;=I364,"길이 주의","상한 초과")))</f>
        <v/>
      </c>
      <c r="K364" s="24" t="inlineStr">
        <is>
          <t>초안(10-13) · 외주 검수 예정</t>
        </is>
      </c>
      <c r="L364" s="24" t="n"/>
    </row>
    <row r="365">
      <c r="A365" s="24" t="inlineStr">
        <is>
          <t>PHRASE</t>
        </is>
      </c>
      <c r="B365" s="24" t="inlineStr">
        <is>
          <t>DIET-P-0417</t>
        </is>
      </c>
      <c r="C365" s="24" t="n"/>
      <c r="D365" s="24" t="inlineStr">
        <is>
          <t>1.0.0</t>
        </is>
      </c>
      <c r="E365" s="25">
        <f>INDEX(목표문구!$G$1:$G$1000,MATCH($B365,목표문구!$A$1:$A$1000,0))</f>
        <v/>
      </c>
      <c r="F365" s="25" t="inlineStr">
        <is>
          <t>Breakfast: spinach or cucumber</t>
        </is>
      </c>
      <c r="G365" s="24">
        <f>LEN(F365)</f>
        <v/>
      </c>
      <c r="H365" s="24" t="n">
        <v>30</v>
      </c>
      <c r="I365" s="24" t="n">
        <v>36</v>
      </c>
      <c r="J365" s="24">
        <f>IF(F365="","비어 있음",IF(G365&lt;=H365,"OK",IF(G365&lt;=I365,"길이 주의","상한 초과")))</f>
        <v/>
      </c>
      <c r="K365" s="24" t="inlineStr">
        <is>
          <t>초안(10-13) · 외주 검수 예정</t>
        </is>
      </c>
      <c r="L365" s="24" t="n"/>
    </row>
    <row r="366">
      <c r="A366" s="24" t="inlineStr">
        <is>
          <t>PHRASE</t>
        </is>
      </c>
      <c r="B366" s="24" t="inlineStr">
        <is>
          <t>DIET-P-0418</t>
        </is>
      </c>
      <c r="C366" s="24" t="n"/>
      <c r="D366" s="24" t="inlineStr">
        <is>
          <t>1.0.0</t>
        </is>
      </c>
      <c r="E366" s="25">
        <f>INDEX(목표문구!$G$1:$G$1000,MATCH($B366,목표문구!$A$1:$A$1000,0))</f>
        <v/>
      </c>
      <c r="F366" s="25" t="inlineStr">
        <is>
          <t>Breakfast: cabbage wraps</t>
        </is>
      </c>
      <c r="G366" s="24">
        <f>LEN(F366)</f>
        <v/>
      </c>
      <c r="H366" s="24" t="n">
        <v>30</v>
      </c>
      <c r="I366" s="24" t="n">
        <v>36</v>
      </c>
      <c r="J366" s="24">
        <f>IF(F366="","비어 있음",IF(G366&lt;=H366,"OK",IF(G366&lt;=I366,"길이 주의","상한 초과")))</f>
        <v/>
      </c>
      <c r="K366" s="24" t="inlineStr">
        <is>
          <t>초안(10-13) · 외주 검수 예정</t>
        </is>
      </c>
      <c r="L366" s="24" t="n"/>
    </row>
    <row r="367">
      <c r="A367" s="24" t="inlineStr">
        <is>
          <t>PHRASE</t>
        </is>
      </c>
      <c r="B367" s="24" t="inlineStr">
        <is>
          <t>DIET-P-0419</t>
        </is>
      </c>
      <c r="C367" s="24" t="n"/>
      <c r="D367" s="24" t="inlineStr">
        <is>
          <t>1.0.0</t>
        </is>
      </c>
      <c r="E367" s="25">
        <f>INDEX(목표문구!$G$1:$G$1000,MATCH($B367,목표문구!$A$1:$A$1000,0))</f>
        <v/>
      </c>
      <c r="F367" s="25" t="inlineStr">
        <is>
          <t>Breakfast: zucchini or eggplant</t>
        </is>
      </c>
      <c r="G367" s="24">
        <f>LEN(F367)</f>
        <v/>
      </c>
      <c r="H367" s="24" t="n">
        <v>30</v>
      </c>
      <c r="I367" s="24" t="n">
        <v>36</v>
      </c>
      <c r="J367" s="24">
        <f>IF(F367="","비어 있음",IF(G367&lt;=H367,"OK",IF(G367&lt;=I367,"길이 주의","상한 초과")))</f>
        <v/>
      </c>
      <c r="K367" s="24" t="inlineStr">
        <is>
          <t>초안(10-13) · 외주 검수 예정</t>
        </is>
      </c>
      <c r="L367" s="24" t="n"/>
    </row>
    <row r="368">
      <c r="A368" s="24" t="inlineStr">
        <is>
          <t>PHRASE</t>
        </is>
      </c>
      <c r="B368" s="24" t="inlineStr">
        <is>
          <t>DIET-P-0420</t>
        </is>
      </c>
      <c r="C368" s="24" t="n"/>
      <c r="D368" s="24" t="inlineStr">
        <is>
          <t>1.0.0</t>
        </is>
      </c>
      <c r="E368" s="25">
        <f>INDEX(목표문구!$G$1:$G$1000,MATCH($B368,목표문구!$A$1:$A$1000,0))</f>
        <v/>
      </c>
      <c r="F368" s="25" t="inlineStr">
        <is>
          <t>Breakfast: bibimbap or wraps</t>
        </is>
      </c>
      <c r="G368" s="24">
        <f>LEN(F368)</f>
        <v/>
      </c>
      <c r="H368" s="24" t="n">
        <v>30</v>
      </c>
      <c r="I368" s="24" t="n">
        <v>36</v>
      </c>
      <c r="J368" s="24">
        <f>IF(F368="","비어 있음",IF(G368&lt;=H368,"OK",IF(G368&lt;=I368,"길이 주의","상한 초과")))</f>
        <v/>
      </c>
      <c r="K368" s="24" t="inlineStr">
        <is>
          <t>초안(10-13) · 외주 검수 예정</t>
        </is>
      </c>
      <c r="L368" s="24" t="n"/>
    </row>
    <row r="369">
      <c r="A369" s="24" t="inlineStr">
        <is>
          <t>PHRASE</t>
        </is>
      </c>
      <c r="B369" s="24" t="inlineStr">
        <is>
          <t>DIET-P-0421</t>
        </is>
      </c>
      <c r="C369" s="24" t="n"/>
      <c r="D369" s="24" t="inlineStr">
        <is>
          <t>1.0.0</t>
        </is>
      </c>
      <c r="E369" s="25">
        <f>INDEX(목표문구!$G$1:$G$1000,MATCH($B369,목표문구!$A$1:$A$1000,0))</f>
        <v/>
      </c>
      <c r="F369" s="25" t="inlineStr">
        <is>
          <t>Tofu salad, half dressing</t>
        </is>
      </c>
      <c r="G369" s="24">
        <f>LEN(F369)</f>
        <v/>
      </c>
      <c r="H369" s="24" t="n">
        <v>30</v>
      </c>
      <c r="I369" s="24" t="n">
        <v>36</v>
      </c>
      <c r="J369" s="24">
        <f>IF(F369="","비어 있음",IF(G369&lt;=H369,"OK",IF(G369&lt;=I369,"길이 주의","상한 초과")))</f>
        <v/>
      </c>
      <c r="K369" s="24" t="inlineStr">
        <is>
          <t>초안(10-13) · 외주 검수 예정</t>
        </is>
      </c>
      <c r="L369" s="24" t="n"/>
    </row>
    <row r="370">
      <c r="A370" s="24" t="inlineStr">
        <is>
          <t>PHRASE</t>
        </is>
      </c>
      <c r="B370" s="24" t="inlineStr">
        <is>
          <t>DIET-P-0422</t>
        </is>
      </c>
      <c r="C370" s="24" t="n"/>
      <c r="D370" s="24" t="inlineStr">
        <is>
          <t>1.0.0</t>
        </is>
      </c>
      <c r="E370" s="25">
        <f>INDEX(목표문구!$G$1:$G$1000,MATCH($B370,목표문구!$A$1:$A$1000,0))</f>
        <v/>
      </c>
      <c r="F370" s="25" t="inlineStr">
        <is>
          <t>Breakfast: steamed egg or tofu</t>
        </is>
      </c>
      <c r="G370" s="24">
        <f>LEN(F370)</f>
        <v/>
      </c>
      <c r="H370" s="24" t="n">
        <v>30</v>
      </c>
      <c r="I370" s="24" t="n">
        <v>36</v>
      </c>
      <c r="J370" s="24">
        <f>IF(F370="","비어 있음",IF(G370&lt;=H370,"OK",IF(G370&lt;=I370,"길이 주의","상한 초과")))</f>
        <v/>
      </c>
      <c r="K370" s="24" t="inlineStr">
        <is>
          <t>초안(10-13) · 외주 검수 예정</t>
        </is>
      </c>
      <c r="L370" s="24" t="n"/>
    </row>
    <row r="371">
      <c r="A371" s="24" t="inlineStr">
        <is>
          <t>PHRASE</t>
        </is>
      </c>
      <c r="B371" s="24" t="inlineStr">
        <is>
          <t>DIET-P-0423</t>
        </is>
      </c>
      <c r="C371" s="24" t="n"/>
      <c r="D371" s="24" t="inlineStr">
        <is>
          <t>1.0.0</t>
        </is>
      </c>
      <c r="E371" s="25">
        <f>INDEX(목표문구!$G$1:$G$1000,MATCH($B371,목표문구!$A$1:$A$1000,0))</f>
        <v/>
      </c>
      <c r="F371" s="25" t="inlineStr">
        <is>
          <t>Breakfast: soft tofu or soy milk</t>
        </is>
      </c>
      <c r="G371" s="24">
        <f>LEN(F371)</f>
        <v/>
      </c>
      <c r="H371" s="24" t="n">
        <v>30</v>
      </c>
      <c r="I371" s="24" t="n">
        <v>36</v>
      </c>
      <c r="J371" s="24">
        <f>IF(F371="","비어 있음",IF(G371&lt;=H371,"OK",IF(G371&lt;=I371,"길이 주의","상한 초과")))</f>
        <v/>
      </c>
      <c r="K371" s="24" t="inlineStr">
        <is>
          <t>초안(10-13) · 외주 검수 예정</t>
        </is>
      </c>
      <c r="L371" s="24" t="n"/>
    </row>
    <row r="372">
      <c r="A372" s="24" t="inlineStr">
        <is>
          <t>PHRASE</t>
        </is>
      </c>
      <c r="B372" s="24" t="inlineStr">
        <is>
          <t>DIET-P-0424</t>
        </is>
      </c>
      <c r="C372" s="24" t="n"/>
      <c r="D372" s="24" t="inlineStr">
        <is>
          <t>1.0.0</t>
        </is>
      </c>
      <c r="E372" s="25">
        <f>INDEX(목표문구!$G$1:$G$1000,MATCH($B372,목표문구!$A$1:$A$1000,0))</f>
        <v/>
      </c>
      <c r="F372" s="25" t="inlineStr">
        <is>
          <t>Breakfast: soy milk or milk</t>
        </is>
      </c>
      <c r="G372" s="24">
        <f>LEN(F372)</f>
        <v/>
      </c>
      <c r="H372" s="24" t="n">
        <v>30</v>
      </c>
      <c r="I372" s="24" t="n">
        <v>36</v>
      </c>
      <c r="J372" s="24">
        <f>IF(F372="","비어 있음",IF(G372&lt;=H372,"OK",IF(G372&lt;=I372,"길이 주의","상한 초과")))</f>
        <v/>
      </c>
      <c r="K372" s="24" t="inlineStr">
        <is>
          <t>초안(10-13) · 외주 검수 예정</t>
        </is>
      </c>
      <c r="L372" s="24" t="n"/>
    </row>
    <row r="373">
      <c r="A373" s="24" t="inlineStr">
        <is>
          <t>PHRASE</t>
        </is>
      </c>
      <c r="B373" s="24" t="inlineStr">
        <is>
          <t>DIET-P-0425</t>
        </is>
      </c>
      <c r="C373" s="24" t="n"/>
      <c r="D373" s="24" t="inlineStr">
        <is>
          <t>1.0.0</t>
        </is>
      </c>
      <c r="E373" s="25">
        <f>INDEX(목표문구!$G$1:$G$1000,MATCH($B373,목표문구!$A$1:$A$1000,0))</f>
        <v/>
      </c>
      <c r="F373" s="25" t="inlineStr">
        <is>
          <t>Breakfast: egg or soy milk</t>
        </is>
      </c>
      <c r="G373" s="24">
        <f>LEN(F373)</f>
        <v/>
      </c>
      <c r="H373" s="24" t="n">
        <v>30</v>
      </c>
      <c r="I373" s="24" t="n">
        <v>36</v>
      </c>
      <c r="J373" s="24">
        <f>IF(F373="","비어 있음",IF(G373&lt;=H373,"OK",IF(G373&lt;=I373,"길이 주의","상한 초과")))</f>
        <v/>
      </c>
      <c r="K373" s="24" t="inlineStr">
        <is>
          <t>초안(10-13) · 외주 검수 예정</t>
        </is>
      </c>
      <c r="L373" s="24" t="n"/>
    </row>
    <row r="374">
      <c r="A374" s="24" t="inlineStr">
        <is>
          <t>PHRASE</t>
        </is>
      </c>
      <c r="B374" s="24" t="inlineStr">
        <is>
          <t>DIET-P-0426</t>
        </is>
      </c>
      <c r="C374" s="24" t="n"/>
      <c r="D374" s="24" t="inlineStr">
        <is>
          <t>1.0.0</t>
        </is>
      </c>
      <c r="E374" s="25">
        <f>INDEX(목표문구!$G$1:$G$1000,MATCH($B374,목표문구!$A$1:$A$1000,0))</f>
        <v/>
      </c>
      <c r="F374" s="25" t="inlineStr">
        <is>
          <t>Breakfast: silken tofu or soy</t>
        </is>
      </c>
      <c r="G374" s="24">
        <f>LEN(F374)</f>
        <v/>
      </c>
      <c r="H374" s="24" t="n">
        <v>30</v>
      </c>
      <c r="I374" s="24" t="n">
        <v>36</v>
      </c>
      <c r="J374" s="24">
        <f>IF(F374="","비어 있음",IF(G374&lt;=H374,"OK",IF(G374&lt;=I374,"길이 주의","상한 초과")))</f>
        <v/>
      </c>
      <c r="K374" s="24" t="inlineStr">
        <is>
          <t>초안(10-13) · 외주 검수 예정</t>
        </is>
      </c>
      <c r="L374" s="24" t="n"/>
    </row>
    <row r="375">
      <c r="A375" s="24" t="inlineStr">
        <is>
          <t>PHRASE</t>
        </is>
      </c>
      <c r="B375" s="24" t="inlineStr">
        <is>
          <t>DIET-P-0427</t>
        </is>
      </c>
      <c r="C375" s="24" t="n"/>
      <c r="D375" s="24" t="inlineStr">
        <is>
          <t>1.0.0</t>
        </is>
      </c>
      <c r="E375" s="25">
        <f>INDEX(목표문구!$G$1:$G$1000,MATCH($B375,목표문구!$A$1:$A$1000,0))</f>
        <v/>
      </c>
      <c r="F375" s="25" t="inlineStr">
        <is>
          <t>Breakfast: salmon or tofu</t>
        </is>
      </c>
      <c r="G375" s="24">
        <f>LEN(F375)</f>
        <v/>
      </c>
      <c r="H375" s="24" t="n">
        <v>30</v>
      </c>
      <c r="I375" s="24" t="n">
        <v>36</v>
      </c>
      <c r="J375" s="24">
        <f>IF(F375="","비어 있음",IF(G375&lt;=H375,"OK",IF(G375&lt;=I375,"길이 주의","상한 초과")))</f>
        <v/>
      </c>
      <c r="K375" s="24" t="inlineStr">
        <is>
          <t>초안(10-13) · 외주 검수 예정</t>
        </is>
      </c>
      <c r="L375" s="24" t="n"/>
    </row>
    <row r="376">
      <c r="A376" s="24" t="inlineStr">
        <is>
          <t>PHRASE</t>
        </is>
      </c>
      <c r="B376" s="24" t="inlineStr">
        <is>
          <t>DIET-P-0428</t>
        </is>
      </c>
      <c r="C376" s="24" t="n"/>
      <c r="D376" s="24" t="inlineStr">
        <is>
          <t>1.0.0</t>
        </is>
      </c>
      <c r="E376" s="25">
        <f>INDEX(목표문구!$G$1:$G$1000,MATCH($B376,목표문구!$A$1:$A$1000,0))</f>
        <v/>
      </c>
      <c r="F376" s="25" t="inlineStr">
        <is>
          <t>Breakfast: fish or greens</t>
        </is>
      </c>
      <c r="G376" s="24">
        <f>LEN(F376)</f>
        <v/>
      </c>
      <c r="H376" s="24" t="n">
        <v>30</v>
      </c>
      <c r="I376" s="24" t="n">
        <v>36</v>
      </c>
      <c r="J376" s="24">
        <f>IF(F376="","비어 있음",IF(G376&lt;=H376,"OK",IF(G376&lt;=I376,"길이 주의","상한 초과")))</f>
        <v/>
      </c>
      <c r="K376" s="24" t="inlineStr">
        <is>
          <t>초안(10-13) · 외주 검수 예정</t>
        </is>
      </c>
      <c r="L376" s="24" t="n"/>
    </row>
    <row r="377">
      <c r="A377" s="24" t="inlineStr">
        <is>
          <t>PHRASE</t>
        </is>
      </c>
      <c r="B377" s="24" t="inlineStr">
        <is>
          <t>DIET-P-0429</t>
        </is>
      </c>
      <c r="C377" s="24" t="n"/>
      <c r="D377" s="24" t="inlineStr">
        <is>
          <t>1.0.0</t>
        </is>
      </c>
      <c r="E377" s="25">
        <f>INDEX(목표문구!$G$1:$G$1000,MATCH($B377,목표문구!$A$1:$A$1000,0))</f>
        <v/>
      </c>
      <c r="F377" s="25" t="inlineStr">
        <is>
          <t>Breakfast: fresh slaw or salad</t>
        </is>
      </c>
      <c r="G377" s="24">
        <f>LEN(F377)</f>
        <v/>
      </c>
      <c r="H377" s="24" t="n">
        <v>30</v>
      </c>
      <c r="I377" s="24" t="n">
        <v>36</v>
      </c>
      <c r="J377" s="24">
        <f>IF(F377="","비어 있음",IF(G377&lt;=H377,"OK",IF(G377&lt;=I377,"길이 주의","상한 초과")))</f>
        <v/>
      </c>
      <c r="K377" s="24" t="inlineStr">
        <is>
          <t>초안(10-13) · 외주 검수 예정</t>
        </is>
      </c>
      <c r="L377" s="24" t="n"/>
    </row>
    <row r="378">
      <c r="A378" s="24" t="inlineStr">
        <is>
          <t>PHRASE</t>
        </is>
      </c>
      <c r="B378" s="24" t="inlineStr">
        <is>
          <t>DIET-P-0430</t>
        </is>
      </c>
      <c r="C378" s="24" t="n"/>
      <c r="D378" s="24" t="inlineStr">
        <is>
          <t>1.0.0</t>
        </is>
      </c>
      <c r="E378" s="25">
        <f>INDEX(목표문구!$G$1:$G$1000,MATCH($B378,목표문구!$A$1:$A$1000,0))</f>
        <v/>
      </c>
      <c r="F378" s="25" t="inlineStr">
        <is>
          <t>Dinner: fish or boiled pork</t>
        </is>
      </c>
      <c r="G378" s="24">
        <f>LEN(F378)</f>
        <v/>
      </c>
      <c r="H378" s="24" t="n">
        <v>30</v>
      </c>
      <c r="I378" s="24" t="n">
        <v>36</v>
      </c>
      <c r="J378" s="24">
        <f>IF(F378="","비어 있음",IF(G378&lt;=H378,"OK",IF(G378&lt;=I378,"길이 주의","상한 초과")))</f>
        <v/>
      </c>
      <c r="K378" s="24" t="inlineStr">
        <is>
          <t>초안(10-13) · 외주 검수 예정</t>
        </is>
      </c>
      <c r="L378" s="24" t="n"/>
    </row>
    <row r="379">
      <c r="A379" s="24" t="inlineStr">
        <is>
          <t>PHRASE</t>
        </is>
      </c>
      <c r="B379" s="24" t="inlineStr">
        <is>
          <t>DIET-P-0431</t>
        </is>
      </c>
      <c r="C379" s="24" t="n"/>
      <c r="D379" s="24" t="inlineStr">
        <is>
          <t>1.0.0</t>
        </is>
      </c>
      <c r="E379" s="25">
        <f>INDEX(목표문구!$G$1:$G$1000,MATCH($B379,목표문구!$A$1:$A$1000,0))</f>
        <v/>
      </c>
      <c r="F379" s="25" t="inlineStr">
        <is>
          <t>Dinner: boiled pork or chicken</t>
        </is>
      </c>
      <c r="G379" s="24">
        <f>LEN(F379)</f>
        <v/>
      </c>
      <c r="H379" s="24" t="n">
        <v>30</v>
      </c>
      <c r="I379" s="24" t="n">
        <v>36</v>
      </c>
      <c r="J379" s="24">
        <f>IF(F379="","비어 있음",IF(G379&lt;=H379,"OK",IF(G379&lt;=I379,"길이 주의","상한 초과")))</f>
        <v/>
      </c>
      <c r="K379" s="24" t="inlineStr">
        <is>
          <t>초안(10-13) · 외주 검수 예정</t>
        </is>
      </c>
      <c r="L379" s="24" t="n"/>
    </row>
    <row r="380">
      <c r="A380" s="24" t="inlineStr">
        <is>
          <t>PHRASE</t>
        </is>
      </c>
      <c r="B380" s="24" t="inlineStr">
        <is>
          <t>DIET-P-0432</t>
        </is>
      </c>
      <c r="C380" s="24" t="n"/>
      <c r="D380" s="24" t="inlineStr">
        <is>
          <t>1.0.0</t>
        </is>
      </c>
      <c r="E380" s="25">
        <f>INDEX(목표문구!$G$1:$G$1000,MATCH($B380,목표문구!$A$1:$A$1000,0))</f>
        <v/>
      </c>
      <c r="F380" s="25" t="inlineStr">
        <is>
          <t>Dinner: poached or grilled chicken</t>
        </is>
      </c>
      <c r="G380" s="24">
        <f>LEN(F380)</f>
        <v/>
      </c>
      <c r="H380" s="24" t="n">
        <v>30</v>
      </c>
      <c r="I380" s="24" t="n">
        <v>36</v>
      </c>
      <c r="J380" s="24">
        <f>IF(F380="","비어 있음",IF(G380&lt;=H380,"OK",IF(G380&lt;=I380,"길이 주의","상한 초과")))</f>
        <v/>
      </c>
      <c r="K380" s="24" t="inlineStr">
        <is>
          <t>초안(10-13) · 외주 검수 예정</t>
        </is>
      </c>
      <c r="L380" s="24" t="n"/>
    </row>
    <row r="381">
      <c r="A381" s="24" t="inlineStr">
        <is>
          <t>PHRASE</t>
        </is>
      </c>
      <c r="B381" s="24" t="inlineStr">
        <is>
          <t>DIET-P-0433</t>
        </is>
      </c>
      <c r="C381" s="24" t="n"/>
      <c r="D381" s="24" t="inlineStr">
        <is>
          <t>1.0.0</t>
        </is>
      </c>
      <c r="E381" s="25">
        <f>INDEX(목표문구!$G$1:$G$1000,MATCH($B381,목표문구!$A$1:$A$1000,0))</f>
        <v/>
      </c>
      <c r="F381" s="25" t="inlineStr">
        <is>
          <t>Dinner: blanched squid or pork</t>
        </is>
      </c>
      <c r="G381" s="24">
        <f>LEN(F381)</f>
        <v/>
      </c>
      <c r="H381" s="24" t="n">
        <v>30</v>
      </c>
      <c r="I381" s="24" t="n">
        <v>36</v>
      </c>
      <c r="J381" s="24">
        <f>IF(F381="","비어 있음",IF(G381&lt;=H381,"OK",IF(G381&lt;=I381,"길이 주의","상한 초과")))</f>
        <v/>
      </c>
      <c r="K381" s="24" t="inlineStr">
        <is>
          <t>초안(10-13) · 외주 검수 예정</t>
        </is>
      </c>
      <c r="L381" s="24" t="n"/>
    </row>
    <row r="382">
      <c r="A382" s="24" t="inlineStr">
        <is>
          <t>PHRASE</t>
        </is>
      </c>
      <c r="B382" s="24" t="inlineStr">
        <is>
          <t>DIET-P-0434</t>
        </is>
      </c>
      <c r="C382" s="24" t="n"/>
      <c r="D382" s="24" t="inlineStr">
        <is>
          <t>1.0.0</t>
        </is>
      </c>
      <c r="E382" s="25">
        <f>INDEX(목표문구!$G$1:$G$1000,MATCH($B382,목표문구!$A$1:$A$1000,0))</f>
        <v/>
      </c>
      <c r="F382" s="25" t="inlineStr">
        <is>
          <t>Dinner: mackerel or beltfish</t>
        </is>
      </c>
      <c r="G382" s="24">
        <f>LEN(F382)</f>
        <v/>
      </c>
      <c r="H382" s="24" t="n">
        <v>30</v>
      </c>
      <c r="I382" s="24" t="n">
        <v>36</v>
      </c>
      <c r="J382" s="24">
        <f>IF(F382="","비어 있음",IF(G382&lt;=H382,"OK",IF(G382&lt;=I382,"길이 주의","상한 초과")))</f>
        <v/>
      </c>
      <c r="K382" s="24" t="inlineStr">
        <is>
          <t>초안(10-13) · 외주 검수 예정</t>
        </is>
      </c>
      <c r="L382" s="24" t="n"/>
    </row>
    <row r="383">
      <c r="A383" s="24" t="inlineStr">
        <is>
          <t>PHRASE</t>
        </is>
      </c>
      <c r="B383" s="24" t="inlineStr">
        <is>
          <t>DIET-P-0435</t>
        </is>
      </c>
      <c r="C383" s="24" t="n"/>
      <c r="D383" s="24" t="inlineStr">
        <is>
          <t>1.0.0</t>
        </is>
      </c>
      <c r="E383" s="25">
        <f>INDEX(목표문구!$G$1:$G$1000,MATCH($B383,목표문구!$A$1:$A$1000,0))</f>
        <v/>
      </c>
      <c r="F383" s="25" t="inlineStr">
        <is>
          <t>Dinner: grilled white fish</t>
        </is>
      </c>
      <c r="G383" s="24">
        <f>LEN(F383)</f>
        <v/>
      </c>
      <c r="H383" s="24" t="n">
        <v>30</v>
      </c>
      <c r="I383" s="24" t="n">
        <v>36</v>
      </c>
      <c r="J383" s="24">
        <f>IF(F383="","비어 있음",IF(G383&lt;=H383,"OK",IF(G383&lt;=I383,"길이 주의","상한 초과")))</f>
        <v/>
      </c>
      <c r="K383" s="24" t="inlineStr">
        <is>
          <t>초안(10-13) · 외주 검수 예정</t>
        </is>
      </c>
      <c r="L383" s="24" t="n"/>
    </row>
    <row r="384">
      <c r="A384" s="24" t="inlineStr">
        <is>
          <t>PHRASE</t>
        </is>
      </c>
      <c r="B384" s="24" t="inlineStr">
        <is>
          <t>DIET-P-0436</t>
        </is>
      </c>
      <c r="C384" s="24" t="n"/>
      <c r="D384" s="24" t="inlineStr">
        <is>
          <t>1.0.0</t>
        </is>
      </c>
      <c r="E384" s="25">
        <f>INDEX(목표문구!$G$1:$G$1000,MATCH($B384,목표문구!$A$1:$A$1000,0))</f>
        <v/>
      </c>
      <c r="F384" s="25" t="inlineStr">
        <is>
          <t>Dinner: tofu or steamed egg</t>
        </is>
      </c>
      <c r="G384" s="24">
        <f>LEN(F384)</f>
        <v/>
      </c>
      <c r="H384" s="24" t="n">
        <v>30</v>
      </c>
      <c r="I384" s="24" t="n">
        <v>36</v>
      </c>
      <c r="J384" s="24">
        <f>IF(F384="","비어 있음",IF(G384&lt;=H384,"OK",IF(G384&lt;=I384,"길이 주의","상한 초과")))</f>
        <v/>
      </c>
      <c r="K384" s="24" t="inlineStr">
        <is>
          <t>초안(10-13) · 외주 검수 예정</t>
        </is>
      </c>
      <c r="L384" s="24" t="n"/>
    </row>
    <row r="385">
      <c r="A385" s="24" t="inlineStr">
        <is>
          <t>PHRASE</t>
        </is>
      </c>
      <c r="B385" s="24" t="inlineStr">
        <is>
          <t>DIET-P-0437</t>
        </is>
      </c>
      <c r="C385" s="24" t="n"/>
      <c r="D385" s="24" t="inlineStr">
        <is>
          <t>1.0.0</t>
        </is>
      </c>
      <c r="E385" s="25">
        <f>INDEX(목표문구!$G$1:$G$1000,MATCH($B385,목표문구!$A$1:$A$1000,0))</f>
        <v/>
      </c>
      <c r="F385" s="25" t="inlineStr">
        <is>
          <t>Dinner: salmon or chicken</t>
        </is>
      </c>
      <c r="G385" s="24">
        <f>LEN(F385)</f>
        <v/>
      </c>
      <c r="H385" s="24" t="n">
        <v>30</v>
      </c>
      <c r="I385" s="24" t="n">
        <v>36</v>
      </c>
      <c r="J385" s="24">
        <f>IF(F385="","비어 있음",IF(G385&lt;=H385,"OK",IF(G385&lt;=I385,"길이 주의","상한 초과")))</f>
        <v/>
      </c>
      <c r="K385" s="24" t="inlineStr">
        <is>
          <t>초안(10-13) · 외주 검수 예정</t>
        </is>
      </c>
      <c r="L385" s="24" t="n"/>
    </row>
    <row r="386">
      <c r="A386" s="24" t="inlineStr">
        <is>
          <t>PHRASE</t>
        </is>
      </c>
      <c r="B386" s="24" t="inlineStr">
        <is>
          <t>DIET-P-0438</t>
        </is>
      </c>
      <c r="C386" s="24" t="n"/>
      <c r="D386" s="24" t="inlineStr">
        <is>
          <t>1.0.0</t>
        </is>
      </c>
      <c r="E386" s="25">
        <f>INDEX(목표문구!$G$1:$G$1000,MATCH($B386,목표문구!$A$1:$A$1000,0))</f>
        <v/>
      </c>
      <c r="F386" s="25" t="inlineStr">
        <is>
          <t>Dinner: chicken or tofu</t>
        </is>
      </c>
      <c r="G386" s="24">
        <f>LEN(F386)</f>
        <v/>
      </c>
      <c r="H386" s="24" t="n">
        <v>30</v>
      </c>
      <c r="I386" s="24" t="n">
        <v>36</v>
      </c>
      <c r="J386" s="24">
        <f>IF(F386="","비어 있음",IF(G386&lt;=H386,"OK",IF(G386&lt;=I386,"길이 주의","상한 초과")))</f>
        <v/>
      </c>
      <c r="K386" s="24" t="inlineStr">
        <is>
          <t>초안(10-13) · 외주 검수 예정</t>
        </is>
      </c>
      <c r="L386" s="24" t="n"/>
    </row>
    <row r="387">
      <c r="A387" s="24" t="inlineStr">
        <is>
          <t>PHRASE</t>
        </is>
      </c>
      <c r="B387" s="24" t="inlineStr">
        <is>
          <t>DIET-P-0439</t>
        </is>
      </c>
      <c r="C387" s="24" t="n"/>
      <c r="D387" s="24" t="inlineStr">
        <is>
          <t>1.0.0</t>
        </is>
      </c>
      <c r="E387" s="25">
        <f>INDEX(목표문구!$G$1:$G$1000,MATCH($B387,목표문구!$A$1:$A$1000,0))</f>
        <v/>
      </c>
      <c r="F387" s="25" t="inlineStr">
        <is>
          <t>Dinner: tofu or poached chicken</t>
        </is>
      </c>
      <c r="G387" s="24">
        <f>LEN(F387)</f>
        <v/>
      </c>
      <c r="H387" s="24" t="n">
        <v>30</v>
      </c>
      <c r="I387" s="24" t="n">
        <v>36</v>
      </c>
      <c r="J387" s="24">
        <f>IF(F387="","비어 있음",IF(G387&lt;=H387,"OK",IF(G387&lt;=I387,"길이 주의","상한 초과")))</f>
        <v/>
      </c>
      <c r="K387" s="24" t="inlineStr">
        <is>
          <t>초안(10-13) · 외주 검수 예정</t>
        </is>
      </c>
      <c r="L387" s="24" t="n"/>
    </row>
    <row r="388">
      <c r="A388" s="24" t="inlineStr">
        <is>
          <t>PHRASE</t>
        </is>
      </c>
      <c r="B388" s="24" t="inlineStr">
        <is>
          <t>DIET-P-0440</t>
        </is>
      </c>
      <c r="C388" s="24" t="n"/>
      <c r="D388" s="24" t="inlineStr">
        <is>
          <t>1.0.0</t>
        </is>
      </c>
      <c r="E388" s="25">
        <f>INDEX(목표문구!$G$1:$G$1000,MATCH($B388,목표문구!$A$1:$A$1000,0))</f>
        <v/>
      </c>
      <c r="F388" s="25" t="inlineStr">
        <is>
          <t>Dinner: tofu or steamed fish</t>
        </is>
      </c>
      <c r="G388" s="24">
        <f>LEN(F388)</f>
        <v/>
      </c>
      <c r="H388" s="24" t="n">
        <v>30</v>
      </c>
      <c r="I388" s="24" t="n">
        <v>36</v>
      </c>
      <c r="J388" s="24">
        <f>IF(F388="","비어 있음",IF(G388&lt;=H388,"OK",IF(G388&lt;=I388,"길이 주의","상한 초과")))</f>
        <v/>
      </c>
      <c r="K388" s="24" t="inlineStr">
        <is>
          <t>초안(10-13) · 외주 검수 예정</t>
        </is>
      </c>
      <c r="L388" s="24" t="n"/>
    </row>
    <row r="389">
      <c r="A389" s="24" t="inlineStr">
        <is>
          <t>PHRASE</t>
        </is>
      </c>
      <c r="B389" s="24" t="inlineStr">
        <is>
          <t>DIET-P-0441</t>
        </is>
      </c>
      <c r="C389" s="24" t="n"/>
      <c r="D389" s="24" t="inlineStr">
        <is>
          <t>1.0.0</t>
        </is>
      </c>
      <c r="E389" s="25">
        <f>INDEX(목표문구!$G$1:$G$1000,MATCH($B389,목표문구!$A$1:$A$1000,0))</f>
        <v/>
      </c>
      <c r="F389" s="25" t="inlineStr">
        <is>
          <t>Dinner: shabu-shabu or wraps</t>
        </is>
      </c>
      <c r="G389" s="24">
        <f>LEN(F389)</f>
        <v/>
      </c>
      <c r="H389" s="24" t="n">
        <v>30</v>
      </c>
      <c r="I389" s="24" t="n">
        <v>36</v>
      </c>
      <c r="J389" s="24">
        <f>IF(F389="","비어 있음",IF(G389&lt;=H389,"OK",IF(G389&lt;=I389,"길이 주의","상한 초과")))</f>
        <v/>
      </c>
      <c r="K389" s="24" t="inlineStr">
        <is>
          <t>초안(10-13) · 외주 검수 예정</t>
        </is>
      </c>
      <c r="L389" s="24" t="n"/>
    </row>
    <row r="390">
      <c r="A390" s="24" t="inlineStr">
        <is>
          <t>PHRASE</t>
        </is>
      </c>
      <c r="B390" s="24" t="inlineStr">
        <is>
          <t>DIET-P-0442</t>
        </is>
      </c>
      <c r="C390" s="24" t="n"/>
      <c r="D390" s="24" t="inlineStr">
        <is>
          <t>1.0.0</t>
        </is>
      </c>
      <c r="E390" s="25">
        <f>INDEX(목표문구!$G$1:$G$1000,MATCH($B390,목표문구!$A$1:$A$1000,0))</f>
        <v/>
      </c>
      <c r="F390" s="25" t="inlineStr">
        <is>
          <t>Dinner: rice paper rolls</t>
        </is>
      </c>
      <c r="G390" s="24">
        <f>LEN(F390)</f>
        <v/>
      </c>
      <c r="H390" s="24" t="n">
        <v>30</v>
      </c>
      <c r="I390" s="24" t="n">
        <v>36</v>
      </c>
      <c r="J390" s="24">
        <f>IF(F390="","비어 있음",IF(G390&lt;=H390,"OK",IF(G390&lt;=I390,"길이 주의","상한 초과")))</f>
        <v/>
      </c>
      <c r="K390" s="24" t="inlineStr">
        <is>
          <t>초안(10-13) · 외주 검수 예정</t>
        </is>
      </c>
      <c r="L390" s="24" t="n"/>
    </row>
    <row r="391">
      <c r="A391" s="24" t="inlineStr">
        <is>
          <t>PHRASE</t>
        </is>
      </c>
      <c r="B391" s="24" t="inlineStr">
        <is>
          <t>DIET-P-0443</t>
        </is>
      </c>
      <c r="C391" s="24" t="n"/>
      <c r="D391" s="24" t="inlineStr">
        <is>
          <t>1.0.0</t>
        </is>
      </c>
      <c r="E391" s="25">
        <f>INDEX(목표문구!$G$1:$G$1000,MATCH($B391,목표문구!$A$1:$A$1000,0))</f>
        <v/>
      </c>
      <c r="F391" s="25" t="inlineStr">
        <is>
          <t>Dinner: eggplant or mushrooms</t>
        </is>
      </c>
      <c r="G391" s="24">
        <f>LEN(F391)</f>
        <v/>
      </c>
      <c r="H391" s="24" t="n">
        <v>30</v>
      </c>
      <c r="I391" s="24" t="n">
        <v>36</v>
      </c>
      <c r="J391" s="24">
        <f>IF(F391="","비어 있음",IF(G391&lt;=H391,"OK",IF(G391&lt;=I391,"길이 주의","상한 초과")))</f>
        <v/>
      </c>
      <c r="K391" s="24" t="inlineStr">
        <is>
          <t>초안(10-13) · 외주 검수 예정</t>
        </is>
      </c>
      <c r="L391" s="24" t="n"/>
    </row>
    <row r="392">
      <c r="A392" s="24" t="inlineStr">
        <is>
          <t>PHRASE</t>
        </is>
      </c>
      <c r="B392" s="24" t="inlineStr">
        <is>
          <t>DIET-P-0444</t>
        </is>
      </c>
      <c r="C392" s="24" t="n"/>
      <c r="D392" s="24" t="inlineStr">
        <is>
          <t>1.0.0</t>
        </is>
      </c>
      <c r="E392" s="25">
        <f>INDEX(목표문구!$G$1:$G$1000,MATCH($B392,목표문구!$A$1:$A$1000,0))</f>
        <v/>
      </c>
      <c r="F392" s="25" t="inlineStr">
        <is>
          <t>Dinner: greens or fresh slaw</t>
        </is>
      </c>
      <c r="G392" s="24">
        <f>LEN(F392)</f>
        <v/>
      </c>
      <c r="H392" s="24" t="n">
        <v>30</v>
      </c>
      <c r="I392" s="24" t="n">
        <v>36</v>
      </c>
      <c r="J392" s="24">
        <f>IF(F392="","비어 있음",IF(G392&lt;=H392,"OK",IF(G392&lt;=I392,"길이 주의","상한 초과")))</f>
        <v/>
      </c>
      <c r="K392" s="24" t="inlineStr">
        <is>
          <t>초안(10-13) · 외주 검수 예정</t>
        </is>
      </c>
      <c r="L392" s="24" t="n"/>
    </row>
    <row r="393">
      <c r="A393" s="24" t="inlineStr">
        <is>
          <t>PHRASE</t>
        </is>
      </c>
      <c r="B393" s="24" t="inlineStr">
        <is>
          <t>DIET-P-0445</t>
        </is>
      </c>
      <c r="C393" s="24" t="n"/>
      <c r="D393" s="24" t="inlineStr">
        <is>
          <t>1.0.0</t>
        </is>
      </c>
      <c r="E393" s="25">
        <f>INDEX(목표문구!$G$1:$G$1000,MATCH($B393,목표문구!$A$1:$A$1000,0))</f>
        <v/>
      </c>
      <c r="F393" s="25" t="inlineStr">
        <is>
          <t>Dinner: bean sprouts or spinach</t>
        </is>
      </c>
      <c r="G393" s="24">
        <f>LEN(F393)</f>
        <v/>
      </c>
      <c r="H393" s="24" t="n">
        <v>30</v>
      </c>
      <c r="I393" s="24" t="n">
        <v>36</v>
      </c>
      <c r="J393" s="24">
        <f>IF(F393="","비어 있음",IF(G393&lt;=H393,"OK",IF(G393&lt;=I393,"길이 주의","상한 초과")))</f>
        <v/>
      </c>
      <c r="K393" s="24" t="inlineStr">
        <is>
          <t>초안(10-13) · 외주 검수 예정</t>
        </is>
      </c>
      <c r="L393" s="24" t="n"/>
    </row>
    <row r="394">
      <c r="A394" s="24" t="inlineStr">
        <is>
          <t>PHRASE</t>
        </is>
      </c>
      <c r="B394" s="24" t="inlineStr">
        <is>
          <t>DIET-P-0446</t>
        </is>
      </c>
      <c r="C394" s="24" t="n"/>
      <c r="D394" s="24" t="inlineStr">
        <is>
          <t>1.0.0</t>
        </is>
      </c>
      <c r="E394" s="25">
        <f>INDEX(목표문구!$G$1:$G$1000,MATCH($B394,목표문구!$A$1:$A$1000,0))</f>
        <v/>
      </c>
      <c r="F394" s="25" t="inlineStr">
        <is>
          <t>Dinner: lettuce wraps or greens</t>
        </is>
      </c>
      <c r="G394" s="24">
        <f>LEN(F394)</f>
        <v/>
      </c>
      <c r="H394" s="24" t="n">
        <v>30</v>
      </c>
      <c r="I394" s="24" t="n">
        <v>36</v>
      </c>
      <c r="J394" s="24">
        <f>IF(F394="","비어 있음",IF(G394&lt;=H394,"OK",IF(G394&lt;=I394,"길이 주의","상한 초과")))</f>
        <v/>
      </c>
      <c r="K394" s="24" t="inlineStr">
        <is>
          <t>초안(10-13) · 외주 검수 예정</t>
        </is>
      </c>
      <c r="L394" s="24" t="n"/>
    </row>
    <row r="395">
      <c r="A395" s="24" t="inlineStr">
        <is>
          <t>PHRASE</t>
        </is>
      </c>
      <c r="B395" s="24" t="inlineStr">
        <is>
          <t>DIET-P-0447</t>
        </is>
      </c>
      <c r="C395" s="24" t="n"/>
      <c r="D395" s="24" t="inlineStr">
        <is>
          <t>1.0.0</t>
        </is>
      </c>
      <c r="E395" s="25">
        <f>INDEX(목표문구!$G$1:$G$1000,MATCH($B395,목표문구!$A$1:$A$1000,0))</f>
        <v/>
      </c>
      <c r="F395" s="25" t="inlineStr">
        <is>
          <t>Dinner: steamed fish + slaw</t>
        </is>
      </c>
      <c r="G395" s="24">
        <f>LEN(F395)</f>
        <v/>
      </c>
      <c r="H395" s="24" t="n">
        <v>30</v>
      </c>
      <c r="I395" s="24" t="n">
        <v>36</v>
      </c>
      <c r="J395" s="24">
        <f>IF(F395="","비어 있음",IF(G395&lt;=H395,"OK",IF(G395&lt;=I395,"길이 주의","상한 초과")))</f>
        <v/>
      </c>
      <c r="K395" s="24" t="inlineStr">
        <is>
          <t>초안(10-13) · 외주 검수 예정</t>
        </is>
      </c>
      <c r="L395" s="24" t="n"/>
    </row>
    <row r="396">
      <c r="A396" s="24" t="inlineStr">
        <is>
          <t>PHRASE</t>
        </is>
      </c>
      <c r="B396" s="24" t="inlineStr">
        <is>
          <t>DIET-P-0448</t>
        </is>
      </c>
      <c r="C396" s="24" t="n"/>
      <c r="D396" s="24" t="inlineStr">
        <is>
          <t>1.0.0</t>
        </is>
      </c>
      <c r="E396" s="25">
        <f>INDEX(목표문구!$G$1:$G$1000,MATCH($B396,목표문구!$A$1:$A$1000,0))</f>
        <v/>
      </c>
      <c r="F396" s="25" t="inlineStr">
        <is>
          <t>Dinner: steamed tofu + slaw</t>
        </is>
      </c>
      <c r="G396" s="24">
        <f>LEN(F396)</f>
        <v/>
      </c>
      <c r="H396" s="24" t="n">
        <v>30</v>
      </c>
      <c r="I396" s="24" t="n">
        <v>36</v>
      </c>
      <c r="J396" s="24">
        <f>IF(F396="","비어 있음",IF(G396&lt;=H396,"OK",IF(G396&lt;=I396,"길이 주의","상한 초과")))</f>
        <v/>
      </c>
      <c r="K396" s="24" t="inlineStr">
        <is>
          <t>초안(10-13) · 외주 검수 예정</t>
        </is>
      </c>
      <c r="L396" s="24" t="n"/>
    </row>
    <row r="397">
      <c r="A397" s="24" t="inlineStr">
        <is>
          <t>PHRASE</t>
        </is>
      </c>
      <c r="B397" s="24" t="inlineStr">
        <is>
          <t>DIET-P-0449</t>
        </is>
      </c>
      <c r="C397" s="24" t="n"/>
      <c r="D397" s="24" t="inlineStr">
        <is>
          <t>1.0.0</t>
        </is>
      </c>
      <c r="E397" s="25">
        <f>INDEX(목표문구!$G$1:$G$1000,MATCH($B397,목표문구!$A$1:$A$1000,0))</f>
        <v/>
      </c>
      <c r="F397" s="25" t="inlineStr">
        <is>
          <t>Dinner: grain rice + wraps</t>
        </is>
      </c>
      <c r="G397" s="24">
        <f>LEN(F397)</f>
        <v/>
      </c>
      <c r="H397" s="24" t="n">
        <v>30</v>
      </c>
      <c r="I397" s="24" t="n">
        <v>36</v>
      </c>
      <c r="J397" s="24">
        <f>IF(F397="","비어 있음",IF(G397&lt;=H397,"OK",IF(G397&lt;=I397,"길이 주의","상한 초과")))</f>
        <v/>
      </c>
      <c r="K397" s="24" t="inlineStr">
        <is>
          <t>초안(10-13) · 외주 검수 예정</t>
        </is>
      </c>
      <c r="L397" s="24" t="n"/>
    </row>
    <row r="398">
      <c r="A398" s="24" t="inlineStr">
        <is>
          <t>PHRASE</t>
        </is>
      </c>
      <c r="B398" s="24" t="inlineStr">
        <is>
          <t>DIET-P-0450</t>
        </is>
      </c>
      <c r="C398" s="24" t="n"/>
      <c r="D398" s="24" t="inlineStr">
        <is>
          <t>1.0.0</t>
        </is>
      </c>
      <c r="E398" s="25">
        <f>INDEX(목표문구!$G$1:$G$1000,MATCH($B398,목표문구!$A$1:$A$1000,0))</f>
        <v/>
      </c>
      <c r="F398" s="25" t="inlineStr">
        <is>
          <t>Dinner: braised chicken or pork</t>
        </is>
      </c>
      <c r="G398" s="24">
        <f>LEN(F398)</f>
        <v/>
      </c>
      <c r="H398" s="24" t="n">
        <v>30</v>
      </c>
      <c r="I398" s="24" t="n">
        <v>36</v>
      </c>
      <c r="J398" s="24">
        <f>IF(F398="","비어 있음",IF(G398&lt;=H398,"OK",IF(G398&lt;=I398,"길이 주의","상한 초과")))</f>
        <v/>
      </c>
      <c r="K398" s="24" t="inlineStr">
        <is>
          <t>초안(10-13) · 외주 검수 예정</t>
        </is>
      </c>
      <c r="L398" s="24" t="n"/>
    </row>
    <row r="399">
      <c r="A399" s="24" t="inlineStr">
        <is>
          <t>PHRASE</t>
        </is>
      </c>
      <c r="B399" s="24" t="inlineStr">
        <is>
          <t>DIET-P-0451</t>
        </is>
      </c>
      <c r="C399" s="24" t="n"/>
      <c r="D399" s="24" t="inlineStr">
        <is>
          <t>1.0.0</t>
        </is>
      </c>
      <c r="E399" s="25">
        <f>INDEX(목표문구!$G$1:$G$1000,MATCH($B399,목표문구!$A$1:$A$1000,0))</f>
        <v/>
      </c>
      <c r="F399" s="25" t="inlineStr">
        <is>
          <t>Dinner: flounder or croaker</t>
        </is>
      </c>
      <c r="G399" s="24">
        <f>LEN(F399)</f>
        <v/>
      </c>
      <c r="H399" s="24" t="n">
        <v>30</v>
      </c>
      <c r="I399" s="24" t="n">
        <v>36</v>
      </c>
      <c r="J399" s="24">
        <f>IF(F399="","비어 있음",IF(G399&lt;=H399,"OK",IF(G399&lt;=I399,"길이 주의","상한 초과")))</f>
        <v/>
      </c>
      <c r="K399" s="24" t="inlineStr">
        <is>
          <t>초안(10-13) · 외주 검수 예정</t>
        </is>
      </c>
      <c r="L399" s="24" t="n"/>
    </row>
    <row r="400">
      <c r="A400" s="24" t="inlineStr">
        <is>
          <t>PHRASE</t>
        </is>
      </c>
      <c r="B400" s="24" t="inlineStr">
        <is>
          <t>DIET-P-0452</t>
        </is>
      </c>
      <c r="C400" s="24" t="n"/>
      <c r="D400" s="24" t="inlineStr">
        <is>
          <t>1.0.0</t>
        </is>
      </c>
      <c r="E400" s="25">
        <f>INDEX(목표문구!$G$1:$G$1000,MATCH($B400,목표문구!$A$1:$A$1000,0))</f>
        <v/>
      </c>
      <c r="F400" s="25" t="inlineStr">
        <is>
          <t>Dinner: grilled mackerel</t>
        </is>
      </c>
      <c r="G400" s="24">
        <f>LEN(F400)</f>
        <v/>
      </c>
      <c r="H400" s="24" t="n">
        <v>30</v>
      </c>
      <c r="I400" s="24" t="n">
        <v>36</v>
      </c>
      <c r="J400" s="24">
        <f>IF(F400="","비어 있음",IF(G400&lt;=H400,"OK",IF(G400&lt;=I400,"길이 주의","상한 초과")))</f>
        <v/>
      </c>
      <c r="K400" s="24" t="inlineStr">
        <is>
          <t>초안(10-13) · 외주 검수 예정</t>
        </is>
      </c>
      <c r="L400" s="24" t="n"/>
    </row>
    <row r="401">
      <c r="A401" s="24" t="inlineStr">
        <is>
          <t>PHRASE</t>
        </is>
      </c>
      <c r="B401" s="24" t="inlineStr">
        <is>
          <t>DIET-P-0453</t>
        </is>
      </c>
      <c r="C401" s="24" t="n"/>
      <c r="D401" s="24" t="inlineStr">
        <is>
          <t>1.0.0</t>
        </is>
      </c>
      <c r="E401" s="25">
        <f>INDEX(목표문구!$G$1:$G$1000,MATCH($B401,목표문구!$A$1:$A$1000,0))</f>
        <v/>
      </c>
      <c r="F401" s="25" t="inlineStr">
        <is>
          <t>Dinner: grilled chicken or pork</t>
        </is>
      </c>
      <c r="G401" s="24">
        <f>LEN(F401)</f>
        <v/>
      </c>
      <c r="H401" s="24" t="n">
        <v>30</v>
      </c>
      <c r="I401" s="24" t="n">
        <v>36</v>
      </c>
      <c r="J401" s="24">
        <f>IF(F401="","비어 있음",IF(G401&lt;=H401,"OK",IF(G401&lt;=I401,"길이 주의","상한 초과")))</f>
        <v/>
      </c>
      <c r="K401" s="24" t="inlineStr">
        <is>
          <t>초안(10-13) · 외주 검수 예정</t>
        </is>
      </c>
      <c r="L401" s="24" t="n"/>
    </row>
    <row r="402">
      <c r="A402" s="24" t="inlineStr">
        <is>
          <t>PHRASE</t>
        </is>
      </c>
      <c r="B402" s="24" t="inlineStr">
        <is>
          <t>DIET-P-0454</t>
        </is>
      </c>
      <c r="C402" s="24" t="n"/>
      <c r="D402" s="24" t="inlineStr">
        <is>
          <t>1.0.0</t>
        </is>
      </c>
      <c r="E402" s="25">
        <f>INDEX(목표문구!$G$1:$G$1000,MATCH($B402,목표문구!$A$1:$A$1000,0))</f>
        <v/>
      </c>
      <c r="F402" s="25" t="inlineStr">
        <is>
          <t>Dinner: shrimp or squid</t>
        </is>
      </c>
      <c r="G402" s="24">
        <f>LEN(F402)</f>
        <v/>
      </c>
      <c r="H402" s="24" t="n">
        <v>30</v>
      </c>
      <c r="I402" s="24" t="n">
        <v>36</v>
      </c>
      <c r="J402" s="24">
        <f>IF(F402="","비어 있음",IF(G402&lt;=H402,"OK",IF(G402&lt;=I402,"길이 주의","상한 초과")))</f>
        <v/>
      </c>
      <c r="K402" s="24" t="inlineStr">
        <is>
          <t>초안(10-13) · 외주 검수 예정</t>
        </is>
      </c>
      <c r="L402" s="24" t="n"/>
    </row>
    <row r="403">
      <c r="A403" s="24" t="inlineStr">
        <is>
          <t>PHRASE</t>
        </is>
      </c>
      <c r="B403" s="24" t="inlineStr">
        <is>
          <t>DIET-P-0455</t>
        </is>
      </c>
      <c r="C403" s="24" t="n"/>
      <c r="D403" s="24" t="inlineStr">
        <is>
          <t>1.0.0</t>
        </is>
      </c>
      <c r="E403" s="25">
        <f>INDEX(목표문구!$G$1:$G$1000,MATCH($B403,목표문구!$A$1:$A$1000,0))</f>
        <v/>
      </c>
      <c r="F403" s="25" t="inlineStr">
        <is>
          <t>Dinner: lean meat or fish</t>
        </is>
      </c>
      <c r="G403" s="24">
        <f>LEN(F403)</f>
        <v/>
      </c>
      <c r="H403" s="24" t="n">
        <v>30</v>
      </c>
      <c r="I403" s="24" t="n">
        <v>36</v>
      </c>
      <c r="J403" s="24">
        <f>IF(F403="","비어 있음",IF(G403&lt;=H403,"OK",IF(G403&lt;=I403,"길이 주의","상한 초과")))</f>
        <v/>
      </c>
      <c r="K403" s="24" t="inlineStr">
        <is>
          <t>초안(10-13) · 외주 검수 예정</t>
        </is>
      </c>
      <c r="L403" s="24" t="n"/>
    </row>
    <row r="404">
      <c r="A404" s="24" t="inlineStr">
        <is>
          <t>PHRASE</t>
        </is>
      </c>
      <c r="B404" s="24" t="inlineStr">
        <is>
          <t>DIET-P-0456</t>
        </is>
      </c>
      <c r="C404" s="24" t="n"/>
      <c r="D404" s="24" t="inlineStr">
        <is>
          <t>1.0.0</t>
        </is>
      </c>
      <c r="E404" s="25">
        <f>INDEX(목표문구!$G$1:$G$1000,MATCH($B404,목표문구!$A$1:$A$1000,0))</f>
        <v/>
      </c>
      <c r="F404" s="25" t="inlineStr">
        <is>
          <t>Dinner: clams or fish</t>
        </is>
      </c>
      <c r="G404" s="24">
        <f>LEN(F404)</f>
        <v/>
      </c>
      <c r="H404" s="24" t="n">
        <v>30</v>
      </c>
      <c r="I404" s="24" t="n">
        <v>36</v>
      </c>
      <c r="J404" s="24">
        <f>IF(F404="","비어 있음",IF(G404&lt;=H404,"OK",IF(G404&lt;=I404,"길이 주의","상한 초과")))</f>
        <v/>
      </c>
      <c r="K404" s="24" t="inlineStr">
        <is>
          <t>초안(10-13) · 외주 검수 예정</t>
        </is>
      </c>
      <c r="L404" s="24" t="n"/>
    </row>
    <row r="405">
      <c r="A405" s="24" t="inlineStr">
        <is>
          <t>PHRASE</t>
        </is>
      </c>
      <c r="B405" s="24" t="inlineStr">
        <is>
          <t>DIET-P-0457</t>
        </is>
      </c>
      <c r="C405" s="24" t="n"/>
      <c r="D405" s="24" t="inlineStr">
        <is>
          <t>1.0.0</t>
        </is>
      </c>
      <c r="E405" s="25">
        <f>INDEX(목표문구!$G$1:$G$1000,MATCH($B405,목표문구!$A$1:$A$1000,0))</f>
        <v/>
      </c>
      <c r="F405" s="25" t="inlineStr">
        <is>
          <t>Dinner: tofu or braised chicken</t>
        </is>
      </c>
      <c r="G405" s="24">
        <f>LEN(F405)</f>
        <v/>
      </c>
      <c r="H405" s="24" t="n">
        <v>30</v>
      </c>
      <c r="I405" s="24" t="n">
        <v>36</v>
      </c>
      <c r="J405" s="24">
        <f>IF(F405="","비어 있음",IF(G405&lt;=H405,"OK",IF(G405&lt;=I405,"길이 주의","상한 초과")))</f>
        <v/>
      </c>
      <c r="K405" s="24" t="inlineStr">
        <is>
          <t>초안(10-13) · 외주 검수 예정</t>
        </is>
      </c>
      <c r="L405" s="24" t="n"/>
    </row>
    <row r="406">
      <c r="A406" s="24" t="inlineStr">
        <is>
          <t>PHRASE</t>
        </is>
      </c>
      <c r="B406" s="24" t="inlineStr">
        <is>
          <t>DIET-P-0458</t>
        </is>
      </c>
      <c r="C406" s="24" t="n"/>
      <c r="D406" s="24" t="inlineStr">
        <is>
          <t>1.0.0</t>
        </is>
      </c>
      <c r="E406" s="25">
        <f>INDEX(목표문구!$G$1:$G$1000,MATCH($B406,목표문구!$A$1:$A$1000,0))</f>
        <v/>
      </c>
      <c r="F406" s="25" t="inlineStr">
        <is>
          <t>Dinner: greens rice + wraps</t>
        </is>
      </c>
      <c r="G406" s="24">
        <f>LEN(F406)</f>
        <v/>
      </c>
      <c r="H406" s="24" t="n">
        <v>30</v>
      </c>
      <c r="I406" s="24" t="n">
        <v>36</v>
      </c>
      <c r="J406" s="24">
        <f>IF(F406="","비어 있음",IF(G406&lt;=H406,"OK",IF(G406&lt;=I406,"길이 주의","상한 초과")))</f>
        <v/>
      </c>
      <c r="K406" s="24" t="inlineStr">
        <is>
          <t>초안(10-13) · 외주 검수 예정</t>
        </is>
      </c>
      <c r="L406" s="24" t="n"/>
    </row>
    <row r="407">
      <c r="A407" s="24" t="inlineStr">
        <is>
          <t>PHRASE</t>
        </is>
      </c>
      <c r="B407" s="24" t="inlineStr">
        <is>
          <t>DIET-P-0459</t>
        </is>
      </c>
      <c r="C407" s="24" t="n"/>
      <c r="D407" s="24" t="inlineStr">
        <is>
          <t>1.0.0</t>
        </is>
      </c>
      <c r="E407" s="25">
        <f>INDEX(목표문구!$G$1:$G$1000,MATCH($B407,목표문구!$A$1:$A$1000,0))</f>
        <v/>
      </c>
      <c r="F407" s="25" t="inlineStr">
        <is>
          <t>Dinner: mushroom rice + wraps</t>
        </is>
      </c>
      <c r="G407" s="24">
        <f>LEN(F407)</f>
        <v/>
      </c>
      <c r="H407" s="24" t="n">
        <v>30</v>
      </c>
      <c r="I407" s="24" t="n">
        <v>36</v>
      </c>
      <c r="J407" s="24">
        <f>IF(F407="","비어 있음",IF(G407&lt;=H407,"OK",IF(G407&lt;=I407,"길이 주의","상한 초과")))</f>
        <v/>
      </c>
      <c r="K407" s="24" t="inlineStr">
        <is>
          <t>초안(10-13) · 외주 검수 예정</t>
        </is>
      </c>
      <c r="L407" s="24" t="n"/>
    </row>
    <row r="408">
      <c r="A408" s="24" t="inlineStr">
        <is>
          <t>PHRASE</t>
        </is>
      </c>
      <c r="B408" s="24" t="inlineStr">
        <is>
          <t>DIET-P-0460</t>
        </is>
      </c>
      <c r="C408" s="24" t="n"/>
      <c r="D408" s="24" t="inlineStr">
        <is>
          <t>1.0.0</t>
        </is>
      </c>
      <c r="E408" s="25">
        <f>INDEX(목표문구!$G$1:$G$1000,MATCH($B408,목표문구!$A$1:$A$1000,0))</f>
        <v/>
      </c>
      <c r="F408" s="25" t="inlineStr">
        <is>
          <t>Dinner: eggplant or zucchini</t>
        </is>
      </c>
      <c r="G408" s="24">
        <f>LEN(F408)</f>
        <v/>
      </c>
      <c r="H408" s="24" t="n">
        <v>30</v>
      </c>
      <c r="I408" s="24" t="n">
        <v>36</v>
      </c>
      <c r="J408" s="24">
        <f>IF(F408="","비어 있음",IF(G408&lt;=H408,"OK",IF(G408&lt;=I408,"길이 주의","상한 초과")))</f>
        <v/>
      </c>
      <c r="K408" s="24" t="inlineStr">
        <is>
          <t>초안(10-13) · 외주 검수 예정</t>
        </is>
      </c>
      <c r="L408" s="24" t="n"/>
    </row>
    <row r="409">
      <c r="A409" s="24" t="inlineStr">
        <is>
          <t>PHRASE</t>
        </is>
      </c>
      <c r="B409" s="24" t="inlineStr">
        <is>
          <t>DIET-P-0461</t>
        </is>
      </c>
      <c r="C409" s="24" t="n"/>
      <c r="D409" s="24" t="inlineStr">
        <is>
          <t>1.0.0</t>
        </is>
      </c>
      <c r="E409" s="25">
        <f>INDEX(목표문구!$G$1:$G$1000,MATCH($B409,목표문구!$A$1:$A$1000,0))</f>
        <v/>
      </c>
      <c r="F409" s="25" t="inlineStr">
        <is>
          <t>Salmon salad, half dressing</t>
        </is>
      </c>
      <c r="G409" s="24">
        <f>LEN(F409)</f>
        <v/>
      </c>
      <c r="H409" s="24" t="n">
        <v>30</v>
      </c>
      <c r="I409" s="24" t="n">
        <v>36</v>
      </c>
      <c r="J409" s="24">
        <f>IF(F409="","비어 있음",IF(G409&lt;=H409,"OK",IF(G409&lt;=I409,"길이 주의","상한 초과")))</f>
        <v/>
      </c>
      <c r="K409" s="24" t="inlineStr">
        <is>
          <t>초안(10-13) · 외주 검수 예정</t>
        </is>
      </c>
      <c r="L409" s="24" t="n"/>
    </row>
    <row r="410">
      <c r="A410" s="24" t="inlineStr">
        <is>
          <t>PHRASE</t>
        </is>
      </c>
      <c r="B410" s="24" t="inlineStr">
        <is>
          <t>DIET-P-0462</t>
        </is>
      </c>
      <c r="C410" s="24" t="n"/>
      <c r="D410" s="24" t="inlineStr">
        <is>
          <t>1.0.0</t>
        </is>
      </c>
      <c r="E410" s="25">
        <f>INDEX(목표문구!$G$1:$G$1000,MATCH($B410,목표문구!$A$1:$A$1000,0))</f>
        <v/>
      </c>
      <c r="F410" s="25" t="inlineStr">
        <is>
          <t>Dinner: bok choy or mushrooms</t>
        </is>
      </c>
      <c r="G410" s="24">
        <f>LEN(F410)</f>
        <v/>
      </c>
      <c r="H410" s="24" t="n">
        <v>30</v>
      </c>
      <c r="I410" s="24" t="n">
        <v>36</v>
      </c>
      <c r="J410" s="24">
        <f>IF(F410="","비어 있음",IF(G410&lt;=H410,"OK",IF(G410&lt;=I410,"길이 주의","상한 초과")))</f>
        <v/>
      </c>
      <c r="K410" s="24" t="inlineStr">
        <is>
          <t>초안(10-13) · 외주 검수 예정</t>
        </is>
      </c>
      <c r="L410" s="24" t="n"/>
    </row>
    <row r="411">
      <c r="A411" s="24" t="inlineStr">
        <is>
          <t>PHRASE</t>
        </is>
      </c>
      <c r="B411" s="24" t="inlineStr">
        <is>
          <t>DIET-P-0463</t>
        </is>
      </c>
      <c r="C411" s="24" t="n"/>
      <c r="D411" s="24" t="inlineStr">
        <is>
          <t>1.0.0</t>
        </is>
      </c>
      <c r="E411" s="25">
        <f>INDEX(목표문구!$G$1:$G$1000,MATCH($B411,목표문구!$A$1:$A$1000,0))</f>
        <v/>
      </c>
      <c r="F411" s="25" t="inlineStr">
        <is>
          <t>Dinner: broccoli or wraps</t>
        </is>
      </c>
      <c r="G411" s="24">
        <f>LEN(F411)</f>
        <v/>
      </c>
      <c r="H411" s="24" t="n">
        <v>30</v>
      </c>
      <c r="I411" s="24" t="n">
        <v>36</v>
      </c>
      <c r="J411" s="24">
        <f>IF(F411="","비어 있음",IF(G411&lt;=H411,"OK",IF(G411&lt;=I411,"길이 주의","상한 초과")))</f>
        <v/>
      </c>
      <c r="K411" s="24" t="inlineStr">
        <is>
          <t>초안(10-13) · 외주 검수 예정</t>
        </is>
      </c>
      <c r="L411" s="24" t="n"/>
    </row>
    <row r="412">
      <c r="A412" s="24" t="inlineStr">
        <is>
          <t>PHRASE</t>
        </is>
      </c>
      <c r="B412" s="24" t="inlineStr">
        <is>
          <t>DIET-P-0464</t>
        </is>
      </c>
      <c r="C412" s="24" t="n"/>
      <c r="D412" s="24" t="inlineStr">
        <is>
          <t>1.0.0</t>
        </is>
      </c>
      <c r="E412" s="25">
        <f>INDEX(목표문구!$G$1:$G$1000,MATCH($B412,목표문구!$A$1:$A$1000,0))</f>
        <v/>
      </c>
      <c r="F412" s="25" t="inlineStr">
        <is>
          <t>Dinner: cabbage or greens</t>
        </is>
      </c>
      <c r="G412" s="24">
        <f>LEN(F412)</f>
        <v/>
      </c>
      <c r="H412" s="24" t="n">
        <v>30</v>
      </c>
      <c r="I412" s="24" t="n">
        <v>36</v>
      </c>
      <c r="J412" s="24">
        <f>IF(F412="","비어 있음",IF(G412&lt;=H412,"OK",IF(G412&lt;=I412,"길이 주의","상한 초과")))</f>
        <v/>
      </c>
      <c r="K412" s="24" t="inlineStr">
        <is>
          <t>초안(10-13) · 외주 검수 예정</t>
        </is>
      </c>
      <c r="L412" s="24" t="n"/>
    </row>
    <row r="413">
      <c r="A413" s="24" t="inlineStr">
        <is>
          <t>PHRASE</t>
        </is>
      </c>
      <c r="B413" s="24" t="inlineStr">
        <is>
          <t>DIET-P-0465</t>
        </is>
      </c>
      <c r="C413" s="24" t="n"/>
      <c r="D413" s="24" t="inlineStr">
        <is>
          <t>1.0.0</t>
        </is>
      </c>
      <c r="E413" s="25">
        <f>INDEX(목표문구!$G$1:$G$1000,MATCH($B413,목표문구!$A$1:$A$1000,0))</f>
        <v/>
      </c>
      <c r="F413" s="25" t="inlineStr">
        <is>
          <t>Dinner: water parsley or sprouts</t>
        </is>
      </c>
      <c r="G413" s="24">
        <f>LEN(F413)</f>
        <v/>
      </c>
      <c r="H413" s="24" t="n">
        <v>30</v>
      </c>
      <c r="I413" s="24" t="n">
        <v>36</v>
      </c>
      <c r="J413" s="24">
        <f>IF(F413="","비어 있음",IF(G413&lt;=H413,"OK",IF(G413&lt;=I413,"길이 주의","상한 초과")))</f>
        <v/>
      </c>
      <c r="K413" s="24" t="inlineStr">
        <is>
          <t>초안(10-13) · 외주 검수 예정</t>
        </is>
      </c>
      <c r="L413" s="24" t="n"/>
    </row>
    <row r="414">
      <c r="A414" s="24" t="inlineStr">
        <is>
          <t>PHRASE</t>
        </is>
      </c>
      <c r="B414" s="24" t="inlineStr">
        <is>
          <t>DIET-P-0466</t>
        </is>
      </c>
      <c r="C414" s="24" t="n"/>
      <c r="D414" s="24" t="inlineStr">
        <is>
          <t>1.0.0</t>
        </is>
      </c>
      <c r="E414" s="25">
        <f>INDEX(목표문구!$G$1:$G$1000,MATCH($B414,목표문구!$A$1:$A$1000,0))</f>
        <v/>
      </c>
      <c r="F414" s="25" t="inlineStr">
        <is>
          <t>Dinner: lettuce wraps + greens</t>
        </is>
      </c>
      <c r="G414" s="24">
        <f>LEN(F414)</f>
        <v/>
      </c>
      <c r="H414" s="24" t="n">
        <v>30</v>
      </c>
      <c r="I414" s="24" t="n">
        <v>36</v>
      </c>
      <c r="J414" s="24">
        <f>IF(F414="","비어 있음",IF(G414&lt;=H414,"OK",IF(G414&lt;=I414,"길이 주의","상한 초과")))</f>
        <v/>
      </c>
      <c r="K414" s="24" t="inlineStr">
        <is>
          <t>초안(10-13) · 외주 검수 예정</t>
        </is>
      </c>
      <c r="L414" s="24" t="n"/>
    </row>
    <row r="415">
      <c r="A415" s="24" t="inlineStr">
        <is>
          <t>PHRASE</t>
        </is>
      </c>
      <c r="B415" s="24" t="inlineStr">
        <is>
          <t>DIET-P-0467</t>
        </is>
      </c>
      <c r="C415" s="24" t="n"/>
      <c r="D415" s="24" t="inlineStr">
        <is>
          <t>1.0.0</t>
        </is>
      </c>
      <c r="E415" s="25">
        <f>INDEX(목표문구!$G$1:$G$1000,MATCH($B415,목표문구!$A$1:$A$1000,0))</f>
        <v/>
      </c>
      <c r="F415" s="25" t="inlineStr">
        <is>
          <t>Dinner: fish or steamed tofu</t>
        </is>
      </c>
      <c r="G415" s="24">
        <f>LEN(F415)</f>
        <v/>
      </c>
      <c r="H415" s="24" t="n">
        <v>30</v>
      </c>
      <c r="I415" s="24" t="n">
        <v>36</v>
      </c>
      <c r="J415" s="24">
        <f>IF(F415="","비어 있음",IF(G415&lt;=H415,"OK",IF(G415&lt;=I415,"길이 주의","상한 초과")))</f>
        <v/>
      </c>
      <c r="K415" s="24" t="inlineStr">
        <is>
          <t>초안(10-13) · 외주 검수 예정</t>
        </is>
      </c>
      <c r="L415" s="24" t="n"/>
    </row>
    <row r="416">
      <c r="A416" s="24" t="inlineStr">
        <is>
          <t>PHRASE</t>
        </is>
      </c>
      <c r="B416" s="24" t="inlineStr">
        <is>
          <t>DIET-P-0468</t>
        </is>
      </c>
      <c r="C416" s="24" t="n"/>
      <c r="D416" s="24" t="inlineStr">
        <is>
          <t>1.0.0</t>
        </is>
      </c>
      <c r="E416" s="25">
        <f>INDEX(목표문구!$G$1:$G$1000,MATCH($B416,목표문구!$A$1:$A$1000,0))</f>
        <v/>
      </c>
      <c r="F416" s="25" t="inlineStr">
        <is>
          <t>Dinner: fresh veggie wraps</t>
        </is>
      </c>
      <c r="G416" s="24">
        <f>LEN(F416)</f>
        <v/>
      </c>
      <c r="H416" s="24" t="n">
        <v>30</v>
      </c>
      <c r="I416" s="24" t="n">
        <v>36</v>
      </c>
      <c r="J416" s="24">
        <f>IF(F416="","비어 있음",IF(G416&lt;=H416,"OK",IF(G416&lt;=I416,"길이 주의","상한 초과")))</f>
        <v/>
      </c>
      <c r="K416" s="24" t="inlineStr">
        <is>
          <t>초안(10-13) · 외주 검수 예정</t>
        </is>
      </c>
      <c r="L416" s="24" t="n"/>
    </row>
    <row r="417">
      <c r="A417" s="24" t="inlineStr">
        <is>
          <t>PHRASE</t>
        </is>
      </c>
      <c r="B417" s="24" t="inlineStr">
        <is>
          <t>DIET-P-0469</t>
        </is>
      </c>
      <c r="C417" s="24" t="n"/>
      <c r="D417" s="24" t="inlineStr">
        <is>
          <t>1.0.0</t>
        </is>
      </c>
      <c r="E417" s="25">
        <f>INDEX(목표문구!$G$1:$G$1000,MATCH($B417,목표문구!$A$1:$A$1000,0))</f>
        <v/>
      </c>
      <c r="F417" s="25" t="inlineStr">
        <is>
          <t>Dinner: steamed or grilled fish</t>
        </is>
      </c>
      <c r="G417" s="24">
        <f>LEN(F417)</f>
        <v/>
      </c>
      <c r="H417" s="24" t="n">
        <v>30</v>
      </c>
      <c r="I417" s="24" t="n">
        <v>36</v>
      </c>
      <c r="J417" s="24">
        <f>IF(F417="","비어 있음",IF(G417&lt;=H417,"OK",IF(G417&lt;=I417,"길이 주의","상한 초과")))</f>
        <v/>
      </c>
      <c r="K417" s="24" t="inlineStr">
        <is>
          <t>초안(10-13) · 외주 검수 예정</t>
        </is>
      </c>
      <c r="L417" s="24" t="n"/>
    </row>
    <row r="418">
      <c r="A418" s="24" t="inlineStr">
        <is>
          <t>PHRASE</t>
        </is>
      </c>
      <c r="B418" s="24" t="inlineStr">
        <is>
          <t>DIET-P-0470</t>
        </is>
      </c>
      <c r="C418" s="24" t="n"/>
      <c r="D418" s="24" t="inlineStr">
        <is>
          <t>1.0.0</t>
        </is>
      </c>
      <c r="E418" s="25">
        <f>INDEX(목표문구!$G$1:$G$1000,MATCH($B418,목표문구!$A$1:$A$1000,0))</f>
        <v/>
      </c>
      <c r="F418" s="25" t="inlineStr">
        <is>
          <t>Dinner: barley rice + wraps</t>
        </is>
      </c>
      <c r="G418" s="24">
        <f>LEN(F418)</f>
        <v/>
      </c>
      <c r="H418" s="24" t="n">
        <v>30</v>
      </c>
      <c r="I418" s="24" t="n">
        <v>36</v>
      </c>
      <c r="J418" s="24">
        <f>IF(F418="","비어 있음",IF(G418&lt;=H418,"OK",IF(G418&lt;=I418,"길이 주의","상한 초과")))</f>
        <v/>
      </c>
      <c r="K418" s="24" t="inlineStr">
        <is>
          <t>초안(10-13) · 외주 검수 예정</t>
        </is>
      </c>
      <c r="L418" s="24" t="n"/>
    </row>
    <row r="419">
      <c r="A419" s="24" t="inlineStr">
        <is>
          <t>PHRASE</t>
        </is>
      </c>
      <c r="B419" s="24" t="inlineStr">
        <is>
          <t>DIET-P-0471</t>
        </is>
      </c>
      <c r="C419" s="24" t="n"/>
      <c r="D419" s="24" t="inlineStr">
        <is>
          <t>1.0.0</t>
        </is>
      </c>
      <c r="E419" s="25">
        <f>INDEX(목표문구!$G$1:$G$1000,MATCH($B419,목표문구!$A$1:$A$1000,0))</f>
        <v/>
      </c>
      <c r="F419" s="25" t="inlineStr">
        <is>
          <t>Breakfast: potato + yogurt</t>
        </is>
      </c>
      <c r="G419" s="24">
        <f>LEN(F419)</f>
        <v/>
      </c>
      <c r="H419" s="24" t="n">
        <v>30</v>
      </c>
      <c r="I419" s="24" t="n">
        <v>36</v>
      </c>
      <c r="J419" s="24">
        <f>IF(F419="","비어 있음",IF(G419&lt;=H419,"OK",IF(G419&lt;=I419,"길이 주의","상한 초과")))</f>
        <v/>
      </c>
      <c r="K419" s="24" t="inlineStr">
        <is>
          <t>초안(10-13) · 외주 검수 예정</t>
        </is>
      </c>
      <c r="L419" s="24" t="n"/>
    </row>
    <row r="420">
      <c r="A420" s="24" t="inlineStr">
        <is>
          <t>PHRASE</t>
        </is>
      </c>
      <c r="B420" s="24" t="inlineStr">
        <is>
          <t>DIET-P-0472</t>
        </is>
      </c>
      <c r="C420" s="24" t="n"/>
      <c r="D420" s="24" t="inlineStr">
        <is>
          <t>1.0.0</t>
        </is>
      </c>
      <c r="E420" s="25">
        <f>INDEX(목표문구!$G$1:$G$1000,MATCH($B420,목표문구!$A$1:$A$1000,0))</f>
        <v/>
      </c>
      <c r="F420" s="25" t="inlineStr">
        <is>
          <t>Breakfast: whole-wheat + veggies</t>
        </is>
      </c>
      <c r="G420" s="24">
        <f>LEN(F420)</f>
        <v/>
      </c>
      <c r="H420" s="24" t="n">
        <v>30</v>
      </c>
      <c r="I420" s="24" t="n">
        <v>36</v>
      </c>
      <c r="J420" s="24">
        <f>IF(F420="","비어 있음",IF(G420&lt;=H420,"OK",IF(G420&lt;=I420,"길이 주의","상한 초과")))</f>
        <v/>
      </c>
      <c r="K420" s="24" t="inlineStr">
        <is>
          <t>초안(10-13) · 외주 검수 예정</t>
        </is>
      </c>
      <c r="L420" s="24" t="n"/>
    </row>
    <row r="421">
      <c r="A421" s="24" t="inlineStr">
        <is>
          <t>PHRASE</t>
        </is>
      </c>
      <c r="B421" s="24" t="inlineStr">
        <is>
          <t>DIET-P-0473</t>
        </is>
      </c>
      <c r="C421" s="24" t="n"/>
      <c r="D421" s="24" t="inlineStr">
        <is>
          <t>1.0.0</t>
        </is>
      </c>
      <c r="E421" s="25">
        <f>INDEX(목표문구!$G$1:$G$1000,MATCH($B421,목표문구!$A$1:$A$1000,0))</f>
        <v/>
      </c>
      <c r="F421" s="25" t="inlineStr">
        <is>
          <t>Breakfast: squash + milk</t>
        </is>
      </c>
      <c r="G421" s="24">
        <f>LEN(F421)</f>
        <v/>
      </c>
      <c r="H421" s="24" t="n">
        <v>30</v>
      </c>
      <c r="I421" s="24" t="n">
        <v>36</v>
      </c>
      <c r="J421" s="24">
        <f>IF(F421="","비어 있음",IF(G421&lt;=H421,"OK",IF(G421&lt;=I421,"길이 주의","상한 초과")))</f>
        <v/>
      </c>
      <c r="K421" s="24" t="inlineStr">
        <is>
          <t>초안(10-13) · 외주 검수 예정</t>
        </is>
      </c>
      <c r="L421" s="24" t="n"/>
    </row>
    <row r="422">
      <c r="A422" s="24" t="inlineStr">
        <is>
          <t>PHRASE</t>
        </is>
      </c>
      <c r="B422" s="24" t="inlineStr">
        <is>
          <t>DIET-P-0474</t>
        </is>
      </c>
      <c r="C422" s="24" t="n"/>
      <c r="D422" s="24" t="inlineStr">
        <is>
          <t>1.0.0</t>
        </is>
      </c>
      <c r="E422" s="25">
        <f>INDEX(목표문구!$G$1:$G$1000,MATCH($B422,목표문구!$A$1:$A$1000,0))</f>
        <v/>
      </c>
      <c r="F422" s="25" t="inlineStr">
        <is>
          <t>Breakfast: black rice + greens</t>
        </is>
      </c>
      <c r="G422" s="24">
        <f>LEN(F422)</f>
        <v/>
      </c>
      <c r="H422" s="24" t="n">
        <v>30</v>
      </c>
      <c r="I422" s="24" t="n">
        <v>36</v>
      </c>
      <c r="J422" s="24">
        <f>IF(F422="","비어 있음",IF(G422&lt;=H422,"OK",IF(G422&lt;=I422,"길이 주의","상한 초과")))</f>
        <v/>
      </c>
      <c r="K422" s="24" t="inlineStr">
        <is>
          <t>초안(10-13) · 외주 검수 예정</t>
        </is>
      </c>
      <c r="L422" s="24" t="n"/>
    </row>
    <row r="423">
      <c r="A423" s="24" t="inlineStr">
        <is>
          <t>PHRASE</t>
        </is>
      </c>
      <c r="B423" s="24" t="inlineStr">
        <is>
          <t>DIET-P-0475</t>
        </is>
      </c>
      <c r="C423" s="24" t="n"/>
      <c r="D423" s="24" t="inlineStr">
        <is>
          <t>1.0.0</t>
        </is>
      </c>
      <c r="E423" s="25">
        <f>INDEX(목표문구!$G$1:$G$1000,MATCH($B423,목표문구!$A$1:$A$1000,0))</f>
        <v/>
      </c>
      <c r="F423" s="25" t="inlineStr">
        <is>
          <t>Breakfast: spinach or wraps</t>
        </is>
      </c>
      <c r="G423" s="24">
        <f>LEN(F423)</f>
        <v/>
      </c>
      <c r="H423" s="24" t="n">
        <v>30</v>
      </c>
      <c r="I423" s="24" t="n">
        <v>36</v>
      </c>
      <c r="J423" s="24">
        <f>IF(F423="","비어 있음",IF(G423&lt;=H423,"OK",IF(G423&lt;=I423,"길이 주의","상한 초과")))</f>
        <v/>
      </c>
      <c r="K423" s="24" t="inlineStr">
        <is>
          <t>초안(10-13) · 외주 검수 예정</t>
        </is>
      </c>
      <c r="L423" s="24" t="n"/>
    </row>
    <row r="424">
      <c r="A424" s="24" t="inlineStr">
        <is>
          <t>PHRASE</t>
        </is>
      </c>
      <c r="B424" s="24" t="inlineStr">
        <is>
          <t>DIET-P-0476</t>
        </is>
      </c>
      <c r="C424" s="24" t="n"/>
      <c r="D424" s="24" t="inlineStr">
        <is>
          <t>1.0.0</t>
        </is>
      </c>
      <c r="E424" s="25">
        <f>INDEX(목표문구!$G$1:$G$1000,MATCH($B424,목표문구!$A$1:$A$1000,0))</f>
        <v/>
      </c>
      <c r="F424" s="25" t="inlineStr">
        <is>
          <t>Cabbage salad, half dressing</t>
        </is>
      </c>
      <c r="G424" s="24">
        <f>LEN(F424)</f>
        <v/>
      </c>
      <c r="H424" s="24" t="n">
        <v>30</v>
      </c>
      <c r="I424" s="24" t="n">
        <v>36</v>
      </c>
      <c r="J424" s="24">
        <f>IF(F424="","비어 있음",IF(G424&lt;=H424,"OK",IF(G424&lt;=I424,"길이 주의","상한 초과")))</f>
        <v/>
      </c>
      <c r="K424" s="24" t="inlineStr">
        <is>
          <t>초안(10-13) · 외주 검수 예정</t>
        </is>
      </c>
      <c r="L424" s="24" t="n"/>
    </row>
    <row r="425">
      <c r="A425" s="24" t="inlineStr">
        <is>
          <t>PHRASE</t>
        </is>
      </c>
      <c r="B425" s="24" t="inlineStr">
        <is>
          <t>DIET-P-0477</t>
        </is>
      </c>
      <c r="C425" s="24" t="n"/>
      <c r="D425" s="24" t="inlineStr">
        <is>
          <t>1.0.0</t>
        </is>
      </c>
      <c r="E425" s="25">
        <f>INDEX(목표문구!$G$1:$G$1000,MATCH($B425,목표문구!$A$1:$A$1000,0))</f>
        <v/>
      </c>
      <c r="F425" s="25" t="inlineStr">
        <is>
          <t>Breakfast: bibimbap or greens</t>
        </is>
      </c>
      <c r="G425" s="24">
        <f>LEN(F425)</f>
        <v/>
      </c>
      <c r="H425" s="24" t="n">
        <v>30</v>
      </c>
      <c r="I425" s="24" t="n">
        <v>36</v>
      </c>
      <c r="J425" s="24">
        <f>IF(F425="","비어 있음",IF(G425&lt;=H425,"OK",IF(G425&lt;=I425,"길이 주의","상한 초과")))</f>
        <v/>
      </c>
      <c r="K425" s="24" t="inlineStr">
        <is>
          <t>초안(10-13) · 외주 검수 예정</t>
        </is>
      </c>
      <c r="L425" s="24" t="n"/>
    </row>
    <row r="426">
      <c r="A426" s="24" t="inlineStr">
        <is>
          <t>PHRASE</t>
        </is>
      </c>
      <c r="B426" s="24" t="inlineStr">
        <is>
          <t>DIET-P-0478</t>
        </is>
      </c>
      <c r="C426" s="24" t="n"/>
      <c r="D426" s="24" t="inlineStr">
        <is>
          <t>1.0.0</t>
        </is>
      </c>
      <c r="E426" s="25">
        <f>INDEX(목표문구!$G$1:$G$1000,MATCH($B426,목표문구!$A$1:$A$1000,0))</f>
        <v/>
      </c>
      <c r="F426" s="25" t="inlineStr">
        <is>
          <t>Breakfast: yogurt or soy milk</t>
        </is>
      </c>
      <c r="G426" s="24">
        <f>LEN(F426)</f>
        <v/>
      </c>
      <c r="H426" s="24" t="n">
        <v>30</v>
      </c>
      <c r="I426" s="24" t="n">
        <v>36</v>
      </c>
      <c r="J426" s="24">
        <f>IF(F426="","비어 있음",IF(G426&lt;=H426,"OK",IF(G426&lt;=I426,"길이 주의","상한 초과")))</f>
        <v/>
      </c>
      <c r="K426" s="24" t="inlineStr">
        <is>
          <t>초안(10-13) · 외주 검수 예정</t>
        </is>
      </c>
      <c r="L426" s="24" t="n"/>
    </row>
    <row r="427">
      <c r="A427" s="24" t="inlineStr">
        <is>
          <t>PHRASE</t>
        </is>
      </c>
      <c r="B427" s="24" t="inlineStr">
        <is>
          <t>DIET-P-0479</t>
        </is>
      </c>
      <c r="C427" s="24" t="n"/>
      <c r="D427" s="24" t="inlineStr">
        <is>
          <t>1.0.0</t>
        </is>
      </c>
      <c r="E427" s="25">
        <f>INDEX(목표문구!$G$1:$G$1000,MATCH($B427,목표문구!$A$1:$A$1000,0))</f>
        <v/>
      </c>
      <c r="F427" s="25" t="inlineStr">
        <is>
          <t>Breakfast: milk or yogurt</t>
        </is>
      </c>
      <c r="G427" s="24">
        <f>LEN(F427)</f>
        <v/>
      </c>
      <c r="H427" s="24" t="n">
        <v>30</v>
      </c>
      <c r="I427" s="24" t="n">
        <v>36</v>
      </c>
      <c r="J427" s="24">
        <f>IF(F427="","비어 있음",IF(G427&lt;=H427,"OK",IF(G427&lt;=I427,"길이 주의","상한 초과")))</f>
        <v/>
      </c>
      <c r="K427" s="24" t="inlineStr">
        <is>
          <t>초안(10-13) · 외주 검수 예정</t>
        </is>
      </c>
      <c r="L427" s="24" t="n"/>
    </row>
    <row r="428">
      <c r="A428" s="24" t="inlineStr">
        <is>
          <t>PHRASE</t>
        </is>
      </c>
      <c r="B428" s="24" t="inlineStr">
        <is>
          <t>DIET-P-0480</t>
        </is>
      </c>
      <c r="C428" s="24" t="n"/>
      <c r="D428" s="24" t="inlineStr">
        <is>
          <t>1.0.0</t>
        </is>
      </c>
      <c r="E428" s="25">
        <f>INDEX(목표문구!$G$1:$G$1000,MATCH($B428,목표문구!$A$1:$A$1000,0))</f>
        <v/>
      </c>
      <c r="F428" s="25" t="inlineStr">
        <is>
          <t>Breakfast: chicken or soy milk</t>
        </is>
      </c>
      <c r="G428" s="24">
        <f>LEN(F428)</f>
        <v/>
      </c>
      <c r="H428" s="24" t="n">
        <v>30</v>
      </c>
      <c r="I428" s="24" t="n">
        <v>36</v>
      </c>
      <c r="J428" s="24">
        <f>IF(F428="","비어 있음",IF(G428&lt;=H428,"OK",IF(G428&lt;=I428,"길이 주의","상한 초과")))</f>
        <v/>
      </c>
      <c r="K428" s="24" t="inlineStr">
        <is>
          <t>초안(10-13) · 외주 검수 예정</t>
        </is>
      </c>
      <c r="L428" s="24" t="n"/>
    </row>
    <row r="429">
      <c r="A429" s="24" t="inlineStr">
        <is>
          <t>PHRASE</t>
        </is>
      </c>
      <c r="B429" s="24" t="inlineStr">
        <is>
          <t>DIET-P-0481</t>
        </is>
      </c>
      <c r="C429" s="24" t="n"/>
      <c r="D429" s="24" t="inlineStr">
        <is>
          <t>1.0.0</t>
        </is>
      </c>
      <c r="E429" s="25">
        <f>INDEX(목표문구!$G$1:$G$1000,MATCH($B429,목표문구!$A$1:$A$1000,0))</f>
        <v/>
      </c>
      <c r="F429" s="25" t="inlineStr">
        <is>
          <t>Breakfast: fish or tofu</t>
        </is>
      </c>
      <c r="G429" s="24">
        <f>LEN(F429)</f>
        <v/>
      </c>
      <c r="H429" s="24" t="n">
        <v>30</v>
      </c>
      <c r="I429" s="24" t="n">
        <v>36</v>
      </c>
      <c r="J429" s="24">
        <f>IF(F429="","비어 있음",IF(G429&lt;=H429,"OK",IF(G429&lt;=I429,"길이 주의","상한 초과")))</f>
        <v/>
      </c>
      <c r="K429" s="24" t="inlineStr">
        <is>
          <t>초안(10-13) · 외주 검수 예정</t>
        </is>
      </c>
      <c r="L429" s="24" t="n"/>
    </row>
    <row r="430">
      <c r="A430" s="24" t="inlineStr">
        <is>
          <t>PHRASE</t>
        </is>
      </c>
      <c r="B430" s="24" t="inlineStr">
        <is>
          <t>DIET-P-0482</t>
        </is>
      </c>
      <c r="C430" s="24" t="n"/>
      <c r="D430" s="24" t="inlineStr">
        <is>
          <t>1.0.0</t>
        </is>
      </c>
      <c r="E430" s="25">
        <f>INDEX(목표문구!$G$1:$G$1000,MATCH($B430,목표문구!$A$1:$A$1000,0))</f>
        <v/>
      </c>
      <c r="F430" s="25" t="inlineStr">
        <is>
          <t>Breakfast: steamed fish or tofu</t>
        </is>
      </c>
      <c r="G430" s="24">
        <f>LEN(F430)</f>
        <v/>
      </c>
      <c r="H430" s="24" t="n">
        <v>30</v>
      </c>
      <c r="I430" s="24" t="n">
        <v>36</v>
      </c>
      <c r="J430" s="24">
        <f>IF(F430="","비어 있음",IF(G430&lt;=H430,"OK",IF(G430&lt;=I430,"길이 주의","상한 초과")))</f>
        <v/>
      </c>
      <c r="K430" s="24" t="inlineStr">
        <is>
          <t>초안(10-13) · 외주 검수 예정</t>
        </is>
      </c>
      <c r="L430" s="24" t="n"/>
    </row>
    <row r="431">
      <c r="A431" s="24" t="inlineStr">
        <is>
          <t>PHRASE</t>
        </is>
      </c>
      <c r="B431" s="24" t="inlineStr">
        <is>
          <t>DIET-P-0483</t>
        </is>
      </c>
      <c r="C431" s="24" t="n"/>
      <c r="D431" s="24" t="inlineStr">
        <is>
          <t>1.0.0</t>
        </is>
      </c>
      <c r="E431" s="25">
        <f>INDEX(목표문구!$G$1:$G$1000,MATCH($B431,목표문구!$A$1:$A$1000,0))</f>
        <v/>
      </c>
      <c r="F431" s="25" t="inlineStr">
        <is>
          <t>Breakfast: cucumber or slaw</t>
        </is>
      </c>
      <c r="G431" s="24">
        <f>LEN(F431)</f>
        <v/>
      </c>
      <c r="H431" s="24" t="n">
        <v>30</v>
      </c>
      <c r="I431" s="24" t="n">
        <v>36</v>
      </c>
      <c r="J431" s="24">
        <f>IF(F431="","비어 있음",IF(G431&lt;=H431,"OK",IF(G431&lt;=I431,"길이 주의","상한 초과")))</f>
        <v/>
      </c>
      <c r="K431" s="24" t="inlineStr">
        <is>
          <t>초안(10-13) · 외주 검수 예정</t>
        </is>
      </c>
      <c r="L431" s="24" t="n"/>
    </row>
    <row r="432">
      <c r="A432" s="24" t="inlineStr">
        <is>
          <t>PHRASE</t>
        </is>
      </c>
      <c r="B432" s="24" t="inlineStr">
        <is>
          <t>DIET-P-0484</t>
        </is>
      </c>
      <c r="C432" s="24" t="n"/>
      <c r="D432" s="24" t="inlineStr">
        <is>
          <t>1.0.0</t>
        </is>
      </c>
      <c r="E432" s="25">
        <f>INDEX(목표문구!$G$1:$G$1000,MATCH($B432,목표문구!$A$1:$A$1000,0))</f>
        <v/>
      </c>
      <c r="F432" s="25" t="inlineStr">
        <is>
          <t>Breakfast: radish slaw or greens</t>
        </is>
      </c>
      <c r="G432" s="24">
        <f>LEN(F432)</f>
        <v/>
      </c>
      <c r="H432" s="24" t="n">
        <v>30</v>
      </c>
      <c r="I432" s="24" t="n">
        <v>36</v>
      </c>
      <c r="J432" s="24">
        <f>IF(F432="","비어 있음",IF(G432&lt;=H432,"OK",IF(G432&lt;=I432,"길이 주의","상한 초과")))</f>
        <v/>
      </c>
      <c r="K432" s="24" t="inlineStr">
        <is>
          <t>초안(10-13) · 외주 검수 예정</t>
        </is>
      </c>
      <c r="L432" s="24" t="n"/>
    </row>
    <row r="433">
      <c r="A433" s="24" t="inlineStr">
        <is>
          <t>PHRASE</t>
        </is>
      </c>
      <c r="B433" s="24" t="inlineStr">
        <is>
          <t>DIET-P-0485</t>
        </is>
      </c>
      <c r="C433" s="24" t="n"/>
      <c r="D433" s="24" t="inlineStr">
        <is>
          <t>1.0.0</t>
        </is>
      </c>
      <c r="E433" s="25">
        <f>INDEX(목표문구!$G$1:$G$1000,MATCH($B433,목표문구!$A$1:$A$1000,0))</f>
        <v/>
      </c>
      <c r="F433" s="25" t="inlineStr">
        <is>
          <t>Breakfast: corn + soy milk</t>
        </is>
      </c>
      <c r="G433" s="24">
        <f>LEN(F433)</f>
        <v/>
      </c>
      <c r="H433" s="24" t="n">
        <v>30</v>
      </c>
      <c r="I433" s="24" t="n">
        <v>36</v>
      </c>
      <c r="J433" s="24">
        <f>IF(F433="","비어 있음",IF(G433&lt;=H433,"OK",IF(G433&lt;=I433,"길이 주의","상한 초과")))</f>
        <v/>
      </c>
      <c r="K433" s="24" t="inlineStr">
        <is>
          <t>초안(10-13) · 외주 검수 예정</t>
        </is>
      </c>
      <c r="L433" s="24" t="n"/>
    </row>
    <row r="434">
      <c r="A434" s="24" t="inlineStr">
        <is>
          <t>PHRASE</t>
        </is>
      </c>
      <c r="B434" s="24" t="inlineStr">
        <is>
          <t>DIET-P-0486</t>
        </is>
      </c>
      <c r="C434" s="24" t="n"/>
      <c r="D434" s="24" t="inlineStr">
        <is>
          <t>1.0.0</t>
        </is>
      </c>
      <c r="E434" s="25">
        <f>INDEX(목표문구!$G$1:$G$1000,MATCH($B434,목표문구!$A$1:$A$1000,0))</f>
        <v/>
      </c>
      <c r="F434" s="25" t="inlineStr">
        <is>
          <t>Breakfast: barley rice + greens</t>
        </is>
      </c>
      <c r="G434" s="24">
        <f>LEN(F434)</f>
        <v/>
      </c>
      <c r="H434" s="24" t="n">
        <v>30</v>
      </c>
      <c r="I434" s="24" t="n">
        <v>36</v>
      </c>
      <c r="J434" s="24">
        <f>IF(F434="","비어 있음",IF(G434&lt;=H434,"OK",IF(G434&lt;=I434,"길이 주의","상한 초과")))</f>
        <v/>
      </c>
      <c r="K434" s="24" t="inlineStr">
        <is>
          <t>초안(10-13) · 외주 검수 예정</t>
        </is>
      </c>
      <c r="L434" s="24" t="n"/>
    </row>
    <row r="435">
      <c r="A435" s="24" t="inlineStr">
        <is>
          <t>PHRASE</t>
        </is>
      </c>
      <c r="B435" s="24" t="inlineStr">
        <is>
          <t>DIET-P-0487</t>
        </is>
      </c>
      <c r="C435" s="24" t="n"/>
      <c r="D435" s="24" t="inlineStr">
        <is>
          <t>1.0.0</t>
        </is>
      </c>
      <c r="E435" s="25">
        <f>INDEX(목표문구!$G$1:$G$1000,MATCH($B435,목표문구!$A$1:$A$1000,0))</f>
        <v/>
      </c>
      <c r="F435" s="25" t="inlineStr">
        <is>
          <t>Breakfast: sprouts or wraps</t>
        </is>
      </c>
      <c r="G435" s="24">
        <f>LEN(F435)</f>
        <v/>
      </c>
      <c r="H435" s="24" t="n">
        <v>30</v>
      </c>
      <c r="I435" s="24" t="n">
        <v>36</v>
      </c>
      <c r="J435" s="24">
        <f>IF(F435="","비어 있음",IF(G435&lt;=H435,"OK",IF(G435&lt;=I435,"길이 주의","상한 초과")))</f>
        <v/>
      </c>
      <c r="K435" s="24" t="inlineStr">
        <is>
          <t>초안(10-13) · 외주 검수 예정</t>
        </is>
      </c>
      <c r="L435" s="24" t="n"/>
    </row>
    <row r="436">
      <c r="A436" s="24" t="inlineStr">
        <is>
          <t>PHRASE</t>
        </is>
      </c>
      <c r="B436" s="24" t="inlineStr">
        <is>
          <t>DIET-P-0488</t>
        </is>
      </c>
      <c r="C436" s="24" t="n"/>
      <c r="D436" s="24" t="inlineStr">
        <is>
          <t>1.0.0</t>
        </is>
      </c>
      <c r="E436" s="25">
        <f>INDEX(목표문구!$G$1:$G$1000,MATCH($B436,목표문구!$A$1:$A$1000,0))</f>
        <v/>
      </c>
      <c r="F436" s="25" t="inlineStr">
        <is>
          <t>Breakfast: squash or greens</t>
        </is>
      </c>
      <c r="G436" s="24">
        <f>LEN(F436)</f>
        <v/>
      </c>
      <c r="H436" s="24" t="n">
        <v>30</v>
      </c>
      <c r="I436" s="24" t="n">
        <v>36</v>
      </c>
      <c r="J436" s="24">
        <f>IF(F436="","비어 있음",IF(G436&lt;=H436,"OK",IF(G436&lt;=I436,"길이 주의","상한 초과")))</f>
        <v/>
      </c>
      <c r="K436" s="24" t="inlineStr">
        <is>
          <t>초안(10-13) · 외주 검수 예정</t>
        </is>
      </c>
      <c r="L436" s="24" t="n"/>
    </row>
    <row r="437">
      <c r="A437" s="24" t="inlineStr">
        <is>
          <t>PHRASE</t>
        </is>
      </c>
      <c r="B437" s="24" t="inlineStr">
        <is>
          <t>DIET-P-0489</t>
        </is>
      </c>
      <c r="C437" s="24" t="n"/>
      <c r="D437" s="24" t="inlineStr">
        <is>
          <t>1.0.0</t>
        </is>
      </c>
      <c r="E437" s="25">
        <f>INDEX(목표문구!$G$1:$G$1000,MATCH($B437,목표문구!$A$1:$A$1000,0))</f>
        <v/>
      </c>
      <c r="F437" s="25" t="inlineStr">
        <is>
          <t>Breakfast: cabbage or cucumber</t>
        </is>
      </c>
      <c r="G437" s="24">
        <f>LEN(F437)</f>
        <v/>
      </c>
      <c r="H437" s="24" t="n">
        <v>30</v>
      </c>
      <c r="I437" s="24" t="n">
        <v>36</v>
      </c>
      <c r="J437" s="24">
        <f>IF(F437="","비어 있음",IF(G437&lt;=H437,"OK",IF(G437&lt;=I437,"길이 주의","상한 초과")))</f>
        <v/>
      </c>
      <c r="K437" s="24" t="inlineStr">
        <is>
          <t>초안(10-13) · 외주 검수 예정</t>
        </is>
      </c>
      <c r="L437" s="24" t="n"/>
    </row>
    <row r="438">
      <c r="A438" s="24" t="inlineStr">
        <is>
          <t>PHRASE</t>
        </is>
      </c>
      <c r="B438" s="24" t="inlineStr">
        <is>
          <t>DIET-P-0490</t>
        </is>
      </c>
      <c r="C438" s="24" t="n"/>
      <c r="D438" s="24" t="inlineStr">
        <is>
          <t>1.0.0</t>
        </is>
      </c>
      <c r="E438" s="25">
        <f>INDEX(목표문구!$G$1:$G$1000,MATCH($B438,목표문구!$A$1:$A$1000,0))</f>
        <v/>
      </c>
      <c r="F438" s="25" t="inlineStr">
        <is>
          <t>Breakfast: yogurt or tofu</t>
        </is>
      </c>
      <c r="G438" s="24">
        <f>LEN(F438)</f>
        <v/>
      </c>
      <c r="H438" s="24" t="n">
        <v>30</v>
      </c>
      <c r="I438" s="24" t="n">
        <v>36</v>
      </c>
      <c r="J438" s="24">
        <f>IF(F438="","비어 있음",IF(G438&lt;=H438,"OK",IF(G438&lt;=I438,"길이 주의","상한 초과")))</f>
        <v/>
      </c>
      <c r="K438" s="24" t="inlineStr">
        <is>
          <t>초안(10-13) · 외주 검수 예정</t>
        </is>
      </c>
      <c r="L438" s="24" t="n"/>
    </row>
    <row r="439">
      <c r="A439" s="24" t="inlineStr">
        <is>
          <t>PHRASE</t>
        </is>
      </c>
      <c r="B439" s="24" t="inlineStr">
        <is>
          <t>DIET-P-0491</t>
        </is>
      </c>
      <c r="C439" s="24" t="n"/>
      <c r="D439" s="24" t="inlineStr">
        <is>
          <t>1.0.0</t>
        </is>
      </c>
      <c r="E439" s="25">
        <f>INDEX(목표문구!$G$1:$G$1000,MATCH($B439,목표문구!$A$1:$A$1000,0))</f>
        <v/>
      </c>
      <c r="F439" s="25" t="inlineStr">
        <is>
          <t>Breakfast: soft tofu or milk</t>
        </is>
      </c>
      <c r="G439" s="24">
        <f>LEN(F439)</f>
        <v/>
      </c>
      <c r="H439" s="24" t="n">
        <v>30</v>
      </c>
      <c r="I439" s="24" t="n">
        <v>36</v>
      </c>
      <c r="J439" s="24">
        <f>IF(F439="","비어 있음",IF(G439&lt;=H439,"OK",IF(G439&lt;=I439,"길이 주의","상한 초과")))</f>
        <v/>
      </c>
      <c r="K439" s="24" t="inlineStr">
        <is>
          <t>초안(10-13) · 외주 검수 예정</t>
        </is>
      </c>
      <c r="L439" s="24" t="n"/>
    </row>
    <row r="440">
      <c r="A440" s="24" t="inlineStr">
        <is>
          <t>PHRASE</t>
        </is>
      </c>
      <c r="B440" s="24" t="inlineStr">
        <is>
          <t>DIET-P-0492</t>
        </is>
      </c>
      <c r="C440" s="24" t="n"/>
      <c r="D440" s="24" t="inlineStr">
        <is>
          <t>1.0.0</t>
        </is>
      </c>
      <c r="E440" s="25">
        <f>INDEX(목표문구!$G$1:$G$1000,MATCH($B440,목표문구!$A$1:$A$1000,0))</f>
        <v/>
      </c>
      <c r="F440" s="25" t="inlineStr">
        <is>
          <t>Breakfast: chicken or tofu</t>
        </is>
      </c>
      <c r="G440" s="24">
        <f>LEN(F440)</f>
        <v/>
      </c>
      <c r="H440" s="24" t="n">
        <v>30</v>
      </c>
      <c r="I440" s="24" t="n">
        <v>36</v>
      </c>
      <c r="J440" s="24">
        <f>IF(F440="","비어 있음",IF(G440&lt;=H440,"OK",IF(G440&lt;=I440,"길이 주의","상한 초과")))</f>
        <v/>
      </c>
      <c r="K440" s="24" t="inlineStr">
        <is>
          <t>초안(10-13) · 외주 검수 예정</t>
        </is>
      </c>
      <c r="L440" s="24" t="n"/>
    </row>
    <row r="441">
      <c r="A441" s="24" t="inlineStr">
        <is>
          <t>PHRASE</t>
        </is>
      </c>
      <c r="B441" s="24" t="inlineStr">
        <is>
          <t>DIET-P-0493</t>
        </is>
      </c>
      <c r="C441" s="24" t="n"/>
      <c r="D441" s="24" t="inlineStr">
        <is>
          <t>1.0.0</t>
        </is>
      </c>
      <c r="E441" s="25">
        <f>INDEX(목표문구!$G$1:$G$1000,MATCH($B441,목표문구!$A$1:$A$1000,0))</f>
        <v/>
      </c>
      <c r="F441" s="25" t="inlineStr">
        <is>
          <t>Cucumber salad, half dressing</t>
        </is>
      </c>
      <c r="G441" s="24">
        <f>LEN(F441)</f>
        <v/>
      </c>
      <c r="H441" s="24" t="n">
        <v>30</v>
      </c>
      <c r="I441" s="24" t="n">
        <v>36</v>
      </c>
      <c r="J441" s="24">
        <f>IF(F441="","비어 있음",IF(G441&lt;=H441,"OK",IF(G441&lt;=I441,"길이 주의","상한 초과")))</f>
        <v/>
      </c>
      <c r="K441" s="24" t="inlineStr">
        <is>
          <t>초안(10-13) · 외주 검수 예정</t>
        </is>
      </c>
      <c r="L441" s="24" t="n"/>
    </row>
    <row r="442">
      <c r="A442" s="24" t="inlineStr">
        <is>
          <t>PHRASE</t>
        </is>
      </c>
      <c r="B442" s="24" t="inlineStr">
        <is>
          <t>DIET-P-0494</t>
        </is>
      </c>
      <c r="C442" s="24" t="n"/>
      <c r="D442" s="24" t="inlineStr">
        <is>
          <t>1.0.0</t>
        </is>
      </c>
      <c r="E442" s="25">
        <f>INDEX(목표문구!$G$1:$G$1000,MATCH($B442,목표문구!$A$1:$A$1000,0))</f>
        <v/>
      </c>
      <c r="F442" s="25" t="inlineStr">
        <is>
          <t>Silken tofu salad, half dressing</t>
        </is>
      </c>
      <c r="G442" s="24">
        <f>LEN(F442)</f>
        <v/>
      </c>
      <c r="H442" s="24" t="n">
        <v>30</v>
      </c>
      <c r="I442" s="24" t="n">
        <v>36</v>
      </c>
      <c r="J442" s="24">
        <f>IF(F442="","비어 있음",IF(G442&lt;=H442,"OK",IF(G442&lt;=I442,"길이 주의","상한 초과")))</f>
        <v/>
      </c>
      <c r="K442" s="24" t="inlineStr">
        <is>
          <t>초안(10-13) · 외주 검수 예정</t>
        </is>
      </c>
      <c r="L442" s="24" t="n"/>
    </row>
    <row r="443">
      <c r="A443" s="24" t="inlineStr">
        <is>
          <t>PHRASE</t>
        </is>
      </c>
      <c r="B443" s="24" t="inlineStr">
        <is>
          <t>DIET-P-0495</t>
        </is>
      </c>
      <c r="C443" s="24" t="n"/>
      <c r="D443" s="24" t="inlineStr">
        <is>
          <t>1.0.0</t>
        </is>
      </c>
      <c r="E443" s="25">
        <f>INDEX(목표문구!$G$1:$G$1000,MATCH($B443,목표문구!$A$1:$A$1000,0))</f>
        <v/>
      </c>
      <c r="F443" s="25" t="inlineStr">
        <is>
          <t>Mushroom salad, half dressing</t>
        </is>
      </c>
      <c r="G443" s="24">
        <f>LEN(F443)</f>
        <v/>
      </c>
      <c r="H443" s="24" t="n">
        <v>30</v>
      </c>
      <c r="I443" s="24" t="n">
        <v>36</v>
      </c>
      <c r="J443" s="24">
        <f>IF(F443="","비어 있음",IF(G443&lt;=H443,"OK",IF(G443&lt;=I443,"길이 주의","상한 초과")))</f>
        <v/>
      </c>
      <c r="K443" s="24" t="inlineStr">
        <is>
          <t>초안(10-13) · 외주 검수 예정</t>
        </is>
      </c>
      <c r="L443" s="24" t="n"/>
    </row>
    <row r="444">
      <c r="A444" s="24" t="inlineStr">
        <is>
          <t>PHRASE</t>
        </is>
      </c>
      <c r="B444" s="24" t="inlineStr">
        <is>
          <t>DIET-P-0496</t>
        </is>
      </c>
      <c r="C444" s="24" t="n"/>
      <c r="D444" s="24" t="inlineStr">
        <is>
          <t>1.0.0</t>
        </is>
      </c>
      <c r="E444" s="25">
        <f>INDEX(목표문구!$G$1:$G$1000,MATCH($B444,목표문구!$A$1:$A$1000,0))</f>
        <v/>
      </c>
      <c r="F444" s="25" t="inlineStr">
        <is>
          <t>Eggplant salad, half dressing</t>
        </is>
      </c>
      <c r="G444" s="24">
        <f>LEN(F444)</f>
        <v/>
      </c>
      <c r="H444" s="24" t="n">
        <v>30</v>
      </c>
      <c r="I444" s="24" t="n">
        <v>36</v>
      </c>
      <c r="J444" s="24">
        <f>IF(F444="","비어 있음",IF(G444&lt;=H444,"OK",IF(G444&lt;=I444,"길이 주의","상한 초과")))</f>
        <v/>
      </c>
      <c r="K444" s="24" t="inlineStr">
        <is>
          <t>초안(10-13) · 외주 검수 예정</t>
        </is>
      </c>
      <c r="L444" s="24" t="n"/>
    </row>
    <row r="445">
      <c r="A445" s="24" t="inlineStr">
        <is>
          <t>PHRASE</t>
        </is>
      </c>
      <c r="B445" s="24" t="inlineStr">
        <is>
          <t>DIET-P-0497</t>
        </is>
      </c>
      <c r="C445" s="24" t="n"/>
      <c r="D445" s="24" t="inlineStr">
        <is>
          <t>1.0.0</t>
        </is>
      </c>
      <c r="E445" s="25">
        <f>INDEX(목표문구!$G$1:$G$1000,MATCH($B445,목표문구!$A$1:$A$1000,0))</f>
        <v/>
      </c>
      <c r="F445" s="25" t="inlineStr">
        <is>
          <t>Chicken salad, half dressing</t>
        </is>
      </c>
      <c r="G445" s="24">
        <f>LEN(F445)</f>
        <v/>
      </c>
      <c r="H445" s="24" t="n">
        <v>30</v>
      </c>
      <c r="I445" s="24" t="n">
        <v>36</v>
      </c>
      <c r="J445" s="24">
        <f>IF(F445="","비어 있음",IF(G445&lt;=H445,"OK",IF(G445&lt;=I445,"길이 주의","상한 초과")))</f>
        <v/>
      </c>
      <c r="K445" s="24" t="inlineStr">
        <is>
          <t>초안(10-13) · 외주 검수 예정</t>
        </is>
      </c>
      <c r="L445" s="24" t="n"/>
    </row>
    <row r="446">
      <c r="A446" s="24" t="inlineStr">
        <is>
          <t>PHRASE</t>
        </is>
      </c>
      <c r="B446" s="24" t="inlineStr">
        <is>
          <t>DIET-P-0498</t>
        </is>
      </c>
      <c r="C446" s="24" t="n"/>
      <c r="D446" s="24" t="inlineStr">
        <is>
          <t>1.0.0</t>
        </is>
      </c>
      <c r="E446" s="25">
        <f>INDEX(목표문구!$G$1:$G$1000,MATCH($B446,목표문구!$A$1:$A$1000,0))</f>
        <v/>
      </c>
      <c r="F446" s="25" t="inlineStr">
        <is>
          <t>Shrimp salad, half dressing</t>
        </is>
      </c>
      <c r="G446" s="24">
        <f>LEN(F446)</f>
        <v/>
      </c>
      <c r="H446" s="24" t="n">
        <v>30</v>
      </c>
      <c r="I446" s="24" t="n">
        <v>36</v>
      </c>
      <c r="J446" s="24">
        <f>IF(F446="","비어 있음",IF(G446&lt;=H446,"OK",IF(G446&lt;=I446,"길이 주의","상한 초과")))</f>
        <v/>
      </c>
      <c r="K446" s="24" t="inlineStr">
        <is>
          <t>초안(10-13) · 외주 검수 예정</t>
        </is>
      </c>
      <c r="L446" s="24" t="n"/>
    </row>
    <row r="447">
      <c r="A447" s="24" t="inlineStr">
        <is>
          <t>PHRASE</t>
        </is>
      </c>
      <c r="B447" s="24" t="inlineStr">
        <is>
          <t>DIET-P-0499</t>
        </is>
      </c>
      <c r="C447" s="24" t="n"/>
      <c r="D447" s="24" t="inlineStr">
        <is>
          <t>1.0.0</t>
        </is>
      </c>
      <c r="E447" s="25">
        <f>INDEX(목표문구!$G$1:$G$1000,MATCH($B447,목표문구!$A$1:$A$1000,0))</f>
        <v/>
      </c>
      <c r="F447" s="25" t="inlineStr">
        <is>
          <t>Seaweed salad, half dressing</t>
        </is>
      </c>
      <c r="G447" s="24">
        <f>LEN(F447)</f>
        <v/>
      </c>
      <c r="H447" s="24" t="n">
        <v>30</v>
      </c>
      <c r="I447" s="24" t="n">
        <v>36</v>
      </c>
      <c r="J447" s="24">
        <f>IF(F447="","비어 있음",IF(G447&lt;=H447,"OK",IF(G447&lt;=I447,"길이 주의","상한 초과")))</f>
        <v/>
      </c>
      <c r="K447" s="24" t="inlineStr">
        <is>
          <t>초안(10-13) · 외주 검수 예정</t>
        </is>
      </c>
      <c r="L447" s="24" t="n"/>
    </row>
    <row r="448">
      <c r="A448" s="24" t="inlineStr">
        <is>
          <t>PHRASE</t>
        </is>
      </c>
      <c r="B448" s="24" t="inlineStr">
        <is>
          <t>DIET-P-0500</t>
        </is>
      </c>
      <c r="C448" s="24" t="n"/>
      <c r="D448" s="24" t="inlineStr">
        <is>
          <t>1.0.0</t>
        </is>
      </c>
      <c r="E448" s="25">
        <f>INDEX(목표문구!$G$1:$G$1000,MATCH($B448,목표문구!$A$1:$A$1000,0))</f>
        <v/>
      </c>
      <c r="F448" s="25" t="inlineStr">
        <is>
          <t>Tuna salad, half dressing</t>
        </is>
      </c>
      <c r="G448" s="24">
        <f>LEN(F448)</f>
        <v/>
      </c>
      <c r="H448" s="24" t="n">
        <v>30</v>
      </c>
      <c r="I448" s="24" t="n">
        <v>36</v>
      </c>
      <c r="J448" s="24">
        <f>IF(F448="","비어 있음",IF(G448&lt;=H448,"OK",IF(G448&lt;=I448,"길이 주의","상한 초과")))</f>
        <v/>
      </c>
      <c r="K448" s="24" t="inlineStr">
        <is>
          <t>초안(10-13) · 외주 검수 예정</t>
        </is>
      </c>
      <c r="L448" s="24" t="n"/>
    </row>
    <row r="449">
      <c r="A449" s="24" t="inlineStr">
        <is>
          <t>QUESTION</t>
        </is>
      </c>
      <c r="B449" s="24" t="inlineStr">
        <is>
          <t>DIET-Q-08</t>
        </is>
      </c>
      <c r="C449" s="24" t="n"/>
      <c r="D449" s="24" t="inlineStr">
        <is>
          <t>1.0.0</t>
        </is>
      </c>
      <c r="E449" s="25" t="inlineStr">
        <is>
          <t>{끼니}은 언제쯤 드셨어요?</t>
        </is>
      </c>
      <c r="F449" s="31" t="inlineStr">
        <is>
          <t>When did you have {meal}?</t>
        </is>
      </c>
      <c r="G449" s="24">
        <f>LEN(F449)</f>
        <v/>
      </c>
      <c r="H449" s="24" t="n">
        <v>56</v>
      </c>
      <c r="I449" s="24" t="n">
        <v>64</v>
      </c>
      <c r="J449" s="24">
        <f>IF(F449="","비어 있음",IF(G449&lt;=H449,"OK",IF(G449&lt;=I449,"길이 주의","상한 초과")))</f>
        <v/>
      </c>
      <c r="K449" s="24" t="inlineStr">
        <is>
          <t>초안(10-14)</t>
        </is>
      </c>
      <c r="L449" s="24" t="inlineStr">
        <is>
          <t>시각 단계 · 점심·저녁</t>
        </is>
      </c>
    </row>
    <row r="450">
      <c r="A450" s="24" t="inlineStr">
        <is>
          <t>QUESTION</t>
        </is>
      </c>
      <c r="B450" s="24" t="inlineStr">
        <is>
          <t>DIET-Q-09</t>
        </is>
      </c>
      <c r="C450" s="24" t="n"/>
      <c r="D450" s="24" t="inlineStr">
        <is>
          <t>1.0.0</t>
        </is>
      </c>
      <c r="E450" s="25" t="inlineStr">
        <is>
          <t>아침은 몇 시쯤 드셨어요?</t>
        </is>
      </c>
      <c r="F450" s="31" t="inlineStr">
        <is>
          <t>What time was breakfast?</t>
        </is>
      </c>
      <c r="G450" s="24">
        <f>LEN(F450)</f>
        <v/>
      </c>
      <c r="H450" s="24" t="n">
        <v>56</v>
      </c>
      <c r="I450" s="24" t="n">
        <v>64</v>
      </c>
      <c r="J450" s="24">
        <f>IF(F450="","비어 있음",IF(G450&lt;=H450,"OK",IF(G450&lt;=I450,"길이 주의","상한 초과")))</f>
        <v/>
      </c>
      <c r="K450" s="24" t="inlineStr">
        <is>
          <t>초안(10-14)</t>
        </is>
      </c>
      <c r="L450" s="24" t="inlineStr">
        <is>
          <t>시각 단계 · 아침</t>
        </is>
      </c>
    </row>
    <row r="451">
      <c r="A451" s="24" t="inlineStr">
        <is>
          <t>OPTION</t>
        </is>
      </c>
      <c r="B451" s="24" t="inlineStr">
        <is>
          <t>DIET-Q-08</t>
        </is>
      </c>
      <c r="C451" s="24" t="inlineStr">
        <is>
          <t>within_1h</t>
        </is>
      </c>
      <c r="D451" s="24" t="inlineStr">
        <is>
          <t>1.0.0</t>
        </is>
      </c>
      <c r="E451" s="25" t="inlineStr">
        <is>
          <t>1시간 이내</t>
        </is>
      </c>
      <c r="F451" s="31" t="inlineStr">
        <is>
          <t>Within 1 hr</t>
        </is>
      </c>
      <c r="G451" s="24">
        <f>LEN(F451)</f>
        <v/>
      </c>
      <c r="H451" s="24" t="n">
        <v>16</v>
      </c>
      <c r="I451" s="24" t="n">
        <v>20</v>
      </c>
      <c r="J451" s="24">
        <f>IF(F451="","비어 있음",IF(G451&lt;=H451,"OK",IF(G451&lt;=I451,"길이 주의","상한 초과")))</f>
        <v/>
      </c>
      <c r="K451" s="24" t="inlineStr">
        <is>
          <t>초안(10-14)</t>
        </is>
      </c>
      <c r="L451" s="24" t="inlineStr">
        <is>
          <t>시각은 영어 화면에서 「12:20 PM」 형식</t>
        </is>
      </c>
    </row>
    <row r="452">
      <c r="A452" s="24" t="inlineStr">
        <is>
          <t>OPTION</t>
        </is>
      </c>
      <c r="B452" s="24" t="inlineStr">
        <is>
          <t>DIET-Q-08</t>
        </is>
      </c>
      <c r="C452" s="24" t="inlineStr">
        <is>
          <t>one_to_two_h</t>
        </is>
      </c>
      <c r="D452" s="24" t="inlineStr">
        <is>
          <t>1.0.0</t>
        </is>
      </c>
      <c r="E452" s="25" t="inlineStr">
        <is>
          <t>1~2시간 전</t>
        </is>
      </c>
      <c r="F452" s="31" t="inlineStr">
        <is>
          <t>1–2 hrs ago</t>
        </is>
      </c>
      <c r="G452" s="24">
        <f>LEN(F452)</f>
        <v/>
      </c>
      <c r="H452" s="24" t="n">
        <v>16</v>
      </c>
      <c r="I452" s="24" t="n">
        <v>20</v>
      </c>
      <c r="J452" s="24">
        <f>IF(F452="","비어 있음",IF(G452&lt;=H452,"OK",IF(G452&lt;=I452,"길이 주의","상한 초과")))</f>
        <v/>
      </c>
      <c r="K452" s="24" t="inlineStr">
        <is>
          <t>초안(10-14)</t>
        </is>
      </c>
      <c r="L452" s="24" t="n"/>
    </row>
    <row r="453">
      <c r="A453" s="24" t="inlineStr">
        <is>
          <t>OPTION</t>
        </is>
      </c>
      <c r="B453" s="24" t="inlineStr">
        <is>
          <t>DIET-Q-08</t>
        </is>
      </c>
      <c r="C453" s="24" t="inlineStr">
        <is>
          <t>earlier</t>
        </is>
      </c>
      <c r="D453" s="24" t="inlineStr">
        <is>
          <t>1.0.0</t>
        </is>
      </c>
      <c r="E453" s="25" t="inlineStr">
        <is>
          <t>그보다 전</t>
        </is>
      </c>
      <c r="F453" s="31" t="inlineStr">
        <is>
          <t>Earlier</t>
        </is>
      </c>
      <c r="G453" s="24">
        <f>LEN(F453)</f>
        <v/>
      </c>
      <c r="H453" s="24" t="n">
        <v>16</v>
      </c>
      <c r="I453" s="24" t="n">
        <v>20</v>
      </c>
      <c r="J453" s="24">
        <f>IF(F453="","비어 있음",IF(G453&lt;=H453,"OK",IF(G453&lt;=I453,"길이 주의","상한 초과")))</f>
        <v/>
      </c>
      <c r="K453" s="24" t="inlineStr">
        <is>
          <t>초안(10-14)</t>
        </is>
      </c>
      <c r="L453" s="24" t="n"/>
    </row>
    <row r="454">
      <c r="A454" s="24" t="inlineStr">
        <is>
          <t>OPTION</t>
        </is>
      </c>
      <c r="B454" s="24" t="inlineStr">
        <is>
          <t>DIET-Q-09</t>
        </is>
      </c>
      <c r="C454" s="24" t="inlineStr">
        <is>
          <t>before_7</t>
        </is>
      </c>
      <c r="D454" s="24" t="inlineStr">
        <is>
          <t>1.0.0</t>
        </is>
      </c>
      <c r="E454" s="25" t="inlineStr">
        <is>
          <t>7시 이전</t>
        </is>
      </c>
      <c r="F454" s="31" t="inlineStr">
        <is>
          <t>Before 7</t>
        </is>
      </c>
      <c r="G454" s="24">
        <f>LEN(F454)</f>
        <v/>
      </c>
      <c r="H454" s="24" t="n">
        <v>16</v>
      </c>
      <c r="I454" s="24" t="n">
        <v>20</v>
      </c>
      <c r="J454" s="24">
        <f>IF(F454="","비어 있음",IF(G454&lt;=H454,"OK",IF(G454&lt;=I454,"길이 주의","상한 초과")))</f>
        <v/>
      </c>
      <c r="K454" s="24" t="inlineStr">
        <is>
          <t>초안(10-14)</t>
        </is>
      </c>
      <c r="L454" s="24" t="n"/>
    </row>
    <row r="455">
      <c r="A455" s="24" t="inlineStr">
        <is>
          <t>OPTION</t>
        </is>
      </c>
      <c r="B455" s="24" t="inlineStr">
        <is>
          <t>DIET-Q-09</t>
        </is>
      </c>
      <c r="C455" s="24" t="inlineStr">
        <is>
          <t>seven_to_eight</t>
        </is>
      </c>
      <c r="D455" s="24" t="inlineStr">
        <is>
          <t>1.0.0</t>
        </is>
      </c>
      <c r="E455" s="25" t="inlineStr">
        <is>
          <t>7시~8시</t>
        </is>
      </c>
      <c r="F455" s="31" t="inlineStr">
        <is>
          <t>7–8</t>
        </is>
      </c>
      <c r="G455" s="24">
        <f>LEN(F455)</f>
        <v/>
      </c>
      <c r="H455" s="24" t="n">
        <v>16</v>
      </c>
      <c r="I455" s="24" t="n">
        <v>20</v>
      </c>
      <c r="J455" s="24">
        <f>IF(F455="","비어 있음",IF(G455&lt;=H455,"OK",IF(G455&lt;=I455,"길이 주의","상한 초과")))</f>
        <v/>
      </c>
      <c r="K455" s="24" t="inlineStr">
        <is>
          <t>초안(10-14)</t>
        </is>
      </c>
      <c r="L455" s="24" t="n"/>
    </row>
    <row r="456">
      <c r="A456" s="24" t="inlineStr">
        <is>
          <t>OPTION</t>
        </is>
      </c>
      <c r="B456" s="24" t="inlineStr">
        <is>
          <t>DIET-Q-09</t>
        </is>
      </c>
      <c r="C456" s="24" t="inlineStr">
        <is>
          <t>after_8</t>
        </is>
      </c>
      <c r="D456" s="24" t="inlineStr">
        <is>
          <t>1.0.0</t>
        </is>
      </c>
      <c r="E456" s="25" t="inlineStr">
        <is>
          <t>8시 이후</t>
        </is>
      </c>
      <c r="F456" s="31" t="inlineStr">
        <is>
          <t>After 8</t>
        </is>
      </c>
      <c r="G456" s="24">
        <f>LEN(F456)</f>
        <v/>
      </c>
      <c r="H456" s="24" t="n">
        <v>16</v>
      </c>
      <c r="I456" s="24" t="n">
        <v>20</v>
      </c>
      <c r="J456" s="24">
        <f>IF(F456="","비어 있음",IF(G456&lt;=H456,"OK",IF(G456&lt;=I456,"길이 주의","상한 초과")))</f>
        <v/>
      </c>
      <c r="K456" s="24" t="inlineStr">
        <is>
          <t>초안(10-14)</t>
        </is>
      </c>
      <c r="L456" s="24" t="n"/>
    </row>
    <row r="457">
      <c r="A457" s="24" t="inlineStr">
        <is>
          <t>OPTION_SUB</t>
        </is>
      </c>
      <c r="B457" s="24" t="inlineStr">
        <is>
          <t>DIET-Q-08</t>
        </is>
      </c>
      <c r="C457" s="24" t="inlineStr">
        <is>
          <t>within_1h</t>
        </is>
      </c>
      <c r="D457" s="24" t="inlineStr">
        <is>
          <t>1.0.0</t>
        </is>
      </c>
      <c r="E457" s="25" t="inlineStr">
        <is>
          <t>{t0} 이후</t>
        </is>
      </c>
      <c r="F457" s="31" t="inlineStr">
        <is>
          <t>After {t0}</t>
        </is>
      </c>
      <c r="G457" s="24">
        <f>LEN(F457)</f>
        <v/>
      </c>
      <c r="H457" s="24" t="n">
        <v>16</v>
      </c>
      <c r="I457" s="24" t="n">
        <v>20</v>
      </c>
      <c r="J457" s="24">
        <f>IF(F457="","비어 있음",IF(G457&lt;=H457,"OK",IF(G457&lt;=I457,"길이 주의","상한 초과")))</f>
        <v/>
      </c>
      <c r="K457" s="24" t="inlineStr">
        <is>
          <t>초안(10-14)</t>
        </is>
      </c>
      <c r="L457" s="24" t="inlineStr">
        <is>
          <t>상한 · 하한에 걸린 동안 보여 주는 시각 글자. 영어는 「12:20 PM」 형식</t>
        </is>
      </c>
    </row>
    <row r="458">
      <c r="A458" s="24" t="inlineStr">
        <is>
          <t>OPTION_SUB</t>
        </is>
      </c>
      <c r="B458" s="24" t="inlineStr">
        <is>
          <t>DIET-Q-08</t>
        </is>
      </c>
      <c r="C458" s="24" t="inlineStr">
        <is>
          <t>one_to_two_h</t>
        </is>
      </c>
      <c r="D458" s="24" t="inlineStr">
        <is>
          <t>1.0.0</t>
        </is>
      </c>
      <c r="E458" s="25" t="inlineStr">
        <is>
          <t>{t1}~{t0}</t>
        </is>
      </c>
      <c r="F458" s="31" t="inlineStr">
        <is>
          <t>{t1}–{t0}</t>
        </is>
      </c>
      <c r="G458" s="24">
        <f>LEN(F458)</f>
        <v/>
      </c>
      <c r="H458" s="24" t="n">
        <v>16</v>
      </c>
      <c r="I458" s="24" t="n">
        <v>20</v>
      </c>
      <c r="J458" s="24">
        <f>IF(F458="","비어 있음",IF(G458&lt;=H458,"OK",IF(G458&lt;=I458,"길이 주의","상한 초과")))</f>
        <v/>
      </c>
      <c r="K458" s="24" t="inlineStr">
        <is>
          <t>초안(10-14)</t>
        </is>
      </c>
      <c r="L458" s="24" t="n"/>
    </row>
    <row r="459">
      <c r="A459" s="24" t="inlineStr">
        <is>
          <t>OPTION_SUB</t>
        </is>
      </c>
      <c r="B459" s="24" t="inlineStr">
        <is>
          <t>DIET-Q-08</t>
        </is>
      </c>
      <c r="C459" s="24" t="inlineStr">
        <is>
          <t>earlier</t>
        </is>
      </c>
      <c r="D459" s="24" t="inlineStr">
        <is>
          <t>1.0.0</t>
        </is>
      </c>
      <c r="E459" s="25" t="inlineStr">
        <is>
          <t>{t1} 이전</t>
        </is>
      </c>
      <c r="F459" s="31" t="inlineStr">
        <is>
          <t>Before {t1}</t>
        </is>
      </c>
      <c r="G459" s="24">
        <f>LEN(F459)</f>
        <v/>
      </c>
      <c r="H459" s="24" t="n">
        <v>16</v>
      </c>
      <c r="I459" s="24" t="n">
        <v>20</v>
      </c>
      <c r="J459" s="24">
        <f>IF(F459="","비어 있음",IF(G459&lt;=H459,"OK",IF(G459&lt;=I459,"길이 주의","상한 초과")))</f>
        <v/>
      </c>
      <c r="K459" s="24" t="inlineStr">
        <is>
          <t>초안(10-14)</t>
        </is>
      </c>
      <c r="L459" s="24" t="n"/>
    </row>
    <row r="460">
      <c r="A460" s="24" t="inlineStr">
        <is>
          <t>QUESTION</t>
        </is>
      </c>
      <c r="B460" s="24" t="inlineStr">
        <is>
          <t>DIET-Q-10</t>
        </is>
      </c>
      <c r="C460" s="24" t="n"/>
      <c r="D460" s="24" t="inlineStr">
        <is>
          <t>1.0.0</t>
        </is>
      </c>
      <c r="E460" s="25" t="inlineStr">
        <is>
          <t>어제 저녁은 몇 시쯤 드셨어요?</t>
        </is>
      </c>
      <c r="F460" s="31" t="inlineStr">
        <is>
          <t>What time was dinner yesterday?</t>
        </is>
      </c>
      <c r="G460" s="24">
        <f>LEN(F460)</f>
        <v/>
      </c>
      <c r="H460" s="24" t="n">
        <v>56</v>
      </c>
      <c r="I460" s="24" t="n">
        <v>64</v>
      </c>
      <c r="J460" s="24">
        <f>IF(F460="","비어 있음",IF(G460&lt;=H460,"OK",IF(G460&lt;=I460,"길이 주의","상한 초과")))</f>
        <v/>
      </c>
      <c r="K460" s="24" t="inlineStr">
        <is>
          <t>초안(10-14)</t>
        </is>
      </c>
      <c r="L460" s="24" t="inlineStr">
        <is>
          <t>시각 단계 · 어제 저녁</t>
        </is>
      </c>
    </row>
    <row r="461">
      <c r="A461" s="24" t="inlineStr">
        <is>
          <t>OPTION</t>
        </is>
      </c>
      <c r="B461" s="24" t="inlineStr">
        <is>
          <t>DIET-Q-10</t>
        </is>
      </c>
      <c r="C461" s="24" t="inlineStr">
        <is>
          <t>before_7</t>
        </is>
      </c>
      <c r="D461" s="24" t="inlineStr">
        <is>
          <t>1.0.0</t>
        </is>
      </c>
      <c r="E461" s="25" t="inlineStr">
        <is>
          <t>7시 이전</t>
        </is>
      </c>
      <c r="F461" s="31" t="inlineStr">
        <is>
          <t>Before 7</t>
        </is>
      </c>
      <c r="G461" s="24">
        <f>LEN(F461)</f>
        <v/>
      </c>
      <c r="H461" s="24" t="n">
        <v>16</v>
      </c>
      <c r="I461" s="24" t="n">
        <v>20</v>
      </c>
      <c r="J461" s="24">
        <f>IF(F461="","비어 있음",IF(G461&lt;=H461,"OK",IF(G461&lt;=I461,"길이 주의","상한 초과")))</f>
        <v/>
      </c>
      <c r="K461" s="24" t="inlineStr">
        <is>
          <t>초안(10-14)</t>
        </is>
      </c>
      <c r="L461" s="24" t="n"/>
    </row>
    <row r="462">
      <c r="A462" s="24" t="inlineStr">
        <is>
          <t>OPTION</t>
        </is>
      </c>
      <c r="B462" s="24" t="inlineStr">
        <is>
          <t>DIET-Q-10</t>
        </is>
      </c>
      <c r="C462" s="24" t="inlineStr">
        <is>
          <t>seven_to_nine</t>
        </is>
      </c>
      <c r="D462" s="24" t="inlineStr">
        <is>
          <t>1.0.0</t>
        </is>
      </c>
      <c r="E462" s="25" t="inlineStr">
        <is>
          <t>7시~9시</t>
        </is>
      </c>
      <c r="F462" s="31" t="inlineStr">
        <is>
          <t>7–9</t>
        </is>
      </c>
      <c r="G462" s="24">
        <f>LEN(F462)</f>
        <v/>
      </c>
      <c r="H462" s="24" t="n">
        <v>16</v>
      </c>
      <c r="I462" s="24" t="n">
        <v>20</v>
      </c>
      <c r="J462" s="24">
        <f>IF(F462="","비어 있음",IF(G462&lt;=H462,"OK",IF(G462&lt;=I462,"길이 주의","상한 초과")))</f>
        <v/>
      </c>
      <c r="K462" s="24" t="inlineStr">
        <is>
          <t>초안(10-14)</t>
        </is>
      </c>
      <c r="L462" s="24" t="n"/>
    </row>
    <row r="463">
      <c r="A463" s="24" t="inlineStr">
        <is>
          <t>OPTION</t>
        </is>
      </c>
      <c r="B463" s="24" t="inlineStr">
        <is>
          <t>DIET-Q-10</t>
        </is>
      </c>
      <c r="C463" s="24" t="inlineStr">
        <is>
          <t>after_9</t>
        </is>
      </c>
      <c r="D463" s="24" t="inlineStr">
        <is>
          <t>1.0.0</t>
        </is>
      </c>
      <c r="E463" s="25" t="inlineStr">
        <is>
          <t>9시 이후</t>
        </is>
      </c>
      <c r="F463" s="31" t="inlineStr">
        <is>
          <t>After 9</t>
        </is>
      </c>
      <c r="G463" s="24">
        <f>LEN(F463)</f>
        <v/>
      </c>
      <c r="H463" s="24" t="n">
        <v>16</v>
      </c>
      <c r="I463" s="24" t="n">
        <v>20</v>
      </c>
      <c r="J463" s="24">
        <f>IF(F463="","비어 있음",IF(G463&lt;=H463,"OK",IF(G463&lt;=I463,"길이 주의","상한 초과")))</f>
        <v/>
      </c>
      <c r="K463" s="24" t="inlineStr">
        <is>
          <t>초안(10-14)</t>
        </is>
      </c>
      <c r="L463" s="24" t="n"/>
    </row>
    <row r="464">
      <c r="A464" s="24" t="inlineStr">
        <is>
          <t>QUESTION</t>
        </is>
      </c>
      <c r="B464" s="24" t="inlineStr">
        <is>
          <t>DIET-Q-11</t>
        </is>
      </c>
      <c r="C464" s="24" t="n"/>
      <c r="D464" s="24" t="inlineStr">
        <is>
          <t>1.0.0</t>
        </is>
      </c>
      <c r="E464" s="25" t="inlineStr">
        <is>
          <t>저녁은 몇 시쯤 드셨어요?</t>
        </is>
      </c>
      <c r="F464" s="31" t="inlineStr">
        <is>
          <t>What time was dinner?</t>
        </is>
      </c>
      <c r="G464" s="24">
        <f>LEN(F464)</f>
        <v/>
      </c>
      <c r="H464" s="24" t="n">
        <v>56</v>
      </c>
      <c r="I464" s="24" t="n">
        <v>64</v>
      </c>
      <c r="J464" s="24">
        <f>IF(F464="","비어 있음",IF(G464&lt;=H464,"OK",IF(G464&lt;=I464,"길이 주의","상한 초과")))</f>
        <v/>
      </c>
      <c r="K464" s="24" t="inlineStr">
        <is>
          <t>초안(10-14)</t>
        </is>
      </c>
      <c r="L464" s="24" t="inlineStr">
        <is>
          <t>시각 단계 · 저녁 9시 뒤</t>
        </is>
      </c>
    </row>
    <row r="465">
      <c r="A465" s="24" t="inlineStr">
        <is>
          <t>OPTION</t>
        </is>
      </c>
      <c r="B465" s="24" t="inlineStr">
        <is>
          <t>DIET-Q-11</t>
        </is>
      </c>
      <c r="C465" s="24" t="inlineStr">
        <is>
          <t>before_7</t>
        </is>
      </c>
      <c r="D465" s="24" t="inlineStr">
        <is>
          <t>1.0.0</t>
        </is>
      </c>
      <c r="E465" s="25" t="inlineStr">
        <is>
          <t>7시 이전</t>
        </is>
      </c>
      <c r="F465" s="31" t="inlineStr">
        <is>
          <t>Before 7</t>
        </is>
      </c>
      <c r="G465" s="24">
        <f>LEN(F465)</f>
        <v/>
      </c>
      <c r="H465" s="24" t="n">
        <v>16</v>
      </c>
      <c r="I465" s="24" t="n">
        <v>20</v>
      </c>
      <c r="J465" s="24">
        <f>IF(F465="","비어 있음",IF(G465&lt;=H465,"OK",IF(G465&lt;=I465,"길이 주의","상한 초과")))</f>
        <v/>
      </c>
      <c r="K465" s="24" t="inlineStr">
        <is>
          <t>초안(10-14)</t>
        </is>
      </c>
      <c r="L465" s="24" t="n"/>
    </row>
    <row r="466">
      <c r="A466" s="24" t="inlineStr">
        <is>
          <t>OPTION</t>
        </is>
      </c>
      <c r="B466" s="24" t="inlineStr">
        <is>
          <t>DIET-Q-11</t>
        </is>
      </c>
      <c r="C466" s="24" t="inlineStr">
        <is>
          <t>seven_to_nine</t>
        </is>
      </c>
      <c r="D466" s="24" t="inlineStr">
        <is>
          <t>1.0.0</t>
        </is>
      </c>
      <c r="E466" s="25" t="inlineStr">
        <is>
          <t>7시~9시</t>
        </is>
      </c>
      <c r="F466" s="31" t="inlineStr">
        <is>
          <t>7–9</t>
        </is>
      </c>
      <c r="G466" s="24">
        <f>LEN(F466)</f>
        <v/>
      </c>
      <c r="H466" s="24" t="n">
        <v>16</v>
      </c>
      <c r="I466" s="24" t="n">
        <v>20</v>
      </c>
      <c r="J466" s="24">
        <f>IF(F466="","비어 있음",IF(G466&lt;=H466,"OK",IF(G466&lt;=I466,"길이 주의","상한 초과")))</f>
        <v/>
      </c>
      <c r="K466" s="24" t="inlineStr">
        <is>
          <t>초안(10-14)</t>
        </is>
      </c>
      <c r="L466" s="24" t="n"/>
    </row>
    <row r="467">
      <c r="A467" s="24" t="inlineStr">
        <is>
          <t>OPTION</t>
        </is>
      </c>
      <c r="B467" s="24" t="inlineStr">
        <is>
          <t>DIET-Q-11</t>
        </is>
      </c>
      <c r="C467" s="24" t="inlineStr">
        <is>
          <t>after_9</t>
        </is>
      </c>
      <c r="D467" s="24" t="inlineStr">
        <is>
          <t>1.0.0</t>
        </is>
      </c>
      <c r="E467" s="25" t="inlineStr">
        <is>
          <t>9시 이후</t>
        </is>
      </c>
      <c r="F467" s="31" t="inlineStr">
        <is>
          <t>After 9</t>
        </is>
      </c>
      <c r="G467" s="24">
        <f>LEN(F467)</f>
        <v/>
      </c>
      <c r="H467" s="24" t="n">
        <v>16</v>
      </c>
      <c r="I467" s="24" t="n">
        <v>20</v>
      </c>
      <c r="J467" s="24">
        <f>IF(F467="","비어 있음",IF(G467&lt;=H467,"OK",IF(G467&lt;=I467,"길이 주의","상한 초과")))</f>
        <v/>
      </c>
      <c r="K467" s="24" t="inlineStr">
        <is>
          <t>초안(10-14)</t>
        </is>
      </c>
      <c r="L467" s="24" t="n"/>
    </row>
  </sheetData>
  <autoFilter ref="A1:L2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2026-10-07T08:59:44Z</dcterms:created>
  <dcterms:modified xsi:type="dcterms:W3CDTF">2026-10-19T04:58:48Z</dcterms:modified>
  <cp:lastModifiedBy>이사라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0x01010011BABF6A94C35643897AD108A63C3FA9</vt:lpwstr>
  </property>
</Properties>
</file>
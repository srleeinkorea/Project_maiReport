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CDEE8581-870D-4B83-922E-6B858F39A82A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<sst xmlns="http://schemas.openxmlformats.org/spreadsheetml/2006/main" count="14959" uniqueCount="4371">
  <si>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</si>
  <si>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</si>
  <si>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</si>
  <si>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</si>
  <si>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</si>
  <si>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</si>
  <si>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</si>
  <si>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</si>
  <si>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</si>
  <si>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</si>
  <si>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</si>
  <si>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</si>
  <si>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</si>
  <si>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</si>
  <si>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</si>
  <si>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</si>
  <si>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</si>
  <si>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</si>
  <si>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</si>
  <si>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</si>
  <si>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</si>
  <si>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</si>
  <si>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</si>
  <si>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</si>
  <si>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</si>
  <si>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</si>
  <si>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</si>
  <si>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</si>
  <si>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</si>
  <si>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</si>
  <si>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</si>
  <si>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</si>
  <si>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</si>
  <si>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</si>
  <si>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</si>
  <si>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</si>
  <si>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</si>
  <si>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</si>
  <si>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</si>
  <si>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</si>
  <si>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</si>
  <si>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</si>
  <si>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</si>
  <si>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</si>
  <si>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</si>
  <si>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</si>
  <si>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</si>
  <si>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</si>
  <si>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</si>
  <si>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</si>
  <si>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</si>
  <si>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</si>
  <si>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</si>
  <si>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</si>
  <si>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</si>
  <si>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</si>
  <si>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</si>
  <si>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</si>
  <si>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</si>
  <si>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</si>
  <si>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</si>
  <si>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</si>
  <si>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</si>
  <si>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</si>
  <si>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</si>
  <si>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</si>
  <si>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</si>
  <si>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</si>
  <si>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</si>
  <si>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</si>
  <si>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</si>
  <si>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</si>
  <si>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</si>
  <si>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</si>
  <si>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</si>
  <si>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</si>
  <si>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</si>
  <si>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</si>
  <si>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</si>
  <si>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</si>
  <si>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</si>
  <si>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</si>
  <si>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</si>
  <si>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</si>
  <si>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</si>
  <si>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</si>
  <si>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</si>
  <si>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</si>
  <si>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</si>
  <si>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</si>
  <si>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</si>
  <si>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</si>
  <si>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</si>
  <si>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</si>
  <si>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</si>
  <si>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</si>
  <si>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</si>
  <si>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</si>
  <si>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</si>
  <si>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</si>
  <si>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</si>
  <si>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</si>
  <si>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</si>
  <si>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</si>
  <si>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</si>
  <si>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</si>
  <si>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</si>
  <si>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</si>
  <si>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</si>
  <si>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</si>
  <si>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</si>
  <si>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</si>
  <si>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</si>
  <si>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</si>
  <si>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</si>
  <si>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</si>
  <si>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</si>
  <si>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</si>
  <si>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</si>
  <si>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</si>
  <si>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</si>
  <si>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</si>
  <si>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</si>
  <si>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</si>
  <si>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</si>
  <si>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</si>
  <si>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</si>
  <si>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</si>
  <si>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</si>
  <si>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</si>
  <si>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</si>
  <si>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</si>
  <si>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</si>
  <si>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</si>
  <si>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</si>
  <si>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</si>
  <si>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</si>
  <si>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</si>
  <si>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</si>
  <si>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</si>
  <si>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</si>
  <si>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</si>
  <si>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</si>
  <si>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</si>
  <si>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</si>
  <si>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</si>
  <si>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</si>
  <si>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</si>
  <si>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</si>
  <si>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</si>
  <si>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</si>
  <si>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</si>
  <si>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</si>
  <si>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</si>
  <si>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</si>
  <si>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</si>
  <si>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</si>
  <si>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</si>
  <si>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</si>
  <si>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</si>
  <si>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</si>
  <si>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</si>
  <si>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</si>
  <si>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</si>
  <si>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</si>
  <si>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</si>
  <si>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</si>
  <si>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</si>
  <si>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</si>
  <si>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</si>
  <si>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</si>
  <si>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</si>
  <si>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</si>
  <si>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</si>
  <si>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</si>
  <si>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</si>
  <si>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</si>
  <si>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</si>
  <si>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</si>
  <si>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</si>
  <si>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</si>
  <si>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</si>
  <si>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</si>
  <si>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</si>
  <si>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</si>
  <si>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</si>
  <si>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</si>
  <si>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</si>
  <si>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</si>
  <si>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</si>
  <si>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</si>
  <si>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</si>
  <si>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</si>
  <si>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</si>
  <si>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</si>
  <si>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</si>
  <si>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</si>
  <si>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</si>
  <si>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</si>
  <si>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</si>
  <si>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</si>
  <si>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</si>
  <si>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</si>
  <si>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</si>
  <si>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</si>
  <si>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</si>
  <si>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</si>
  <si>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</si>
  <si>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</si>
  <si>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</si>
  <si>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</si>
  <si>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</si>
  <si>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</si>
  <si>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</si>
  <si>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</si>
  <si>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</si>
  <si>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</si>
  <si>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</si>
  <si>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</si>
  <si>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</si>
  <si>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</si>
  <si>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</si>
  <si>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</si>
  <si>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</si>
  <si>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</si>
  <si>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</si>
  <si>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</si>
  <si>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</si>
  <si>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</si>
  <si>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</si>
  <si>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</si>
  <si>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</si>
  <si>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</si>
  <si>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</si>
  <si>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</si>
  <si>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</si>
  <si>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</si>
  <si>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</si>
  <si>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</si>
  <si>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</si>
  <si>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</si>
  <si>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</si>
  <si>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</si>
  <si>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</si>
  <si>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</si>
  <si>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</si>
  <si>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</si>
  <si>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</si>
  <si>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</si>
  <si>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</si>
  <si>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</si>
  <si>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</si>
  <si>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</si>
  <si>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</si>
  <si>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</si>
  <si>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</si>
  <si>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</si>
  <si>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</si>
  <si>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</si>
  <si>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</si>
  <si>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</si>
  <si>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</si>
  <si>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</si>
  <si>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</si>
  <si>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</si>
  <si>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</si>
  <si>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</si>
  <si>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</si>
  <si>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</si>
  <si>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</si>
  <si>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</si>
  <si>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</si>
  <si>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</si>
  <si>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</si>
  <si>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</si>
  <si>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</si>
  <si>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</si>
  <si>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</si>
  <si>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</si>
  <si>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</si>
  <si>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</si>
  <si>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</si>
  <si>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</si>
  <si>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</si>
  <si>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</si>
  <si>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</si>
  <si>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</si>
  <si>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</si>
  <si>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</si>
  <si>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</si>
  <si>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</si>
  <si>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</si>
  <si>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</si>
  <si>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</si>
  <si>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</si>
  <si>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</si>
  <si>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</si>
  <si>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</si>
  <si>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</si>
  <si>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</si>
  <si>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</si>
  <si>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</si>
  <si>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</si>
  <si>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</si>
  <si>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</si>
  <si>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</si>
  <si>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</si>
  <si>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</si>
  <si>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</si>
  <si>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</si>
  <si>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</si>
  <si>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</si>
  <si>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</si>
  <si>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</si>
  <si>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</si>
  <si>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</si>
  <si>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</si>
  <si>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</si>
  <si>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</si>
  <si>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</si>
  <si>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</si>
  <si>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</si>
  <si>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</si>
  <si>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</si>
  <si>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</si>
  <si>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</si>
  <si>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</si>
  <si>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</si>
  <si>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</si>
  <si>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</si>
  <si>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</si>
  <si>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</si>
  <si>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</si>
  <si>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</si>
  <si>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</si>
  <si>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</si>
  <si>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</si>
  <si>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</si>
  <si>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</si>
  <si>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</si>
  <si>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</si>
  <si>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</si>
  <si>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</si>
  <si>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</si>
  <si>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</si>
  <si>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</si>
  <si>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</si>
  <si>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</si>
  <si>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</si>
  <si>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</si>
  <si>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</si>
  <si>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</si>
  <si>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</si>
  <si>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</si>
  <si>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</si>
  <si>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</si>
  <si>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</si>
  <si>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</si>
  <si>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</si>
  <si>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</si>
  <si>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</si>
  <si>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</si>
  <si>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</si>
  <si>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</si>
  <si>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</si>
  <si>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</si>
  <si>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</si>
  <si>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</si>
  <si>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</si>
  <si>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</si>
  <si>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</si>
  <si>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</si>
  <si>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</si>
  <si>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</si>
  <si>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</si>
  <si>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</si>
  <si>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</si>
  <si>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</si>
  <si>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</si>
  <si>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</si>
  <si>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</si>
  <si>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</si>
  <si>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</si>
  <si>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</si>
  <si>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</si>
  <si>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</si>
  <si>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</si>
  <si>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</si>
  <si>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</si>
  <si>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</si>
  <si>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</si>
  <si>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</si>
  <si>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</si>
  <si>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</si>
  <si>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</si>
  <si>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</si>
  <si>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</si>
  <si>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</si>
  <si>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</si>
  <si>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</si>
  <si>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</si>
  <si>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</si>
  <si>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</si>
  <si>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</si>
  <si>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</si>
  <si>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</si>
  <si>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</si>
  <si>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</si>
  <si>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</si>
  <si>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</si>
  <si>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</si>
  <si>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</si>
  <si>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</si>
  <si>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</si>
  <si>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</si>
  <si>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</si>
  <si>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</si>
  <si>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</si>
  <si>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</si>
  <si>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</si>
  <si>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</si>
  <si>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</si>
  <si>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</si>
  <si>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</si>
  <si>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</si>
  <si>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</si>
  <si>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</si>
  <si>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</si>
  <si>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</si>
  <si>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</si>
  <si>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</si>
  <si>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</si>
  <si>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</si>
  <si>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</si>
  <si>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</si>
  <si>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</si>
  <si>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</si>
  <si>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</si>
  <si>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</si>
  <si>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</si>
  <si>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</si>
  <si>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</si>
  <si>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</si>
  <si>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</si>
  <si>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</si>
  <si>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</si>
  <si>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</si>
  <si>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</si>
  <si>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</si>
  <si>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</si>
  <si>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</si>
  <si>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</si>
  <si>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</si>
  <si>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</si>
  <si>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</si>
  <si>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</si>
  <si>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</si>
  <si>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</si>
  <si>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</si>
  <si>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</si>
  <si>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</si>
  <si>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</si>
  <si>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</si>
  <si>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</si>
  <si>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</si>
  <si>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</si>
  <si>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</si>
  <si>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</si>
  <si>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</si>
  <si>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</si>
  <si>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</si>
  <si>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</si>
  <si>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</si>
  <si>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</si>
  <si>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</si>
  <si>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</si>
  <si>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</si>
  <si>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</si>
  <si>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</si>
  <si>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</si>
  <si>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</si>
  <si>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</si>
  <si>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</si>
  <si>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</si>
  <si>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</si>
  <si>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</si>
  <si>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</si>
  <si>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</si>
  <si>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</si>
  <si>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</si>
  <si>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</si>
  <si>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</si>
  <si>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</si>
  <si>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</si>
  <si>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</si>
  <si>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</si>
  <si>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</si>
  <si>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</si>
  <si>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</si>
  <si>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</si>
  <si>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</si>
  <si>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</si>
  <si>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</si>
  <si>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</si>
  <si>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</si>
  <si>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</si>
  <si>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</si>
  <si>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</si>
  <si>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</si>
  <si>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</si>
  <si>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</si>
  <si>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</si>
  <si>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</si>
  <si>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</si>
  <si>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</si>
  <si>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</si>
  <si>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</si>
  <si>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</si>
  <si>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</si>
  <si>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</si>
  <si>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</si>
  <si>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</si>
  <si>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</si>
  <si>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</si>
  <si>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</si>
  <si>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</si>
  <si>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</si>
  <si>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</si>
  <si>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</si>
  <si>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</si>
  <si>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</si>
  <si>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</si>
  <si>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</si>
  <si>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</si>
  <si>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</si>
  <si>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</si>
  <si>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</si>
  <si>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</si>
  <si>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</si>
  <si>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</si>
  <si>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</si>
  <si>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</si>
  <si>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</si>
  <si>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</si>
  <si>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</si>
  <si>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</si>
  <si>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</si>
  <si>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</si>
  <si>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</si>
  <si>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</si>
  <si>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</si>
  <si>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</si>
  <si>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</si>
  <si>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</si>
  <si>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</si>
  <si>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</si>
  <si>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</si>
  <si>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</si>
  <si>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</si>
  <si>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</si>
  <si>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</si>
  <si>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</si>
  <si>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</si>
  <si>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</si>
  <si>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</si>
  <si>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</si>
  <si>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</si>
  <si>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</si>
  <si>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</si>
  <si>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</si>
  <si>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</si>
  <si>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</si>
  <si>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</si>
  <si>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</si>
  <si>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</si>
  <si>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</si>
  <si>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</si>
  <si>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</si>
  <si>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</si>
  <si>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</si>
  <si>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</si>
  <si>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</si>
  <si>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</si>
  <si>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</si>
  <si>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</si>
  <si>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</si>
  <si>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</si>
  <si>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</si>
  <si>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</si>
  <si>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</si>
  <si>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</si>
  <si>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</si>
  <si>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</si>
  <si>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</si>
  <si>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</si>
  <si>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</si>
  <si>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</si>
  <si>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</si>
  <si>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</si>
  <si>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</si>
  <si>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</si>
  <si>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</si>
  <si>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</si>
  <si>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</si>
  <si>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</si>
  <si>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</si>
  <si>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</si>
  <si>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</si>
  <si>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</si>
  <si>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</si>
  <si>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</si>
  <si>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</si>
  <si>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</si>
  <si>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</si>
  <si>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</si>
  <si>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</si>
  <si>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</si>
  <si>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</si>
  <si>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</si>
  <si>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</si>
  <si>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</si>
  <si>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</si>
  <si>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</si>
  <si>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</si>
  <si>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</si>
  <si>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</si>
  <si>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</si>
  <si>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</si>
  <si>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</si>
  <si>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</si>
  <si>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</si>
  <si>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</si>
  <si>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</si>
  <si>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</si>
  <si>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</si>
  <si>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</si>
  <si>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</si>
  <si>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</si>
  <si>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</si>
  <si>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</si>
  <si>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</si>
  <si>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</si>
  <si>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</si>
  <si>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</si>
  <si>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</si>
  <si>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</si>
  <si>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</si>
  <si>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</si>
  <si>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</si>
  <si>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</si>
  <si>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</si>
  <si>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</si>
  <si>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</si>
  <si>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</si>
  <si>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</si>
  <si>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</si>
  <si>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</si>
  <si>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</si>
  <si>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</si>
  <si>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</si>
  <si>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</si>
  <si>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</si>
  <si>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</si>
  <si>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</si>
  <si>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</si>
  <si>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</si>
  <si>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</si>
  <si>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</si>
  <si>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</si>
  <si>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</si>
  <si>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</si>
  <si>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</si>
  <si>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</si>
  <si>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</si>
  <si>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</si>
  <si>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</si>
  <si>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</si>
  <si>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</si>
  <si>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</si>
  <si>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</si>
  <si>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</si>
  <si>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</si>
  <si>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</si>
  <si>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</si>
  <si>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</si>
  <si>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</si>
  <si>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</si>
  <si>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</si>
  <si>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</si>
  <si>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</si>
  <si>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</si>
  <si>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</si>
  <si>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</si>
  <si>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</si>
  <si>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</si>
  <si>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</si>
  <si>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</si>
  <si>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</si>
  <si>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</si>
  <si>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</si>
  <si>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</si>
  <si>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</si>
  <si>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</si>
  <si>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</si>
  <si>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</si>
  <si>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</si>
  <si>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</si>
  <si>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</si>
  <si>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</si>
  <si>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</si>
  <si>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</si>
  <si>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</si>
  <si>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</si>
  <si>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</si>
  <si>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</si>
  <si>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</si>
  <si>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</si>
  <si>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</si>
  <si>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</si>
  <si>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</si>
  <si>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</si>
  <si>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</si>
  <si>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</si>
  <si>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</si>
  <si>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</si>
  <si>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</si>
  <si>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</si>
  <si>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</si>
  <si>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</si>
  <si>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</si>
  <si>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</si>
  <si>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</si>
  <si>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</si>
  <si>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</si>
  <si>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</si>
  <si>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</si>
  <si>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</si>
  <si>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</si>
  <si>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</si>
  <si>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</si>
  <si>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</si>
  <si>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</si>
  <si>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</si>
  <si>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</si>
  <si>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</si>
  <si>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</si>
  <si>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</si>
  <si>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</si>
  <si>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</si>
  <si>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</si>
  <si>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</si>
  <si>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</si>
  <si>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</si>
  <si>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</si>
  <si>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</si>
  <si>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</si>
  <si>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</si>
  <si>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</si>
  <si>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</si>
  <si>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</si>
  <si>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</si>
  <si>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</si>
  <si>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</si>
  <si>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</si>
  <si>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</si>
  <si>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</si>
  <si>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</si>
  <si>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</si>
  <si>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</si>
  <si>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</si>
  <si>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</si>
  <si>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</si>
  <si>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</si>
  <si>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</si>
  <si>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</si>
  <si>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</si>
  <si>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</si>
  <si>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</si>
  <si>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</si>
  <si>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</si>
  <si>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</si>
  <si>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</si>
  <si>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</si>
  <si>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</si>
  <si>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</si>
  <si>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</si>
  <si>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</si>
  <si>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</si>
  <si>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</si>
  <si>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</si>
  <si>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</si>
  <si>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</si>
  <si>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</si>
  <si>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</si>
  <si>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</si>
  <si>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</si>
  <si>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</si>
  <si>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</si>
  <si>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</si>
  <si>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</si>
  <si>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</si>
  <si>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</si>
  <si>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</si>
  <si>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</si>
  <si>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</si>
  <si>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</si>
  <si>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</si>
  <si>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</si>
  <si>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</si>
  <si>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</si>
  <si>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</si>
  <si>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</si>
  <si>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</si>
  <si>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</si>
  <si>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</si>
  <si>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</si>
  <si>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</si>
  <si>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</si>
  <si>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</si>
  <si>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</si>
  <si>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</si>
  <si>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</si>
  <si>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</si>
  <si>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</si>
  <si>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</si>
  <si>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</si>
  <si>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</si>
  <si>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</si>
  <si>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</si>
  <si>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</si>
  <si>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</si>
  <si>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</si>
  <si>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</si>
  <si>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</si>
  <si>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</si>
  <si>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</si>
  <si>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</si>
  <si>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</si>
  <si>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</si>
  <si>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</si>
  <si>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</si>
  <si>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</si>
  <si>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</si>
  <si>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</si>
  <si>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</si>
  <si>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</si>
  <si>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</si>
  <si>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</si>
  <si>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</si>
  <si>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</si>
  <si>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</si>
  <si>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</si>
  <si>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</si>
  <si>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</si>
  <si>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</si>
  <si>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</si>
  <si>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</si>
  <si>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</si>
  <si>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</si>
  <si>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</si>
  <si>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</si>
  <si>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</si>
  <si>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</si>
  <si>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</si>
  <si>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</si>
  <si>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</si>
  <si>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</si>
  <si>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</si>
  <si>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</si>
  <si>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</si>
  <si>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</si>
  <si>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</si>
  <si>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</si>
  <si>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</si>
  <si>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</si>
  <si>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</si>
  <si>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</si>
  <si>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</si>
  <si>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</si>
  <si>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</si>
  <si>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</si>
  <si>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</si>
  <si>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</si>
  <si>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</si>
  <si>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</si>
  <si>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</si>
  <si>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</si>
  <si>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</si>
  <si>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</si>
  <si>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</si>
  <si>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</si>
  <si>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</si>
  <si>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</si>
  <si>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</si>
  <si>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</si>
  <si>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</si>
  <si>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</si>
  <si>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</si>
  <si>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</si>
  <si>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</si>
  <si>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</si>
  <si>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</si>
  <si>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</si>
  <si>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</si>
  <si>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</si>
  <si>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</si>
  <si>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</si>
  <si>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</si>
  <si>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</si>
  <si>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</si>
  <si>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</si>
  <si>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</si>
  <si>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</si>
  <si>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</si>
  <si>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</si>
  <si>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</si>
  <si>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</si>
  <si>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</si>
  <si>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</si>
  <si>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</si>
  <si>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</si>
  <si>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</si>
  <si>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</si>
  <si>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</si>
  <si>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</si>
  <si>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</si>
  <si>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</si>
  <si>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</si>
  <si>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</si>
  <si>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</si>
  <si>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</si>
  <si>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</si>
  <si>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</si>
  <si>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</si>
  <si>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</si>
  <si>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</si>
  <si>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</si>
  <si>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</si>
  <si>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</si>
  <si>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</si>
  <si>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</si>
  <si>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</si>
  <si>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</si>
  <si>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</si>
  <si>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</si>
  <si>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</si>
  <si>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</si>
  <si>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</si>
  <si>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</si>
  <si>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</si>
  <si>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</si>
  <si>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</si>
  <si>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</si>
  <si>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</si>
  <si>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</si>
  <si>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</si>
  <si>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</si>
  <si>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</si>
  <si>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</si>
  <si>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</si>
  <si>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</si>
  <si>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</si>
  <si>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</si>
  <si>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</si>
  <si>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</si>
  <si>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</si>
  <si>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</si>
  <si>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</si>
  <si>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</si>
  <si>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</si>
  <si>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</si>
  <si>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</si>
  <si>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</si>
  <si>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</si>
  <si>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</si>
  <si>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</si>
  <si>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</si>
  <si>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</si>
  <si>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</si>
  <si>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</si>
  <si>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</si>
  <si>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</si>
  <si>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</si>
  <si>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</si>
  <si>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</si>
  <si>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</si>
  <si>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</si>
  <si>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</si>
  <si>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</si>
  <si>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</si>
  <si>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</si>
  <si>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</si>
  <si>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</si>
  <si>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</si>
  <si>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</si>
  <si>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</si>
  <si>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</si>
  <si>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</si>
  <si>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</si>
  <si>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</si>
  <si>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</si>
  <si>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</si>
  <si>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</si>
  <si>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</si>
  <si>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</si>
  <si>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</si>
  <si>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</si>
  <si>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</si>
  <si>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</si>
  <si>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</si>
  <si>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</si>
  <si>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</si>
  <si>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</si>
  <si>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</si>
  <si>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</si>
  <si>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</si>
  <si>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</si>
  <si>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</si>
  <si>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</si>
  <si>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</si>
  <si>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</si>
  <si>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</si>
  <si>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</si>
  <si>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</si>
  <si>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</si>
  <si>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</si>
  <si>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</si>
  <si>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</si>
  <si>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</si>
  <si>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</si>
  <si>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</si>
  <si>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</si>
  <si>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</si>
  <si>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</si>
  <si>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</si>
  <si>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</si>
  <si>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</si>
  <si>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</si>
  <si>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</si>
  <si>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</si>
  <si>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</si>
  <si>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</si>
  <si>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</si>
  <si>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</si>
  <si>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</si>
  <si>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</si>
  <si>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</si>
  <si>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</si>
  <si>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</si>
  <si>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</si>
  <si>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</si>
  <si>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</si>
  <si>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</si>
  <si>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</si>
  <si>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</si>
  <si>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</si>
  <si>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</si>
  <si>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</si>
  <si>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</si>
  <si>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</si>
  <si>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</si>
  <si>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</si>
  <si>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</si>
  <si>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</si>
  <si>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</si>
  <si>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</si>
  <si>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</si>
  <si>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</si>
  <si>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</si>
  <si>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</si>
  <si>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</si>
  <si>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</si>
  <si>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</si>
  <si>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</si>
  <si>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</si>
  <si>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</si>
  <si>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</si>
  <si>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</si>
  <si>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</si>
  <si>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</si>
  <si>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</si>
  <si>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</si>
  <si>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</si>
  <si>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</si>
  <si>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</si>
  <si>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</si>
  <si>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</si>
  <si>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</si>
  <si>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</si>
  <si>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</si>
  <si>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</si>
  <si>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</si>
  <si>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</si>
  <si>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</si>
  <si>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</si>
  <si>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</si>
  <si>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</si>
  <si>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</si>
  <si>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</si>
  <si>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</si>
  <si>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</si>
  <si>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</si>
  <si>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</si>
  <si>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</si>
  <si>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</si>
  <si>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</si>
  <si>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</si>
  <si>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</si>
  <si>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</si>
  <si>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</si>
  <si>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</si>
  <si>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</si>
  <si>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</si>
  <si>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</si>
  <si>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</si>
  <si>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</si>
  <si>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</si>
  <si>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</si>
  <si>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</si>
  <si>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</si>
  <si>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</si>
  <si>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</si>
  <si>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</si>
  <si>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</si>
  <si>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</si>
  <si>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</si>
  <si>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</si>
  <si>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</si>
  <si>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</si>
  <si>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</si>
  <si>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</si>
  <si>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</si>
  <si>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</si>
  <si>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</si>
  <si>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</si>
  <si>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</si>
  <si>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</si>
  <si>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</si>
  <si>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</si>
  <si>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</si>
  <si>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</si>
  <si>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</si>
  <si>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</si>
  <si>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</si>
  <si>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</si>
  <si>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</si>
  <si>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</si>
  <si>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</si>
  <si>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</si>
  <si>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</si>
  <si>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</si>
  <si>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</si>
  <si>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</si>
  <si>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</si>
  <si>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</si>
  <si>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</si>
  <si>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</si>
  <si>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</si>
  <si>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</si>
  <si>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</si>
  <si>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</si>
  <si>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</si>
  <si>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</si>
  <si>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</si>
  <si>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</si>
  <si>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</si>
  <si>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</si>
  <si>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</si>
  <si>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</si>
  <si>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</si>
  <si>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</si>
  <si>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</si>
  <si>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</si>
  <si>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</si>
  <si>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</si>
  <si>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</si>
  <si>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</si>
  <si>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</si>
  <si>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</si>
  <si>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</si>
  <si>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</si>
  <si>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</si>
  <si>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</si>
  <si>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</si>
  <si>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</si>
  <si>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</si>
  <si>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</si>
  <si>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</si>
  <si>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</si>
  <si>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</si>
  <si>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</si>
  <si>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</si>
  <si>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</si>
  <si>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</si>
  <si>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</si>
  <si>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</si>
  <si>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</si>
  <si>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</si>
  <si>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</si>
  <si>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</si>
  <si>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</si>
  <si>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</si>
  <si>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</si>
  <si>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</si>
  <si>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</si>
  <si>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</si>
  <si>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</si>
  <si>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</si>
  <si>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</si>
  <si>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</si>
  <si>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</si>
  <si>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</si>
  <si>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</si>
  <si>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</si>
  <si>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</si>
  <si>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</si>
  <si>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</si>
  <si>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</si>
  <si>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</si>
  <si>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</si>
  <si>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</si>
  <si>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</si>
  <si>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</si>
  <si>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</si>
  <si>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</si>
  <si>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</si>
  <si>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</si>
  <si>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</si>
  <si>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</si>
  <si>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</si>
  <si>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</si>
  <si>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</si>
  <si>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</si>
  <si>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</si>
  <si>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</si>
  <si>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</si>
  <si>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</si>
  <si>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</si>
  <si>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</si>
  <si>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</si>
  <si>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</si>
  <si>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</si>
  <si>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</si>
  <si>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</si>
  <si>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</si>
  <si>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</si>
  <si>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</si>
  <si>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</si>
  <si>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</si>
  <si>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</si>
  <si>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</si>
  <si>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</si>
  <si>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</si>
  <si>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</si>
  <si>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</si>
  <si>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</si>
  <si>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</si>
  <si>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</si>
  <si>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</si>
  <si>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</si>
  <si>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</si>
  <si>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</si>
  <si>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</si>
  <si>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</si>
  <si>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</si>
  <si>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</si>
  <si>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</si>
  <si>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</si>
  <si>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</si>
  <si>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</si>
  <si>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</si>
  <si>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</si>
  <si>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</si>
  <si>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</si>
  <si>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</si>
  <si>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</si>
  <si>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</si>
  <si>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</si>
  <si>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</si>
  <si>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</si>
  <si>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</si>
  <si>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</si>
  <si>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</si>
  <si>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</si>
  <si>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</si>
  <si>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</si>
  <si>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</si>
  <si>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</si>
  <si>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</si>
  <si>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</si>
  <si>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</si>
  <si>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</si>
  <si>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</si>
  <si>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</si>
  <si>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</si>
  <si>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</si>
  <si>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</si>
  <si>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</si>
  <si>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</si>
  <si>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</si>
  <si>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</si>
  <si>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</si>
  <si>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</si>
  <si>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</si>
  <si>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</si>
  <si>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</si>
  <si>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</si>
  <si>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</si>
  <si>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</si>
  <si>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</si>
  <si>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</si>
  <si>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</si>
  <si>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</si>
  <si>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</si>
  <si>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</si>
  <si>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</si>
  <si>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</si>
  <si>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</si>
  <si>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</si>
  <si>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</si>
  <si>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</si>
  <si>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</si>
  <si>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</si>
  <si>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</si>
  <si>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</si>
  <si>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</si>
  <si>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</si>
  <si>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</si>
  <si>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</si>
  <si>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</si>
  <si>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</si>
  <si>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</si>
  <si>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</si>
  <si>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</si>
  <si>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</si>
  <si>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</si>
  <si>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</si>
  <si>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</si>
  <si>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</si>
  <si>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</si>
  <si>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</si>
  <si>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</si>
  <si>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</si>
  <si>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</si>
  <si>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</si>
  <si>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</si>
  <si>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</si>
  <si>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</si>
  <si>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</si>
  <si>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</si>
  <si>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</si>
  <si>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</si>
  <si>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</si>
  <si>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</si>
  <si>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</si>
  <si>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</si>
  <si>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</si>
  <si>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</si>
  <si>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</si>
  <si>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</si>
  <si>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</si>
  <si>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</si>
  <si>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</si>
  <si>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</si>
  <si>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</si>
  <si>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</si>
  <si>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</si>
  <si>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</si>
  <si>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</si>
  <si>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</si>
  <si>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</si>
  <si>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</si>
  <si>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</si>
  <si>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</si>
  <si>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</si>
  <si>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</si>
  <si>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</si>
  <si>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</si>
  <si>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</si>
  <si>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</si>
  <si>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</si>
  <si>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</si>
  <si>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</si>
  <si>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</si>
  <si>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</si>
  <si>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</si>
  <si>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</si>
  <si>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</si>
  <si>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</si>
  <si>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</si>
  <si>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</si>
  <si>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</si>
  <si>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</si>
  <si>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</si>
  <si>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</si>
  <si>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</si>
  <si>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</si>
  <si>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</si>
  <si>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</si>
  <si>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</si>
  <si>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</si>
  <si>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</si>
  <si>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</si>
  <si>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</si>
  <si>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</si>
  <si>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</si>
  <si>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</si>
  <si>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</si>
  <si>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</si>
  <si>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</si>
  <si>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</si>
  <si>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</si>
  <si>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</si>
  <si>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</si>
  <si>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</si>
  <si>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</si>
  <si>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</si>
  <si>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</si>
  <si>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</si>
  <si>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</si>
  <si>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</si>
  <si>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</si>
  <si>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</si>
  <si>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</si>
  <si>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</si>
  <si>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</si>
  <si>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</si>
  <si>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</si>
  <si>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</si>
  <si>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</si>
  <si>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</si>
  <si>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</si>
  <si>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</si>
  <si>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</si>
  <si>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</si>
  <si>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</si>
  <si>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</si>
  <si>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</si>
  <si>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</si>
  <si>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</si>
  <si>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</si>
  <si>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</si>
  <si>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</si>
  <si>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</si>
  <si>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</si>
  <si>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</si>
  <si>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</si>
  <si>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</si>
  <si>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</si>
  <si>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</si>
  <si>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</si>
  <si>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</si>
  <si>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</si>
  <si>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</si>
  <si>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</si>
  <si>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</si>
  <si>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</si>
  <si>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</si>
  <si>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</si>
  <si>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</si>
  <si>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</si>
  <si>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</si>
  <si>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</si>
  <si>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</si>
  <si>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</si>
  <si>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</si>
  <si>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</si>
  <si>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</si>
  <si>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</si>
  <si>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</si>
  <si>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</si>
  <si>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</si>
  <si>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</si>
  <si>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</si>
  <si>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</si>
  <si>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</si>
  <si>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</si>
  <si>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</si>
  <si>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</si>
  <si>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</si>
  <si>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</si>
  <si>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</si>
  <si>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</si>
  <si>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</si>
  <si>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</si>
  <si>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</si>
  <si>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</si>
  <si>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</si>
  <si>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</si>
  <si>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</si>
  <si>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</si>
  <si>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</si>
  <si>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</si>
  <si>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</si>
  <si>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</si>
  <si>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</si>
  <si>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</si>
  <si>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</si>
  <si>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</si>
  <si>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</si>
  <si>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</si>
  <si>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</si>
  <si>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</si>
  <si>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</si>
  <si>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</si>
  <si>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</si>
  <si>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</si>
  <si>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</si>
  <si>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</si>
  <si>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</si>
  <si>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</si>
  <si>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</si>
  <si>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</si>
  <si>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</si>
  <si>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</si>
  <si>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</si>
  <si>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</si>
  <si>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</si>
  <si>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</si>
  <si>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</si>
  <si>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</si>
  <si>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</si>
  <si>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</si>
  <si>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</si>
  <si>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</si>
  <si>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</si>
  <si>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</si>
  <si>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</si>
  <si>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</si>
  <si>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</si>
  <si>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</si>
  <si>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</si>
  <si>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</si>
  <si>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</si>
  <si>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</si>
  <si>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</si>
  <si>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</si>
  <si>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</si>
  <si>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</si>
  <si>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</si>
  <si>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</si>
  <si>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</si>
  <si>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</si>
  <si>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</si>
  <si>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</si>
  <si>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</si>
  <si>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</si>
  <si>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</si>
  <si>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</si>
  <si>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</si>
  <si>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</si>
  <si>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</si>
  <si>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</si>
  <si>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</si>
  <si>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</si>
  <si>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</si>
  <si>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</si>
  <si>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</si>
  <si>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</si>
  <si>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</si>
  <si>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</si>
  <si>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</si>
  <si>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</si>
  <si>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</si>
  <si>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</si>
  <si>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</si>
  <si>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</si>
  <si>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</si>
  <si>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</si>
  <si>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</si>
  <si>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</si>
  <si>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</si>
  <si>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</si>
  <si>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</si>
  <si>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</si>
  <si>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</si>
  <si>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</si>
  <si>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</si>
  <si>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</si>
  <si>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</si>
  <si>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</si>
  <si>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</si>
  <si>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</si>
  <si>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</si>
  <si>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</si>
  <si>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</si>
  <si>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</si>
  <si>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</si>
  <si>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</si>
  <si>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</si>
  <si>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</si>
  <si>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</si>
  <si>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</si>
  <si>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</si>
  <si>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</si>
  <si>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</si>
  <si>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</si>
  <si>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</si>
  <si>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</si>
  <si>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</si>
  <si>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</si>
  <si>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</si>
  <si>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</si>
  <si>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</si>
  <si>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</si>
  <si>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</si>
  <si>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</si>
  <si>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</si>
  <si>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</si>
  <si>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</si>
  <si>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</si>
  <si>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</si>
  <si>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</si>
  <si>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</si>
  <si>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</si>
  <si>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</si>
  <si>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</si>
  <si>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</si>
  <si>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</si>
  <si>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</si>
  <si>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</si>
  <si>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</si>
  <si>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</si>
  <si>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</si>
  <si>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</si>
  <si>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</si>
  <si>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</si>
  <si>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</si>
  <si>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</si>
  <si>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</si>
  <si>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</si>
  <si>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</si>
  <si>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</si>
  <si>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</si>
  <si>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</si>
  <si>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</si>
  <si>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</si>
  <si>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</si>
  <si>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</si>
  <si>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</si>
  <si>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</si>
  <si>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</si>
  <si>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</si>
  <si>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</si>
  <si>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</si>
  <si>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</si>
  <si>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</si>
  <si>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</si>
  <si>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</si>
  <si>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</si>
  <si>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</si>
  <si>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</si>
  <si>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</si>
  <si>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</si>
  <si>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</si>
  <si>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</si>
  <si>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</si>
  <si>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</si>
  <si>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</si>
  <si>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</si>
  <si>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</si>
  <si>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</si>
  <si>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</si>
  <si>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</si>
  <si>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</si>
  <si>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</si>
  <si>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</si>
  <si>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</si>
  <si>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</si>
  <si>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</si>
  <si>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</si>
  <si>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</si>
  <si>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</si>
  <si>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</si>
  <si>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</si>
  <si>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</si>
  <si>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</si>
  <si>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</si>
  <si>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</si>
  <si>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</si>
  <si>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</si>
  <si>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</si>
  <si>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</si>
  <si>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</si>
  <si>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</si>
  <si>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</si>
  <si>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</si>
  <si>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</si>
  <si>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</si>
  <si>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</si>
  <si>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</si>
  <si>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</si>
  <si>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</si>
  <si>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</si>
  <si>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</si>
  <si>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</si>
  <si>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</si>
  <si>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</si>
  <si>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</si>
  <si>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</si>
  <si>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</si>
  <si>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</si>
  <si>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</si>
  <si>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</si>
  <si>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</si>
  <si>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</si>
  <si>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</si>
  <si>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</si>
  <si>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</si>
  <si>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</si>
  <si>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</si>
  <si>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</si>
  <si>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</si>
  <si>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</si>
  <si>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</si>
  <si>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</si>
  <si>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</si>
  <si>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</si>
  <si>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</si>
  <si>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</si>
  <si>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</si>
  <si>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</si>
  <si>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</si>
  <si>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</si>
  <si>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</si>
  <si>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</si>
  <si>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</si>
  <si>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</si>
  <si>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</si>
  <si>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</si>
  <si>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</si>
  <si>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</si>
  <si>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</si>
  <si>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</si>
  <si>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</si>
  <si>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</si>
  <si>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</si>
  <si>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</si>
  <si>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</si>
  <si>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</si>
  <si>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</si>
  <si>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</si>
  <si>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</si>
  <si>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</si>
  <si>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</si>
  <si>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</si>
  <si>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</si>
  <si>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</si>
  <si>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</si>
  <si>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</si>
  <si>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</si>
  <si>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</si>
  <si>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</si>
  <si>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</si>
  <si>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</si>
  <si>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</si>
  <si>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</si>
  <si>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</si>
  <si>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</si>
  <si>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</si>
  <si>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</si>
  <si>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</si>
  <si>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</si>
  <si>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</si>
  <si>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</si>
  <si>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</si>
  <si>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</si>
  <si>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</si>
  <si>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</si>
  <si>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</si>
  <si>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</si>
  <si>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</si>
  <si>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</si>
  <si>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</si>
  <si>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</si>
  <si>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</si>
  <si>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</si>
  <si>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</si>
  <si>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</si>
  <si>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</si>
  <si>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</si>
  <si>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</si>
  <si>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</si>
  <si>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</si>
  <si>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</si>
  <si>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</si>
  <si>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</si>
  <si>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</si>
  <si>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</si>
  <si>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</si>
  <si>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</si>
  <si>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</si>
  <si>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</si>
  <si>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</si>
  <si>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</si>
  <si>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</si>
  <si>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</si>
  <si>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</si>
  <si>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</si>
  <si>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</si>
  <si>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</si>
  <si>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</si>
  <si>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</si>
  <si>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</si>
  <si>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</si>
  <si>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</si>
  <si>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</si>
  <si>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</si>
  <si>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</si>
  <si>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</si>
  <si>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</si>
  <si>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</si>
  <si>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</si>
  <si>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</si>
  <si>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</si>
  <si>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</si>
  <si>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</si>
  <si>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</si>
  <si>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</si>
  <si>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</si>
  <si>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</si>
  <si>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</si>
  <si>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</si>
  <si>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</si>
  <si>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</si>
  <si>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</si>
  <si>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</si>
  <si>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</si>
  <si>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</si>
  <si>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</si>
  <si>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</si>
  <si>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</si>
  <si>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</si>
  <si>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</si>
  <si>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</si>
  <si>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</si>
  <si>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</si>
  <si>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</si>
  <si>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</si>
  <si>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</si>
  <si>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</si>
  <si>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</si>
  <si>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</si>
  <si>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</si>
  <si>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</si>
  <si>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</si>
  <si>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</si>
  <si>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</si>
  <si>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</si>
  <si>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</si>
  <si>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</si>
  <si>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</si>
  <si>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</si>
  <si>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</si>
  <si>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</si>
  <si>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</si>
  <si>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</si>
  <si>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</si>
  <si>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</si>
  <si>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</si>
  <si>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</si>
  <si>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</si>
  <si>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</si>
  <si>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</si>
  <si>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</si>
  <si>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</si>
  <si>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</si>
  <si>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</si>
  <si>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</si>
  <si>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</si>
  <si>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</si>
  <si>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</si>
  <si>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</si>
  <si>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</si>
  <si>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</si>
  <si>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</si>
  <si>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</si>
  <si>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</si>
  <si>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</si>
  <si>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</si>
  <si>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</si>
  <si>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</si>
  <si>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</si>
  <si>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</si>
  <si>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</si>
  <si>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</si>
  <si>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</si>
  <si>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</si>
  <si>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</si>
  <si>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</si>
  <si>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</si>
  <si>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</si>
  <si>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</si>
  <si>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</si>
  <si>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</si>
  <si>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</si>
  <si>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</si>
  <si>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</si>
  <si>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</si>
  <si>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</si>
  <si>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</si>
  <si>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</si>
  <si>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</si>
  <si>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</si>
  <si>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</si>
  <si>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</si>
  <si>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</si>
  <si>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</si>
  <si>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</si>
  <si>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</si>
  <si>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</si>
  <si>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</si>
  <si>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</si>
  <si>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</si>
  <si>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</si>
  <si>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</si>
  <si>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</si>
  <si>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</si>
  <si>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</si>
  <si>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</si>
  <si>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</si>
  <si>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</si>
  <si>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</si>
  <si>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</si>
  <si>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</si>
  <si>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</si>
  <si>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</si>
  <si>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</si>
  <si>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</si>
  <si>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</si>
  <si>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</si>
  <si>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</si>
  <si>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</si>
  <si>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</si>
  <si>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</si>
  <si>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</si>
  <si>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</si>
  <si>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</si>
  <si>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</si>
  <si>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</si>
  <si>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</si>
  <si>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</si>
  <si>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</si>
  <si>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</si>
  <si>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</si>
  <si>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</si>
  <si>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</si>
  <si>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</si>
  <si>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</si>
  <si>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</si>
  <si>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</si>
  <si>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</si>
  <si>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</si>
  <si>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</si>
  <si>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</si>
  <si>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</si>
  <si>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</si>
  <si>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</si>
  <si>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</si>
  <si>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</si>
  <si>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</si>
  <si>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</si>
  <si>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</si>
  <si>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</si>
  <si>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</si>
  <si>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</si>
  <si>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</si>
  <si>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</si>
  <si>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</si>
  <si>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</si>
  <si>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</si>
  <si>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</si>
  <si>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</si>
  <si>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</si>
  <si>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</si>
  <si>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</si>
  <si>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</si>
  <si>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</si>
  <si>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</si>
  <si>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</si>
  <si>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</si>
  <si>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</si>
  <si>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</si>
  <si>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</si>
  <si>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</si>
  <si>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</si>
  <si>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</si>
  <si>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</si>
  <si>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</si>
  <si>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</si>
  <si>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</si>
  <si>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</si>
  <si>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</si>
  <si>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</si>
  <si>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</si>
  <si>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</si>
  <si>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</si>
  <si>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</si>
  <si>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</si>
  <si>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</si>
  <si>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</si>
  <si>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</si>
  <si>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</si>
  <si>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</si>
  <si>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</si>
  <si>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</si>
  <si>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</si>
  <si>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</si>
  <si>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</si>
  <si>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</si>
  <si>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</si>
  <si>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</si>
  <si>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</si>
  <si>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</si>
  <si>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</si>
  <si>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</si>
  <si>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</si>
  <si>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</si>
  <si>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</si>
  <si>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</si>
  <si>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</si>
  <si>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</si>
  <si>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</si>
  <si>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</si>
  <si>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</si>
  <si>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</si>
  <si>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</si>
  <si>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</si>
  <si>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</si>
  <si>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</si>
  <si>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</si>
  <si>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</si>
  <si>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</si>
  <si>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</si>
  <si>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</si>
  <si>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</si>
  <si>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</si>
  <si>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</si>
  <si>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</si>
  <si>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</si>
  <si>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</si>
  <si>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</si>
  <si>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</si>
  <si>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</si>
  <si>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</si>
  <si>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</si>
  <si>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</si>
  <si>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</si>
  <si>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</si>
  <si>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</si>
  <si>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</si>
  <si>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</si>
  <si>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</si>
  <si>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</si>
  <si>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</si>
  <si>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</si>
  <si>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</si>
  <si>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</si>
  <si>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</si>
  <si>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</si>
  <si>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</si>
  <si>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</si>
  <si>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</si>
  <si>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</si>
  <si>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</si>
  <si>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</si>
  <si>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</si>
  <si>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</si>
  <si>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</si>
  <si>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</si>
  <si>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</si>
  <si>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</si>
  <si>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</si>
  <si>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</si>
  <si>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</si>
  <si>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</si>
  <si>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</si>
  <si>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</si>
  <si>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</si>
  <si>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</si>
  <si>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</si>
  <si>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</si>
  <si>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</si>
  <si>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</si>
  <si>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</si>
  <si>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</si>
  <si>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</si>
  <si>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</si>
  <si>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</si>
  <si>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</si>
  <si>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</si>
  <si>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</si>
  <si>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</si>
  <si>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</si>
  <si>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</si>
  <si>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</si>
  <si>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</si>
  <si>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</si>
  <si>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</si>
  <si>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</si>
  <si>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</si>
  <si>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</si>
  <si>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</si>
  <si>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</si>
  <si>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</si>
  <si>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</si>
  <si>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</si>
  <si>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</si>
  <si>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</si>
  <si>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</si>
  <si>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</si>
  <si>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</si>
  <si>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</si>
  <si>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</si>
  <si>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</si>
  <si>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</si>
  <si>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</si>
  <si>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</si>
  <si>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</si>
  <si>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</si>
  <si>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</si>
  <si>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</si>
  <si>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</si>
  <si>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</si>
  <si>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</si>
  <si>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</si>
  <si>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</si>
  <si>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</si>
  <si>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</si>
  <si>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</si>
  <si>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</si>
  <si>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</si>
  <si>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</si>
  <si>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</si>
  <si>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</si>
  <si>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</si>
  <si>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</si>
  <si>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</si>
  <si>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</si>
  <si>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</si>
  <si>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</si>
  <si>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</si>
  <si>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</si>
  <si>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</si>
  <si>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</si>
  <si>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</si>
  <si>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</si>
  <si>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</si>
  <si>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</si>
  <si>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</si>
  <si>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</si>
  <si>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</si>
  <si>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</si>
  <si>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</si>
  <si>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</si>
  <si>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</si>
  <si>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</si>
  <si>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</si>
  <si>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</si>
  <si>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</si>
  <si>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</si>
  <si>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</si>
  <si>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</si>
  <si>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</si>
  <si>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</si>
  <si>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</si>
  <si>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</si>
  <si>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</si>
  <si>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</si>
  <si>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</si>
  <si>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</si>
  <si>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</si>
  <si>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</si>
  <si>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</si>
  <si>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</si>
  <si>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</si>
  <si>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</si>
  <si>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</si>
  <si>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</si>
  <si>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</si>
  <si>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</si>
  <si>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</si>
  <si>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</si>
  <si>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</si>
  <si>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</si>
  <si>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</si>
  <si>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</si>
  <si>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</si>
  <si>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</si>
  <si>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</si>
  <si>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</si>
  <si>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</si>
  <si>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</si>
  <si>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</si>
  <si>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</si>
  <si>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</si>
  <si>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</si>
  <si>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</si>
  <si>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</si>
  <si>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</si>
  <si>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</si>
  <si>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</si>
  <si>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</si>
  <si>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</si>
  <si>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</si>
  <si>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</si>
  <si>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</si>
  <si>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</si>
  <si>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</si>
  <si>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</si>
  <si>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</si>
  <si>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</si>
  <si>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</si>
  <si>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</si>
  <si>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</si>
  <si>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</si>
  <si>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</si>
  <si>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</si>
  <si>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</si>
  <si>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</si>
  <si>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</si>
  <si>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</si>
  <si>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</si>
  <si>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</si>
  <si>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</si>
  <si>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</si>
  <si>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</si>
  <si>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</si>
  <si>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</si>
  <si>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</si>
  <si>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</si>
  <si>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</si>
  <si>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</si>
  <si>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</si>
  <si>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</si>
  <si>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</si>
  <si>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</si>
  <si>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</si>
  <si>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</si>
  <si>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</si>
  <si>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</si>
  <si>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</si>
  <si>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</si>
  <si>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</si>
  <si>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</si>
  <si>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</si>
  <si>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</si>
  <si>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</si>
  <si>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</si>
  <si>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</si>
  <si>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</si>
  <si>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</si>
  <si>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</si>
  <si>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</si>
  <si>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</si>
  <si>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</si>
  <si>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</si>
  <si>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</si>
  <si>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</si>
  <si>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</si>
  <si>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</si>
  <si>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</si>
  <si>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</si>
  <si>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</si>
  <si>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</si>
  <si>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</si>
  <si>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</si>
  <si>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</si>
  <si>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</si>
  <si>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</si>
  <si>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</si>
  <si>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</si>
  <si>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</si>
  <si>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</si>
  <si>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</si>
  <si>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</si>
  <si>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</si>
  <si>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</si>
  <si>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</si>
  <si>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</si>
  <si>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</si>
  <si>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</si>
  <si>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</si>
  <si>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</si>
  <si>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</si>
  <si>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</si>
  <si>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</si>
  <si>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</si>
  <si>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</si>
  <si>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</si>
  <si>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</si>
  <si>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</si>
  <si>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</si>
  <si>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</si>
  <si>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</si>
  <si>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</si>
  <si>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</si>
  <si>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</si>
  <si>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</si>
  <si>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</si>
  <si>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</si>
  <si>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</si>
  <si>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</si>
  <si>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</si>
  <si>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</si>
  <si>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</si>
  <si>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</si>
  <si>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</si>
  <si>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</si>
  <si>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</si>
  <si>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</si>
  <si>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</si>
  <si>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</si>
  <si>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</si>
  <si>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</si>
  <si>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</si>
  <si>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</si>
  <si>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</si>
  <si>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</si>
  <si>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</si>
  <si>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</si>
  <si>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</si>
  <si>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</si>
  <si>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</si>
  <si>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</si>
  <si>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</si>
  <si>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</si>
  <si>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</si>
  <si>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</si>
  <si>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</si>
  <si>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</si>
  <si>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</si>
  <si>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</si>
  <si>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</si>
  <si>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</si>
  <si>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</si>
  <si>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</si>
  <si>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</si>
  <si>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</si>
  <si>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</si>
  <si>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</si>
  <si>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</si>
  <si>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</si>
  <si>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</si>
  <si>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</si>
  <si>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</si>
  <si>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</si>
  <si>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</si>
  <si>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</si>
  <si>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</si>
  <si>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</si>
  <si>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</si>
  <si>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</si>
  <si>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</si>
  <si>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</si>
  <si>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</si>
  <si>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</si>
  <si>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</si>
  <si>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</si>
  <si>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</si>
  <si>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</si>
  <si>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</si>
  <si>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</si>
  <si>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</si>
  <si>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</si>
  <si>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</si>
  <si>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</si>
  <si>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</si>
  <si>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</si>
  <si>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</si>
  <si>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</si>
  <si>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</si>
  <si>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</si>
  <si>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</si>
  <si>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</si>
  <si>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</si>
  <si>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</si>
  <si>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</si>
  <si>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</si>
  <si>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</si>
  <si>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</si>
  <si>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</si>
  <si>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</si>
  <si>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</si>
  <si>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</si>
  <si>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</si>
  <si>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</si>
  <si>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</si>
  <si>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</si>
  <si>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</si>
  <si>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</si>
  <si>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</si>
  <si>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</si>
  <si>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</si>
  <si>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</si>
  <si>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</si>
  <si>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</si>
  <si>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</si>
  <si>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</si>
  <si>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</si>
  <si>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</si>
  <si>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</si>
  <si>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</si>
  <si>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</si>
  <si>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</si>
  <si>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</si>
  <si>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</si>
  <si>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</si>
  <si>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</si>
  <si>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</si>
  <si>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</si>
  <si>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</si>
  <si>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</si>
  <si>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</si>
  <si>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</si>
  <si>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</si>
  <si>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</si>
  <si>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</si>
  <si>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</si>
  <si>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</si>
  <si>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</si>
  <si>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</si>
  <si>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</si>
  <si>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</si>
  <si>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</si>
  <si>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</si>
  <si>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</si>
  <si>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</si>
  <si>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</si>
  <si>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</si>
  <si>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</si>
  <si>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</si>
  <si>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</si>
  <si>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</si>
  <si>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</si>
  <si>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</si>
  <si>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</si>
  <si>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</si>
  <si>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</si>
  <si>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</si>
  <si>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</si>
  <si>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</si>
  <si>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</si>
  <si>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</si>
  <si>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</si>
  <si>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</si>
  <si>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</si>
  <si>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</si>
  <si>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</si>
  <si>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</si>
  <si>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</si>
  <si>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</si>
  <si>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</si>
  <si>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</si>
  <si>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</si>
  <si>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</si>
  <si>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</si>
  <si>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</si>
  <si>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</si>
  <si>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</si>
  <si>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</si>
  <si>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</si>
  <si>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</si>
  <si>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</si>
  <si>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</si>
  <si>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</si>
  <si>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</si>
  <si>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</si>
  <si>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</si>
  <si>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</si>
  <si>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</si>
  <si>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</si>
  <si>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</si>
  <si>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</si>
  <si>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</si>
  <si>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</si>
  <si>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</si>
  <si>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</si>
  <si>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</si>
  <si>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</si>
  <si>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</si>
  <si>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</si>
  <si>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</si>
  <si>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</si>
  <si>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</si>
  <si>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</si>
  <si>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</si>
  <si>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</si>
  <si>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</si>
  <si>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</si>
  <si>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</si>
  <si>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</si>
  <si>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</si>
  <si>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</si>
  <si>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</si>
  <si>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</si>
  <si>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</si>
  <si>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</si>
  <si>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</si>
  <si>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</si>
  <si>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</si>
  <si>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</si>
  <si>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</si>
  <si>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</si>
  <si>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</si>
  <si>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</si>
  <si>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</si>
  <si>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</si>
  <si>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</si>
  <si>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</si>
  <si>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</si>
  <si>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</si>
  <si>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</si>
  <si>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</si>
  <si>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</si>
  <si>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</si>
  <si>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</si>
  <si>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</si>
  <si>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</si>
  <si>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</si>
  <si>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</si>
  <si>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</si>
  <si>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</si>
  <si>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</si>
  <si>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</si>
  <si>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</si>
  <si>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</si>
  <si>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</si>
  <si>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</si>
  <si>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</si>
  <si>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</si>
  <si>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</si>
  <si>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</si>
  <si>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</si>
  <si>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</si>
  <si>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</si>
  <si>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</si>
  <si>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</si>
  <si>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</si>
  <si>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</si>
  <si>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</si>
  <si>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</si>
  <si>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</si>
  <si>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</si>
  <si>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</si>
  <si>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</si>
  <si>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</si>
  <si>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</si>
  <si>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</si>
  <si>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</si>
  <si>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</si>
  <si>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</si>
  <si>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</si>
  <si>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</si>
  <si>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</si>
  <si>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</si>
  <si>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</si>
  <si>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</si>
  <si>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</si>
  <si>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</si>
  <si>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</si>
  <si>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</si>
  <si>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</si>
  <si>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</si>
  <si>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</si>
  <si>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</si>
  <si>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</si>
  <si>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</si>
  <si>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</si>
  <si>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</si>
  <si>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</si>
  <si>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</si>
  <si>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</si>
  <si>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</si>
  <si>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</si>
  <si>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</si>
  <si>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</si>
  <si>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</si>
  <si>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</si>
  <si>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</si>
  <si>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</si>
  <si>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</si>
  <si>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</si>
  <si>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</si>
  <si>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</si>
  <si>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</si>
  <si>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</si>
  <si>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</si>
  <si>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</si>
  <si>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</si>
  <si>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</si>
  <si>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</si>
  <si>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</si>
  <si>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</si>
  <si>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</si>
  <si>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</si>
  <si>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</si>
  <si>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</si>
  <si>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</si>
  <si>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</si>
  <si>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</si>
  <si>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</si>
  <si>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</si>
  <si>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</si>
  <si>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</si>
  <si>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</si>
  <si>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</si>
  <si>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</si>
  <si>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</si>
  <si>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</si>
  <si>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</si>
  <si>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</si>
  <si>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</si>
  <si>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</si>
  <si>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</si>
  <si>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</si>
  <si>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</si>
  <si>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</si>
  <si>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</si>
  <si>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</si>
  <si>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</si>
  <si>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</si>
  <si>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</si>
  <si>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</si>
  <si>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</si>
  <si>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</si>
  <si>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</si>
  <si>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</si>
  <si>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</si>
  <si>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</si>
  <si>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</si>
  <si>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</si>
  <si>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</si>
  <si>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</si>
  <si>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</si>
  <si>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</si>
  <si>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</si>
  <si>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</si>
  <si>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</si>
  <si>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</si>
  <si>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</si>
  <si>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</si>
  <si>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</si>
  <si>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</si>
  <si>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</si>
  <si>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</si>
  <si>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</si>
  <si>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</si>
  <si>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</si>
  <si>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</si>
  <si>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</si>
  <si>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</si>
  <si>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</si>
  <si>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</si>
  <si>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</si>
  <si>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</si>
  <si>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</si>
  <si>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</si>
  <si>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</si>
  <si>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</si>
  <si>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</si>
  <si>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</si>
  <si>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</si>
  <si>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</si>
  <si>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</si>
  <si>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</si>
  <si>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</si>
  <si>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</si>
  <si>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</si>
  <si>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</si>
  <si>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</si>
  <si>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</si>
  <si>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</si>
  <si>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</si>
  <si>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</si>
  <si>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</si>
  <si>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</si>
  <si>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</si>
  <si>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</si>
  <si>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</si>
  <si>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</si>
  <si>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</si>
  <si>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</si>
  <si>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</si>
  <si>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</si>
  <si>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</si>
  <si>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</si>
  <si>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</si>
  <si>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</si>
  <si>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</si>
  <si>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</si>
  <si>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</si>
  <si>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</si>
  <si>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</si>
  <si>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</si>
  <si>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</si>
  <si>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</si>
  <si>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</si>
  <si>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</si>
  <si>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</si>
  <si>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</si>
  <si>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</si>
  <si>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</si>
  <si>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</si>
  <si>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</si>
  <si>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</si>
  <si>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</si>
  <si>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</si>
  <si>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</si>
  <si>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</si>
  <si>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</si>
  <si>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</si>
  <si>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</si>
  <si>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</si>
  <si>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</si>
  <si>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</si>
  <si>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</si>
  <si>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</si>
  <si>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</si>
  <si>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</si>
  <si>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</si>
  <si>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</si>
  <si>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</si>
  <si>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</si>
  <si>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</si>
  <si>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</si>
  <si>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</si>
  <si>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</si>
  <si>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</si>
  <si>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</si>
  <si>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</si>
  <si>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</si>
  <si>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</si>
  <si>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</si>
  <si>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</si>
  <si>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</si>
  <si>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</si>
  <si>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</si>
  <si>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</si>
  <si>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</si>
  <si>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</si>
  <si>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</si>
  <si>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</si>
  <si>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</si>
  <si>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</si>
  <si>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</si>
  <si>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</si>
  <si>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</si>
  <si>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</si>
  <si>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</si>
  <si>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</si>
  <si>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</si>
  <si>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</si>
  <si>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</si>
  <si>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</si>
  <si>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</si>
  <si>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</si>
  <si>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</si>
  <si>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</si>
  <si>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</si>
  <si>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</si>
  <si>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</si>
  <si>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</si>
  <si>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</si>
  <si>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</si>
  <si>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</si>
  <si>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</si>
  <si>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</si>
  <si>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</si>
  <si>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</si>
  <si>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</si>
  <si>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</si>
  <si>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</si>
  <si>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</si>
  <si>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</si>
  <si>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</si>
  <si>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</si>
  <si>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</si>
  <si>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</si>
  <si>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</si>
  <si>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</si>
  <si>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</si>
  <si>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</si>
  <si>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</si>
  <si>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</si>
  <si>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</si>
  <si>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</si>
  <si>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</si>
  <si>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</si>
  <si>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</si>
  <si>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</si>
  <si>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</si>
  <si>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</si>
  <si>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</si>
  <si>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</si>
  <si>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</si>
  <si>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</si>
  <si>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</si>
  <si>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</si>
  <si>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</si>
  <si>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</si>
  <si>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</si>
  <si>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</si>
  <si>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</si>
  <si>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</si>
  <si>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</si>
  <si>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</si>
  <si>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</si>
  <si>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</si>
  <si>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</si>
  <si>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</si>
  <si>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</si>
  <si>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</si>
  <si>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</si>
  <si>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</si>
  <si>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</si>
  <si>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</si>
  <si>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</si>
  <si>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</si>
  <si>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</si>
  <si>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</si>
  <si>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</si>
  <si>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</si>
  <si>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</si>
  <si>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</si>
  <si>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</si>
  <si>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</si>
  <si>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</si>
  <si>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</si>
  <si>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</si>
  <si>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</si>
  <si>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</si>
  <si>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</si>
  <si>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</si>
  <si>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</si>
  <si>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</si>
  <si>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</si>
  <si>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</si>
  <si>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</si>
  <si>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</si>
  <si>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</si>
  <si>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</si>
  <si>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</si>
  <si>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</si>
  <si>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</si>
  <si>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</si>
  <si>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</si>
  <si>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</si>
  <si>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</si>
  <si>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</si>
  <si>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</si>
  <si>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</si>
  <si>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</si>
  <si>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</si>
  <si>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</si>
  <si>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</si>
  <si>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</si>
  <si>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</si>
  <si>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</si>
  <si>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</si>
  <si>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</si>
  <si>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</si>
  <si>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</si>
  <si>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</si>
  <si>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</si>
  <si>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</si>
  <si>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</si>
  <si>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</si>
  <si>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</si>
  <si>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</si>
  <si>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</si>
  <si>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</si>
  <si>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</si>
  <si>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</si>
  <si>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</si>
  <si>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</si>
  <si>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</si>
  <si>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</si>
  <si>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</si>
  <si>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</si>
  <si>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</si>
  <si>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</si>
  <si>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</si>
  <si>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</si>
  <si>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</si>
  <si>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</si>
  <si>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</si>
  <si>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</si>
  <si>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</si>
  <si>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</si>
  <si>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</si>
  <si>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</si>
  <si>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</si>
  <si>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</si>
  <si>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</si>
  <si>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</si>
  <si>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</si>
  <si>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</si>
  <si>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</si>
  <si>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</si>
  <si>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</si>
  <si>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</si>
  <si>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</si>
  <si>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</si>
  <si>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</si>
  <si>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</si>
  <si>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</si>
  <si>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</si>
  <si>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</si>
  <si>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</si>
  <si>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</si>
  <si>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</si>
  <si>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</si>
  <si>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</si>
  <si>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</si>
  <si>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</si>
  <si>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</si>
  <si>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</si>
  <si>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</si>
  <si>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</si>
  <si>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</si>
  <si>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</si>
  <si>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</si>
  <si>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</si>
  <si>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</si>
  <si>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</si>
  <si>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</si>
  <si>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</si>
  <si>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</si>
  <si>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</si>
  <si>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</si>
  <si>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</si>
  <si>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</si>
  <si>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</si>
  <si>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</si>
  <si>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</si>
  <si>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</si>
  <si>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</si>
  <si>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</si>
  <si>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</si>
  <si>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</si>
  <si>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</si>
  <si>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</si>
  <si>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</si>
  <si>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</si>
  <si>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</si>
  <si>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</si>
  <si>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</si>
  <si>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</si>
  <si>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</si>
  <si>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</si>
  <si>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</si>
  <si>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</si>
  <si>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</si>
  <si>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</si>
  <si>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</si>
  <si>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</si>
  <si>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</si>
  <si>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</si>
  <si>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</si>
  <si>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</si>
  <si>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</si>
  <si>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</si>
  <si>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</si>
  <si>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</si>
  <si>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</si>
  <si>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</si>
  <si>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</si>
  <si>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</si>
  <si>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</si>
  <si>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</si>
  <si>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</si>
  <si>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</si>
  <si>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</si>
  <si>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</si>
  <si>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</si>
  <si>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</si>
  <si>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</si>
  <si>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</si>
  <si>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</si>
  <si>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</si>
  <si>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</si>
  <si>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</si>
  <si>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</si>
  <si>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</si>
  <si>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</si>
  <si>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</si>
  <si>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</si>
  <si>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</si>
  <si>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</si>
  <si>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</si>
  <si>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</si>
  <si>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</si>
  <si>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</si>
  <si>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</si>
  <si>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</si>
  <si>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</si>
  <si>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</si>
  <si>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</si>
  <si>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</si>
  <si>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</si>
  <si>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</si>
  <si>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</si>
  <si>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</si>
  <si>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</si>
  <si>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</si>
  <si>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</si>
  <si>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</si>
  <si>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</si>
  <si>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</si>
  <si>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</si>
  <si>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</si>
  <si>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</si>
  <si>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</si>
  <si>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</si>
  <si>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</si>
  <si>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</si>
  <si>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</si>
  <si>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</si>
  <si>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</si>
  <si>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</si>
  <si>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</si>
  <si>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</si>
  <si>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</si>
  <si>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</si>
  <si>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</si>
  <si>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</si>
  <si>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</si>
  <si>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</si>
  <si>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</si>
  <si>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</si>
  <si>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</si>
  <si>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</si>
  <si>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</si>
  <si>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</si>
  <si>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</si>
  <si>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</si>
  <si>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</si>
  <si>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</si>
  <si>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</si>
  <si>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</si>
  <si>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</si>
  <si>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</si>
  <si>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</si>
  <si>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</si>
  <si>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</si>
  <si>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</si>
  <si>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</si>
  <si>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</si>
  <si>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</si>
  <si>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</si>
  <si>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</si>
  <si>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</si>
  <si>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</si>
  <si>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</si>
  <si>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</si>
  <si>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</si>
  <si>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</si>
  <si>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</si>
  <si>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</si>
  <si>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</si>
  <si>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</si>
  <si>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</si>
  <si>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</si>
  <si>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</si>
  <si>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</si>
  <si>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</si>
  <si>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</si>
  <si>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</si>
  <si>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</si>
  <si>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</si>
  <si>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</si>
  <si>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</si>
  <si>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</si>
  <si>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</si>
  <si>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</si>
  <si>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</si>
  <si>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</si>
  <si>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</si>
  <si>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</si>
  <si>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</si>
  <si>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</si>
  <si>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</si>
  <si>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</si>
  <si>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</si>
  <si>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</si>
  <si>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</si>
  <si>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</si>
  <si>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</si>
  <si>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</si>
  <si>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</si>
  <si>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</si>
  <si>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</si>
  <si>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</si>
  <si>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</si>
  <si>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</si>
  <si>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</si>
  <si>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</si>
  <si>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</si>
  <si>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</si>
  <si>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</si>
  <si>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</si>
  <si>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</si>
  <si>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</si>
  <si>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</si>
  <si>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</si>
  <si>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</si>
  <si>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</si>
  <si>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</si>
  <si>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</si>
  <si>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</si>
  <si>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</si>
  <si>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</si>
  <si>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</si>
  <si>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</si>
  <si>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</si>
  <si>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</si>
  <si>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</si>
  <si>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</si>
  <si>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</si>
  <si>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</si>
  <si>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</si>
  <si>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</si>
  <si>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</si>
  <si>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</si>
  <si>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</si>
  <si>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</si>
  <si>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</si>
  <si>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</si>
  <si>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</si>
  <si>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</si>
  <si>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</si>
  <si>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</si>
  <si>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</si>
  <si>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</si>
  <si>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</si>
  <si>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</si>
  <si>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</si>
  <si>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</si>
  <si>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</si>
  <si>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</si>
  <si>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</si>
  <si>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</si>
  <si>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</si>
  <si>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</si>
  <si>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</si>
  <si>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</si>
  <si>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</si>
  <si>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</si>
  <si>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</si>
  <si>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</si>
  <si>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</si>
  <si>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</si>
  <si>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</si>
  <si>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</si>
  <si>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</si>
  <si>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</si>
  <si>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</si>
  <si>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</si>
  <si>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</si>
  <si>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</si>
  <si>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</si>
  <si>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</si>
  <si>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</si>
  <si>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</si>
  <si>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</si>
  <si>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</si>
  <si>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</si>
  <si>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</si>
  <si>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</si>
  <si>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</si>
  <si>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</si>
  <si>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</si>
  <si>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</si>
  <si>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</si>
  <si>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</si>
  <si>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</si>
  <si>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</si>
  <si>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</si>
  <si>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</si>
  <si>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</si>
  <si>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</si>
  <si>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</si>
  <si>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</si>
  <si>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</si>
  <si>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</si>
  <si>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</si>
  <si>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</si>
  <si>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</si>
  <si>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</si>
  <si>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</si>
  <si>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</si>
  <si>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</si>
  <si>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</si>
  <si>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</si>
  <si>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</si>
  <si>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</si>
  <si>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</si>
  <si>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</si>
  <si>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</si>
  <si>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</si>
  <si>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</si>
  <si>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</si>
  <si>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</si>
  <si>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</si>
  <si>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</si>
  <si>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</si>
  <si>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</si>
  <si>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</si>
  <si>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</si>
  <si>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</si>
  <si>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</si>
  <si>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</si>
  <si>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</si>
  <si>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</si>
  <si>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</si>
  <si>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</si>
  <si>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</si>
  <si>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</si>
  <si>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</si>
  <si>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</si>
  <si>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</si>
  <si>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</si>
  <si>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</si>
  <si>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</si>
  <si>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</si>
  <si>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</si>
  <si>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</si>
  <si>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</si>
  <si>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</si>
  <si>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</si>
  <si>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</si>
  <si>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</si>
  <si>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</si>
  <si>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</si>
  <si>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</si>
  <si>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</si>
  <si>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</si>
  <si>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</si>
  <si>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</si>
  <si>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</si>
  <si>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</si>
  <si>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</si>
  <si>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</si>
  <si>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</si>
  <si>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</si>
  <si>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</si>
  <si>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</si>
  <si>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</si>
  <si>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</si>
  <si>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</si>
  <si>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</si>
  <si>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</si>
  <si>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</si>
  <si>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</si>
  <si>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</si>
  <si>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</si>
  <si>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</si>
  <si>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</si>
  <si>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</si>
  <si>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</si>
  <si>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</si>
  <si>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</si>
  <si>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</si>
  <si>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</si>
  <si>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</si>
  <si>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</si>
  <si>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</si>
  <si>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</si>
  <si>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</si>
  <si>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</si>
  <si>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</si>
  <si>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</si>
  <si>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</si>
  <si>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</si>
  <si>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</si>
  <si>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</si>
  <si>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</si>
  <si>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</si>
  <si>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</si>
  <si>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</si>
  <si>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</si>
  <si>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</si>
  <si>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</si>
  <si>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</si>
  <si>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</si>
  <si>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</si>
  <si>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</si>
  <si>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</si>
  <si>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</si>
  <si>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</si>
  <si>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</si>
  <si>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</si>
  <si>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</si>
  <si>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</si>
  <si>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</si>
  <si>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</si>
  <si>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</si>
  <si>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</si>
  <si>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</si>
  <si>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</si>
  <si>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</si>
  <si>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</si>
  <si>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</si>
  <si>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</si>
  <si>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</si>
  <si>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</si>
  <si>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</si>
  <si>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</si>
  <si>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</si>
  <si>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</si>
  <si>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</si>
  <si>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</si>
  <si>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</si>
  <si>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</si>
  <si>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</si>
  <si>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</si>
  <si>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</si>
  <si>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</si>
  <si>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</si>
  <si>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</si>
  <si>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</si>
  <si>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</si>
  <si>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</si>
  <si>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</si>
  <si>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</si>
  <si>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</si>
  <si>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</si>
  <si>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</si>
  <si>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</si>
  <si>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</si>
  <si>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</si>
  <si>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</si>
  <si>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</si>
  <si>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</si>
  <si>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</si>
  <si>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</si>
  <si>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</si>
  <si>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</si>
  <si>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</si>
  <si>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</si>
  <si>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</si>
  <si>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</si>
  <si>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</si>
  <si>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</si>
  <si>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</si>
  <si>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</si>
  <si>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</si>
  <si>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</si>
  <si>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</si>
  <si>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</si>
  <si>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</si>
  <si>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</si>
  <si>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</si>
  <si>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</si>
  <si>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</si>
  <si>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</si>
  <si>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</si>
  <si>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</si>
  <si>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</si>
  <si>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</si>
  <si>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</si>
  <si>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</si>
  <si>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</si>
  <si>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</si>
  <si>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</si>
  <si>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</si>
  <si>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</si>
  <si>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</si>
  <si>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</si>
  <si>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</si>
  <si>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</si>
  <si>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</si>
  <si>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</si>
  <si>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</si>
  <si>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</si>
  <si>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</si>
  <si>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</si>
  <si>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</si>
  <si>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</si>
  <si>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</si>
  <si>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</si>
  <si>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</si>
  <si>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</si>
  <si>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</si>
  <si>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</si>
  <si>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</si>
  <si>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</si>
  <si>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</si>
  <si>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</si>
  <si>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</si>
  <si>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</si>
  <si>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</si>
  <si>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</si>
  <si>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</si>
  <si>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</si>
  <si>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</si>
  <si>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</si>
  <si>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</si>
  <si>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</si>
  <si>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</si>
  <si>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</si>
  <si>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</si>
  <si>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</si>
  <si>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</si>
  <si>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</si>
  <si>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</si>
  <si>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</si>
  <si>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</si>
  <si>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</si>
  <si>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</si>
  <si>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</si>
  <si>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</si>
  <si>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</si>
  <si>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</si>
  <si>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</si>
  <si>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</si>
  <si>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</si>
  <si>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</si>
  <si>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</si>
  <si>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</si>
  <si>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</si>
  <si>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</si>
  <si>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</si>
  <si>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</si>
  <si>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</si>
  <si>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</si>
  <si>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</si>
  <si>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</si>
  <si>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</si>
  <si>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</si>
  <si>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</si>
  <si>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</si>
  <si>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</si>
  <si>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</si>
  <si>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</si>
  <si>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</si>
  <si>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</si>
  <si>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</si>
  <si>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</si>
  <si>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</si>
  <si>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</si>
  <si>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</si>
  <si>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</si>
  <si>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</si>
  <si>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</si>
  <si>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</si>
  <si>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</si>
  <si>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</si>
  <si>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</si>
  <si>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</si>
  <si>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</si>
  <si>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</si>
  <si>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</si>
  <si>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</si>
  <si>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</si>
  <si>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</si>
  <si>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</si>
  <si>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</si>
  <si>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</si>
  <si>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</si>
  <si>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</si>
  <si>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</si>
  <si>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</si>
  <si>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</si>
  <si>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</si>
  <si>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</si>
  <si>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</si>
  <si>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</si>
  <si>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</si>
  <si>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</si>
  <si>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</si>
  <si>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</si>
  <si>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</si>
  <si>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</si>
  <si>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</si>
  <si>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</si>
  <si>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</si>
  <si>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</si>
  <si>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</si>
  <si>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</si>
  <si>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</si>
  <si>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</si>
  <si>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</si>
  <si>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</si>
  <si>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</si>
  <si>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</si>
  <si>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</si>
  <si>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</si>
  <si>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</si>
  <si>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</si>
  <si>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</si>
  <si>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</si>
  <si>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</si>
  <si>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</si>
  <si>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</si>
  <si>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</si>
  <si>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</si>
  <si>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</si>
  <si>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</si>
  <si>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</si>
  <si>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</si>
  <si>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</si>
  <si>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</si>
  <si>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</si>
  <si>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</si>
  <si>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</si>
  <si>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</si>
  <si>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</si>
  <si>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</si>
  <si>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</si>
  <si>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</si>
  <si>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</si>
  <si>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</si>
  <si>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</si>
  <si>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</si>
  <si>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</si>
  <si>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</si>
  <si>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</si>
  <si>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</si>
  <si>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</si>
  <si>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</si>
  <si>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</si>
  <si>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</si>
  <si>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</si>
  <si>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</si>
  <si>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</si>
  <si>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</si>
  <si>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</si>
  <si>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</si>
  <si>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</si>
  <si>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</si>
  <si>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</si>
  <si>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</si>
  <si>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</si>
  <si>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</si>
  <si>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</si>
  <si>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</si>
  <si>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</si>
  <si>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</si>
  <si>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</si>
  <si>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</si>
  <si>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</si>
  <si>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</si>
  <si>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</si>
  <si>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</si>
  <si>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</si>
  <si>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</si>
  <si>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</si>
  <si>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</si>
  <si>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</si>
  <si>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</si>
  <si>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</si>
  <si>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</si>
  <si>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</si>
  <si>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</si>
  <si>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</si>
  <si>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</si>
  <si>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</si>
  <si>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</si>
  <si>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</si>
  <si>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</si>
  <si>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</si>
  <si>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</si>
  <si>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</si>
  <si>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</si>
  <si>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</si>
  <si>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</si>
  <si>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</si>
  <si>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</si>
  <si>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</si>
  <si>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</si>
  <si>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</si>
  <si>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</si>
  <si>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</si>
  <si>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</si>
  <si>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</si>
  <si>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</si>
  <si>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</si>
  <si>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</si>
  <si>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</si>
  <si>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</si>
  <si>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</si>
  <si>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</si>
  <si>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</si>
  <si>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</si>
  <si>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</si>
  <si>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</si>
  <si>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</si>
  <si>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</si>
  <si>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</si>
  <si>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</si>
  <si>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</si>
  <si>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</si>
  <si>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</si>
  <si>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</si>
  <si>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</si>
  <si>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</si>
  <si>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</si>
  <si>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</si>
  <si>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</si>
  <si>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</si>
  <si>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</si>
  <si>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</si>
  <si>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</si>
  <si>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</si>
  <si>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</si>
  <si>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</si>
  <si>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</si>
  <si>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</si>
  <si>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</si>
  <si>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</si>
  <si>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</si>
  <si>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</si>
  <si>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</si>
  <si>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</si>
  <si>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</si>
  <si>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</si>
  <si>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</si>
  <si>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</si>
  <si>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</si>
  <si>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</si>
  <si>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</si>
  <si>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</si>
  <si>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</si>
  <si>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</si>
  <si>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</si>
  <si>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</si>
  <si>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</si>
  <si>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</si>
  <si>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</si>
  <si>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</si>
  <si>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</si>
  <si>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</si>
  <si>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</si>
  <si>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</si>
  <si>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</si>
  <si>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</si>
  <si>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</si>
  <si>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</si>
  <si>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</si>
  <si>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</si>
  <si>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</si>
  <si>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</si>
  <si>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</si>
  <si>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</si>
  <si>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</si>
  <si>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</si>
  <si>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</si>
  <si>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</si>
  <si>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</si>
  <si>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</si>
  <si>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</si>
  <si>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</si>
  <si>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</si>
  <si>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</si>
  <si>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</si>
  <si>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</si>
  <si>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</si>
  <si>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</si>
  <si>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</si>
  <si>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</si>
  <si>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</si>
  <si>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</si>
  <si>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</si>
  <si>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</si>
  <si>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</si>
  <si>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</si>
  <si>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</si>
  <si>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</si>
  <si>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</si>
  <si>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</si>
  <si>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</si>
  <si>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</si>
  <si>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</si>
  <si>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</si>
  <si>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</si>
  <si>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</si>
  <si>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</si>
  <si>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</si>
  <si>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</si>
  <si>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</si>
  <si>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</si>
  <si>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</si>
  <si>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</si>
  <si>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</si>
  <si>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</si>
  <si>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</si>
  <si>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</si>
  <si>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</si>
  <si>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</si>
  <si>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</si>
  <si>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</si>
  <si>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</si>
  <si>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</si>
  <si>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</si>
  <si>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</si>
  <si>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</si>
  <si>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</si>
  <si>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</si>
  <si>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</si>
  <si>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</si>
  <si>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</si>
  <si>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</si>
  <si>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</si>
  <si>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</si>
  <si>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</si>
  <si>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</si>
  <si>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</si>
  <si>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</si>
  <si>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</si>
  <si>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</si>
  <si>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</si>
  <si>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</si>
  <si>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</si>
  <si>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</si>
  <si>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</si>
  <si>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</si>
  <si>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</si>
  <si>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</si>
  <si>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</si>
  <si>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</si>
  <si>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</si>
  <si>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</si>
  <si>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</si>
  <si>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</si>
  <si>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</si>
  <si>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</si>
  <si>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</si>
  <si>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</si>
  <si>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</si>
  <si>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</si>
  <si>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</si>
  <si>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</si>
  <si>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</si>
  <si>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</si>
  <si>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</si>
  <si>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</si>
  <si>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</si>
  <si>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</si>
  <si>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</si>
  <si>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</si>
  <si>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</si>
  <si>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</si>
  <si>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</si>
  <si>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</si>
  <si>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</si>
  <si>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</si>
  <si>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</si>
  <si>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</si>
  <si>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</si>
  <si>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</si>
  <si>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</si>
  <si>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</si>
  <si>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</si>
  <si>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</si>
  <si>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</si>
  <si>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</si>
  <si>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</si>
  <si>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</si>
  <si>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</si>
  <si>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</si>
  <si>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</si>
  <si>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</si>
  <si>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</si>
  <si>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</si>
  <si>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</si>
  <si>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</si>
  <si>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</si>
  <si>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</si>
  <si>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</si>
  <si>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</si>
  <si>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</si>
  <si>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</si>
  <si>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</si>
  <si>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</si>
  <si>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</si>
  <si>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</si>
  <si>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</si>
  <si>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</si>
  <si>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</si>
  <si>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</si>
  <si>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</si>
  <si>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</si>
  <si>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</si>
  <si>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</si>
  <si>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</si>
  <si>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</si>
  <si>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</si>
  <si>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</si>
  <si>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</si>
  <si>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</si>
  <si>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</si>
  <si>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</si>
  <si>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</si>
  <si>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</si>
  <si>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</si>
  <si>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</si>
  <si>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</si>
  <si>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</si>
  <si>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</si>
  <si>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</si>
  <si>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</si>
  <si>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</si>
  <si>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</si>
  <si>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</si>
  <si>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</si>
  <si>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</si>
  <si>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</si>
  <si>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</si>
  <si>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</si>
  <si>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</si>
  <si>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</si>
  <si>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</si>
  <si>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</si>
  <si>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</si>
  <si>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</si>
  <si>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</si>
  <si>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</si>
  <si>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</si>
  <si>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</si>
  <si>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</si>
  <si>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</si>
  <si>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</si>
  <si>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</si>
  <si>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</si>
  <si>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</si>
  <si>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</si>
  <si>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</si>
  <si>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</si>
  <si>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</si>
  <si>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</si>
  <si>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</si>
  <si>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</si>
  <si>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</si>
  <si>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</si>
  <si>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</si>
  <si>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</si>
  <si>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</si>
  <si>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</si>
  <si>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</si>
  <si>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</si>
  <si>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</si>
  <si>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</si>
  <si>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</si>
  <si>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</si>
  <si>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</si>
  <si>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</si>
  <si>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</si>
  <si>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</si>
  <si>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</si>
  <si>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</si>
  <si>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</si>
  <si>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</si>
  <si>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</si>
  <si>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</si>
  <si>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</si>
  <si>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</si>
  <si>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</si>
  <si>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</si>
  <si>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</si>
  <si>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</si>
  <si>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</si>
  <si>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</si>
  <si>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</si>
  <si>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</si>
  <si>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</si>
  <si>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</si>
  <si>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</si>
  <si>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</si>
  <si>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</si>
  <si>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</si>
  <si>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</si>
  <si>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</si>
  <si>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</si>
  <si>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</si>
  <si>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</si>
  <si>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</si>
  <si>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</si>
  <si>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</si>
  <si>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</si>
  <si>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</si>
  <si>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</si>
  <si>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</si>
  <si>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</si>
  <si>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</si>
  <si>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</si>
  <si>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</si>
  <si>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</si>
  <si>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</si>
  <si>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</si>
  <si>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</si>
  <si>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</si>
  <si>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</si>
  <si>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</si>
  <si>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</si>
  <si>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</si>
  <si>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</si>
  <si>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</si>
  <si>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</si>
  <si>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</si>
  <si>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</si>
  <si>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</si>
  <si>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</si>
  <si>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</si>
  <si>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</si>
  <si>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</si>
  <si>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</si>
  <si>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</si>
  <si>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</si>
  <si>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</si>
  <si>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</si>
  <si>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</si>
  <si>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</si>
  <si>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</si>
  <si>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</si>
  <si>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</si>
  <si>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</si>
  <si>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</si>
  <si>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</si>
  <si>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tile_text 띄어쓰기 포함 12자 이내(09-29 확정, 화면 폭 한도 22자 이하는 필수). 10-07 이전 문구 중 12자를 넘는 5개는 그대로 둠(10-13 결정); reason_text 비어 있지 않음</t>
    <phoneticPr fontId="6" type="noConversion"/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</si>
  <si>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</si>
  <si>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</si>
  <si>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</si>
  <si>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</si>
  <si>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</si>
  <si>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</si>
  <si>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</si>
  <si>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식이 개발 전달 데이터 계약 · v1.1.0 · 2026-10-13 (최초 발행 2026-09-23)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</si>
  <si>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</si>
  <si>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</si>
  <si>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v1.1.0에서 바꾼 것. 파일 이름은 v1.0.0 그대로 둔다.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</si>
  <si>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</si>
  <si>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</si>
  <si>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</si>
  <si>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</si>
  <si>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</si>
  <si>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</si>
  <si>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</si>
  <si>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</si>
  <si>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</si>
  <si>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</si>
  <si>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</si>
  <si>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Barely ate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</si>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</sst>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6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0" fontId="11" fillId="0" borderId="0" xfId="0" applyFont="1" applyAlignment="1">
      <alignment vertical="top" wrapText="1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4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49" fontId="14" fillId="0" borderId="0" xfId="0" applyNumberFormat="1" applyFont="1" applyAlignment="1">
      <alignment vertical="top"/>
    </xf>
    <xf numFmtId="49" fontId="15" fillId="0" borderId="0" xfId="0" applyNumberFormat="1" applyFont="1"/>
    <xf numFmtId="0" fontId="15" fillId="0" borderId="0" xfId="0" applyFont="1"/>
    <xf numFmtId="0" fontId="1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/>
    </xf>
    <xf numFmtId="0" fontId="11" fillId="0" borderId="0" xfId="1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3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404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0"/>
  <sheetViews>
    <sheetView showGridLines="0" tabSelected="1" workbookViewId="0">
      <pane ySplit="1" topLeftCell="A21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1993</v>
      </c>
      <c r="D1" s="2" t="s">
        <v>1994</v>
      </c>
    </row>
    <row r="2" spans="1:4" ht="24" customHeight="1">
      <c r="A2" s="3" t="s">
        <v>2</v>
      </c>
      <c r="B2" s="38" t="s">
        <v>3928</v>
      </c>
      <c r="C2" s="5"/>
      <c r="D2" s="5"/>
    </row>
    <row r="3" spans="1:4" ht="24" customHeight="1">
      <c r="A3" s="3" t="s">
        <v>3</v>
      </c>
      <c r="B3" s="4" t="s">
        <v>4</v>
      </c>
      <c r="C3" s="5"/>
      <c r="D3" s="5"/>
    </row>
    <row r="4" spans="1:4" ht="24" customHeight="1">
      <c r="A4" s="3" t="s">
        <v>5</v>
      </c>
      <c r="B4" s="38" t="s">
        <v>3929</v>
      </c>
      <c r="C4" s="5"/>
      <c r="D4" s="5"/>
    </row>
    <row r="5" spans="1:4" ht="24" customHeight="1">
      <c r="A5" s="3" t="s">
        <v>6</v>
      </c>
      <c r="B5" s="38" t="s">
        <v>3930</v>
      </c>
      <c r="C5" s="5"/>
      <c r="D5" s="5"/>
    </row>
    <row r="6" spans="1:4" ht="24" customHeight="1">
      <c r="A6" s="3" t="s">
        <v>7</v>
      </c>
      <c r="B6" s="4" t="s">
        <v>8</v>
      </c>
      <c r="C6" s="5"/>
      <c r="D6" s="5"/>
    </row>
    <row r="7" spans="1:4" ht="24" customHeight="1">
      <c r="A7" s="3" t="s">
        <v>9</v>
      </c>
      <c r="B7" s="4" t="s">
        <v>10</v>
      </c>
      <c r="C7" s="5"/>
      <c r="D7" s="5"/>
    </row>
    <row r="8" spans="1:4" ht="24" customHeight="1">
      <c r="A8" s="3" t="s">
        <v>11</v>
      </c>
      <c r="B8" s="4" t="s">
        <v>12</v>
      </c>
      <c r="C8" s="5"/>
      <c r="D8" s="5"/>
    </row>
    <row r="9" spans="1:4" ht="24" customHeight="1">
      <c r="A9" s="3" t="s">
        <v>13</v>
      </c>
      <c r="B9" s="4" t="s">
        <v>14</v>
      </c>
      <c r="C9" s="5"/>
      <c r="D9" s="5"/>
    </row>
    <row r="10" spans="1:4" ht="24" customHeight="1">
      <c r="A10" s="3" t="s">
        <v>15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4" customHeight="1">
      <c r="A11" s="3" t="s">
        <v>16</v>
      </c>
      <c r="B11" s="4" t="s">
        <v>17</v>
      </c>
      <c r="C11" s="5"/>
      <c r="D11" s="5"/>
    </row>
    <row r="12" spans="1:4" ht="24" customHeight="1">
      <c r="A12" s="3" t="s">
        <v>18</v>
      </c>
      <c r="B12" s="4" t="s">
        <v>19</v>
      </c>
      <c r="C12" s="5"/>
      <c r="D12" s="5"/>
    </row>
    <row r="13" spans="1:4" ht="24" customHeight="1">
      <c r="A13" s="3" t="s">
        <v>20</v>
      </c>
      <c r="B13" s="4" t="s">
        <v>21</v>
      </c>
      <c r="C13" s="5"/>
      <c r="D13" s="5"/>
    </row>
    <row r="14" spans="1:4" ht="24" customHeight="1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1995</v>
      </c>
      <c r="B16" s="5"/>
      <c r="C16" s="5"/>
      <c r="D16" s="5"/>
    </row>
    <row r="17" spans="1:4">
      <c r="A17" s="20" t="s">
        <v>3931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1996</v>
      </c>
      <c r="B19" s="5" t="s">
        <v>1997</v>
      </c>
      <c r="C19" s="5" t="s">
        <v>1998</v>
      </c>
      <c r="D19" s="5" t="s">
        <v>1999</v>
      </c>
    </row>
    <row r="20" spans="1:4" ht="52">
      <c r="A20" s="8" t="s">
        <v>3923</v>
      </c>
      <c r="B20" s="8" t="s">
        <v>3924</v>
      </c>
      <c r="C20" s="8" t="s">
        <v>3925</v>
      </c>
      <c r="D20" s="8" t="s">
        <v>3926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 activeCell="A39" sqref="A39:XFD39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2124</v>
      </c>
      <c r="B1" s="9" t="s">
        <v>2125</v>
      </c>
      <c r="C1" s="9" t="s">
        <v>2126</v>
      </c>
      <c r="D1" s="9" t="s">
        <v>2127</v>
      </c>
      <c r="E1" s="9" t="s">
        <v>2128</v>
      </c>
      <c r="F1" s="9" t="s">
        <v>2129</v>
      </c>
      <c r="G1" s="9" t="s">
        <v>2130</v>
      </c>
    </row>
    <row r="2" spans="1:7">
      <c r="A2" s="6" t="s">
        <v>24</v>
      </c>
      <c r="B2" s="6" t="s">
        <v>2001</v>
      </c>
      <c r="C2" s="6" t="s">
        <v>2002</v>
      </c>
      <c r="D2" s="6" t="s">
        <v>2003</v>
      </c>
      <c r="E2" s="6" t="s">
        <v>26</v>
      </c>
      <c r="F2" s="6" t="s">
        <v>2004</v>
      </c>
      <c r="G2" s="5" t="s">
        <v>2005</v>
      </c>
    </row>
    <row r="3" spans="1:7">
      <c r="A3" s="6" t="s">
        <v>27</v>
      </c>
      <c r="B3" s="6" t="s">
        <v>2006</v>
      </c>
      <c r="C3" s="6" t="s">
        <v>2002</v>
      </c>
      <c r="D3" s="6" t="s">
        <v>2007</v>
      </c>
      <c r="E3" s="6" t="s">
        <v>29</v>
      </c>
      <c r="F3" s="6" t="s">
        <v>2008</v>
      </c>
      <c r="G3" s="5" t="s">
        <v>2005</v>
      </c>
    </row>
    <row r="4" spans="1:7">
      <c r="A4" s="6" t="s">
        <v>30</v>
      </c>
      <c r="B4" s="6" t="s">
        <v>2009</v>
      </c>
      <c r="C4" s="6" t="s">
        <v>2002</v>
      </c>
      <c r="D4" s="6" t="s">
        <v>2010</v>
      </c>
      <c r="E4" s="6" t="s">
        <v>32</v>
      </c>
      <c r="F4" s="6" t="s">
        <v>2011</v>
      </c>
      <c r="G4" s="5" t="s">
        <v>2012</v>
      </c>
    </row>
    <row r="5" spans="1:7" ht="25">
      <c r="A5" s="6" t="s">
        <v>33</v>
      </c>
      <c r="B5" s="6" t="s">
        <v>2013</v>
      </c>
      <c r="C5" s="6" t="s">
        <v>2002</v>
      </c>
      <c r="D5" s="6" t="s">
        <v>2010</v>
      </c>
      <c r="E5" s="6" t="s">
        <v>32</v>
      </c>
      <c r="F5" s="6" t="s">
        <v>2014</v>
      </c>
      <c r="G5" s="5" t="s">
        <v>2015</v>
      </c>
    </row>
    <row r="6" spans="1:7">
      <c r="A6" s="6" t="s">
        <v>35</v>
      </c>
      <c r="B6" s="6" t="s">
        <v>2016</v>
      </c>
      <c r="C6" s="6" t="s">
        <v>2002</v>
      </c>
      <c r="D6" s="6" t="s">
        <v>2017</v>
      </c>
      <c r="E6" s="6" t="s">
        <v>38</v>
      </c>
      <c r="F6" s="6" t="s">
        <v>2018</v>
      </c>
      <c r="G6" s="5" t="s">
        <v>2019</v>
      </c>
    </row>
    <row r="7" spans="1:7">
      <c r="A7" s="6" t="s">
        <v>39</v>
      </c>
      <c r="B7" s="6" t="s">
        <v>2020</v>
      </c>
      <c r="C7" s="6" t="s">
        <v>2002</v>
      </c>
      <c r="D7" s="6" t="s">
        <v>2021</v>
      </c>
      <c r="E7" s="6" t="s">
        <v>41</v>
      </c>
      <c r="F7" s="6" t="s">
        <v>2022</v>
      </c>
      <c r="G7" s="5" t="s">
        <v>2023</v>
      </c>
    </row>
    <row r="8" spans="1:7">
      <c r="A8" s="6" t="s">
        <v>42</v>
      </c>
      <c r="B8" s="6" t="s">
        <v>2024</v>
      </c>
      <c r="C8" s="6" t="s">
        <v>2002</v>
      </c>
      <c r="D8" s="6" t="s">
        <v>2025</v>
      </c>
      <c r="E8" s="6" t="s">
        <v>44</v>
      </c>
      <c r="F8" s="6" t="s">
        <v>2026</v>
      </c>
      <c r="G8" s="5" t="s">
        <v>2027</v>
      </c>
    </row>
    <row r="9" spans="1:7">
      <c r="A9" s="6" t="s">
        <v>45</v>
      </c>
      <c r="B9" s="6" t="s">
        <v>2028</v>
      </c>
      <c r="C9" s="6" t="s">
        <v>2002</v>
      </c>
      <c r="D9" s="6" t="s">
        <v>2029</v>
      </c>
      <c r="E9" s="6" t="s">
        <v>47</v>
      </c>
      <c r="F9" s="6" t="s">
        <v>2030</v>
      </c>
      <c r="G9" s="5" t="s">
        <v>2031</v>
      </c>
    </row>
    <row r="10" spans="1:7">
      <c r="A10" s="6" t="s">
        <v>48</v>
      </c>
      <c r="B10" s="6" t="s">
        <v>2032</v>
      </c>
      <c r="C10" s="6" t="s">
        <v>2002</v>
      </c>
      <c r="D10" s="6" t="s">
        <v>2033</v>
      </c>
      <c r="E10" s="6" t="s">
        <v>49</v>
      </c>
      <c r="F10" s="6" t="s">
        <v>2034</v>
      </c>
      <c r="G10" s="5" t="s">
        <v>2035</v>
      </c>
    </row>
    <row r="11" spans="1:7">
      <c r="A11" s="6" t="s">
        <v>50</v>
      </c>
      <c r="B11" s="6" t="s">
        <v>2036</v>
      </c>
      <c r="C11" s="6" t="s">
        <v>2037</v>
      </c>
      <c r="D11" s="6" t="s">
        <v>2038</v>
      </c>
      <c r="E11" s="6" t="s">
        <v>38</v>
      </c>
      <c r="F11" s="6" t="s">
        <v>2039</v>
      </c>
      <c r="G11" s="5" t="s">
        <v>2040</v>
      </c>
    </row>
    <row r="12" spans="1:7">
      <c r="A12" s="6" t="s">
        <v>51</v>
      </c>
      <c r="B12" s="6" t="s">
        <v>2041</v>
      </c>
      <c r="C12" s="6" t="s">
        <v>2042</v>
      </c>
      <c r="D12" s="6" t="s">
        <v>2043</v>
      </c>
      <c r="E12" s="6" t="s">
        <v>52</v>
      </c>
      <c r="F12" s="6" t="s">
        <v>2044</v>
      </c>
      <c r="G12" s="5" t="s">
        <v>2045</v>
      </c>
    </row>
    <row r="13" spans="1:7" ht="25">
      <c r="A13" s="6" t="s">
        <v>53</v>
      </c>
      <c r="B13" s="6" t="s">
        <v>2041</v>
      </c>
      <c r="C13" s="6" t="s">
        <v>2042</v>
      </c>
      <c r="D13" s="6" t="s">
        <v>2046</v>
      </c>
      <c r="E13" s="6" t="s">
        <v>54</v>
      </c>
      <c r="F13" s="6" t="s">
        <v>2047</v>
      </c>
      <c r="G13" s="5" t="s">
        <v>2048</v>
      </c>
    </row>
    <row r="14" spans="1:7">
      <c r="A14" s="6" t="s">
        <v>55</v>
      </c>
      <c r="B14" s="6" t="s">
        <v>2041</v>
      </c>
      <c r="C14" s="6" t="s">
        <v>2042</v>
      </c>
      <c r="D14" s="6" t="s">
        <v>2049</v>
      </c>
      <c r="E14" s="6" t="s">
        <v>56</v>
      </c>
      <c r="F14" s="6" t="s">
        <v>2050</v>
      </c>
      <c r="G14" s="5" t="s">
        <v>2045</v>
      </c>
    </row>
    <row r="15" spans="1:7">
      <c r="A15" s="6" t="s">
        <v>57</v>
      </c>
      <c r="B15" s="6" t="s">
        <v>2041</v>
      </c>
      <c r="C15" s="6" t="s">
        <v>2042</v>
      </c>
      <c r="D15" s="6" t="s">
        <v>2051</v>
      </c>
      <c r="E15" s="6" t="s">
        <v>58</v>
      </c>
      <c r="F15" s="6" t="s">
        <v>2052</v>
      </c>
      <c r="G15" s="5" t="s">
        <v>2045</v>
      </c>
    </row>
    <row r="16" spans="1:7">
      <c r="A16" s="6" t="s">
        <v>59</v>
      </c>
      <c r="B16" s="6" t="s">
        <v>2041</v>
      </c>
      <c r="C16" s="6" t="s">
        <v>2042</v>
      </c>
      <c r="D16" s="6" t="s">
        <v>2053</v>
      </c>
      <c r="E16" s="6" t="s">
        <v>60</v>
      </c>
      <c r="F16" s="6" t="s">
        <v>2054</v>
      </c>
      <c r="G16" s="5" t="s">
        <v>2045</v>
      </c>
    </row>
    <row r="17" spans="1:7">
      <c r="A17" s="6" t="s">
        <v>61</v>
      </c>
      <c r="B17" s="6" t="s">
        <v>2041</v>
      </c>
      <c r="C17" s="6" t="s">
        <v>2042</v>
      </c>
      <c r="D17" s="6" t="s">
        <v>2055</v>
      </c>
      <c r="E17" s="6" t="s">
        <v>62</v>
      </c>
      <c r="F17" s="6" t="s">
        <v>2056</v>
      </c>
      <c r="G17" s="5" t="s">
        <v>2045</v>
      </c>
    </row>
    <row r="18" spans="1:7">
      <c r="A18" s="6" t="s">
        <v>63</v>
      </c>
      <c r="B18" s="6" t="s">
        <v>2041</v>
      </c>
      <c r="C18" s="6" t="s">
        <v>2042</v>
      </c>
      <c r="D18" s="6" t="s">
        <v>2057</v>
      </c>
      <c r="E18" s="6" t="s">
        <v>62</v>
      </c>
      <c r="F18" s="6" t="s">
        <v>2058</v>
      </c>
      <c r="G18" s="5" t="s">
        <v>2045</v>
      </c>
    </row>
    <row r="19" spans="1:7">
      <c r="A19" s="6" t="s">
        <v>64</v>
      </c>
      <c r="B19" s="6" t="s">
        <v>2041</v>
      </c>
      <c r="C19" s="6" t="s">
        <v>2042</v>
      </c>
      <c r="D19" s="6" t="s">
        <v>2059</v>
      </c>
      <c r="E19" s="6" t="s">
        <v>65</v>
      </c>
      <c r="F19" s="6" t="s">
        <v>2060</v>
      </c>
      <c r="G19" s="5" t="s">
        <v>2045</v>
      </c>
    </row>
    <row r="20" spans="1:7">
      <c r="A20" s="6" t="s">
        <v>66</v>
      </c>
      <c r="B20" s="6" t="s">
        <v>2061</v>
      </c>
      <c r="C20" s="6" t="s">
        <v>2002</v>
      </c>
      <c r="D20" s="6" t="s">
        <v>2062</v>
      </c>
      <c r="E20" s="6" t="s">
        <v>67</v>
      </c>
      <c r="F20" s="6" t="s">
        <v>2063</v>
      </c>
      <c r="G20" s="5" t="s">
        <v>2002</v>
      </c>
    </row>
    <row r="21" spans="1:7">
      <c r="A21" s="6" t="s">
        <v>68</v>
      </c>
      <c r="B21" s="6" t="s">
        <v>2064</v>
      </c>
      <c r="C21" s="6" t="s">
        <v>2002</v>
      </c>
      <c r="D21" s="6" t="s">
        <v>2065</v>
      </c>
      <c r="E21" s="6" t="s">
        <v>69</v>
      </c>
      <c r="F21" s="6" t="s">
        <v>2066</v>
      </c>
      <c r="G21" s="5" t="s">
        <v>2067</v>
      </c>
    </row>
    <row r="22" spans="1:7">
      <c r="A22" s="6" t="s">
        <v>70</v>
      </c>
      <c r="B22" s="6" t="s">
        <v>2068</v>
      </c>
      <c r="C22" s="6" t="s">
        <v>2002</v>
      </c>
      <c r="D22" s="6" t="s">
        <v>2069</v>
      </c>
      <c r="E22" s="6" t="s">
        <v>71</v>
      </c>
      <c r="F22" s="6" t="s">
        <v>2070</v>
      </c>
      <c r="G22" s="5" t="s">
        <v>2071</v>
      </c>
    </row>
    <row r="23" spans="1:7">
      <c r="A23" s="6" t="s">
        <v>72</v>
      </c>
      <c r="B23" s="6" t="s">
        <v>2072</v>
      </c>
      <c r="C23" s="6" t="s">
        <v>2002</v>
      </c>
      <c r="D23" s="6" t="s">
        <v>2073</v>
      </c>
      <c r="E23" s="6" t="s">
        <v>73</v>
      </c>
      <c r="F23" s="6" t="s">
        <v>2074</v>
      </c>
      <c r="G23" s="5" t="s">
        <v>2075</v>
      </c>
    </row>
    <row r="24" spans="1:7">
      <c r="A24" s="6" t="s">
        <v>74</v>
      </c>
      <c r="B24" s="6" t="s">
        <v>2076</v>
      </c>
      <c r="C24" s="6" t="s">
        <v>2002</v>
      </c>
      <c r="D24" s="6" t="s">
        <v>2077</v>
      </c>
      <c r="E24" s="6" t="s">
        <v>75</v>
      </c>
      <c r="F24" s="6" t="s">
        <v>2078</v>
      </c>
      <c r="G24" s="5" t="s">
        <v>2079</v>
      </c>
    </row>
    <row r="25" spans="1:7">
      <c r="A25" s="6" t="s">
        <v>76</v>
      </c>
      <c r="B25" s="6" t="s">
        <v>2080</v>
      </c>
      <c r="C25" s="6" t="s">
        <v>2002</v>
      </c>
      <c r="D25" s="6" t="s">
        <v>2081</v>
      </c>
      <c r="E25" s="6" t="s">
        <v>77</v>
      </c>
      <c r="F25" s="6" t="s">
        <v>2082</v>
      </c>
      <c r="G25" s="5" t="s">
        <v>2083</v>
      </c>
    </row>
    <row r="26" spans="1:7">
      <c r="A26" s="6" t="s">
        <v>78</v>
      </c>
      <c r="B26" s="6" t="s">
        <v>2084</v>
      </c>
      <c r="C26" s="6" t="s">
        <v>2002</v>
      </c>
      <c r="D26" s="6" t="s">
        <v>2065</v>
      </c>
      <c r="E26" s="6" t="s">
        <v>69</v>
      </c>
      <c r="F26" s="6" t="s">
        <v>2085</v>
      </c>
      <c r="G26" s="5" t="s">
        <v>2086</v>
      </c>
    </row>
    <row r="27" spans="1:7">
      <c r="A27" s="6" t="s">
        <v>80</v>
      </c>
      <c r="B27" s="6" t="s">
        <v>2087</v>
      </c>
      <c r="C27" s="6" t="s">
        <v>2002</v>
      </c>
      <c r="D27" s="6" t="s">
        <v>2077</v>
      </c>
      <c r="E27" s="6" t="s">
        <v>75</v>
      </c>
      <c r="F27" s="6" t="s">
        <v>2088</v>
      </c>
      <c r="G27" s="5" t="s">
        <v>2089</v>
      </c>
    </row>
    <row r="28" spans="1:7">
      <c r="A28" s="6" t="s">
        <v>81</v>
      </c>
      <c r="B28" s="6" t="s">
        <v>2041</v>
      </c>
      <c r="C28" s="6" t="s">
        <v>2042</v>
      </c>
      <c r="D28" s="6" t="s">
        <v>2090</v>
      </c>
      <c r="E28" s="6" t="s">
        <v>82</v>
      </c>
      <c r="F28" s="6" t="s">
        <v>2091</v>
      </c>
      <c r="G28" s="5" t="s">
        <v>2045</v>
      </c>
    </row>
    <row r="29" spans="1:7">
      <c r="A29" s="6" t="s">
        <v>83</v>
      </c>
      <c r="B29" s="6" t="s">
        <v>2041</v>
      </c>
      <c r="C29" s="6" t="s">
        <v>2042</v>
      </c>
      <c r="D29" s="6" t="s">
        <v>2092</v>
      </c>
      <c r="E29" s="6" t="s">
        <v>84</v>
      </c>
      <c r="F29" s="6" t="s">
        <v>2093</v>
      </c>
      <c r="G29" s="5" t="s">
        <v>2045</v>
      </c>
    </row>
    <row r="30" spans="1:7">
      <c r="A30" s="6" t="s">
        <v>85</v>
      </c>
      <c r="B30" s="6" t="s">
        <v>2041</v>
      </c>
      <c r="C30" s="6" t="s">
        <v>2042</v>
      </c>
      <c r="D30" s="6" t="s">
        <v>2094</v>
      </c>
      <c r="E30" s="6" t="s">
        <v>86</v>
      </c>
      <c r="F30" s="6" t="s">
        <v>2095</v>
      </c>
      <c r="G30" s="5" t="s">
        <v>2045</v>
      </c>
    </row>
    <row r="31" spans="1:7">
      <c r="A31" s="6" t="s">
        <v>87</v>
      </c>
      <c r="B31" s="6" t="s">
        <v>2096</v>
      </c>
      <c r="C31" s="6" t="s">
        <v>2002</v>
      </c>
      <c r="D31" s="6" t="s">
        <v>2097</v>
      </c>
      <c r="E31" s="6" t="s">
        <v>89</v>
      </c>
      <c r="F31" s="6" t="s">
        <v>2098</v>
      </c>
      <c r="G31" s="5" t="s">
        <v>2099</v>
      </c>
    </row>
    <row r="32" spans="1:7">
      <c r="A32" s="6" t="s">
        <v>90</v>
      </c>
      <c r="B32" s="6" t="s">
        <v>2100</v>
      </c>
      <c r="C32" s="6" t="s">
        <v>2002</v>
      </c>
      <c r="D32" s="6" t="s">
        <v>2101</v>
      </c>
      <c r="E32" s="6" t="s">
        <v>91</v>
      </c>
      <c r="F32" s="6" t="s">
        <v>2102</v>
      </c>
      <c r="G32" s="5" t="s">
        <v>2103</v>
      </c>
    </row>
    <row r="33" spans="1:7">
      <c r="A33" s="6" t="s">
        <v>92</v>
      </c>
      <c r="B33" s="6" t="s">
        <v>2104</v>
      </c>
      <c r="C33" s="6" t="s">
        <v>2002</v>
      </c>
      <c r="D33" s="6" t="s">
        <v>2105</v>
      </c>
      <c r="E33" s="6" t="s">
        <v>94</v>
      </c>
      <c r="F33" s="6" t="s">
        <v>2106</v>
      </c>
      <c r="G33" s="5" t="s">
        <v>2107</v>
      </c>
    </row>
    <row r="34" spans="1:7">
      <c r="A34" s="6" t="s">
        <v>95</v>
      </c>
      <c r="B34" s="6" t="s">
        <v>2041</v>
      </c>
      <c r="C34" s="6" t="s">
        <v>2002</v>
      </c>
      <c r="D34" s="6" t="s">
        <v>2108</v>
      </c>
      <c r="E34" s="6" t="s">
        <v>96</v>
      </c>
      <c r="F34" s="6" t="s">
        <v>2109</v>
      </c>
      <c r="G34" s="5" t="s">
        <v>2110</v>
      </c>
    </row>
    <row r="35" spans="1:7" ht="25">
      <c r="A35" s="6" t="s">
        <v>97</v>
      </c>
      <c r="B35" s="6" t="s">
        <v>2111</v>
      </c>
      <c r="C35" s="6" t="s">
        <v>2002</v>
      </c>
      <c r="D35" s="6" t="s">
        <v>2112</v>
      </c>
      <c r="E35" s="6" t="s">
        <v>98</v>
      </c>
      <c r="F35" s="6" t="s">
        <v>2113</v>
      </c>
      <c r="G35" s="5" t="s">
        <v>2114</v>
      </c>
    </row>
    <row r="36" spans="1:7">
      <c r="A36" s="6" t="s">
        <v>99</v>
      </c>
      <c r="B36" s="6" t="s">
        <v>2041</v>
      </c>
      <c r="C36" s="6" t="s">
        <v>2042</v>
      </c>
      <c r="D36" s="6" t="s">
        <v>2115</v>
      </c>
      <c r="E36" s="6" t="s">
        <v>100</v>
      </c>
      <c r="F36" s="6" t="s">
        <v>2116</v>
      </c>
      <c r="G36" s="5" t="s">
        <v>2117</v>
      </c>
    </row>
    <row r="37" spans="1:7" ht="25">
      <c r="A37" s="6" t="s">
        <v>101</v>
      </c>
      <c r="B37" s="6" t="s">
        <v>2041</v>
      </c>
      <c r="C37" s="6" t="s">
        <v>2042</v>
      </c>
      <c r="D37" s="6" t="s">
        <v>2118</v>
      </c>
      <c r="E37" s="6" t="s">
        <v>102</v>
      </c>
      <c r="F37" s="6" t="s">
        <v>2119</v>
      </c>
      <c r="G37" s="5" t="s">
        <v>2120</v>
      </c>
    </row>
    <row r="38" spans="1:7">
      <c r="A38" s="6" t="s">
        <v>103</v>
      </c>
      <c r="B38" s="6" t="s">
        <v>2121</v>
      </c>
      <c r="C38" s="6" t="s">
        <v>2002</v>
      </c>
      <c r="D38" s="6" t="s">
        <v>2122</v>
      </c>
      <c r="E38" s="6" t="s">
        <v>104</v>
      </c>
      <c r="F38" s="6" t="s">
        <v>2123</v>
      </c>
      <c r="G38" s="5" t="s">
        <v>2040</v>
      </c>
    </row>
    <row r="39" spans="1:7">
      <c r="A39" s="31" t="s">
        <v>2750</v>
      </c>
      <c r="B39" s="31" t="s">
        <v>2751</v>
      </c>
      <c r="C39" s="31" t="s">
        <v>2752</v>
      </c>
      <c r="D39" s="31" t="s">
        <v>2753</v>
      </c>
      <c r="E39" s="31" t="s">
        <v>2754</v>
      </c>
      <c r="F39" s="31" t="s">
        <v>2755</v>
      </c>
      <c r="G39" s="32" t="s">
        <v>2756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3"/>
  <sheetViews>
    <sheetView showGridLines="0" workbookViewId="0">
      <pane ySplit="1" topLeftCell="A266" activePane="bottomLeft" state="frozen"/>
      <selection pane="bottomLeft" activeCell="A303" sqref="A303:XFD303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2124</v>
      </c>
      <c r="B1" s="9" t="s">
        <v>2432</v>
      </c>
      <c r="C1" s="9" t="s">
        <v>2433</v>
      </c>
      <c r="D1" s="9" t="s">
        <v>2434</v>
      </c>
      <c r="E1" s="9" t="s">
        <v>2435</v>
      </c>
      <c r="F1" s="9" t="s">
        <v>2436</v>
      </c>
      <c r="G1" s="9" t="s">
        <v>2437</v>
      </c>
      <c r="H1" s="9" t="s">
        <v>2438</v>
      </c>
      <c r="I1" s="9" t="s">
        <v>2439</v>
      </c>
    </row>
    <row r="2" spans="1:9">
      <c r="A2" s="6" t="s">
        <v>24</v>
      </c>
      <c r="B2" s="6">
        <v>1</v>
      </c>
      <c r="C2" s="6" t="s">
        <v>105</v>
      </c>
      <c r="D2" s="6" t="s">
        <v>2132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2133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2134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2135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2136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2137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2138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2139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2140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2132</v>
      </c>
      <c r="E11" s="6" t="s">
        <v>106</v>
      </c>
      <c r="F11" s="6" t="s">
        <v>107</v>
      </c>
      <c r="G11" s="6" t="s">
        <v>2141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2133</v>
      </c>
      <c r="E12" s="6" t="s">
        <v>110</v>
      </c>
      <c r="F12" s="6" t="s">
        <v>107</v>
      </c>
      <c r="G12" s="6" t="s">
        <v>2141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2142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2143</v>
      </c>
    </row>
    <row r="14" spans="1:9">
      <c r="A14" s="6" t="s">
        <v>27</v>
      </c>
      <c r="B14" s="6">
        <v>4</v>
      </c>
      <c r="C14" s="6" t="s">
        <v>127</v>
      </c>
      <c r="D14" s="6" t="s">
        <v>2144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2145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2146</v>
      </c>
      <c r="E16" s="6" t="s">
        <v>125</v>
      </c>
      <c r="F16" s="6" t="s">
        <v>131</v>
      </c>
      <c r="G16" s="6"/>
      <c r="H16" s="5" t="s">
        <v>132</v>
      </c>
      <c r="I16" s="5" t="s">
        <v>2147</v>
      </c>
    </row>
    <row r="17" spans="1:9">
      <c r="A17" s="6" t="s">
        <v>27</v>
      </c>
      <c r="B17" s="6">
        <v>7</v>
      </c>
      <c r="C17" s="6" t="s">
        <v>122</v>
      </c>
      <c r="D17" s="6" t="s">
        <v>2140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2148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2149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2150</v>
      </c>
      <c r="E20" s="6" t="s">
        <v>114</v>
      </c>
      <c r="F20" s="6" t="s">
        <v>107</v>
      </c>
      <c r="G20" s="6"/>
      <c r="H20" s="5" t="s">
        <v>2151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2152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2153</v>
      </c>
      <c r="E22" s="6" t="s">
        <v>106</v>
      </c>
      <c r="F22" s="6" t="s">
        <v>131</v>
      </c>
      <c r="G22" s="6" t="s">
        <v>2141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2154</v>
      </c>
      <c r="E23" s="6" t="s">
        <v>114</v>
      </c>
      <c r="F23" s="6" t="s">
        <v>131</v>
      </c>
      <c r="G23" s="6"/>
      <c r="H23" s="5" t="s">
        <v>140</v>
      </c>
      <c r="I23" s="5" t="s">
        <v>2155</v>
      </c>
    </row>
    <row r="24" spans="1:9">
      <c r="A24" s="6" t="s">
        <v>30</v>
      </c>
      <c r="B24" s="6">
        <v>7</v>
      </c>
      <c r="C24" s="6" t="s">
        <v>141</v>
      </c>
      <c r="D24" s="6" t="s">
        <v>2156</v>
      </c>
      <c r="E24" s="6" t="s">
        <v>142</v>
      </c>
      <c r="F24" s="6" t="s">
        <v>107</v>
      </c>
      <c r="G24" s="6"/>
      <c r="H24" s="5"/>
      <c r="I24" s="5"/>
    </row>
    <row r="25" spans="1:9">
      <c r="A25" s="6" t="s">
        <v>30</v>
      </c>
      <c r="B25" s="6">
        <v>8</v>
      </c>
      <c r="C25" s="6" t="s">
        <v>143</v>
      </c>
      <c r="D25" s="6" t="s">
        <v>2157</v>
      </c>
      <c r="E25" s="6" t="s">
        <v>120</v>
      </c>
      <c r="F25" s="6" t="s">
        <v>107</v>
      </c>
      <c r="G25" s="6"/>
      <c r="H25" s="5"/>
      <c r="I25" s="5"/>
    </row>
    <row r="26" spans="1:9">
      <c r="A26" s="6" t="s">
        <v>30</v>
      </c>
      <c r="B26" s="6">
        <v>9</v>
      </c>
      <c r="C26" s="6" t="s">
        <v>144</v>
      </c>
      <c r="D26" s="6" t="s">
        <v>2158</v>
      </c>
      <c r="E26" s="6" t="s">
        <v>114</v>
      </c>
      <c r="F26" s="6" t="s">
        <v>131</v>
      </c>
      <c r="G26" s="6"/>
      <c r="H26" s="5" t="s">
        <v>145</v>
      </c>
      <c r="I26" s="5" t="s">
        <v>2159</v>
      </c>
    </row>
    <row r="27" spans="1:9">
      <c r="A27" s="6" t="s">
        <v>30</v>
      </c>
      <c r="B27" s="6">
        <v>10</v>
      </c>
      <c r="C27" s="6" t="s">
        <v>146</v>
      </c>
      <c r="D27" s="6" t="s">
        <v>2160</v>
      </c>
      <c r="E27" s="6" t="s">
        <v>147</v>
      </c>
      <c r="F27" s="6" t="s">
        <v>131</v>
      </c>
      <c r="G27" s="6"/>
      <c r="H27" s="5" t="s">
        <v>148</v>
      </c>
      <c r="I27" s="5" t="s">
        <v>2161</v>
      </c>
    </row>
    <row r="28" spans="1:9">
      <c r="A28" s="6" t="s">
        <v>30</v>
      </c>
      <c r="B28" s="6">
        <v>11</v>
      </c>
      <c r="C28" s="6" t="s">
        <v>149</v>
      </c>
      <c r="D28" s="6" t="s">
        <v>2162</v>
      </c>
      <c r="E28" s="6" t="s">
        <v>120</v>
      </c>
      <c r="F28" s="6" t="s">
        <v>107</v>
      </c>
      <c r="G28" s="6"/>
      <c r="H28" s="5"/>
      <c r="I28" s="5"/>
    </row>
    <row r="29" spans="1:9">
      <c r="A29" s="6" t="s">
        <v>30</v>
      </c>
      <c r="B29" s="6">
        <v>12</v>
      </c>
      <c r="C29" s="6" t="s">
        <v>150</v>
      </c>
      <c r="D29" s="6" t="s">
        <v>2163</v>
      </c>
      <c r="E29" s="6" t="s">
        <v>120</v>
      </c>
      <c r="F29" s="6" t="s">
        <v>131</v>
      </c>
      <c r="G29" s="6"/>
      <c r="H29" s="5"/>
      <c r="I29" s="5" t="s">
        <v>2164</v>
      </c>
    </row>
    <row r="30" spans="1:9">
      <c r="A30" s="6" t="s">
        <v>30</v>
      </c>
      <c r="B30" s="6">
        <v>13</v>
      </c>
      <c r="C30" s="6" t="s">
        <v>122</v>
      </c>
      <c r="D30" s="6" t="s">
        <v>2140</v>
      </c>
      <c r="E30" s="6" t="s">
        <v>123</v>
      </c>
      <c r="F30" s="6" t="s">
        <v>107</v>
      </c>
      <c r="G30" s="6"/>
      <c r="H30" s="5"/>
      <c r="I30" s="5"/>
    </row>
    <row r="31" spans="1:9">
      <c r="A31" s="6" t="s">
        <v>33</v>
      </c>
      <c r="B31" s="6">
        <v>1</v>
      </c>
      <c r="C31" s="6" t="s">
        <v>133</v>
      </c>
      <c r="D31" s="6" t="s">
        <v>2148</v>
      </c>
      <c r="E31" s="6" t="s">
        <v>106</v>
      </c>
      <c r="F31" s="6" t="s">
        <v>107</v>
      </c>
      <c r="G31" s="6" t="s">
        <v>2165</v>
      </c>
      <c r="H31" s="5"/>
      <c r="I31" s="5"/>
    </row>
    <row r="32" spans="1:9">
      <c r="A32" s="6" t="s">
        <v>33</v>
      </c>
      <c r="B32" s="6">
        <v>2</v>
      </c>
      <c r="C32" s="6" t="s">
        <v>134</v>
      </c>
      <c r="D32" s="6" t="s">
        <v>2149</v>
      </c>
      <c r="E32" s="6" t="s">
        <v>110</v>
      </c>
      <c r="F32" s="6" t="s">
        <v>107</v>
      </c>
      <c r="G32" s="6" t="s">
        <v>2165</v>
      </c>
      <c r="H32" s="5"/>
      <c r="I32" s="5"/>
    </row>
    <row r="33" spans="1:9">
      <c r="A33" s="6" t="s">
        <v>33</v>
      </c>
      <c r="B33" s="6">
        <v>3</v>
      </c>
      <c r="C33" s="6" t="s">
        <v>151</v>
      </c>
      <c r="D33" s="6" t="s">
        <v>2166</v>
      </c>
      <c r="E33" s="6" t="s">
        <v>152</v>
      </c>
      <c r="F33" s="6" t="s">
        <v>131</v>
      </c>
      <c r="G33" s="6"/>
      <c r="H33" s="5"/>
      <c r="I33" s="5" t="s">
        <v>2167</v>
      </c>
    </row>
    <row r="34" spans="1:9" ht="25">
      <c r="A34" s="6" t="s">
        <v>33</v>
      </c>
      <c r="B34" s="6">
        <v>4</v>
      </c>
      <c r="C34" s="6" t="s">
        <v>153</v>
      </c>
      <c r="D34" s="6" t="s">
        <v>2168</v>
      </c>
      <c r="E34" s="6" t="s">
        <v>114</v>
      </c>
      <c r="F34" s="6" t="s">
        <v>131</v>
      </c>
      <c r="G34" s="6"/>
      <c r="H34" s="5" t="s">
        <v>154</v>
      </c>
      <c r="I34" s="5"/>
    </row>
    <row r="35" spans="1:9" ht="37.5">
      <c r="A35" s="6" t="s">
        <v>33</v>
      </c>
      <c r="B35" s="6">
        <v>5</v>
      </c>
      <c r="C35" s="6" t="s">
        <v>155</v>
      </c>
      <c r="D35" s="6" t="s">
        <v>2169</v>
      </c>
      <c r="E35" s="6" t="s">
        <v>114</v>
      </c>
      <c r="F35" s="6" t="s">
        <v>131</v>
      </c>
      <c r="G35" s="6"/>
      <c r="H35" s="5" t="s">
        <v>156</v>
      </c>
      <c r="I35" s="5" t="s">
        <v>2170</v>
      </c>
    </row>
    <row r="36" spans="1:9">
      <c r="A36" s="6" t="s">
        <v>33</v>
      </c>
      <c r="B36" s="6">
        <v>6</v>
      </c>
      <c r="C36" s="6" t="s">
        <v>157</v>
      </c>
      <c r="D36" s="6" t="s">
        <v>2171</v>
      </c>
      <c r="E36" s="6" t="s">
        <v>112</v>
      </c>
      <c r="F36" s="6" t="s">
        <v>131</v>
      </c>
      <c r="G36" s="6"/>
      <c r="H36" s="5" t="s">
        <v>158</v>
      </c>
      <c r="I36" s="5" t="s">
        <v>2172</v>
      </c>
    </row>
    <row r="37" spans="1:9">
      <c r="A37" s="6" t="s">
        <v>33</v>
      </c>
      <c r="B37" s="6">
        <v>7</v>
      </c>
      <c r="C37" s="6" t="s">
        <v>159</v>
      </c>
      <c r="D37" s="6" t="s">
        <v>2173</v>
      </c>
      <c r="E37" s="6" t="s">
        <v>147</v>
      </c>
      <c r="F37" s="6" t="s">
        <v>107</v>
      </c>
      <c r="G37" s="6"/>
      <c r="H37" s="5" t="s">
        <v>160</v>
      </c>
      <c r="I37" s="5" t="s">
        <v>2174</v>
      </c>
    </row>
    <row r="38" spans="1:9">
      <c r="A38" s="6" t="s">
        <v>33</v>
      </c>
      <c r="B38" s="6">
        <v>8</v>
      </c>
      <c r="C38" s="6" t="s">
        <v>161</v>
      </c>
      <c r="D38" s="6" t="s">
        <v>2175</v>
      </c>
      <c r="E38" s="6" t="s">
        <v>114</v>
      </c>
      <c r="F38" s="6" t="s">
        <v>107</v>
      </c>
      <c r="G38" s="6"/>
      <c r="H38" s="5" t="s">
        <v>162</v>
      </c>
      <c r="I38" s="5" t="s">
        <v>2176</v>
      </c>
    </row>
    <row r="39" spans="1:9">
      <c r="A39" s="6" t="s">
        <v>33</v>
      </c>
      <c r="B39" s="6">
        <v>9</v>
      </c>
      <c r="C39" s="6" t="s">
        <v>163</v>
      </c>
      <c r="D39" s="6" t="s">
        <v>2177</v>
      </c>
      <c r="E39" s="6" t="s">
        <v>114</v>
      </c>
      <c r="F39" s="6" t="s">
        <v>131</v>
      </c>
      <c r="G39" s="6"/>
      <c r="H39" s="5"/>
      <c r="I39" s="5" t="s">
        <v>2178</v>
      </c>
    </row>
    <row r="40" spans="1:9">
      <c r="A40" s="6" t="s">
        <v>33</v>
      </c>
      <c r="B40" s="6">
        <v>10</v>
      </c>
      <c r="C40" s="6" t="s">
        <v>164</v>
      </c>
      <c r="D40" s="6" t="s">
        <v>2179</v>
      </c>
      <c r="E40" s="6" t="s">
        <v>120</v>
      </c>
      <c r="F40" s="6" t="s">
        <v>131</v>
      </c>
      <c r="G40" s="6"/>
      <c r="H40" s="5"/>
      <c r="I40" s="5" t="s">
        <v>2178</v>
      </c>
    </row>
    <row r="41" spans="1:9">
      <c r="A41" s="6" t="s">
        <v>33</v>
      </c>
      <c r="B41" s="6">
        <v>11</v>
      </c>
      <c r="C41" s="6" t="s">
        <v>122</v>
      </c>
      <c r="D41" s="6" t="s">
        <v>2140</v>
      </c>
      <c r="E41" s="6" t="s">
        <v>123</v>
      </c>
      <c r="F41" s="6" t="s">
        <v>107</v>
      </c>
      <c r="G41" s="6"/>
      <c r="H41" s="5"/>
      <c r="I41" s="5"/>
    </row>
    <row r="42" spans="1:9">
      <c r="A42" s="6" t="s">
        <v>35</v>
      </c>
      <c r="B42" s="6">
        <v>1</v>
      </c>
      <c r="C42" s="6" t="s">
        <v>38</v>
      </c>
      <c r="D42" s="6" t="s">
        <v>2017</v>
      </c>
      <c r="E42" s="6" t="s">
        <v>110</v>
      </c>
      <c r="F42" s="6" t="s">
        <v>107</v>
      </c>
      <c r="G42" s="6" t="s">
        <v>108</v>
      </c>
      <c r="H42" s="5"/>
      <c r="I42" s="5"/>
    </row>
    <row r="43" spans="1:9">
      <c r="A43" s="6" t="s">
        <v>35</v>
      </c>
      <c r="B43" s="6">
        <v>2</v>
      </c>
      <c r="C43" s="6" t="s">
        <v>165</v>
      </c>
      <c r="D43" s="6" t="s">
        <v>2180</v>
      </c>
      <c r="E43" s="6" t="s">
        <v>166</v>
      </c>
      <c r="F43" s="6" t="s">
        <v>107</v>
      </c>
      <c r="G43" s="6"/>
      <c r="H43" s="5"/>
      <c r="I43" s="5"/>
    </row>
    <row r="44" spans="1:9">
      <c r="A44" s="6" t="s">
        <v>35</v>
      </c>
      <c r="B44" s="6">
        <v>3</v>
      </c>
      <c r="C44" s="6" t="s">
        <v>167</v>
      </c>
      <c r="D44" s="6" t="s">
        <v>2181</v>
      </c>
      <c r="E44" s="6" t="s">
        <v>110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4</v>
      </c>
      <c r="C45" s="6" t="s">
        <v>168</v>
      </c>
      <c r="D45" s="6" t="s">
        <v>2182</v>
      </c>
      <c r="E45" s="6" t="s">
        <v>147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5</v>
      </c>
      <c r="C46" s="6" t="s">
        <v>169</v>
      </c>
      <c r="D46" s="6" t="s">
        <v>2183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6</v>
      </c>
      <c r="C47" s="6" t="s">
        <v>170</v>
      </c>
      <c r="D47" s="6" t="s">
        <v>2184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7</v>
      </c>
      <c r="C48" s="6" t="s">
        <v>171</v>
      </c>
      <c r="D48" s="6" t="s">
        <v>2185</v>
      </c>
      <c r="E48" s="6" t="s">
        <v>166</v>
      </c>
      <c r="F48" s="6" t="s">
        <v>131</v>
      </c>
      <c r="G48" s="6"/>
      <c r="H48" s="5"/>
      <c r="I48" s="5"/>
    </row>
    <row r="49" spans="1:9">
      <c r="A49" s="6" t="s">
        <v>35</v>
      </c>
      <c r="B49" s="6">
        <v>8</v>
      </c>
      <c r="C49" s="6" t="s">
        <v>172</v>
      </c>
      <c r="D49" s="6" t="s">
        <v>2186</v>
      </c>
      <c r="E49" s="6" t="s">
        <v>120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9</v>
      </c>
      <c r="C50" s="6" t="s">
        <v>173</v>
      </c>
      <c r="D50" s="6" t="s">
        <v>2187</v>
      </c>
      <c r="E50" s="6" t="s">
        <v>114</v>
      </c>
      <c r="F50" s="6" t="s">
        <v>107</v>
      </c>
      <c r="G50" s="6"/>
      <c r="H50" s="5" t="s">
        <v>174</v>
      </c>
      <c r="I50" s="5" t="s">
        <v>2188</v>
      </c>
    </row>
    <row r="51" spans="1:9">
      <c r="A51" s="6" t="s">
        <v>35</v>
      </c>
      <c r="B51" s="6">
        <v>10</v>
      </c>
      <c r="C51" s="6" t="s">
        <v>175</v>
      </c>
      <c r="D51" s="6" t="s">
        <v>2189</v>
      </c>
      <c r="E51" s="6" t="s">
        <v>120</v>
      </c>
      <c r="F51" s="6" t="s">
        <v>107</v>
      </c>
      <c r="G51" s="6"/>
      <c r="H51" s="5"/>
      <c r="I51" s="5"/>
    </row>
    <row r="52" spans="1:9">
      <c r="A52" s="6" t="s">
        <v>35</v>
      </c>
      <c r="B52" s="6">
        <v>11</v>
      </c>
      <c r="C52" s="6" t="s">
        <v>122</v>
      </c>
      <c r="D52" s="6" t="s">
        <v>2140</v>
      </c>
      <c r="E52" s="6" t="s">
        <v>123</v>
      </c>
      <c r="F52" s="6" t="s">
        <v>107</v>
      </c>
      <c r="G52" s="6"/>
      <c r="H52" s="5"/>
      <c r="I52" s="5"/>
    </row>
    <row r="53" spans="1:9">
      <c r="A53" s="6" t="s">
        <v>39</v>
      </c>
      <c r="B53" s="6">
        <v>1</v>
      </c>
      <c r="C53" s="6" t="s">
        <v>38</v>
      </c>
      <c r="D53" s="6" t="s">
        <v>2017</v>
      </c>
      <c r="E53" s="6" t="s">
        <v>110</v>
      </c>
      <c r="F53" s="6" t="s">
        <v>107</v>
      </c>
      <c r="G53" s="6" t="s">
        <v>2190</v>
      </c>
      <c r="H53" s="5"/>
      <c r="I53" s="5"/>
    </row>
    <row r="54" spans="1:9">
      <c r="A54" s="6" t="s">
        <v>39</v>
      </c>
      <c r="B54" s="6">
        <v>2</v>
      </c>
      <c r="C54" s="6" t="s">
        <v>105</v>
      </c>
      <c r="D54" s="6" t="s">
        <v>2132</v>
      </c>
      <c r="E54" s="6" t="s">
        <v>106</v>
      </c>
      <c r="F54" s="6" t="s">
        <v>107</v>
      </c>
      <c r="G54" s="6" t="s">
        <v>2191</v>
      </c>
      <c r="H54" s="5"/>
      <c r="I54" s="5"/>
    </row>
    <row r="55" spans="1:9">
      <c r="A55" s="6" t="s">
        <v>39</v>
      </c>
      <c r="B55" s="6">
        <v>3</v>
      </c>
      <c r="C55" s="6" t="s">
        <v>122</v>
      </c>
      <c r="D55" s="6" t="s">
        <v>2140</v>
      </c>
      <c r="E55" s="6" t="s">
        <v>123</v>
      </c>
      <c r="F55" s="6" t="s">
        <v>107</v>
      </c>
      <c r="G55" s="6"/>
      <c r="H55" s="5"/>
      <c r="I55" s="5"/>
    </row>
    <row r="56" spans="1:9">
      <c r="A56" s="6" t="s">
        <v>42</v>
      </c>
      <c r="B56" s="6">
        <v>1</v>
      </c>
      <c r="C56" s="6" t="s">
        <v>38</v>
      </c>
      <c r="D56" s="6" t="s">
        <v>2017</v>
      </c>
      <c r="E56" s="6" t="s">
        <v>110</v>
      </c>
      <c r="F56" s="6" t="s">
        <v>107</v>
      </c>
      <c r="G56" s="6" t="s">
        <v>2190</v>
      </c>
      <c r="H56" s="5"/>
      <c r="I56" s="5"/>
    </row>
    <row r="57" spans="1:9">
      <c r="A57" s="6" t="s">
        <v>42</v>
      </c>
      <c r="B57" s="6">
        <v>2</v>
      </c>
      <c r="C57" s="6" t="s">
        <v>144</v>
      </c>
      <c r="D57" s="6" t="s">
        <v>2192</v>
      </c>
      <c r="E57" s="6" t="s">
        <v>114</v>
      </c>
      <c r="F57" s="6" t="s">
        <v>107</v>
      </c>
      <c r="G57" s="6" t="s">
        <v>108</v>
      </c>
      <c r="H57" s="5" t="s">
        <v>176</v>
      </c>
      <c r="I57" s="5"/>
    </row>
    <row r="58" spans="1:9">
      <c r="A58" s="6" t="s">
        <v>42</v>
      </c>
      <c r="B58" s="6">
        <v>3</v>
      </c>
      <c r="C58" s="6" t="s">
        <v>122</v>
      </c>
      <c r="D58" s="6" t="s">
        <v>2140</v>
      </c>
      <c r="E58" s="6" t="s">
        <v>123</v>
      </c>
      <c r="F58" s="6" t="s">
        <v>107</v>
      </c>
      <c r="G58" s="6"/>
      <c r="H58" s="5"/>
      <c r="I58" s="5"/>
    </row>
    <row r="59" spans="1:9">
      <c r="A59" s="6" t="s">
        <v>45</v>
      </c>
      <c r="B59" s="6">
        <v>1</v>
      </c>
      <c r="C59" s="6" t="s">
        <v>47</v>
      </c>
      <c r="D59" s="6" t="s">
        <v>2193</v>
      </c>
      <c r="E59" s="6" t="s">
        <v>177</v>
      </c>
      <c r="F59" s="6" t="s">
        <v>107</v>
      </c>
      <c r="G59" s="6" t="s">
        <v>108</v>
      </c>
      <c r="H59" s="5" t="s">
        <v>178</v>
      </c>
      <c r="I59" s="5" t="s">
        <v>2194</v>
      </c>
    </row>
    <row r="60" spans="1:9">
      <c r="A60" s="6" t="s">
        <v>45</v>
      </c>
      <c r="B60" s="6">
        <v>2</v>
      </c>
      <c r="C60" s="6" t="s">
        <v>38</v>
      </c>
      <c r="D60" s="6" t="s">
        <v>2017</v>
      </c>
      <c r="E60" s="6" t="s">
        <v>110</v>
      </c>
      <c r="F60" s="6" t="s">
        <v>107</v>
      </c>
      <c r="G60" s="6" t="s">
        <v>2195</v>
      </c>
      <c r="H60" s="5"/>
      <c r="I60" s="5"/>
    </row>
    <row r="61" spans="1:9">
      <c r="A61" s="6" t="s">
        <v>45</v>
      </c>
      <c r="B61" s="6">
        <v>3</v>
      </c>
      <c r="C61" s="6" t="s">
        <v>179</v>
      </c>
      <c r="D61" s="6" t="s">
        <v>2196</v>
      </c>
      <c r="E61" s="6" t="s">
        <v>106</v>
      </c>
      <c r="F61" s="6" t="s">
        <v>107</v>
      </c>
      <c r="G61" s="6"/>
      <c r="H61" s="5"/>
      <c r="I61" s="5"/>
    </row>
    <row r="62" spans="1:9">
      <c r="A62" s="6" t="s">
        <v>45</v>
      </c>
      <c r="B62" s="6">
        <v>4</v>
      </c>
      <c r="C62" s="6" t="s">
        <v>180</v>
      </c>
      <c r="D62" s="6" t="s">
        <v>2197</v>
      </c>
      <c r="E62" s="6" t="s">
        <v>181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5</v>
      </c>
      <c r="C63" s="6" t="s">
        <v>182</v>
      </c>
      <c r="D63" s="6" t="s">
        <v>2198</v>
      </c>
      <c r="E63" s="6" t="s">
        <v>114</v>
      </c>
      <c r="F63" s="6" t="s">
        <v>107</v>
      </c>
      <c r="G63" s="6"/>
      <c r="H63" s="5" t="s">
        <v>183</v>
      </c>
      <c r="I63" s="5"/>
    </row>
    <row r="64" spans="1:9">
      <c r="A64" s="6" t="s">
        <v>45</v>
      </c>
      <c r="B64" s="6">
        <v>6</v>
      </c>
      <c r="C64" s="6" t="s">
        <v>184</v>
      </c>
      <c r="D64" s="6" t="s">
        <v>2199</v>
      </c>
      <c r="E64" s="6" t="s">
        <v>106</v>
      </c>
      <c r="F64" s="6" t="s">
        <v>131</v>
      </c>
      <c r="G64" s="6"/>
      <c r="H64" s="5"/>
      <c r="I64" s="5"/>
    </row>
    <row r="65" spans="1:9">
      <c r="A65" s="6" t="s">
        <v>45</v>
      </c>
      <c r="B65" s="6">
        <v>7</v>
      </c>
      <c r="C65" s="6" t="s">
        <v>185</v>
      </c>
      <c r="D65" s="6" t="s">
        <v>2200</v>
      </c>
      <c r="E65" s="6" t="s">
        <v>123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8</v>
      </c>
      <c r="C66" s="6" t="s">
        <v>186</v>
      </c>
      <c r="D66" s="6" t="s">
        <v>2201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9</v>
      </c>
      <c r="C67" s="6" t="s">
        <v>187</v>
      </c>
      <c r="D67" s="6" t="s">
        <v>2202</v>
      </c>
      <c r="E67" s="6" t="s">
        <v>147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10</v>
      </c>
      <c r="C68" s="6" t="s">
        <v>188</v>
      </c>
      <c r="D68" s="6" t="s">
        <v>2203</v>
      </c>
      <c r="E68" s="6" t="s">
        <v>120</v>
      </c>
      <c r="F68" s="6" t="s">
        <v>131</v>
      </c>
      <c r="G68" s="6"/>
      <c r="H68" s="5" t="s">
        <v>2204</v>
      </c>
      <c r="I68" s="5"/>
    </row>
    <row r="69" spans="1:9">
      <c r="A69" s="6" t="s">
        <v>45</v>
      </c>
      <c r="B69" s="6">
        <v>11</v>
      </c>
      <c r="C69" s="6" t="s">
        <v>189</v>
      </c>
      <c r="D69" s="6" t="s">
        <v>2205</v>
      </c>
      <c r="E69" s="6" t="s">
        <v>120</v>
      </c>
      <c r="F69" s="6" t="s">
        <v>131</v>
      </c>
      <c r="G69" s="6"/>
      <c r="H69" s="5"/>
      <c r="I69" s="5"/>
    </row>
    <row r="70" spans="1:9">
      <c r="A70" s="6" t="s">
        <v>45</v>
      </c>
      <c r="B70" s="6">
        <v>12</v>
      </c>
      <c r="C70" s="6" t="s">
        <v>122</v>
      </c>
      <c r="D70" s="6" t="s">
        <v>2140</v>
      </c>
      <c r="E70" s="6" t="s">
        <v>123</v>
      </c>
      <c r="F70" s="6" t="s">
        <v>107</v>
      </c>
      <c r="G70" s="6"/>
      <c r="H70" s="5"/>
      <c r="I70" s="5"/>
    </row>
    <row r="71" spans="1:9">
      <c r="A71" s="6" t="s">
        <v>48</v>
      </c>
      <c r="B71" s="6">
        <v>1</v>
      </c>
      <c r="C71" s="6" t="s">
        <v>49</v>
      </c>
      <c r="D71" s="6" t="s">
        <v>2033</v>
      </c>
      <c r="E71" s="6" t="s">
        <v>110</v>
      </c>
      <c r="F71" s="6" t="s">
        <v>107</v>
      </c>
      <c r="G71" s="6" t="s">
        <v>108</v>
      </c>
      <c r="H71" s="5" t="s">
        <v>178</v>
      </c>
      <c r="I71" s="5" t="s">
        <v>2206</v>
      </c>
    </row>
    <row r="72" spans="1:9">
      <c r="A72" s="6" t="s">
        <v>48</v>
      </c>
      <c r="B72" s="6">
        <v>2</v>
      </c>
      <c r="C72" s="6" t="s">
        <v>190</v>
      </c>
      <c r="D72" s="6" t="s">
        <v>2207</v>
      </c>
      <c r="E72" s="6" t="s">
        <v>112</v>
      </c>
      <c r="F72" s="6" t="s">
        <v>107</v>
      </c>
      <c r="G72" s="6"/>
      <c r="H72" s="5"/>
      <c r="I72" s="5"/>
    </row>
    <row r="73" spans="1:9">
      <c r="A73" s="6" t="s">
        <v>48</v>
      </c>
      <c r="B73" s="6">
        <v>3</v>
      </c>
      <c r="C73" s="6" t="s">
        <v>191</v>
      </c>
      <c r="D73" s="6" t="s">
        <v>2208</v>
      </c>
      <c r="E73" s="6" t="s">
        <v>166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4</v>
      </c>
      <c r="C74" s="6" t="s">
        <v>192</v>
      </c>
      <c r="D74" s="6" t="s">
        <v>2209</v>
      </c>
      <c r="E74" s="6" t="s">
        <v>120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5</v>
      </c>
      <c r="C75" s="6" t="s">
        <v>193</v>
      </c>
      <c r="D75" s="6" t="s">
        <v>2210</v>
      </c>
      <c r="E75" s="6" t="s">
        <v>114</v>
      </c>
      <c r="F75" s="6" t="s">
        <v>107</v>
      </c>
      <c r="G75" s="6"/>
      <c r="H75" s="5" t="s">
        <v>194</v>
      </c>
      <c r="I75" s="5"/>
    </row>
    <row r="76" spans="1:9">
      <c r="A76" s="6" t="s">
        <v>48</v>
      </c>
      <c r="B76" s="6">
        <v>6</v>
      </c>
      <c r="C76" s="6" t="s">
        <v>195</v>
      </c>
      <c r="D76" s="6" t="s">
        <v>2211</v>
      </c>
      <c r="E76" s="6" t="s">
        <v>196</v>
      </c>
      <c r="F76" s="6" t="s">
        <v>131</v>
      </c>
      <c r="G76" s="6"/>
      <c r="H76" s="5"/>
      <c r="I76" s="5"/>
    </row>
    <row r="77" spans="1:9">
      <c r="A77" s="6" t="s">
        <v>48</v>
      </c>
      <c r="B77" s="6">
        <v>7</v>
      </c>
      <c r="C77" s="6" t="s">
        <v>197</v>
      </c>
      <c r="D77" s="6" t="s">
        <v>2212</v>
      </c>
      <c r="E77" s="6" t="s">
        <v>198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8</v>
      </c>
      <c r="C78" s="6" t="s">
        <v>199</v>
      </c>
      <c r="D78" s="6" t="s">
        <v>2213</v>
      </c>
      <c r="E78" s="6" t="s">
        <v>147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9</v>
      </c>
      <c r="C79" s="6" t="s">
        <v>200</v>
      </c>
      <c r="D79" s="6" t="s">
        <v>2214</v>
      </c>
      <c r="E79" s="6" t="s">
        <v>114</v>
      </c>
      <c r="F79" s="6" t="s">
        <v>107</v>
      </c>
      <c r="G79" s="6"/>
      <c r="H79" s="5" t="s">
        <v>201</v>
      </c>
      <c r="I79" s="5"/>
    </row>
    <row r="80" spans="1:9">
      <c r="A80" s="6" t="s">
        <v>48</v>
      </c>
      <c r="B80" s="6">
        <v>10</v>
      </c>
      <c r="C80" s="6" t="s">
        <v>202</v>
      </c>
      <c r="D80" s="6" t="s">
        <v>2215</v>
      </c>
      <c r="E80" s="6" t="s">
        <v>166</v>
      </c>
      <c r="F80" s="6" t="s">
        <v>107</v>
      </c>
      <c r="G80" s="6"/>
      <c r="H80" s="5"/>
      <c r="I80" s="5"/>
    </row>
    <row r="81" spans="1:9">
      <c r="A81" s="6" t="s">
        <v>48</v>
      </c>
      <c r="B81" s="6">
        <v>11</v>
      </c>
      <c r="C81" s="6" t="s">
        <v>122</v>
      </c>
      <c r="D81" s="6" t="s">
        <v>2140</v>
      </c>
      <c r="E81" s="6" t="s">
        <v>123</v>
      </c>
      <c r="F81" s="6" t="s">
        <v>107</v>
      </c>
      <c r="G81" s="6"/>
      <c r="H81" s="5"/>
      <c r="I81" s="5"/>
    </row>
    <row r="82" spans="1:9">
      <c r="A82" s="6" t="s">
        <v>50</v>
      </c>
      <c r="B82" s="6">
        <v>1</v>
      </c>
      <c r="C82" s="6" t="s">
        <v>38</v>
      </c>
      <c r="D82" s="6" t="s">
        <v>2038</v>
      </c>
      <c r="E82" s="6" t="s">
        <v>110</v>
      </c>
      <c r="F82" s="6" t="s">
        <v>107</v>
      </c>
      <c r="G82" s="6" t="s">
        <v>108</v>
      </c>
      <c r="H82" s="5"/>
      <c r="I82" s="5"/>
    </row>
    <row r="83" spans="1:9">
      <c r="A83" s="6" t="s">
        <v>50</v>
      </c>
      <c r="B83" s="6">
        <v>2</v>
      </c>
      <c r="C83" s="6" t="s">
        <v>203</v>
      </c>
      <c r="D83" s="6" t="s">
        <v>2207</v>
      </c>
      <c r="E83" s="6" t="s">
        <v>204</v>
      </c>
      <c r="F83" s="6" t="s">
        <v>107</v>
      </c>
      <c r="G83" s="6"/>
      <c r="H83" s="5"/>
      <c r="I83" s="5"/>
    </row>
    <row r="84" spans="1:9">
      <c r="A84" s="6" t="s">
        <v>50</v>
      </c>
      <c r="B84" s="6">
        <v>3</v>
      </c>
      <c r="C84" s="6" t="s">
        <v>205</v>
      </c>
      <c r="D84" s="6" t="s">
        <v>2216</v>
      </c>
      <c r="E84" s="6" t="s">
        <v>166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4</v>
      </c>
      <c r="C85" s="6" t="s">
        <v>206</v>
      </c>
      <c r="D85" s="6" t="s">
        <v>2217</v>
      </c>
      <c r="E85" s="6" t="s">
        <v>207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5</v>
      </c>
      <c r="C86" s="6" t="s">
        <v>208</v>
      </c>
      <c r="D86" s="6" t="s">
        <v>2218</v>
      </c>
      <c r="E86" s="6" t="s">
        <v>120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6</v>
      </c>
      <c r="C87" s="6" t="s">
        <v>209</v>
      </c>
      <c r="D87" s="6" t="s">
        <v>2219</v>
      </c>
      <c r="E87" s="6" t="s">
        <v>120</v>
      </c>
      <c r="F87" s="6" t="s">
        <v>131</v>
      </c>
      <c r="G87" s="6"/>
      <c r="H87" s="5"/>
      <c r="I87" s="5"/>
    </row>
    <row r="88" spans="1:9">
      <c r="A88" s="6" t="s">
        <v>50</v>
      </c>
      <c r="B88" s="6">
        <v>7</v>
      </c>
      <c r="C88" s="6" t="s">
        <v>210</v>
      </c>
      <c r="D88" s="6" t="s">
        <v>2000</v>
      </c>
      <c r="E88" s="6" t="s">
        <v>114</v>
      </c>
      <c r="F88" s="6" t="s">
        <v>107</v>
      </c>
      <c r="G88" s="6"/>
      <c r="H88" s="5" t="s">
        <v>211</v>
      </c>
      <c r="I88" s="5" t="s">
        <v>2220</v>
      </c>
    </row>
    <row r="89" spans="1:9">
      <c r="A89" s="6" t="s">
        <v>51</v>
      </c>
      <c r="B89" s="6">
        <v>1</v>
      </c>
      <c r="C89" s="6" t="s">
        <v>212</v>
      </c>
      <c r="D89" s="6" t="s">
        <v>2221</v>
      </c>
      <c r="E89" s="6" t="s">
        <v>213</v>
      </c>
      <c r="F89" s="6" t="s">
        <v>107</v>
      </c>
      <c r="G89" s="6" t="s">
        <v>108</v>
      </c>
      <c r="H89" s="5"/>
      <c r="I89" s="5"/>
    </row>
    <row r="90" spans="1:9">
      <c r="A90" s="6" t="s">
        <v>51</v>
      </c>
      <c r="B90" s="6">
        <v>2</v>
      </c>
      <c r="C90" s="6" t="s">
        <v>214</v>
      </c>
      <c r="D90" s="6" t="s">
        <v>2222</v>
      </c>
      <c r="E90" s="6" t="s">
        <v>215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3</v>
      </c>
      <c r="C91" s="6" t="s">
        <v>216</v>
      </c>
      <c r="D91" s="6" t="s">
        <v>2223</v>
      </c>
      <c r="E91" s="6" t="s">
        <v>213</v>
      </c>
      <c r="F91" s="6" t="s">
        <v>107</v>
      </c>
      <c r="G91" s="6"/>
      <c r="H91" s="5"/>
      <c r="I91" s="5"/>
    </row>
    <row r="92" spans="1:9">
      <c r="A92" s="6" t="s">
        <v>51</v>
      </c>
      <c r="B92" s="6">
        <v>4</v>
      </c>
      <c r="C92" s="6" t="s">
        <v>217</v>
      </c>
      <c r="D92" s="6" t="s">
        <v>2224</v>
      </c>
      <c r="E92" s="6" t="s">
        <v>218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5</v>
      </c>
      <c r="C93" s="6" t="s">
        <v>219</v>
      </c>
      <c r="D93" s="6" t="s">
        <v>2225</v>
      </c>
      <c r="E93" s="6" t="s">
        <v>218</v>
      </c>
      <c r="F93" s="6" t="s">
        <v>131</v>
      </c>
      <c r="G93" s="6"/>
      <c r="H93" s="5"/>
      <c r="I93" s="5"/>
    </row>
    <row r="94" spans="1:9">
      <c r="A94" s="6" t="s">
        <v>51</v>
      </c>
      <c r="B94" s="6">
        <v>6</v>
      </c>
      <c r="C94" s="6" t="s">
        <v>220</v>
      </c>
      <c r="D94" s="6" t="s">
        <v>2226</v>
      </c>
      <c r="E94" s="6" t="s">
        <v>218</v>
      </c>
      <c r="F94" s="6" t="s">
        <v>107</v>
      </c>
      <c r="G94" s="6"/>
      <c r="H94" s="5"/>
      <c r="I94" s="5"/>
    </row>
    <row r="95" spans="1:9">
      <c r="A95" s="6" t="s">
        <v>53</v>
      </c>
      <c r="B95" s="6">
        <v>1</v>
      </c>
      <c r="C95" s="6" t="s">
        <v>212</v>
      </c>
      <c r="D95" s="6" t="s">
        <v>2221</v>
      </c>
      <c r="E95" s="6" t="s">
        <v>213</v>
      </c>
      <c r="F95" s="6" t="s">
        <v>107</v>
      </c>
      <c r="G95" s="6" t="s">
        <v>2227</v>
      </c>
      <c r="H95" s="5"/>
      <c r="I95" s="5"/>
    </row>
    <row r="96" spans="1:9">
      <c r="A96" s="6" t="s">
        <v>53</v>
      </c>
      <c r="B96" s="6">
        <v>2</v>
      </c>
      <c r="C96" s="6" t="s">
        <v>214</v>
      </c>
      <c r="D96" s="6" t="s">
        <v>2222</v>
      </c>
      <c r="E96" s="6" t="s">
        <v>215</v>
      </c>
      <c r="F96" s="6" t="s">
        <v>107</v>
      </c>
      <c r="G96" s="6" t="s">
        <v>2227</v>
      </c>
      <c r="H96" s="5"/>
      <c r="I96" s="5"/>
    </row>
    <row r="97" spans="1:9">
      <c r="A97" s="6" t="s">
        <v>53</v>
      </c>
      <c r="B97" s="6">
        <v>3</v>
      </c>
      <c r="C97" s="6" t="s">
        <v>221</v>
      </c>
      <c r="D97" s="6" t="s">
        <v>2228</v>
      </c>
      <c r="E97" s="6" t="s">
        <v>114</v>
      </c>
      <c r="F97" s="6" t="s">
        <v>107</v>
      </c>
      <c r="G97" s="6" t="s">
        <v>108</v>
      </c>
      <c r="H97" s="5" t="s">
        <v>115</v>
      </c>
      <c r="I97" s="5"/>
    </row>
    <row r="98" spans="1:9">
      <c r="A98" s="6" t="s">
        <v>53</v>
      </c>
      <c r="B98" s="6">
        <v>4</v>
      </c>
      <c r="C98" s="6" t="s">
        <v>105</v>
      </c>
      <c r="D98" s="6" t="s">
        <v>2132</v>
      </c>
      <c r="E98" s="6" t="s">
        <v>106</v>
      </c>
      <c r="F98" s="6" t="s">
        <v>131</v>
      </c>
      <c r="G98" s="6" t="s">
        <v>2141</v>
      </c>
      <c r="H98" s="5"/>
      <c r="I98" s="5"/>
    </row>
    <row r="99" spans="1:9">
      <c r="A99" s="6" t="s">
        <v>53</v>
      </c>
      <c r="B99" s="6">
        <v>5</v>
      </c>
      <c r="C99" s="6" t="s">
        <v>109</v>
      </c>
      <c r="D99" s="6" t="s">
        <v>2133</v>
      </c>
      <c r="E99" s="6" t="s">
        <v>110</v>
      </c>
      <c r="F99" s="6" t="s">
        <v>131</v>
      </c>
      <c r="G99" s="6" t="s">
        <v>2141</v>
      </c>
      <c r="H99" s="5"/>
      <c r="I99" s="5"/>
    </row>
    <row r="100" spans="1:9" ht="25">
      <c r="A100" s="6" t="s">
        <v>53</v>
      </c>
      <c r="B100" s="6">
        <v>6</v>
      </c>
      <c r="C100" s="6" t="s">
        <v>222</v>
      </c>
      <c r="D100" s="6" t="s">
        <v>2229</v>
      </c>
      <c r="E100" s="6" t="s">
        <v>114</v>
      </c>
      <c r="F100" s="6" t="s">
        <v>107</v>
      </c>
      <c r="G100" s="6"/>
      <c r="H100" s="5" t="s">
        <v>223</v>
      </c>
      <c r="I100" s="5" t="s">
        <v>2230</v>
      </c>
    </row>
    <row r="101" spans="1:9">
      <c r="A101" s="6" t="s">
        <v>53</v>
      </c>
      <c r="B101" s="6">
        <v>7</v>
      </c>
      <c r="C101" s="6" t="s">
        <v>224</v>
      </c>
      <c r="D101" s="6" t="s">
        <v>2231</v>
      </c>
      <c r="E101" s="6" t="s">
        <v>215</v>
      </c>
      <c r="F101" s="6" t="s">
        <v>131</v>
      </c>
      <c r="G101" s="6"/>
      <c r="H101" s="5"/>
      <c r="I101" s="5"/>
    </row>
    <row r="102" spans="1:9">
      <c r="A102" s="6" t="s">
        <v>53</v>
      </c>
      <c r="B102" s="6">
        <v>8</v>
      </c>
      <c r="C102" s="6" t="s">
        <v>225</v>
      </c>
      <c r="D102" s="6" t="s">
        <v>2232</v>
      </c>
      <c r="E102" s="6" t="s">
        <v>114</v>
      </c>
      <c r="F102" s="6" t="s">
        <v>131</v>
      </c>
      <c r="G102" s="6"/>
      <c r="H102" s="5" t="s">
        <v>226</v>
      </c>
      <c r="I102" s="5"/>
    </row>
    <row r="103" spans="1:9">
      <c r="A103" s="6" t="s">
        <v>53</v>
      </c>
      <c r="B103" s="6">
        <v>9</v>
      </c>
      <c r="C103" s="6" t="s">
        <v>227</v>
      </c>
      <c r="D103" s="6" t="s">
        <v>2233</v>
      </c>
      <c r="E103" s="6" t="s">
        <v>128</v>
      </c>
      <c r="F103" s="6" t="s">
        <v>131</v>
      </c>
      <c r="G103" s="6"/>
      <c r="H103" s="5"/>
      <c r="I103" s="5"/>
    </row>
    <row r="104" spans="1:9">
      <c r="A104" s="6" t="s">
        <v>53</v>
      </c>
      <c r="B104" s="6">
        <v>10</v>
      </c>
      <c r="C104" s="6" t="s">
        <v>228</v>
      </c>
      <c r="D104" s="6" t="s">
        <v>2234</v>
      </c>
      <c r="E104" s="6" t="s">
        <v>218</v>
      </c>
      <c r="F104" s="6" t="s">
        <v>107</v>
      </c>
      <c r="G104" s="6"/>
      <c r="H104" s="5"/>
      <c r="I104" s="5"/>
    </row>
    <row r="105" spans="1:9">
      <c r="A105" s="6" t="s">
        <v>55</v>
      </c>
      <c r="B105" s="6">
        <v>1</v>
      </c>
      <c r="C105" s="6" t="s">
        <v>56</v>
      </c>
      <c r="D105" s="6" t="s">
        <v>2235</v>
      </c>
      <c r="E105" s="6" t="s">
        <v>229</v>
      </c>
      <c r="F105" s="6" t="s">
        <v>107</v>
      </c>
      <c r="G105" s="6" t="s">
        <v>108</v>
      </c>
      <c r="H105" s="5"/>
      <c r="I105" s="5"/>
    </row>
    <row r="106" spans="1:9">
      <c r="A106" s="6" t="s">
        <v>55</v>
      </c>
      <c r="B106" s="6">
        <v>2</v>
      </c>
      <c r="C106" s="6" t="s">
        <v>212</v>
      </c>
      <c r="D106" s="6" t="s">
        <v>2221</v>
      </c>
      <c r="E106" s="6" t="s">
        <v>213</v>
      </c>
      <c r="F106" s="6" t="s">
        <v>107</v>
      </c>
      <c r="G106" s="6" t="s">
        <v>2236</v>
      </c>
      <c r="H106" s="5"/>
      <c r="I106" s="5"/>
    </row>
    <row r="107" spans="1:9">
      <c r="A107" s="6" t="s">
        <v>55</v>
      </c>
      <c r="B107" s="6">
        <v>3</v>
      </c>
      <c r="C107" s="6" t="s">
        <v>214</v>
      </c>
      <c r="D107" s="6" t="s">
        <v>2222</v>
      </c>
      <c r="E107" s="6" t="s">
        <v>215</v>
      </c>
      <c r="F107" s="6" t="s">
        <v>107</v>
      </c>
      <c r="G107" s="6" t="s">
        <v>2236</v>
      </c>
      <c r="H107" s="5"/>
      <c r="I107" s="5"/>
    </row>
    <row r="108" spans="1:9">
      <c r="A108" s="6" t="s">
        <v>55</v>
      </c>
      <c r="B108" s="6">
        <v>4</v>
      </c>
      <c r="C108" s="6" t="s">
        <v>224</v>
      </c>
      <c r="D108" s="6" t="s">
        <v>2237</v>
      </c>
      <c r="E108" s="6" t="s">
        <v>215</v>
      </c>
      <c r="F108" s="6" t="s">
        <v>107</v>
      </c>
      <c r="G108" s="6"/>
      <c r="H108" s="5"/>
      <c r="I108" s="5"/>
    </row>
    <row r="109" spans="1:9">
      <c r="A109" s="6" t="s">
        <v>55</v>
      </c>
      <c r="B109" s="6">
        <v>5</v>
      </c>
      <c r="C109" s="6" t="s">
        <v>225</v>
      </c>
      <c r="D109" s="6" t="s">
        <v>2238</v>
      </c>
      <c r="E109" s="6" t="s">
        <v>114</v>
      </c>
      <c r="F109" s="6" t="s">
        <v>107</v>
      </c>
      <c r="G109" s="6"/>
      <c r="H109" s="5" t="s">
        <v>226</v>
      </c>
      <c r="I109" s="5"/>
    </row>
    <row r="110" spans="1:9">
      <c r="A110" s="6" t="s">
        <v>55</v>
      </c>
      <c r="B110" s="6">
        <v>6</v>
      </c>
      <c r="C110" s="6" t="s">
        <v>105</v>
      </c>
      <c r="D110" s="6" t="s">
        <v>2132</v>
      </c>
      <c r="E110" s="6" t="s">
        <v>106</v>
      </c>
      <c r="F110" s="6" t="s">
        <v>107</v>
      </c>
      <c r="G110" s="6" t="s">
        <v>2141</v>
      </c>
      <c r="H110" s="5"/>
      <c r="I110" s="5"/>
    </row>
    <row r="111" spans="1:9">
      <c r="A111" s="6" t="s">
        <v>55</v>
      </c>
      <c r="B111" s="6">
        <v>7</v>
      </c>
      <c r="C111" s="6" t="s">
        <v>109</v>
      </c>
      <c r="D111" s="6" t="s">
        <v>2133</v>
      </c>
      <c r="E111" s="6" t="s">
        <v>110</v>
      </c>
      <c r="F111" s="6" t="s">
        <v>107</v>
      </c>
      <c r="G111" s="6" t="s">
        <v>2141</v>
      </c>
      <c r="H111" s="5"/>
      <c r="I111" s="5"/>
    </row>
    <row r="112" spans="1:9">
      <c r="A112" s="6" t="s">
        <v>55</v>
      </c>
      <c r="B112" s="6">
        <v>8</v>
      </c>
      <c r="C112" s="6" t="s">
        <v>127</v>
      </c>
      <c r="D112" s="6" t="s">
        <v>2144</v>
      </c>
      <c r="E112" s="6" t="s">
        <v>128</v>
      </c>
      <c r="F112" s="6" t="s">
        <v>107</v>
      </c>
      <c r="G112" s="6" t="s">
        <v>2239</v>
      </c>
      <c r="H112" s="5"/>
      <c r="I112" s="5" t="s">
        <v>2240</v>
      </c>
    </row>
    <row r="113" spans="1:9">
      <c r="A113" s="6" t="s">
        <v>55</v>
      </c>
      <c r="B113" s="6">
        <v>9</v>
      </c>
      <c r="C113" s="6" t="s">
        <v>230</v>
      </c>
      <c r="D113" s="6" t="s">
        <v>2241</v>
      </c>
      <c r="E113" s="6" t="s">
        <v>123</v>
      </c>
      <c r="F113" s="6" t="s">
        <v>107</v>
      </c>
      <c r="G113" s="6"/>
      <c r="H113" s="5"/>
      <c r="I113" s="5"/>
    </row>
    <row r="114" spans="1:9">
      <c r="A114" s="6" t="s">
        <v>55</v>
      </c>
      <c r="B114" s="6">
        <v>10</v>
      </c>
      <c r="C114" s="6" t="s">
        <v>231</v>
      </c>
      <c r="D114" s="6" t="s">
        <v>2242</v>
      </c>
      <c r="E114" s="6" t="s">
        <v>147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11</v>
      </c>
      <c r="C115" s="6" t="s">
        <v>232</v>
      </c>
      <c r="D115" s="6" t="s">
        <v>2243</v>
      </c>
      <c r="E115" s="6" t="s">
        <v>218</v>
      </c>
      <c r="F115" s="6" t="s">
        <v>107</v>
      </c>
      <c r="G115" s="6"/>
      <c r="H115" s="5"/>
      <c r="I115" s="5"/>
    </row>
    <row r="116" spans="1:9">
      <c r="A116" s="6" t="s">
        <v>57</v>
      </c>
      <c r="B116" s="6">
        <v>1</v>
      </c>
      <c r="C116" s="6" t="s">
        <v>212</v>
      </c>
      <c r="D116" s="6" t="s">
        <v>2221</v>
      </c>
      <c r="E116" s="6" t="s">
        <v>213</v>
      </c>
      <c r="F116" s="6" t="s">
        <v>107</v>
      </c>
      <c r="G116" s="6" t="s">
        <v>108</v>
      </c>
      <c r="H116" s="5"/>
      <c r="I116" s="5"/>
    </row>
    <row r="117" spans="1:9">
      <c r="A117" s="6" t="s">
        <v>57</v>
      </c>
      <c r="B117" s="6">
        <v>2</v>
      </c>
      <c r="C117" s="6" t="s">
        <v>105</v>
      </c>
      <c r="D117" s="6" t="s">
        <v>2153</v>
      </c>
      <c r="E117" s="6" t="s">
        <v>106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3</v>
      </c>
      <c r="C118" s="6" t="s">
        <v>109</v>
      </c>
      <c r="D118" s="6" t="s">
        <v>2133</v>
      </c>
      <c r="E118" s="6" t="s">
        <v>110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4</v>
      </c>
      <c r="C119" s="6" t="s">
        <v>233</v>
      </c>
      <c r="D119" s="6" t="s">
        <v>2244</v>
      </c>
      <c r="E119" s="6" t="s">
        <v>215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5</v>
      </c>
      <c r="C120" s="6" t="s">
        <v>234</v>
      </c>
      <c r="D120" s="6" t="s">
        <v>2245</v>
      </c>
      <c r="E120" s="6" t="s">
        <v>215</v>
      </c>
      <c r="F120" s="6" t="s">
        <v>107</v>
      </c>
      <c r="G120" s="6"/>
      <c r="H120" s="5"/>
      <c r="I120" s="5"/>
    </row>
    <row r="121" spans="1:9">
      <c r="A121" s="6" t="s">
        <v>57</v>
      </c>
      <c r="B121" s="6">
        <v>6</v>
      </c>
      <c r="C121" s="6" t="s">
        <v>235</v>
      </c>
      <c r="D121" s="6" t="s">
        <v>2246</v>
      </c>
      <c r="E121" s="6" t="s">
        <v>123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7</v>
      </c>
      <c r="C122" s="6" t="s">
        <v>236</v>
      </c>
      <c r="D122" s="6" t="s">
        <v>2247</v>
      </c>
      <c r="E122" s="6" t="s">
        <v>237</v>
      </c>
      <c r="F122" s="6" t="s">
        <v>131</v>
      </c>
      <c r="G122" s="6"/>
      <c r="H122" s="5"/>
      <c r="I122" s="5"/>
    </row>
    <row r="123" spans="1:9" ht="37.5">
      <c r="A123" s="6" t="s">
        <v>57</v>
      </c>
      <c r="B123" s="6">
        <v>8</v>
      </c>
      <c r="C123" s="6" t="s">
        <v>222</v>
      </c>
      <c r="D123" s="6" t="s">
        <v>2248</v>
      </c>
      <c r="E123" s="6" t="s">
        <v>114</v>
      </c>
      <c r="F123" s="6" t="s">
        <v>131</v>
      </c>
      <c r="G123" s="6"/>
      <c r="H123" s="5" t="s">
        <v>238</v>
      </c>
      <c r="I123" s="5" t="s">
        <v>2249</v>
      </c>
    </row>
    <row r="124" spans="1:9">
      <c r="A124" s="6" t="s">
        <v>57</v>
      </c>
      <c r="B124" s="6">
        <v>9</v>
      </c>
      <c r="C124" s="6" t="s">
        <v>239</v>
      </c>
      <c r="D124" s="6" t="s">
        <v>2250</v>
      </c>
      <c r="E124" s="6" t="s">
        <v>218</v>
      </c>
      <c r="F124" s="6" t="s">
        <v>107</v>
      </c>
      <c r="G124" s="6"/>
      <c r="H124" s="5"/>
      <c r="I124" s="5"/>
    </row>
    <row r="125" spans="1:9">
      <c r="A125" s="6" t="s">
        <v>59</v>
      </c>
      <c r="B125" s="6">
        <v>1</v>
      </c>
      <c r="C125" s="6" t="s">
        <v>212</v>
      </c>
      <c r="D125" s="6" t="s">
        <v>2221</v>
      </c>
      <c r="E125" s="6" t="s">
        <v>213</v>
      </c>
      <c r="F125" s="6" t="s">
        <v>107</v>
      </c>
      <c r="G125" s="6" t="s">
        <v>108</v>
      </c>
      <c r="H125" s="5"/>
      <c r="I125" s="5"/>
    </row>
    <row r="126" spans="1:9">
      <c r="A126" s="6" t="s">
        <v>59</v>
      </c>
      <c r="B126" s="6">
        <v>2</v>
      </c>
      <c r="C126" s="6" t="s">
        <v>105</v>
      </c>
      <c r="D126" s="6" t="s">
        <v>2153</v>
      </c>
      <c r="E126" s="6" t="s">
        <v>106</v>
      </c>
      <c r="F126" s="6" t="s">
        <v>107</v>
      </c>
      <c r="G126" s="6" t="s">
        <v>108</v>
      </c>
      <c r="H126" s="5"/>
      <c r="I126" s="5"/>
    </row>
    <row r="127" spans="1:9" ht="25">
      <c r="A127" s="6" t="s">
        <v>59</v>
      </c>
      <c r="B127" s="6">
        <v>3</v>
      </c>
      <c r="C127" s="6" t="s">
        <v>139</v>
      </c>
      <c r="D127" s="6" t="s">
        <v>2251</v>
      </c>
      <c r="E127" s="6" t="s">
        <v>114</v>
      </c>
      <c r="F127" s="6" t="s">
        <v>107</v>
      </c>
      <c r="G127" s="6"/>
      <c r="H127" s="5" t="s">
        <v>140</v>
      </c>
      <c r="I127" s="5" t="s">
        <v>2155</v>
      </c>
    </row>
    <row r="128" spans="1:9">
      <c r="A128" s="6" t="s">
        <v>59</v>
      </c>
      <c r="B128" s="6">
        <v>4</v>
      </c>
      <c r="C128" s="6" t="s">
        <v>241</v>
      </c>
      <c r="D128" s="6" t="s">
        <v>2252</v>
      </c>
      <c r="E128" s="6" t="s">
        <v>218</v>
      </c>
      <c r="F128" s="6" t="s">
        <v>107</v>
      </c>
      <c r="G128" s="6"/>
      <c r="H128" s="5"/>
      <c r="I128" s="5"/>
    </row>
    <row r="129" spans="1:9">
      <c r="A129" s="6" t="s">
        <v>59</v>
      </c>
      <c r="B129" s="6">
        <v>5</v>
      </c>
      <c r="C129" s="6" t="s">
        <v>242</v>
      </c>
      <c r="D129" s="6" t="s">
        <v>2253</v>
      </c>
      <c r="E129" s="6" t="s">
        <v>215</v>
      </c>
      <c r="F129" s="6" t="s">
        <v>131</v>
      </c>
      <c r="G129" s="6"/>
      <c r="H129" s="5"/>
      <c r="I129" s="5"/>
    </row>
    <row r="130" spans="1:9">
      <c r="A130" s="6" t="s">
        <v>59</v>
      </c>
      <c r="B130" s="6">
        <v>6</v>
      </c>
      <c r="C130" s="6" t="s">
        <v>243</v>
      </c>
      <c r="D130" s="6" t="s">
        <v>2254</v>
      </c>
      <c r="E130" s="6" t="s">
        <v>237</v>
      </c>
      <c r="F130" s="6" t="s">
        <v>131</v>
      </c>
      <c r="G130" s="6"/>
      <c r="H130" s="5"/>
      <c r="I130" s="5"/>
    </row>
    <row r="131" spans="1:9">
      <c r="A131" s="6" t="s">
        <v>61</v>
      </c>
      <c r="B131" s="6">
        <v>1</v>
      </c>
      <c r="C131" s="6" t="s">
        <v>244</v>
      </c>
      <c r="D131" s="6" t="s">
        <v>2255</v>
      </c>
      <c r="E131" s="6" t="s">
        <v>229</v>
      </c>
      <c r="F131" s="6" t="s">
        <v>107</v>
      </c>
      <c r="G131" s="6" t="s">
        <v>108</v>
      </c>
      <c r="H131" s="5"/>
      <c r="I131" s="5"/>
    </row>
    <row r="132" spans="1:9">
      <c r="A132" s="6" t="s">
        <v>61</v>
      </c>
      <c r="B132" s="6">
        <v>2</v>
      </c>
      <c r="C132" s="6" t="s">
        <v>245</v>
      </c>
      <c r="D132" s="6" t="s">
        <v>2256</v>
      </c>
      <c r="E132" s="6" t="s">
        <v>123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3</v>
      </c>
      <c r="C133" s="6" t="s">
        <v>212</v>
      </c>
      <c r="D133" s="6" t="s">
        <v>2221</v>
      </c>
      <c r="E133" s="6" t="s">
        <v>213</v>
      </c>
      <c r="F133" s="6" t="s">
        <v>107</v>
      </c>
      <c r="G133" s="6"/>
      <c r="H133" s="5"/>
      <c r="I133" s="5"/>
    </row>
    <row r="134" spans="1:9" ht="25">
      <c r="A134" s="6" t="s">
        <v>61</v>
      </c>
      <c r="B134" s="6">
        <v>4</v>
      </c>
      <c r="C134" s="6" t="s">
        <v>214</v>
      </c>
      <c r="D134" s="6" t="s">
        <v>2222</v>
      </c>
      <c r="E134" s="6" t="s">
        <v>215</v>
      </c>
      <c r="F134" s="6" t="s">
        <v>107</v>
      </c>
      <c r="G134" s="6"/>
      <c r="H134" s="5"/>
      <c r="I134" s="5" t="s">
        <v>2257</v>
      </c>
    </row>
    <row r="135" spans="1:9">
      <c r="A135" s="6" t="s">
        <v>61</v>
      </c>
      <c r="B135" s="6">
        <v>5</v>
      </c>
      <c r="C135" s="6" t="s">
        <v>133</v>
      </c>
      <c r="D135" s="6" t="s">
        <v>2148</v>
      </c>
      <c r="E135" s="6" t="s">
        <v>106</v>
      </c>
      <c r="F135" s="6" t="s">
        <v>131</v>
      </c>
      <c r="G135" s="6" t="s">
        <v>2258</v>
      </c>
      <c r="H135" s="5"/>
      <c r="I135" s="5"/>
    </row>
    <row r="136" spans="1:9">
      <c r="A136" s="6" t="s">
        <v>61</v>
      </c>
      <c r="B136" s="6">
        <v>6</v>
      </c>
      <c r="C136" s="6" t="s">
        <v>134</v>
      </c>
      <c r="D136" s="6" t="s">
        <v>2149</v>
      </c>
      <c r="E136" s="6" t="s">
        <v>110</v>
      </c>
      <c r="F136" s="6" t="s">
        <v>131</v>
      </c>
      <c r="G136" s="6" t="s">
        <v>2258</v>
      </c>
      <c r="H136" s="5"/>
      <c r="I136" s="5"/>
    </row>
    <row r="137" spans="1:9">
      <c r="A137" s="6" t="s">
        <v>61</v>
      </c>
      <c r="B137" s="6">
        <v>7</v>
      </c>
      <c r="C137" s="6" t="s">
        <v>246</v>
      </c>
      <c r="D137" s="6" t="s">
        <v>2259</v>
      </c>
      <c r="E137" s="6" t="s">
        <v>166</v>
      </c>
      <c r="F137" s="6" t="s">
        <v>131</v>
      </c>
      <c r="G137" s="6"/>
      <c r="H137" s="5"/>
      <c r="I137" s="5"/>
    </row>
    <row r="138" spans="1:9">
      <c r="A138" s="6" t="s">
        <v>61</v>
      </c>
      <c r="B138" s="6">
        <v>8</v>
      </c>
      <c r="C138" s="6" t="s">
        <v>247</v>
      </c>
      <c r="D138" s="6" t="s">
        <v>2260</v>
      </c>
      <c r="E138" s="6" t="s">
        <v>120</v>
      </c>
      <c r="F138" s="6" t="s">
        <v>131</v>
      </c>
      <c r="G138" s="6"/>
      <c r="H138" s="5"/>
      <c r="I138" s="5"/>
    </row>
    <row r="139" spans="1:9">
      <c r="A139" s="6" t="s">
        <v>61</v>
      </c>
      <c r="B139" s="6">
        <v>9</v>
      </c>
      <c r="C139" s="6" t="s">
        <v>138</v>
      </c>
      <c r="D139" s="6" t="s">
        <v>2261</v>
      </c>
      <c r="E139" s="6" t="s">
        <v>106</v>
      </c>
      <c r="F139" s="6" t="s">
        <v>131</v>
      </c>
      <c r="G139" s="6"/>
      <c r="H139" s="5"/>
      <c r="I139" s="5"/>
    </row>
    <row r="140" spans="1:9">
      <c r="A140" s="6" t="s">
        <v>61</v>
      </c>
      <c r="B140" s="6">
        <v>10</v>
      </c>
      <c r="C140" s="6" t="s">
        <v>136</v>
      </c>
      <c r="D140" s="6" t="s">
        <v>2262</v>
      </c>
      <c r="E140" s="6" t="s">
        <v>106</v>
      </c>
      <c r="F140" s="6" t="s">
        <v>131</v>
      </c>
      <c r="G140" s="6"/>
      <c r="H140" s="5"/>
      <c r="I140" s="5"/>
    </row>
    <row r="141" spans="1:9" ht="25">
      <c r="A141" s="6" t="s">
        <v>61</v>
      </c>
      <c r="B141" s="6">
        <v>11</v>
      </c>
      <c r="C141" s="6" t="s">
        <v>139</v>
      </c>
      <c r="D141" s="6" t="s">
        <v>2263</v>
      </c>
      <c r="E141" s="6" t="s">
        <v>106</v>
      </c>
      <c r="F141" s="6" t="s">
        <v>131</v>
      </c>
      <c r="G141" s="6"/>
      <c r="H141" s="5" t="s">
        <v>140</v>
      </c>
      <c r="I141" s="5" t="s">
        <v>2264</v>
      </c>
    </row>
    <row r="142" spans="1:9" ht="25">
      <c r="A142" s="6" t="s">
        <v>61</v>
      </c>
      <c r="B142" s="6">
        <v>12</v>
      </c>
      <c r="C142" s="6" t="s">
        <v>248</v>
      </c>
      <c r="D142" s="6" t="s">
        <v>2265</v>
      </c>
      <c r="E142" s="6" t="s">
        <v>215</v>
      </c>
      <c r="F142" s="6" t="s">
        <v>131</v>
      </c>
      <c r="G142" s="6"/>
      <c r="H142" s="5"/>
      <c r="I142" s="5" t="s">
        <v>2266</v>
      </c>
    </row>
    <row r="143" spans="1:9">
      <c r="A143" s="6" t="s">
        <v>61</v>
      </c>
      <c r="B143" s="6">
        <v>13</v>
      </c>
      <c r="C143" s="6" t="s">
        <v>249</v>
      </c>
      <c r="D143" s="6" t="s">
        <v>2267</v>
      </c>
      <c r="E143" s="6" t="s">
        <v>114</v>
      </c>
      <c r="F143" s="6" t="s">
        <v>131</v>
      </c>
      <c r="G143" s="6"/>
      <c r="H143" s="5" t="s">
        <v>250</v>
      </c>
      <c r="I143" s="5"/>
    </row>
    <row r="144" spans="1:9">
      <c r="A144" s="6" t="s">
        <v>61</v>
      </c>
      <c r="B144" s="6">
        <v>14</v>
      </c>
      <c r="C144" s="6" t="s">
        <v>251</v>
      </c>
      <c r="D144" s="6" t="s">
        <v>2268</v>
      </c>
      <c r="E144" s="6" t="s">
        <v>166</v>
      </c>
      <c r="F144" s="6" t="s">
        <v>131</v>
      </c>
      <c r="G144" s="6"/>
      <c r="H144" s="5"/>
      <c r="I144" s="5" t="s">
        <v>2269</v>
      </c>
    </row>
    <row r="145" spans="1:9">
      <c r="A145" s="6" t="s">
        <v>61</v>
      </c>
      <c r="B145" s="6">
        <v>15</v>
      </c>
      <c r="C145" s="6" t="s">
        <v>252</v>
      </c>
      <c r="D145" s="6" t="s">
        <v>2270</v>
      </c>
      <c r="E145" s="6" t="s">
        <v>110</v>
      </c>
      <c r="F145" s="6" t="s">
        <v>107</v>
      </c>
      <c r="G145" s="6"/>
      <c r="H145" s="5"/>
      <c r="I145" s="5"/>
    </row>
    <row r="146" spans="1:9" ht="25">
      <c r="A146" s="6" t="s">
        <v>61</v>
      </c>
      <c r="B146" s="6">
        <v>16</v>
      </c>
      <c r="C146" s="6" t="s">
        <v>254</v>
      </c>
      <c r="D146" s="6" t="s">
        <v>2271</v>
      </c>
      <c r="E146" s="6" t="s">
        <v>114</v>
      </c>
      <c r="F146" s="6" t="s">
        <v>107</v>
      </c>
      <c r="G146" s="6"/>
      <c r="H146" s="5" t="s">
        <v>255</v>
      </c>
      <c r="I146" s="5" t="s">
        <v>2272</v>
      </c>
    </row>
    <row r="147" spans="1:9">
      <c r="A147" s="6" t="s">
        <v>61</v>
      </c>
      <c r="B147" s="6">
        <v>17</v>
      </c>
      <c r="C147" s="6" t="s">
        <v>256</v>
      </c>
      <c r="D147" s="6" t="s">
        <v>2273</v>
      </c>
      <c r="E147" s="6" t="s">
        <v>147</v>
      </c>
      <c r="F147" s="6" t="s">
        <v>107</v>
      </c>
      <c r="G147" s="6"/>
      <c r="H147" s="5"/>
      <c r="I147" s="5"/>
    </row>
    <row r="148" spans="1:9">
      <c r="A148" s="6" t="s">
        <v>61</v>
      </c>
      <c r="B148" s="6">
        <v>18</v>
      </c>
      <c r="C148" s="6" t="s">
        <v>220</v>
      </c>
      <c r="D148" s="6" t="s">
        <v>2226</v>
      </c>
      <c r="E148" s="6" t="s">
        <v>218</v>
      </c>
      <c r="F148" s="6" t="s">
        <v>107</v>
      </c>
      <c r="G148" s="6"/>
      <c r="H148" s="5"/>
      <c r="I148" s="5"/>
    </row>
    <row r="149" spans="1:9">
      <c r="A149" s="6" t="s">
        <v>61</v>
      </c>
      <c r="B149" s="6">
        <v>19</v>
      </c>
      <c r="C149" s="6" t="s">
        <v>257</v>
      </c>
      <c r="D149" s="6" t="s">
        <v>2274</v>
      </c>
      <c r="E149" s="6" t="s">
        <v>229</v>
      </c>
      <c r="F149" s="6" t="s">
        <v>131</v>
      </c>
      <c r="G149" s="6" t="s">
        <v>2275</v>
      </c>
      <c r="H149" s="5"/>
      <c r="I149" s="5" t="s">
        <v>2276</v>
      </c>
    </row>
    <row r="150" spans="1:9">
      <c r="A150" s="6" t="s">
        <v>63</v>
      </c>
      <c r="B150" s="6">
        <v>1</v>
      </c>
      <c r="C150" s="6" t="s">
        <v>244</v>
      </c>
      <c r="D150" s="6" t="s">
        <v>2255</v>
      </c>
      <c r="E150" s="6" t="s">
        <v>229</v>
      </c>
      <c r="F150" s="6" t="s">
        <v>107</v>
      </c>
      <c r="G150" s="6" t="s">
        <v>2277</v>
      </c>
      <c r="H150" s="5"/>
      <c r="I150" s="5"/>
    </row>
    <row r="151" spans="1:9">
      <c r="A151" s="6" t="s">
        <v>63</v>
      </c>
      <c r="B151" s="6">
        <v>2</v>
      </c>
      <c r="C151" s="6" t="s">
        <v>245</v>
      </c>
      <c r="D151" s="6" t="s">
        <v>2256</v>
      </c>
      <c r="E151" s="6" t="s">
        <v>123</v>
      </c>
      <c r="F151" s="6" t="s">
        <v>107</v>
      </c>
      <c r="G151" s="6" t="s">
        <v>2277</v>
      </c>
      <c r="H151" s="5"/>
      <c r="I151" s="5"/>
    </row>
    <row r="152" spans="1:9">
      <c r="A152" s="6" t="s">
        <v>63</v>
      </c>
      <c r="B152" s="6">
        <v>3</v>
      </c>
      <c r="C152" s="6" t="s">
        <v>258</v>
      </c>
      <c r="D152" s="6" t="s">
        <v>2278</v>
      </c>
      <c r="E152" s="6" t="s">
        <v>147</v>
      </c>
      <c r="F152" s="6" t="s">
        <v>107</v>
      </c>
      <c r="G152" s="6"/>
      <c r="H152" s="5"/>
      <c r="I152" s="5"/>
    </row>
    <row r="153" spans="1:9">
      <c r="A153" s="6" t="s">
        <v>63</v>
      </c>
      <c r="B153" s="6">
        <v>4</v>
      </c>
      <c r="C153" s="6" t="s">
        <v>241</v>
      </c>
      <c r="D153" s="6" t="s">
        <v>2279</v>
      </c>
      <c r="E153" s="6" t="s">
        <v>218</v>
      </c>
      <c r="F153" s="6" t="s">
        <v>107</v>
      </c>
      <c r="G153" s="6"/>
      <c r="H153" s="5"/>
      <c r="I153" s="5"/>
    </row>
    <row r="154" spans="1:9">
      <c r="A154" s="6" t="s">
        <v>63</v>
      </c>
      <c r="B154" s="6">
        <v>5</v>
      </c>
      <c r="C154" s="6" t="s">
        <v>259</v>
      </c>
      <c r="D154" s="6" t="s">
        <v>2280</v>
      </c>
      <c r="E154" s="6" t="s">
        <v>218</v>
      </c>
      <c r="F154" s="6" t="s">
        <v>131</v>
      </c>
      <c r="G154" s="6"/>
      <c r="H154" s="5" t="s">
        <v>2281</v>
      </c>
      <c r="I154" s="5"/>
    </row>
    <row r="155" spans="1:9">
      <c r="A155" s="6" t="s">
        <v>64</v>
      </c>
      <c r="B155" s="6">
        <v>1</v>
      </c>
      <c r="C155" s="6" t="s">
        <v>212</v>
      </c>
      <c r="D155" s="6" t="s">
        <v>2221</v>
      </c>
      <c r="E155" s="6" t="s">
        <v>213</v>
      </c>
      <c r="F155" s="6" t="s">
        <v>107</v>
      </c>
      <c r="G155" s="6" t="s">
        <v>108</v>
      </c>
      <c r="H155" s="5"/>
      <c r="I155" s="5"/>
    </row>
    <row r="156" spans="1:9">
      <c r="A156" s="6" t="s">
        <v>64</v>
      </c>
      <c r="B156" s="6">
        <v>2</v>
      </c>
      <c r="C156" s="6" t="s">
        <v>38</v>
      </c>
      <c r="D156" s="6" t="s">
        <v>2282</v>
      </c>
      <c r="E156" s="6" t="s">
        <v>110</v>
      </c>
      <c r="F156" s="6" t="s">
        <v>107</v>
      </c>
      <c r="G156" s="6" t="s">
        <v>2190</v>
      </c>
      <c r="H156" s="5"/>
      <c r="I156" s="5"/>
    </row>
    <row r="157" spans="1:9">
      <c r="A157" s="6" t="s">
        <v>64</v>
      </c>
      <c r="B157" s="6">
        <v>3</v>
      </c>
      <c r="C157" s="6" t="s">
        <v>260</v>
      </c>
      <c r="D157" s="6" t="s">
        <v>2283</v>
      </c>
      <c r="E157" s="6" t="s">
        <v>114</v>
      </c>
      <c r="F157" s="6" t="s">
        <v>107</v>
      </c>
      <c r="G157" s="6"/>
      <c r="H157" s="5" t="s">
        <v>261</v>
      </c>
      <c r="I157" s="5"/>
    </row>
    <row r="158" spans="1:9">
      <c r="A158" s="6" t="s">
        <v>64</v>
      </c>
      <c r="B158" s="6">
        <v>4</v>
      </c>
      <c r="C158" s="6" t="s">
        <v>262</v>
      </c>
      <c r="D158" s="6" t="s">
        <v>2284</v>
      </c>
      <c r="E158" s="6" t="s">
        <v>106</v>
      </c>
      <c r="F158" s="6" t="s">
        <v>131</v>
      </c>
      <c r="G158" s="6"/>
      <c r="H158" s="5"/>
      <c r="I158" s="5"/>
    </row>
    <row r="159" spans="1:9">
      <c r="A159" s="6" t="s">
        <v>64</v>
      </c>
      <c r="B159" s="6">
        <v>5</v>
      </c>
      <c r="C159" s="6" t="s">
        <v>263</v>
      </c>
      <c r="D159" s="6" t="s">
        <v>2285</v>
      </c>
      <c r="E159" s="6" t="s">
        <v>215</v>
      </c>
      <c r="F159" s="6" t="s">
        <v>131</v>
      </c>
      <c r="G159" s="6"/>
      <c r="H159" s="5"/>
      <c r="I159" s="5"/>
    </row>
    <row r="160" spans="1:9">
      <c r="A160" s="6" t="s">
        <v>64</v>
      </c>
      <c r="B160" s="6">
        <v>6</v>
      </c>
      <c r="C160" s="6" t="s">
        <v>264</v>
      </c>
      <c r="D160" s="6" t="s">
        <v>2286</v>
      </c>
      <c r="E160" s="6" t="s">
        <v>218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7</v>
      </c>
      <c r="C161" s="6" t="s">
        <v>265</v>
      </c>
      <c r="D161" s="6" t="s">
        <v>2287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8</v>
      </c>
      <c r="C162" s="6" t="s">
        <v>266</v>
      </c>
      <c r="D162" s="6" t="s">
        <v>2288</v>
      </c>
      <c r="E162" s="6" t="s">
        <v>204</v>
      </c>
      <c r="F162" s="6" t="s">
        <v>131</v>
      </c>
      <c r="G162" s="6"/>
      <c r="H162" s="5"/>
      <c r="I162" s="5"/>
    </row>
    <row r="163" spans="1:9">
      <c r="A163" s="6" t="s">
        <v>66</v>
      </c>
      <c r="B163" s="6">
        <v>1</v>
      </c>
      <c r="C163" s="6" t="s">
        <v>67</v>
      </c>
      <c r="D163" s="6" t="s">
        <v>2062</v>
      </c>
      <c r="E163" s="6" t="s">
        <v>204</v>
      </c>
      <c r="F163" s="6" t="s">
        <v>107</v>
      </c>
      <c r="G163" s="6" t="s">
        <v>108</v>
      </c>
      <c r="H163" s="5"/>
      <c r="I163" s="5"/>
    </row>
    <row r="164" spans="1:9">
      <c r="A164" s="6" t="s">
        <v>66</v>
      </c>
      <c r="B164" s="6">
        <v>2</v>
      </c>
      <c r="C164" s="6" t="s">
        <v>267</v>
      </c>
      <c r="D164" s="6" t="s">
        <v>2289</v>
      </c>
      <c r="E164" s="6" t="s">
        <v>181</v>
      </c>
      <c r="F164" s="6" t="s">
        <v>107</v>
      </c>
      <c r="G164" s="6"/>
      <c r="H164" s="5"/>
      <c r="I164" s="5"/>
    </row>
    <row r="165" spans="1:9">
      <c r="A165" s="6" t="s">
        <v>66</v>
      </c>
      <c r="B165" s="6">
        <v>3</v>
      </c>
      <c r="C165" s="6" t="s">
        <v>268</v>
      </c>
      <c r="D165" s="6" t="s">
        <v>2290</v>
      </c>
      <c r="E165" s="6" t="s">
        <v>114</v>
      </c>
      <c r="F165" s="6" t="s">
        <v>107</v>
      </c>
      <c r="G165" s="6"/>
      <c r="H165" s="5" t="s">
        <v>269</v>
      </c>
      <c r="I165" s="5"/>
    </row>
    <row r="166" spans="1:9">
      <c r="A166" s="6" t="s">
        <v>66</v>
      </c>
      <c r="B166" s="6">
        <v>4</v>
      </c>
      <c r="C166" s="6" t="s">
        <v>270</v>
      </c>
      <c r="D166" s="6" t="s">
        <v>2291</v>
      </c>
      <c r="E166" s="6" t="s">
        <v>128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5</v>
      </c>
      <c r="C167" s="6" t="s">
        <v>271</v>
      </c>
      <c r="D167" s="6" t="s">
        <v>2292</v>
      </c>
      <c r="E167" s="6" t="s">
        <v>120</v>
      </c>
      <c r="F167" s="6" t="s">
        <v>131</v>
      </c>
      <c r="G167" s="6"/>
      <c r="H167" s="5"/>
      <c r="I167" s="5"/>
    </row>
    <row r="168" spans="1:9">
      <c r="A168" s="6" t="s">
        <v>66</v>
      </c>
      <c r="B168" s="6">
        <v>6</v>
      </c>
      <c r="C168" s="6" t="s">
        <v>272</v>
      </c>
      <c r="D168" s="6" t="s">
        <v>2293</v>
      </c>
      <c r="E168" s="6" t="s">
        <v>120</v>
      </c>
      <c r="F168" s="6" t="s">
        <v>107</v>
      </c>
      <c r="G168" s="6"/>
      <c r="H168" s="5"/>
      <c r="I168" s="5"/>
    </row>
    <row r="169" spans="1:9">
      <c r="A169" s="6" t="s">
        <v>68</v>
      </c>
      <c r="B169" s="6">
        <v>1</v>
      </c>
      <c r="C169" s="6" t="s">
        <v>69</v>
      </c>
      <c r="D169" s="6" t="s">
        <v>2294</v>
      </c>
      <c r="E169" s="6" t="s">
        <v>106</v>
      </c>
      <c r="F169" s="6" t="s">
        <v>107</v>
      </c>
      <c r="G169" s="6" t="s">
        <v>108</v>
      </c>
      <c r="H169" s="5"/>
      <c r="I169" s="5"/>
    </row>
    <row r="170" spans="1:9">
      <c r="A170" s="6" t="s">
        <v>68</v>
      </c>
      <c r="B170" s="6">
        <v>2</v>
      </c>
      <c r="C170" s="6" t="s">
        <v>273</v>
      </c>
      <c r="D170" s="6" t="s">
        <v>2295</v>
      </c>
      <c r="E170" s="6" t="s">
        <v>152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3</v>
      </c>
      <c r="C171" s="6" t="s">
        <v>274</v>
      </c>
      <c r="D171" s="6" t="s">
        <v>2296</v>
      </c>
      <c r="E171" s="6" t="s">
        <v>204</v>
      </c>
      <c r="F171" s="6" t="s">
        <v>131</v>
      </c>
      <c r="G171" s="6"/>
      <c r="H171" s="5"/>
      <c r="I171" s="5"/>
    </row>
    <row r="172" spans="1:9">
      <c r="A172" s="6" t="s">
        <v>68</v>
      </c>
      <c r="B172" s="6">
        <v>4</v>
      </c>
      <c r="C172" s="6" t="s">
        <v>275</v>
      </c>
      <c r="D172" s="6" t="s">
        <v>2297</v>
      </c>
      <c r="E172" s="6" t="s">
        <v>114</v>
      </c>
      <c r="F172" s="6" t="s">
        <v>107</v>
      </c>
      <c r="G172" s="6"/>
      <c r="H172" s="5" t="s">
        <v>276</v>
      </c>
      <c r="I172" s="5"/>
    </row>
    <row r="173" spans="1:9">
      <c r="A173" s="6" t="s">
        <v>68</v>
      </c>
      <c r="B173" s="6">
        <v>5</v>
      </c>
      <c r="C173" s="6" t="s">
        <v>277</v>
      </c>
      <c r="D173" s="6" t="s">
        <v>2298</v>
      </c>
      <c r="E173" s="6" t="s">
        <v>147</v>
      </c>
      <c r="F173" s="6" t="s">
        <v>107</v>
      </c>
      <c r="G173" s="6"/>
      <c r="H173" s="5"/>
      <c r="I173" s="5"/>
    </row>
    <row r="174" spans="1:9">
      <c r="A174" s="6" t="s">
        <v>68</v>
      </c>
      <c r="B174" s="6">
        <v>6</v>
      </c>
      <c r="C174" s="6" t="s">
        <v>278</v>
      </c>
      <c r="D174" s="6" t="s">
        <v>2299</v>
      </c>
      <c r="E174" s="6" t="s">
        <v>147</v>
      </c>
      <c r="F174" s="6" t="s">
        <v>107</v>
      </c>
      <c r="G174" s="6"/>
      <c r="H174" s="5"/>
      <c r="I174" s="5"/>
    </row>
    <row r="175" spans="1:9">
      <c r="A175" s="6" t="s">
        <v>68</v>
      </c>
      <c r="B175" s="6">
        <v>7</v>
      </c>
      <c r="C175" s="6" t="s">
        <v>279</v>
      </c>
      <c r="D175" s="6" t="s">
        <v>2300</v>
      </c>
      <c r="E175" s="6" t="s">
        <v>204</v>
      </c>
      <c r="F175" s="6" t="s">
        <v>107</v>
      </c>
      <c r="G175" s="6" t="s">
        <v>2301</v>
      </c>
      <c r="H175" s="5"/>
      <c r="I175" s="5"/>
    </row>
    <row r="176" spans="1:9">
      <c r="A176" s="6" t="s">
        <v>68</v>
      </c>
      <c r="B176" s="6">
        <v>8</v>
      </c>
      <c r="C176" s="6" t="s">
        <v>280</v>
      </c>
      <c r="D176" s="6" t="s">
        <v>2302</v>
      </c>
      <c r="E176" s="6" t="s">
        <v>120</v>
      </c>
      <c r="F176" s="6" t="s">
        <v>131</v>
      </c>
      <c r="G176" s="6"/>
      <c r="H176" s="5"/>
      <c r="I176" s="5"/>
    </row>
    <row r="177" spans="1:9">
      <c r="A177" s="6" t="s">
        <v>70</v>
      </c>
      <c r="B177" s="6">
        <v>1</v>
      </c>
      <c r="C177" s="6" t="s">
        <v>89</v>
      </c>
      <c r="D177" s="6" t="s">
        <v>2097</v>
      </c>
      <c r="E177" s="6" t="s">
        <v>112</v>
      </c>
      <c r="F177" s="6" t="s">
        <v>107</v>
      </c>
      <c r="G177" s="6" t="s">
        <v>2303</v>
      </c>
      <c r="H177" s="5"/>
      <c r="I177" s="5"/>
    </row>
    <row r="178" spans="1:9">
      <c r="A178" s="6" t="s">
        <v>70</v>
      </c>
      <c r="B178" s="6">
        <v>2</v>
      </c>
      <c r="C178" s="6" t="s">
        <v>281</v>
      </c>
      <c r="D178" s="6" t="s">
        <v>2304</v>
      </c>
      <c r="E178" s="6" t="s">
        <v>125</v>
      </c>
      <c r="F178" s="6" t="s">
        <v>107</v>
      </c>
      <c r="G178" s="6" t="s">
        <v>108</v>
      </c>
      <c r="H178" s="5"/>
      <c r="I178" s="5"/>
    </row>
    <row r="179" spans="1:9">
      <c r="A179" s="6" t="s">
        <v>70</v>
      </c>
      <c r="B179" s="6">
        <v>3</v>
      </c>
      <c r="C179" s="6" t="s">
        <v>69</v>
      </c>
      <c r="D179" s="6" t="s">
        <v>2065</v>
      </c>
      <c r="E179" s="6" t="s">
        <v>106</v>
      </c>
      <c r="F179" s="6" t="s">
        <v>107</v>
      </c>
      <c r="G179" s="6" t="s">
        <v>2305</v>
      </c>
      <c r="H179" s="5"/>
      <c r="I179" s="5" t="s">
        <v>2306</v>
      </c>
    </row>
    <row r="180" spans="1:9">
      <c r="A180" s="6" t="s">
        <v>70</v>
      </c>
      <c r="B180" s="6">
        <v>4</v>
      </c>
      <c r="C180" s="6" t="s">
        <v>282</v>
      </c>
      <c r="D180" s="6" t="s">
        <v>2307</v>
      </c>
      <c r="E180" s="6" t="s">
        <v>204</v>
      </c>
      <c r="F180" s="6" t="s">
        <v>107</v>
      </c>
      <c r="G180" s="6" t="s">
        <v>2305</v>
      </c>
      <c r="H180" s="5"/>
      <c r="I180" s="5" t="s">
        <v>2308</v>
      </c>
    </row>
    <row r="181" spans="1:9">
      <c r="A181" s="6" t="s">
        <v>70</v>
      </c>
      <c r="B181" s="6">
        <v>5</v>
      </c>
      <c r="C181" s="6" t="s">
        <v>283</v>
      </c>
      <c r="D181" s="6" t="s">
        <v>2309</v>
      </c>
      <c r="E181" s="6" t="s">
        <v>114</v>
      </c>
      <c r="F181" s="6" t="s">
        <v>107</v>
      </c>
      <c r="G181" s="6"/>
      <c r="H181" s="5" t="s">
        <v>284</v>
      </c>
      <c r="I181" s="5"/>
    </row>
    <row r="182" spans="1:9">
      <c r="A182" s="6" t="s">
        <v>70</v>
      </c>
      <c r="B182" s="6">
        <v>6</v>
      </c>
      <c r="C182" s="6" t="s">
        <v>285</v>
      </c>
      <c r="D182" s="6" t="s">
        <v>2310</v>
      </c>
      <c r="E182" s="6" t="s">
        <v>286</v>
      </c>
      <c r="F182" s="6" t="s">
        <v>107</v>
      </c>
      <c r="G182" s="6"/>
      <c r="H182" s="5"/>
      <c r="I182" s="5"/>
    </row>
    <row r="183" spans="1:9">
      <c r="A183" s="6" t="s">
        <v>70</v>
      </c>
      <c r="B183" s="6">
        <v>7</v>
      </c>
      <c r="C183" s="6" t="s">
        <v>280</v>
      </c>
      <c r="D183" s="6" t="s">
        <v>2311</v>
      </c>
      <c r="E183" s="6" t="s">
        <v>120</v>
      </c>
      <c r="F183" s="6" t="s">
        <v>131</v>
      </c>
      <c r="G183" s="6"/>
      <c r="H183" s="5"/>
      <c r="I183" s="5"/>
    </row>
    <row r="184" spans="1:9">
      <c r="A184" s="6" t="s">
        <v>72</v>
      </c>
      <c r="B184" s="6">
        <v>1</v>
      </c>
      <c r="C184" s="6" t="s">
        <v>69</v>
      </c>
      <c r="D184" s="6" t="s">
        <v>2294</v>
      </c>
      <c r="E184" s="6" t="s">
        <v>106</v>
      </c>
      <c r="F184" s="6" t="s">
        <v>107</v>
      </c>
      <c r="G184" s="6" t="s">
        <v>2312</v>
      </c>
      <c r="H184" s="5"/>
      <c r="I184" s="5"/>
    </row>
    <row r="185" spans="1:9">
      <c r="A185" s="6" t="s">
        <v>72</v>
      </c>
      <c r="B185" s="6">
        <v>2</v>
      </c>
      <c r="C185" s="6" t="s">
        <v>287</v>
      </c>
      <c r="D185" s="6" t="s">
        <v>2313</v>
      </c>
      <c r="E185" s="6" t="s">
        <v>204</v>
      </c>
      <c r="F185" s="6" t="s">
        <v>107</v>
      </c>
      <c r="G185" s="6" t="s">
        <v>108</v>
      </c>
      <c r="H185" s="5"/>
      <c r="I185" s="5"/>
    </row>
    <row r="186" spans="1:9">
      <c r="A186" s="6" t="s">
        <v>72</v>
      </c>
      <c r="B186" s="6">
        <v>3</v>
      </c>
      <c r="C186" s="6" t="s">
        <v>288</v>
      </c>
      <c r="D186" s="6" t="s">
        <v>2314</v>
      </c>
      <c r="E186" s="6" t="s">
        <v>204</v>
      </c>
      <c r="F186" s="6" t="s">
        <v>107</v>
      </c>
      <c r="G186" s="6"/>
      <c r="H186" s="5"/>
      <c r="I186" s="5"/>
    </row>
    <row r="187" spans="1:9">
      <c r="A187" s="6" t="s">
        <v>72</v>
      </c>
      <c r="B187" s="6">
        <v>4</v>
      </c>
      <c r="C187" s="6" t="s">
        <v>289</v>
      </c>
      <c r="D187" s="6" t="s">
        <v>2315</v>
      </c>
      <c r="E187" s="6" t="s">
        <v>125</v>
      </c>
      <c r="F187" s="6" t="s">
        <v>107</v>
      </c>
      <c r="G187" s="6"/>
      <c r="H187" s="5"/>
      <c r="I187" s="5"/>
    </row>
    <row r="188" spans="1:9">
      <c r="A188" s="6" t="s">
        <v>72</v>
      </c>
      <c r="B188" s="6">
        <v>5</v>
      </c>
      <c r="C188" s="6" t="s">
        <v>280</v>
      </c>
      <c r="D188" s="6" t="s">
        <v>2131</v>
      </c>
      <c r="E188" s="6" t="s">
        <v>120</v>
      </c>
      <c r="F188" s="6" t="s">
        <v>131</v>
      </c>
      <c r="G188" s="6"/>
      <c r="H188" s="5"/>
      <c r="I188" s="5"/>
    </row>
    <row r="189" spans="1:9">
      <c r="A189" s="6" t="s">
        <v>74</v>
      </c>
      <c r="B189" s="6">
        <v>1</v>
      </c>
      <c r="C189" s="6" t="s">
        <v>75</v>
      </c>
      <c r="D189" s="6" t="s">
        <v>2077</v>
      </c>
      <c r="E189" s="6" t="s">
        <v>106</v>
      </c>
      <c r="F189" s="6" t="s">
        <v>107</v>
      </c>
      <c r="G189" s="6" t="s">
        <v>108</v>
      </c>
      <c r="H189" s="5"/>
      <c r="I189" s="5"/>
    </row>
    <row r="190" spans="1:9">
      <c r="A190" s="6" t="s">
        <v>74</v>
      </c>
      <c r="B190" s="6">
        <v>2</v>
      </c>
      <c r="C190" s="6" t="s">
        <v>290</v>
      </c>
      <c r="D190" s="6" t="s">
        <v>2316</v>
      </c>
      <c r="E190" s="6" t="s">
        <v>114</v>
      </c>
      <c r="F190" s="6" t="s">
        <v>107</v>
      </c>
      <c r="G190" s="6"/>
      <c r="H190" s="5" t="s">
        <v>291</v>
      </c>
      <c r="I190" s="5"/>
    </row>
    <row r="191" spans="1:9">
      <c r="A191" s="6" t="s">
        <v>74</v>
      </c>
      <c r="B191" s="6">
        <v>3</v>
      </c>
      <c r="C191" s="6" t="s">
        <v>292</v>
      </c>
      <c r="D191" s="6" t="s">
        <v>2317</v>
      </c>
      <c r="E191" s="6" t="s">
        <v>125</v>
      </c>
      <c r="F191" s="6" t="s">
        <v>107</v>
      </c>
      <c r="G191" s="6"/>
      <c r="H191" s="5"/>
      <c r="I191" s="5"/>
    </row>
    <row r="192" spans="1:9">
      <c r="A192" s="6" t="s">
        <v>74</v>
      </c>
      <c r="B192" s="6">
        <v>4</v>
      </c>
      <c r="C192" s="6" t="s">
        <v>293</v>
      </c>
      <c r="D192" s="6" t="s">
        <v>2318</v>
      </c>
      <c r="E192" s="6" t="s">
        <v>120</v>
      </c>
      <c r="F192" s="6" t="s">
        <v>107</v>
      </c>
      <c r="G192" s="6"/>
      <c r="H192" s="5"/>
      <c r="I192" s="5"/>
    </row>
    <row r="193" spans="1:9">
      <c r="A193" s="6" t="s">
        <v>74</v>
      </c>
      <c r="B193" s="6">
        <v>5</v>
      </c>
      <c r="C193" s="6" t="s">
        <v>200</v>
      </c>
      <c r="D193" s="6" t="s">
        <v>2319</v>
      </c>
      <c r="E193" s="6" t="s">
        <v>114</v>
      </c>
      <c r="F193" s="6" t="s">
        <v>107</v>
      </c>
      <c r="G193" s="6"/>
      <c r="H193" s="5" t="s">
        <v>294</v>
      </c>
      <c r="I193" s="5"/>
    </row>
    <row r="194" spans="1:9">
      <c r="A194" s="6" t="s">
        <v>74</v>
      </c>
      <c r="B194" s="6">
        <v>6</v>
      </c>
      <c r="C194" s="6" t="s">
        <v>67</v>
      </c>
      <c r="D194" s="6" t="s">
        <v>2320</v>
      </c>
      <c r="E194" s="6" t="s">
        <v>204</v>
      </c>
      <c r="F194" s="6" t="s">
        <v>107</v>
      </c>
      <c r="G194" s="6" t="s">
        <v>2301</v>
      </c>
      <c r="H194" s="5"/>
      <c r="I194" s="5"/>
    </row>
    <row r="195" spans="1:9">
      <c r="A195" s="6" t="s">
        <v>76</v>
      </c>
      <c r="B195" s="6">
        <v>1</v>
      </c>
      <c r="C195" s="6" t="s">
        <v>77</v>
      </c>
      <c r="D195" s="6" t="s">
        <v>2081</v>
      </c>
      <c r="E195" s="6" t="s">
        <v>106</v>
      </c>
      <c r="F195" s="6" t="s">
        <v>107</v>
      </c>
      <c r="G195" s="6" t="s">
        <v>108</v>
      </c>
      <c r="H195" s="5"/>
      <c r="I195" s="5"/>
    </row>
    <row r="196" spans="1:9">
      <c r="A196" s="6" t="s">
        <v>76</v>
      </c>
      <c r="B196" s="6">
        <v>2</v>
      </c>
      <c r="C196" s="6" t="s">
        <v>69</v>
      </c>
      <c r="D196" s="6" t="s">
        <v>2294</v>
      </c>
      <c r="E196" s="6" t="s">
        <v>106</v>
      </c>
      <c r="F196" s="6" t="s">
        <v>107</v>
      </c>
      <c r="G196" s="6" t="s">
        <v>2321</v>
      </c>
      <c r="H196" s="5"/>
      <c r="I196" s="5"/>
    </row>
    <row r="197" spans="1:9">
      <c r="A197" s="6" t="s">
        <v>76</v>
      </c>
      <c r="B197" s="6">
        <v>3</v>
      </c>
      <c r="C197" s="6" t="s">
        <v>295</v>
      </c>
      <c r="D197" s="6" t="s">
        <v>2322</v>
      </c>
      <c r="E197" s="6" t="s">
        <v>114</v>
      </c>
      <c r="F197" s="6" t="s">
        <v>131</v>
      </c>
      <c r="G197" s="6"/>
      <c r="H197" s="5" t="s">
        <v>296</v>
      </c>
      <c r="I197" s="5"/>
    </row>
    <row r="198" spans="1:9">
      <c r="A198" s="6" t="s">
        <v>76</v>
      </c>
      <c r="B198" s="6">
        <v>4</v>
      </c>
      <c r="C198" s="6" t="s">
        <v>297</v>
      </c>
      <c r="D198" s="6" t="s">
        <v>2323</v>
      </c>
      <c r="E198" s="6" t="s">
        <v>152</v>
      </c>
      <c r="F198" s="6" t="s">
        <v>107</v>
      </c>
      <c r="G198" s="6"/>
      <c r="H198" s="5"/>
      <c r="I198" s="5"/>
    </row>
    <row r="199" spans="1:9">
      <c r="A199" s="6" t="s">
        <v>76</v>
      </c>
      <c r="B199" s="6">
        <v>5</v>
      </c>
      <c r="C199" s="6" t="s">
        <v>298</v>
      </c>
      <c r="D199" s="6" t="s">
        <v>2324</v>
      </c>
      <c r="E199" s="6" t="s">
        <v>181</v>
      </c>
      <c r="F199" s="6" t="s">
        <v>107</v>
      </c>
      <c r="G199" s="6"/>
      <c r="H199" s="5"/>
      <c r="I199" s="5"/>
    </row>
    <row r="200" spans="1:9">
      <c r="A200" s="6" t="s">
        <v>76</v>
      </c>
      <c r="B200" s="6">
        <v>6</v>
      </c>
      <c r="C200" s="6" t="s">
        <v>299</v>
      </c>
      <c r="D200" s="6" t="s">
        <v>2293</v>
      </c>
      <c r="E200" s="6" t="s">
        <v>114</v>
      </c>
      <c r="F200" s="6" t="s">
        <v>107</v>
      </c>
      <c r="G200" s="6"/>
      <c r="H200" s="5" t="s">
        <v>300</v>
      </c>
      <c r="I200" s="5"/>
    </row>
    <row r="201" spans="1:9">
      <c r="A201" s="6" t="s">
        <v>76</v>
      </c>
      <c r="B201" s="6">
        <v>7</v>
      </c>
      <c r="C201" s="6" t="s">
        <v>67</v>
      </c>
      <c r="D201" s="6" t="s">
        <v>2062</v>
      </c>
      <c r="E201" s="6" t="s">
        <v>204</v>
      </c>
      <c r="F201" s="6" t="s">
        <v>107</v>
      </c>
      <c r="G201" s="6" t="s">
        <v>2301</v>
      </c>
      <c r="H201" s="5"/>
      <c r="I201" s="5"/>
    </row>
    <row r="202" spans="1:9">
      <c r="A202" s="6" t="s">
        <v>76</v>
      </c>
      <c r="B202" s="6">
        <v>8</v>
      </c>
      <c r="C202" s="6" t="s">
        <v>280</v>
      </c>
      <c r="D202" s="6" t="s">
        <v>2325</v>
      </c>
      <c r="E202" s="6" t="s">
        <v>120</v>
      </c>
      <c r="F202" s="6" t="s">
        <v>131</v>
      </c>
      <c r="G202" s="6"/>
      <c r="H202" s="5"/>
      <c r="I202" s="5"/>
    </row>
    <row r="203" spans="1:9">
      <c r="A203" s="6" t="s">
        <v>78</v>
      </c>
      <c r="B203" s="6">
        <v>1</v>
      </c>
      <c r="C203" s="6" t="s">
        <v>69</v>
      </c>
      <c r="D203" s="6" t="s">
        <v>2294</v>
      </c>
      <c r="E203" s="6" t="s">
        <v>106</v>
      </c>
      <c r="F203" s="6" t="s">
        <v>107</v>
      </c>
      <c r="G203" s="6" t="s">
        <v>2312</v>
      </c>
      <c r="H203" s="5"/>
      <c r="I203" s="5"/>
    </row>
    <row r="204" spans="1:9">
      <c r="A204" s="6" t="s">
        <v>78</v>
      </c>
      <c r="B204" s="6">
        <v>2</v>
      </c>
      <c r="C204" s="6" t="s">
        <v>301</v>
      </c>
      <c r="D204" s="6" t="s">
        <v>2326</v>
      </c>
      <c r="E204" s="6" t="s">
        <v>125</v>
      </c>
      <c r="F204" s="6" t="s">
        <v>107</v>
      </c>
      <c r="G204" s="6"/>
      <c r="H204" s="5" t="s">
        <v>126</v>
      </c>
      <c r="I204" s="5"/>
    </row>
    <row r="205" spans="1:9">
      <c r="A205" s="6" t="s">
        <v>78</v>
      </c>
      <c r="B205" s="6">
        <v>3</v>
      </c>
      <c r="C205" s="6" t="s">
        <v>302</v>
      </c>
      <c r="D205" s="6" t="s">
        <v>2327</v>
      </c>
      <c r="E205" s="6" t="s">
        <v>112</v>
      </c>
      <c r="F205" s="6" t="s">
        <v>107</v>
      </c>
      <c r="G205" s="6"/>
      <c r="H205" s="5" t="s">
        <v>303</v>
      </c>
      <c r="I205" s="5" t="s">
        <v>2328</v>
      </c>
    </row>
    <row r="206" spans="1:9">
      <c r="A206" s="6" t="s">
        <v>78</v>
      </c>
      <c r="B206" s="6">
        <v>4</v>
      </c>
      <c r="C206" s="6" t="s">
        <v>304</v>
      </c>
      <c r="D206" s="6" t="s">
        <v>2329</v>
      </c>
      <c r="E206" s="6" t="s">
        <v>114</v>
      </c>
      <c r="F206" s="6" t="s">
        <v>107</v>
      </c>
      <c r="G206" s="6"/>
      <c r="H206" s="5" t="s">
        <v>305</v>
      </c>
      <c r="I206" s="5"/>
    </row>
    <row r="207" spans="1:9">
      <c r="A207" s="6" t="s">
        <v>78</v>
      </c>
      <c r="B207" s="6">
        <v>5</v>
      </c>
      <c r="C207" s="6" t="s">
        <v>306</v>
      </c>
      <c r="D207" s="6" t="s">
        <v>2330</v>
      </c>
      <c r="E207" s="6" t="s">
        <v>114</v>
      </c>
      <c r="F207" s="6" t="s">
        <v>107</v>
      </c>
      <c r="G207" s="6"/>
      <c r="H207" s="5" t="s">
        <v>307</v>
      </c>
      <c r="I207" s="5" t="s">
        <v>2331</v>
      </c>
    </row>
    <row r="208" spans="1:9">
      <c r="A208" s="6" t="s">
        <v>78</v>
      </c>
      <c r="B208" s="6">
        <v>6</v>
      </c>
      <c r="C208" s="6" t="s">
        <v>138</v>
      </c>
      <c r="D208" s="6" t="s">
        <v>2332</v>
      </c>
      <c r="E208" s="6" t="s">
        <v>106</v>
      </c>
      <c r="F208" s="6" t="s">
        <v>107</v>
      </c>
      <c r="G208" s="6" t="s">
        <v>2141</v>
      </c>
      <c r="H208" s="5"/>
      <c r="I208" s="5" t="s">
        <v>2333</v>
      </c>
    </row>
    <row r="209" spans="1:9">
      <c r="A209" s="6" t="s">
        <v>78</v>
      </c>
      <c r="B209" s="6">
        <v>7</v>
      </c>
      <c r="C209" s="6" t="s">
        <v>308</v>
      </c>
      <c r="D209" s="6" t="s">
        <v>2334</v>
      </c>
      <c r="E209" s="6" t="s">
        <v>114</v>
      </c>
      <c r="F209" s="6" t="s">
        <v>107</v>
      </c>
      <c r="G209" s="6"/>
      <c r="H209" s="5" t="s">
        <v>309</v>
      </c>
      <c r="I209" s="5" t="s">
        <v>2335</v>
      </c>
    </row>
    <row r="210" spans="1:9">
      <c r="A210" s="6" t="s">
        <v>78</v>
      </c>
      <c r="B210" s="6">
        <v>8</v>
      </c>
      <c r="C210" s="6" t="s">
        <v>310</v>
      </c>
      <c r="D210" s="6" t="s">
        <v>2336</v>
      </c>
      <c r="E210" s="6" t="s">
        <v>120</v>
      </c>
      <c r="F210" s="6" t="s">
        <v>107</v>
      </c>
      <c r="G210" s="6"/>
      <c r="H210" s="5"/>
      <c r="I210" s="5"/>
    </row>
    <row r="211" spans="1:9">
      <c r="A211" s="6" t="s">
        <v>78</v>
      </c>
      <c r="B211" s="6">
        <v>9</v>
      </c>
      <c r="C211" s="6" t="s">
        <v>311</v>
      </c>
      <c r="D211" s="6" t="s">
        <v>2337</v>
      </c>
      <c r="E211" s="6" t="s">
        <v>312</v>
      </c>
      <c r="F211" s="6" t="s">
        <v>131</v>
      </c>
      <c r="G211" s="6"/>
      <c r="H211" s="5" t="s">
        <v>2338</v>
      </c>
      <c r="I211" s="5" t="s">
        <v>2339</v>
      </c>
    </row>
    <row r="212" spans="1:9">
      <c r="A212" s="6" t="s">
        <v>80</v>
      </c>
      <c r="B212" s="6">
        <v>1</v>
      </c>
      <c r="C212" s="6" t="s">
        <v>75</v>
      </c>
      <c r="D212" s="6" t="s">
        <v>2077</v>
      </c>
      <c r="E212" s="6" t="s">
        <v>106</v>
      </c>
      <c r="F212" s="6" t="s">
        <v>107</v>
      </c>
      <c r="G212" s="6" t="s">
        <v>108</v>
      </c>
      <c r="H212" s="5"/>
      <c r="I212" s="5"/>
    </row>
    <row r="213" spans="1:9">
      <c r="A213" s="6" t="s">
        <v>80</v>
      </c>
      <c r="B213" s="6">
        <v>2</v>
      </c>
      <c r="C213" s="6" t="s">
        <v>313</v>
      </c>
      <c r="D213" s="6" t="s">
        <v>2340</v>
      </c>
      <c r="E213" s="6" t="s">
        <v>314</v>
      </c>
      <c r="F213" s="6" t="s">
        <v>107</v>
      </c>
      <c r="G213" s="6"/>
      <c r="H213" s="5"/>
      <c r="I213" s="5"/>
    </row>
    <row r="214" spans="1:9">
      <c r="A214" s="6" t="s">
        <v>80</v>
      </c>
      <c r="B214" s="6">
        <v>3</v>
      </c>
      <c r="C214" s="6" t="s">
        <v>315</v>
      </c>
      <c r="D214" s="6" t="s">
        <v>2341</v>
      </c>
      <c r="E214" s="6" t="s">
        <v>120</v>
      </c>
      <c r="F214" s="6" t="s">
        <v>107</v>
      </c>
      <c r="G214" s="6"/>
      <c r="H214" s="5"/>
      <c r="I214" s="5"/>
    </row>
    <row r="215" spans="1:9">
      <c r="A215" s="6" t="s">
        <v>80</v>
      </c>
      <c r="B215" s="6">
        <v>4</v>
      </c>
      <c r="C215" s="6" t="s">
        <v>195</v>
      </c>
      <c r="D215" s="6" t="s">
        <v>2211</v>
      </c>
      <c r="E215" s="6" t="s">
        <v>196</v>
      </c>
      <c r="F215" s="6" t="s">
        <v>131</v>
      </c>
      <c r="G215" s="6"/>
      <c r="H215" s="5"/>
      <c r="I215" s="5"/>
    </row>
    <row r="216" spans="1:9">
      <c r="A216" s="6" t="s">
        <v>80</v>
      </c>
      <c r="B216" s="6">
        <v>5</v>
      </c>
      <c r="C216" s="6" t="s">
        <v>67</v>
      </c>
      <c r="D216" s="6" t="s">
        <v>2062</v>
      </c>
      <c r="E216" s="6" t="s">
        <v>204</v>
      </c>
      <c r="F216" s="6" t="s">
        <v>107</v>
      </c>
      <c r="G216" s="6" t="s">
        <v>2301</v>
      </c>
      <c r="H216" s="5"/>
      <c r="I216" s="5"/>
    </row>
    <row r="217" spans="1:9">
      <c r="A217" s="6" t="s">
        <v>80</v>
      </c>
      <c r="B217" s="6">
        <v>6</v>
      </c>
      <c r="C217" s="6" t="s">
        <v>316</v>
      </c>
      <c r="D217" s="6" t="s">
        <v>2342</v>
      </c>
      <c r="E217" s="6" t="s">
        <v>114</v>
      </c>
      <c r="F217" s="6" t="s">
        <v>107</v>
      </c>
      <c r="G217" s="6"/>
      <c r="H217" s="5" t="s">
        <v>317</v>
      </c>
      <c r="I217" s="5"/>
    </row>
    <row r="218" spans="1:9">
      <c r="A218" s="6" t="s">
        <v>81</v>
      </c>
      <c r="B218" s="6">
        <v>1</v>
      </c>
      <c r="C218" s="6" t="s">
        <v>82</v>
      </c>
      <c r="D218" s="6" t="s">
        <v>2343</v>
      </c>
      <c r="E218" s="6" t="s">
        <v>229</v>
      </c>
      <c r="F218" s="6" t="s">
        <v>107</v>
      </c>
      <c r="G218" s="6" t="s">
        <v>108</v>
      </c>
      <c r="H218" s="5"/>
      <c r="I218" s="5"/>
    </row>
    <row r="219" spans="1:9">
      <c r="A219" s="6" t="s">
        <v>81</v>
      </c>
      <c r="B219" s="6">
        <v>2</v>
      </c>
      <c r="C219" s="6" t="s">
        <v>212</v>
      </c>
      <c r="D219" s="6" t="s">
        <v>2221</v>
      </c>
      <c r="E219" s="6" t="s">
        <v>213</v>
      </c>
      <c r="F219" s="6" t="s">
        <v>107</v>
      </c>
      <c r="G219" s="6"/>
      <c r="H219" s="5"/>
      <c r="I219" s="5"/>
    </row>
    <row r="220" spans="1:9">
      <c r="A220" s="6" t="s">
        <v>81</v>
      </c>
      <c r="B220" s="6">
        <v>3</v>
      </c>
      <c r="C220" s="6" t="s">
        <v>318</v>
      </c>
      <c r="D220" s="6" t="s">
        <v>2344</v>
      </c>
      <c r="E220" s="6" t="s">
        <v>213</v>
      </c>
      <c r="F220" s="6" t="s">
        <v>107</v>
      </c>
      <c r="G220" s="6"/>
      <c r="H220" s="5"/>
      <c r="I220" s="5"/>
    </row>
    <row r="221" spans="1:9">
      <c r="A221" s="6" t="s">
        <v>81</v>
      </c>
      <c r="B221" s="6">
        <v>4</v>
      </c>
      <c r="C221" s="6" t="s">
        <v>69</v>
      </c>
      <c r="D221" s="6" t="s">
        <v>2294</v>
      </c>
      <c r="E221" s="6" t="s">
        <v>106</v>
      </c>
      <c r="F221" s="6" t="s">
        <v>107</v>
      </c>
      <c r="G221" s="6" t="s">
        <v>2321</v>
      </c>
      <c r="H221" s="5"/>
      <c r="I221" s="5"/>
    </row>
    <row r="222" spans="1:9">
      <c r="A222" s="6" t="s">
        <v>81</v>
      </c>
      <c r="B222" s="6">
        <v>5</v>
      </c>
      <c r="C222" s="6" t="s">
        <v>319</v>
      </c>
      <c r="D222" s="6" t="s">
        <v>2345</v>
      </c>
      <c r="E222" s="6" t="s">
        <v>106</v>
      </c>
      <c r="F222" s="6" t="s">
        <v>131</v>
      </c>
      <c r="G222" s="6"/>
      <c r="H222" s="5"/>
      <c r="I222" s="5"/>
    </row>
    <row r="223" spans="1:9">
      <c r="A223" s="6" t="s">
        <v>81</v>
      </c>
      <c r="B223" s="6">
        <v>6</v>
      </c>
      <c r="C223" s="6" t="s">
        <v>320</v>
      </c>
      <c r="D223" s="6" t="s">
        <v>2346</v>
      </c>
      <c r="E223" s="6" t="s">
        <v>218</v>
      </c>
      <c r="F223" s="6" t="s">
        <v>131</v>
      </c>
      <c r="G223" s="6"/>
      <c r="H223" s="5"/>
      <c r="I223" s="5"/>
    </row>
    <row r="224" spans="1:9">
      <c r="A224" s="6" t="s">
        <v>81</v>
      </c>
      <c r="B224" s="6">
        <v>7</v>
      </c>
      <c r="C224" s="6" t="s">
        <v>321</v>
      </c>
      <c r="D224" s="6" t="s">
        <v>2347</v>
      </c>
      <c r="E224" s="6" t="s">
        <v>112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8</v>
      </c>
      <c r="C225" s="6" t="s">
        <v>322</v>
      </c>
      <c r="D225" s="6" t="s">
        <v>2348</v>
      </c>
      <c r="E225" s="6" t="s">
        <v>152</v>
      </c>
      <c r="F225" s="6" t="s">
        <v>107</v>
      </c>
      <c r="G225" s="6"/>
      <c r="H225" s="5"/>
      <c r="I225" s="5"/>
    </row>
    <row r="226" spans="1:9">
      <c r="A226" s="6" t="s">
        <v>81</v>
      </c>
      <c r="B226" s="6">
        <v>9</v>
      </c>
      <c r="C226" s="6" t="s">
        <v>323</v>
      </c>
      <c r="D226" s="6" t="s">
        <v>2349</v>
      </c>
      <c r="E226" s="6" t="s">
        <v>152</v>
      </c>
      <c r="F226" s="6" t="s">
        <v>131</v>
      </c>
      <c r="G226" s="6"/>
      <c r="H226" s="5"/>
      <c r="I226" s="5" t="s">
        <v>2350</v>
      </c>
    </row>
    <row r="227" spans="1:9">
      <c r="A227" s="6" t="s">
        <v>81</v>
      </c>
      <c r="B227" s="6">
        <v>10</v>
      </c>
      <c r="C227" s="6" t="s">
        <v>324</v>
      </c>
      <c r="D227" s="6" t="s">
        <v>2351</v>
      </c>
      <c r="E227" s="6" t="s">
        <v>114</v>
      </c>
      <c r="F227" s="6" t="s">
        <v>131</v>
      </c>
      <c r="G227" s="6"/>
      <c r="H227" s="5" t="s">
        <v>325</v>
      </c>
      <c r="I227" s="5" t="s">
        <v>2352</v>
      </c>
    </row>
    <row r="228" spans="1:9">
      <c r="A228" s="6" t="s">
        <v>81</v>
      </c>
      <c r="B228" s="6">
        <v>11</v>
      </c>
      <c r="C228" s="6" t="s">
        <v>326</v>
      </c>
      <c r="D228" s="6" t="s">
        <v>2353</v>
      </c>
      <c r="E228" s="6" t="s">
        <v>114</v>
      </c>
      <c r="F228" s="6" t="s">
        <v>107</v>
      </c>
      <c r="G228" s="6"/>
      <c r="H228" s="5" t="s">
        <v>327</v>
      </c>
      <c r="I228" s="5" t="s">
        <v>2354</v>
      </c>
    </row>
    <row r="229" spans="1:9">
      <c r="A229" s="6" t="s">
        <v>81</v>
      </c>
      <c r="B229" s="6">
        <v>12</v>
      </c>
      <c r="C229" s="6" t="s">
        <v>328</v>
      </c>
      <c r="D229" s="6" t="s">
        <v>2355</v>
      </c>
      <c r="E229" s="6" t="s">
        <v>120</v>
      </c>
      <c r="F229" s="6" t="s">
        <v>131</v>
      </c>
      <c r="G229" s="6"/>
      <c r="H229" s="5"/>
      <c r="I229" s="5"/>
    </row>
    <row r="230" spans="1:9">
      <c r="A230" s="6" t="s">
        <v>81</v>
      </c>
      <c r="B230" s="6">
        <v>13</v>
      </c>
      <c r="C230" s="6" t="s">
        <v>329</v>
      </c>
      <c r="D230" s="6" t="s">
        <v>2356</v>
      </c>
      <c r="E230" s="6" t="s">
        <v>166</v>
      </c>
      <c r="F230" s="6" t="s">
        <v>107</v>
      </c>
      <c r="G230" s="6"/>
      <c r="H230" s="5"/>
      <c r="I230" s="5"/>
    </row>
    <row r="231" spans="1:9" ht="25">
      <c r="A231" s="6" t="s">
        <v>81</v>
      </c>
      <c r="B231" s="6">
        <v>14</v>
      </c>
      <c r="C231" s="6" t="s">
        <v>330</v>
      </c>
      <c r="D231" s="6" t="s">
        <v>2357</v>
      </c>
      <c r="E231" s="6" t="s">
        <v>215</v>
      </c>
      <c r="F231" s="6" t="s">
        <v>131</v>
      </c>
      <c r="G231" s="6"/>
      <c r="H231" s="5"/>
      <c r="I231" s="5" t="s">
        <v>2358</v>
      </c>
    </row>
    <row r="232" spans="1:9">
      <c r="A232" s="6" t="s">
        <v>83</v>
      </c>
      <c r="B232" s="6">
        <v>1</v>
      </c>
      <c r="C232" s="6" t="s">
        <v>82</v>
      </c>
      <c r="D232" s="6" t="s">
        <v>2343</v>
      </c>
      <c r="E232" s="6" t="s">
        <v>229</v>
      </c>
      <c r="F232" s="6" t="s">
        <v>107</v>
      </c>
      <c r="G232" s="6" t="s">
        <v>2359</v>
      </c>
      <c r="H232" s="5"/>
      <c r="I232" s="5"/>
    </row>
    <row r="233" spans="1:9">
      <c r="A233" s="6" t="s">
        <v>83</v>
      </c>
      <c r="B233" s="6">
        <v>2</v>
      </c>
      <c r="C233" s="6" t="s">
        <v>282</v>
      </c>
      <c r="D233" s="6" t="s">
        <v>2307</v>
      </c>
      <c r="E233" s="6" t="s">
        <v>204</v>
      </c>
      <c r="F233" s="6" t="s">
        <v>107</v>
      </c>
      <c r="G233" s="6" t="s">
        <v>108</v>
      </c>
      <c r="H233" s="5"/>
      <c r="I233" s="5" t="s">
        <v>2360</v>
      </c>
    </row>
    <row r="234" spans="1:9">
      <c r="A234" s="6" t="s">
        <v>83</v>
      </c>
      <c r="B234" s="6">
        <v>3</v>
      </c>
      <c r="C234" s="6" t="s">
        <v>331</v>
      </c>
      <c r="D234" s="6" t="s">
        <v>2361</v>
      </c>
      <c r="E234" s="6" t="s">
        <v>286</v>
      </c>
      <c r="F234" s="6" t="s">
        <v>131</v>
      </c>
      <c r="G234" s="6"/>
      <c r="H234" s="5"/>
      <c r="I234" s="5" t="s">
        <v>2362</v>
      </c>
    </row>
    <row r="235" spans="1:9">
      <c r="A235" s="6" t="s">
        <v>83</v>
      </c>
      <c r="B235" s="6">
        <v>4</v>
      </c>
      <c r="C235" s="6" t="s">
        <v>332</v>
      </c>
      <c r="D235" s="6" t="s">
        <v>2363</v>
      </c>
      <c r="E235" s="6" t="s">
        <v>204</v>
      </c>
      <c r="F235" s="6" t="s">
        <v>131</v>
      </c>
      <c r="G235" s="6"/>
      <c r="H235" s="5"/>
      <c r="I235" s="5" t="s">
        <v>2364</v>
      </c>
    </row>
    <row r="236" spans="1:9">
      <c r="A236" s="6" t="s">
        <v>83</v>
      </c>
      <c r="B236" s="6">
        <v>5</v>
      </c>
      <c r="C236" s="6" t="s">
        <v>274</v>
      </c>
      <c r="D236" s="6" t="s">
        <v>2365</v>
      </c>
      <c r="E236" s="6" t="s">
        <v>204</v>
      </c>
      <c r="F236" s="6" t="s">
        <v>131</v>
      </c>
      <c r="G236" s="6"/>
      <c r="H236" s="5"/>
      <c r="I236" s="5"/>
    </row>
    <row r="237" spans="1:9">
      <c r="A237" s="6" t="s">
        <v>85</v>
      </c>
      <c r="B237" s="6">
        <v>1</v>
      </c>
      <c r="C237" s="6" t="s">
        <v>82</v>
      </c>
      <c r="D237" s="6" t="s">
        <v>2343</v>
      </c>
      <c r="E237" s="6" t="s">
        <v>229</v>
      </c>
      <c r="F237" s="6" t="s">
        <v>107</v>
      </c>
      <c r="G237" s="6" t="s">
        <v>2359</v>
      </c>
      <c r="H237" s="5"/>
      <c r="I237" s="5"/>
    </row>
    <row r="238" spans="1:9">
      <c r="A238" s="6" t="s">
        <v>85</v>
      </c>
      <c r="B238" s="6">
        <v>2</v>
      </c>
      <c r="C238" s="6" t="s">
        <v>252</v>
      </c>
      <c r="D238" s="6" t="s">
        <v>2366</v>
      </c>
      <c r="E238" s="6" t="s">
        <v>204</v>
      </c>
      <c r="F238" s="6" t="s">
        <v>107</v>
      </c>
      <c r="G238" s="6" t="s">
        <v>108</v>
      </c>
      <c r="H238" s="5"/>
      <c r="I238" s="5"/>
    </row>
    <row r="239" spans="1:9">
      <c r="A239" s="6" t="s">
        <v>85</v>
      </c>
      <c r="B239" s="6">
        <v>3</v>
      </c>
      <c r="C239" s="6" t="s">
        <v>333</v>
      </c>
      <c r="D239" s="6" t="s">
        <v>2367</v>
      </c>
      <c r="E239" s="6" t="s">
        <v>114</v>
      </c>
      <c r="F239" s="6" t="s">
        <v>131</v>
      </c>
      <c r="G239" s="6"/>
      <c r="H239" s="5" t="s">
        <v>334</v>
      </c>
      <c r="I239" s="5"/>
    </row>
    <row r="240" spans="1:9">
      <c r="A240" s="6" t="s">
        <v>85</v>
      </c>
      <c r="B240" s="6">
        <v>4</v>
      </c>
      <c r="C240" s="6" t="s">
        <v>335</v>
      </c>
      <c r="D240" s="6" t="s">
        <v>2368</v>
      </c>
      <c r="E240" s="6" t="s">
        <v>114</v>
      </c>
      <c r="F240" s="6" t="s">
        <v>107</v>
      </c>
      <c r="G240" s="6"/>
      <c r="H240" s="5" t="s">
        <v>336</v>
      </c>
      <c r="I240" s="5"/>
    </row>
    <row r="241" spans="1:9">
      <c r="A241" s="6" t="s">
        <v>85</v>
      </c>
      <c r="B241" s="6">
        <v>5</v>
      </c>
      <c r="C241" s="6" t="s">
        <v>337</v>
      </c>
      <c r="D241" s="6" t="s">
        <v>2369</v>
      </c>
      <c r="E241" s="6" t="s">
        <v>112</v>
      </c>
      <c r="F241" s="6" t="s">
        <v>131</v>
      </c>
      <c r="G241" s="6" t="s">
        <v>2370</v>
      </c>
      <c r="H241" s="5"/>
      <c r="I241" s="5"/>
    </row>
    <row r="242" spans="1:9">
      <c r="A242" s="6" t="s">
        <v>85</v>
      </c>
      <c r="B242" s="6">
        <v>6</v>
      </c>
      <c r="C242" s="6" t="s">
        <v>338</v>
      </c>
      <c r="D242" s="6" t="s">
        <v>2371</v>
      </c>
      <c r="E242" s="6" t="s">
        <v>204</v>
      </c>
      <c r="F242" s="6" t="s">
        <v>107</v>
      </c>
      <c r="G242" s="6" t="s">
        <v>2301</v>
      </c>
      <c r="H242" s="5"/>
      <c r="I242" s="5"/>
    </row>
    <row r="243" spans="1:9">
      <c r="A243" s="6" t="s">
        <v>85</v>
      </c>
      <c r="B243" s="6">
        <v>7</v>
      </c>
      <c r="C243" s="6" t="s">
        <v>339</v>
      </c>
      <c r="D243" s="6" t="s">
        <v>2372</v>
      </c>
      <c r="E243" s="6" t="s">
        <v>218</v>
      </c>
      <c r="F243" s="6" t="s">
        <v>107</v>
      </c>
      <c r="G243" s="6"/>
      <c r="H243" s="5"/>
      <c r="I243" s="5"/>
    </row>
    <row r="244" spans="1:9">
      <c r="A244" s="6" t="s">
        <v>87</v>
      </c>
      <c r="B244" s="6">
        <v>1</v>
      </c>
      <c r="C244" s="6" t="s">
        <v>89</v>
      </c>
      <c r="D244" s="6" t="s">
        <v>2097</v>
      </c>
      <c r="E244" s="6" t="s">
        <v>112</v>
      </c>
      <c r="F244" s="6" t="s">
        <v>107</v>
      </c>
      <c r="G244" s="6" t="s">
        <v>108</v>
      </c>
      <c r="H244" s="5"/>
      <c r="I244" s="5"/>
    </row>
    <row r="245" spans="1:9">
      <c r="A245" s="6" t="s">
        <v>87</v>
      </c>
      <c r="B245" s="6">
        <v>2</v>
      </c>
      <c r="C245" s="6" t="s">
        <v>69</v>
      </c>
      <c r="D245" s="6" t="s">
        <v>2065</v>
      </c>
      <c r="E245" s="6" t="s">
        <v>106</v>
      </c>
      <c r="F245" s="6" t="s">
        <v>107</v>
      </c>
      <c r="G245" s="6" t="s">
        <v>2321</v>
      </c>
      <c r="H245" s="5"/>
      <c r="I245" s="5"/>
    </row>
    <row r="246" spans="1:9">
      <c r="A246" s="6" t="s">
        <v>87</v>
      </c>
      <c r="B246" s="6">
        <v>3</v>
      </c>
      <c r="C246" s="6" t="s">
        <v>295</v>
      </c>
      <c r="D246" s="6" t="s">
        <v>2322</v>
      </c>
      <c r="E246" s="6" t="s">
        <v>114</v>
      </c>
      <c r="F246" s="6" t="s">
        <v>107</v>
      </c>
      <c r="G246" s="6"/>
      <c r="H246" s="5" t="s">
        <v>296</v>
      </c>
      <c r="I246" s="5"/>
    </row>
    <row r="247" spans="1:9">
      <c r="A247" s="6" t="s">
        <v>87</v>
      </c>
      <c r="B247" s="6">
        <v>4</v>
      </c>
      <c r="C247" s="6" t="s">
        <v>340</v>
      </c>
      <c r="D247" s="6" t="s">
        <v>2373</v>
      </c>
      <c r="E247" s="6" t="s">
        <v>114</v>
      </c>
      <c r="F247" s="6" t="s">
        <v>107</v>
      </c>
      <c r="G247" s="6"/>
      <c r="H247" s="5" t="s">
        <v>325</v>
      </c>
      <c r="I247" s="5"/>
    </row>
    <row r="248" spans="1:9">
      <c r="A248" s="6" t="s">
        <v>87</v>
      </c>
      <c r="B248" s="6">
        <v>5</v>
      </c>
      <c r="C248" s="6" t="s">
        <v>341</v>
      </c>
      <c r="D248" s="6" t="s">
        <v>2317</v>
      </c>
      <c r="E248" s="6" t="s">
        <v>125</v>
      </c>
      <c r="F248" s="6" t="s">
        <v>107</v>
      </c>
      <c r="G248" s="6"/>
      <c r="H248" s="5" t="s">
        <v>2374</v>
      </c>
      <c r="I248" s="5"/>
    </row>
    <row r="249" spans="1:9">
      <c r="A249" s="6" t="s">
        <v>87</v>
      </c>
      <c r="B249" s="6">
        <v>6</v>
      </c>
      <c r="C249" s="6" t="s">
        <v>342</v>
      </c>
      <c r="D249" s="6" t="s">
        <v>2375</v>
      </c>
      <c r="E249" s="6" t="s">
        <v>114</v>
      </c>
      <c r="F249" s="6" t="s">
        <v>107</v>
      </c>
      <c r="G249" s="6"/>
      <c r="H249" s="5" t="s">
        <v>343</v>
      </c>
      <c r="I249" s="5" t="s">
        <v>2376</v>
      </c>
    </row>
    <row r="250" spans="1:9">
      <c r="A250" s="6" t="s">
        <v>87</v>
      </c>
      <c r="B250" s="6">
        <v>7</v>
      </c>
      <c r="C250" s="6" t="s">
        <v>67</v>
      </c>
      <c r="D250" s="6" t="s">
        <v>2371</v>
      </c>
      <c r="E250" s="6" t="s">
        <v>204</v>
      </c>
      <c r="F250" s="6" t="s">
        <v>107</v>
      </c>
      <c r="G250" s="6" t="s">
        <v>2301</v>
      </c>
      <c r="H250" s="5"/>
      <c r="I250" s="5"/>
    </row>
    <row r="251" spans="1:9">
      <c r="A251" s="6" t="s">
        <v>87</v>
      </c>
      <c r="B251" s="6">
        <v>8</v>
      </c>
      <c r="C251" s="6" t="s">
        <v>252</v>
      </c>
      <c r="D251" s="6" t="s">
        <v>2366</v>
      </c>
      <c r="E251" s="6" t="s">
        <v>204</v>
      </c>
      <c r="F251" s="6" t="s">
        <v>107</v>
      </c>
      <c r="G251" s="6"/>
      <c r="H251" s="5" t="s">
        <v>344</v>
      </c>
      <c r="I251" s="5" t="s">
        <v>2377</v>
      </c>
    </row>
    <row r="252" spans="1:9">
      <c r="A252" s="6" t="s">
        <v>87</v>
      </c>
      <c r="B252" s="6">
        <v>9</v>
      </c>
      <c r="C252" s="6" t="s">
        <v>345</v>
      </c>
      <c r="D252" s="6" t="s">
        <v>2378</v>
      </c>
      <c r="E252" s="6" t="s">
        <v>215</v>
      </c>
      <c r="F252" s="6" t="s">
        <v>107</v>
      </c>
      <c r="G252" s="6"/>
      <c r="H252" s="5"/>
      <c r="I252" s="5" t="s">
        <v>2379</v>
      </c>
    </row>
    <row r="253" spans="1:9">
      <c r="A253" s="6" t="s">
        <v>90</v>
      </c>
      <c r="B253" s="6">
        <v>1</v>
      </c>
      <c r="C253" s="6" t="s">
        <v>69</v>
      </c>
      <c r="D253" s="6" t="s">
        <v>2065</v>
      </c>
      <c r="E253" s="6" t="s">
        <v>106</v>
      </c>
      <c r="F253" s="6" t="s">
        <v>107</v>
      </c>
      <c r="G253" s="6" t="s">
        <v>2312</v>
      </c>
      <c r="H253" s="5"/>
      <c r="I253" s="5"/>
    </row>
    <row r="254" spans="1:9">
      <c r="A254" s="6" t="s">
        <v>90</v>
      </c>
      <c r="B254" s="6">
        <v>2</v>
      </c>
      <c r="C254" s="6" t="s">
        <v>282</v>
      </c>
      <c r="D254" s="6" t="s">
        <v>2380</v>
      </c>
      <c r="E254" s="6" t="s">
        <v>204</v>
      </c>
      <c r="F254" s="6" t="s">
        <v>107</v>
      </c>
      <c r="G254" s="6" t="s">
        <v>108</v>
      </c>
      <c r="H254" s="5"/>
      <c r="I254" s="5" t="s">
        <v>2381</v>
      </c>
    </row>
    <row r="255" spans="1:9">
      <c r="A255" s="6" t="s">
        <v>90</v>
      </c>
      <c r="B255" s="6">
        <v>3</v>
      </c>
      <c r="C255" s="6" t="s">
        <v>275</v>
      </c>
      <c r="D255" s="6" t="s">
        <v>2297</v>
      </c>
      <c r="E255" s="6" t="s">
        <v>114</v>
      </c>
      <c r="F255" s="6" t="s">
        <v>107</v>
      </c>
      <c r="G255" s="6"/>
      <c r="H255" s="5" t="s">
        <v>346</v>
      </c>
      <c r="I255" s="5"/>
    </row>
    <row r="256" spans="1:9">
      <c r="A256" s="6" t="s">
        <v>90</v>
      </c>
      <c r="B256" s="6">
        <v>4</v>
      </c>
      <c r="C256" s="6" t="s">
        <v>347</v>
      </c>
      <c r="D256" s="6" t="s">
        <v>2382</v>
      </c>
      <c r="E256" s="6" t="s">
        <v>147</v>
      </c>
      <c r="F256" s="6" t="s">
        <v>107</v>
      </c>
      <c r="G256" s="6"/>
      <c r="H256" s="5"/>
      <c r="I256" s="5"/>
    </row>
    <row r="257" spans="1:9">
      <c r="A257" s="6" t="s">
        <v>90</v>
      </c>
      <c r="B257" s="6">
        <v>5</v>
      </c>
      <c r="C257" s="6" t="s">
        <v>348</v>
      </c>
      <c r="D257" s="6" t="s">
        <v>2383</v>
      </c>
      <c r="E257" s="6" t="s">
        <v>204</v>
      </c>
      <c r="F257" s="6" t="s">
        <v>131</v>
      </c>
      <c r="G257" s="6"/>
      <c r="H257" s="5"/>
      <c r="I257" s="5"/>
    </row>
    <row r="258" spans="1:9">
      <c r="A258" s="6" t="s">
        <v>90</v>
      </c>
      <c r="B258" s="6">
        <v>6</v>
      </c>
      <c r="C258" s="6" t="s">
        <v>349</v>
      </c>
      <c r="D258" s="6" t="s">
        <v>2384</v>
      </c>
      <c r="E258" s="6" t="s">
        <v>120</v>
      </c>
      <c r="F258" s="6" t="s">
        <v>131</v>
      </c>
      <c r="G258" s="6"/>
      <c r="H258" s="5"/>
      <c r="I258" s="5"/>
    </row>
    <row r="259" spans="1:9">
      <c r="A259" s="6" t="s">
        <v>92</v>
      </c>
      <c r="B259" s="6">
        <v>1</v>
      </c>
      <c r="C259" s="6" t="s">
        <v>49</v>
      </c>
      <c r="D259" s="6" t="s">
        <v>2033</v>
      </c>
      <c r="E259" s="6" t="s">
        <v>110</v>
      </c>
      <c r="F259" s="6" t="s">
        <v>107</v>
      </c>
      <c r="G259" s="6" t="s">
        <v>2385</v>
      </c>
      <c r="H259" s="5"/>
      <c r="I259" s="5"/>
    </row>
    <row r="260" spans="1:9">
      <c r="A260" s="6" t="s">
        <v>92</v>
      </c>
      <c r="B260" s="6">
        <v>2</v>
      </c>
      <c r="C260" s="6" t="s">
        <v>350</v>
      </c>
      <c r="D260" s="6" t="s">
        <v>2386</v>
      </c>
      <c r="E260" s="6" t="s">
        <v>128</v>
      </c>
      <c r="F260" s="6" t="s">
        <v>107</v>
      </c>
      <c r="G260" s="6" t="s">
        <v>108</v>
      </c>
      <c r="H260" s="5"/>
      <c r="I260" s="5"/>
    </row>
    <row r="261" spans="1:9">
      <c r="A261" s="6" t="s">
        <v>92</v>
      </c>
      <c r="B261" s="6">
        <v>3</v>
      </c>
      <c r="C261" s="6" t="s">
        <v>283</v>
      </c>
      <c r="D261" s="6" t="s">
        <v>2309</v>
      </c>
      <c r="E261" s="6" t="s">
        <v>114</v>
      </c>
      <c r="F261" s="6" t="s">
        <v>107</v>
      </c>
      <c r="G261" s="6"/>
      <c r="H261" s="5" t="s">
        <v>284</v>
      </c>
      <c r="I261" s="5"/>
    </row>
    <row r="262" spans="1:9">
      <c r="A262" s="6" t="s">
        <v>92</v>
      </c>
      <c r="B262" s="6">
        <v>4</v>
      </c>
      <c r="C262" s="6" t="s">
        <v>195</v>
      </c>
      <c r="D262" s="6" t="s">
        <v>2387</v>
      </c>
      <c r="E262" s="6" t="s">
        <v>286</v>
      </c>
      <c r="F262" s="6" t="s">
        <v>131</v>
      </c>
      <c r="G262" s="6"/>
      <c r="H262" s="5"/>
      <c r="I262" s="5" t="s">
        <v>2388</v>
      </c>
    </row>
    <row r="263" spans="1:9">
      <c r="A263" s="6" t="s">
        <v>92</v>
      </c>
      <c r="B263" s="6">
        <v>5</v>
      </c>
      <c r="C263" s="6" t="s">
        <v>351</v>
      </c>
      <c r="D263" s="6" t="s">
        <v>2389</v>
      </c>
      <c r="E263" s="6" t="s">
        <v>106</v>
      </c>
      <c r="F263" s="6" t="s">
        <v>131</v>
      </c>
      <c r="G263" s="6"/>
      <c r="H263" s="5"/>
      <c r="I263" s="5" t="s">
        <v>2390</v>
      </c>
    </row>
    <row r="264" spans="1:9">
      <c r="A264" s="6" t="s">
        <v>92</v>
      </c>
      <c r="B264" s="6">
        <v>6</v>
      </c>
      <c r="C264" s="6" t="s">
        <v>274</v>
      </c>
      <c r="D264" s="6" t="s">
        <v>2296</v>
      </c>
      <c r="E264" s="6" t="s">
        <v>114</v>
      </c>
      <c r="F264" s="6" t="s">
        <v>107</v>
      </c>
      <c r="G264" s="6"/>
      <c r="H264" s="5" t="s">
        <v>352</v>
      </c>
      <c r="I264" s="5"/>
    </row>
    <row r="265" spans="1:9">
      <c r="A265" s="6" t="s">
        <v>92</v>
      </c>
      <c r="B265" s="6">
        <v>7</v>
      </c>
      <c r="C265" s="6" t="s">
        <v>353</v>
      </c>
      <c r="D265" s="6" t="s">
        <v>2391</v>
      </c>
      <c r="E265" s="6" t="s">
        <v>114</v>
      </c>
      <c r="F265" s="6" t="s">
        <v>107</v>
      </c>
      <c r="G265" s="6"/>
      <c r="H265" s="5" t="s">
        <v>354</v>
      </c>
      <c r="I265" s="5" t="s">
        <v>2392</v>
      </c>
    </row>
    <row r="266" spans="1:9">
      <c r="A266" s="6" t="s">
        <v>92</v>
      </c>
      <c r="B266" s="6">
        <v>8</v>
      </c>
      <c r="C266" s="6" t="s">
        <v>280</v>
      </c>
      <c r="D266" s="6" t="s">
        <v>2393</v>
      </c>
      <c r="E266" s="6" t="s">
        <v>120</v>
      </c>
      <c r="F266" s="6" t="s">
        <v>131</v>
      </c>
      <c r="G266" s="6"/>
      <c r="H266" s="5"/>
      <c r="I266" s="5"/>
    </row>
    <row r="267" spans="1:9">
      <c r="A267" s="6" t="s">
        <v>95</v>
      </c>
      <c r="B267" s="6">
        <v>1</v>
      </c>
      <c r="C267" s="6" t="s">
        <v>69</v>
      </c>
      <c r="D267" s="6" t="s">
        <v>2065</v>
      </c>
      <c r="E267" s="6" t="s">
        <v>106</v>
      </c>
      <c r="F267" s="6" t="s">
        <v>107</v>
      </c>
      <c r="G267" s="6" t="s">
        <v>2312</v>
      </c>
      <c r="H267" s="5"/>
      <c r="I267" s="5"/>
    </row>
    <row r="268" spans="1:9">
      <c r="A268" s="6" t="s">
        <v>95</v>
      </c>
      <c r="B268" s="6">
        <v>2</v>
      </c>
      <c r="C268" s="6" t="s">
        <v>89</v>
      </c>
      <c r="D268" s="6" t="s">
        <v>2097</v>
      </c>
      <c r="E268" s="6" t="s">
        <v>112</v>
      </c>
      <c r="F268" s="6" t="s">
        <v>107</v>
      </c>
      <c r="G268" s="6" t="s">
        <v>2303</v>
      </c>
      <c r="H268" s="5"/>
      <c r="I268" s="5"/>
    </row>
    <row r="269" spans="1:9">
      <c r="A269" s="6" t="s">
        <v>95</v>
      </c>
      <c r="B269" s="6">
        <v>3</v>
      </c>
      <c r="C269" s="6" t="s">
        <v>133</v>
      </c>
      <c r="D269" s="6" t="s">
        <v>2394</v>
      </c>
      <c r="E269" s="6" t="s">
        <v>106</v>
      </c>
      <c r="F269" s="6" t="s">
        <v>107</v>
      </c>
      <c r="G269" s="6" t="s">
        <v>2165</v>
      </c>
      <c r="H269" s="5"/>
      <c r="I269" s="5"/>
    </row>
    <row r="270" spans="1:9">
      <c r="A270" s="6" t="s">
        <v>95</v>
      </c>
      <c r="B270" s="6">
        <v>4</v>
      </c>
      <c r="C270" s="6" t="s">
        <v>134</v>
      </c>
      <c r="D270" s="6" t="s">
        <v>2149</v>
      </c>
      <c r="E270" s="6" t="s">
        <v>110</v>
      </c>
      <c r="F270" s="6" t="s">
        <v>107</v>
      </c>
      <c r="G270" s="6" t="s">
        <v>2165</v>
      </c>
      <c r="H270" s="5"/>
      <c r="I270" s="5"/>
    </row>
    <row r="271" spans="1:9">
      <c r="A271" s="6" t="s">
        <v>95</v>
      </c>
      <c r="B271" s="6">
        <v>5</v>
      </c>
      <c r="C271" s="6" t="s">
        <v>138</v>
      </c>
      <c r="D271" s="6" t="s">
        <v>2395</v>
      </c>
      <c r="E271" s="6" t="s">
        <v>106</v>
      </c>
      <c r="F271" s="6" t="s">
        <v>107</v>
      </c>
      <c r="G271" s="6" t="s">
        <v>2141</v>
      </c>
      <c r="H271" s="5"/>
      <c r="I271" s="5"/>
    </row>
    <row r="272" spans="1:9">
      <c r="A272" s="6" t="s">
        <v>95</v>
      </c>
      <c r="B272" s="6">
        <v>6</v>
      </c>
      <c r="C272" s="6" t="s">
        <v>355</v>
      </c>
      <c r="D272" s="6" t="s">
        <v>2336</v>
      </c>
      <c r="E272" s="6" t="s">
        <v>120</v>
      </c>
      <c r="F272" s="6" t="s">
        <v>107</v>
      </c>
      <c r="G272" s="6"/>
      <c r="H272" s="5"/>
      <c r="I272" s="5"/>
    </row>
    <row r="273" spans="1:9">
      <c r="A273" s="6" t="s">
        <v>95</v>
      </c>
      <c r="B273" s="6">
        <v>7</v>
      </c>
      <c r="C273" s="6" t="s">
        <v>345</v>
      </c>
      <c r="D273" s="6" t="s">
        <v>2378</v>
      </c>
      <c r="E273" s="6" t="s">
        <v>215</v>
      </c>
      <c r="F273" s="6" t="s">
        <v>107</v>
      </c>
      <c r="G273" s="6"/>
      <c r="H273" s="5"/>
      <c r="I273" s="5"/>
    </row>
    <row r="274" spans="1:9" ht="37.5">
      <c r="A274" s="6" t="s">
        <v>53</v>
      </c>
      <c r="B274" s="6">
        <v>11</v>
      </c>
      <c r="C274" s="6" t="s">
        <v>356</v>
      </c>
      <c r="D274" s="6" t="s">
        <v>2396</v>
      </c>
      <c r="E274" s="6" t="s">
        <v>229</v>
      </c>
      <c r="F274" s="6" t="s">
        <v>131</v>
      </c>
      <c r="G274" s="6" t="s">
        <v>2397</v>
      </c>
      <c r="H274" s="5"/>
      <c r="I274" s="5" t="s">
        <v>2398</v>
      </c>
    </row>
    <row r="275" spans="1:9">
      <c r="A275" s="6" t="s">
        <v>97</v>
      </c>
      <c r="B275" s="6">
        <v>1</v>
      </c>
      <c r="C275" s="6" t="s">
        <v>98</v>
      </c>
      <c r="D275" s="6" t="s">
        <v>2112</v>
      </c>
      <c r="E275" s="6" t="s">
        <v>112</v>
      </c>
      <c r="F275" s="6" t="s">
        <v>107</v>
      </c>
      <c r="G275" s="6" t="s">
        <v>108</v>
      </c>
      <c r="H275" s="5"/>
      <c r="I275" s="5" t="s">
        <v>2399</v>
      </c>
    </row>
    <row r="276" spans="1:9">
      <c r="A276" s="6" t="s">
        <v>97</v>
      </c>
      <c r="B276" s="6">
        <v>2</v>
      </c>
      <c r="C276" s="6" t="s">
        <v>357</v>
      </c>
      <c r="D276" s="6" t="s">
        <v>2400</v>
      </c>
      <c r="E276" s="6" t="s">
        <v>128</v>
      </c>
      <c r="F276" s="6" t="s">
        <v>107</v>
      </c>
      <c r="G276" s="6"/>
      <c r="H276" s="5"/>
      <c r="I276" s="5"/>
    </row>
    <row r="277" spans="1:9">
      <c r="A277" s="6" t="s">
        <v>97</v>
      </c>
      <c r="B277" s="6">
        <v>3</v>
      </c>
      <c r="C277" s="6" t="s">
        <v>358</v>
      </c>
      <c r="D277" s="6" t="s">
        <v>2401</v>
      </c>
      <c r="E277" s="6" t="s">
        <v>114</v>
      </c>
      <c r="F277" s="6" t="s">
        <v>107</v>
      </c>
      <c r="G277" s="6"/>
      <c r="H277" s="5" t="s">
        <v>359</v>
      </c>
      <c r="I277" s="5" t="s">
        <v>2402</v>
      </c>
    </row>
    <row r="278" spans="1:9">
      <c r="A278" s="6" t="s">
        <v>97</v>
      </c>
      <c r="B278" s="6">
        <v>4</v>
      </c>
      <c r="C278" s="6" t="s">
        <v>38</v>
      </c>
      <c r="D278" s="6" t="s">
        <v>2403</v>
      </c>
      <c r="E278" s="6" t="s">
        <v>110</v>
      </c>
      <c r="F278" s="6" t="s">
        <v>131</v>
      </c>
      <c r="G278" s="6" t="s">
        <v>2195</v>
      </c>
      <c r="H278" s="5"/>
      <c r="I278" s="5" t="s">
        <v>2404</v>
      </c>
    </row>
    <row r="279" spans="1:9">
      <c r="A279" s="6" t="s">
        <v>97</v>
      </c>
      <c r="B279" s="6">
        <v>5</v>
      </c>
      <c r="C279" s="6" t="s">
        <v>360</v>
      </c>
      <c r="D279" s="6" t="s">
        <v>2405</v>
      </c>
      <c r="E279" s="6" t="s">
        <v>120</v>
      </c>
      <c r="F279" s="6" t="s">
        <v>107</v>
      </c>
      <c r="G279" s="6"/>
      <c r="H279" s="5"/>
      <c r="I279" s="5"/>
    </row>
    <row r="280" spans="1:9">
      <c r="A280" s="6" t="s">
        <v>97</v>
      </c>
      <c r="B280" s="6">
        <v>6</v>
      </c>
      <c r="C280" s="6" t="s">
        <v>361</v>
      </c>
      <c r="D280" s="6" t="s">
        <v>2406</v>
      </c>
      <c r="E280" s="6" t="s">
        <v>166</v>
      </c>
      <c r="F280" s="6" t="s">
        <v>107</v>
      </c>
      <c r="G280" s="6"/>
      <c r="H280" s="5"/>
      <c r="I280" s="5"/>
    </row>
    <row r="281" spans="1:9">
      <c r="A281" s="6" t="s">
        <v>99</v>
      </c>
      <c r="B281" s="6">
        <v>1</v>
      </c>
      <c r="C281" s="6" t="s">
        <v>212</v>
      </c>
      <c r="D281" s="6" t="s">
        <v>2221</v>
      </c>
      <c r="E281" s="6" t="s">
        <v>213</v>
      </c>
      <c r="F281" s="6" t="s">
        <v>107</v>
      </c>
      <c r="G281" s="6" t="s">
        <v>108</v>
      </c>
      <c r="H281" s="5"/>
      <c r="I281" s="5"/>
    </row>
    <row r="282" spans="1:9">
      <c r="A282" s="6" t="s">
        <v>99</v>
      </c>
      <c r="B282" s="6">
        <v>2</v>
      </c>
      <c r="C282" s="6" t="s">
        <v>245</v>
      </c>
      <c r="D282" s="6" t="s">
        <v>2407</v>
      </c>
      <c r="E282" s="6" t="s">
        <v>123</v>
      </c>
      <c r="F282" s="6" t="s">
        <v>107</v>
      </c>
      <c r="G282" s="6" t="s">
        <v>108</v>
      </c>
      <c r="H282" s="5"/>
      <c r="I282" s="5" t="s">
        <v>2408</v>
      </c>
    </row>
    <row r="283" spans="1:9">
      <c r="A283" s="6" t="s">
        <v>99</v>
      </c>
      <c r="B283" s="6">
        <v>3</v>
      </c>
      <c r="C283" s="6" t="s">
        <v>362</v>
      </c>
      <c r="D283" s="6" t="s">
        <v>2409</v>
      </c>
      <c r="E283" s="6" t="s">
        <v>114</v>
      </c>
      <c r="F283" s="6" t="s">
        <v>107</v>
      </c>
      <c r="G283" s="6"/>
      <c r="H283" s="5" t="s">
        <v>363</v>
      </c>
      <c r="I283" s="5" t="s">
        <v>2410</v>
      </c>
    </row>
    <row r="284" spans="1:9">
      <c r="A284" s="6" t="s">
        <v>99</v>
      </c>
      <c r="B284" s="6">
        <v>4</v>
      </c>
      <c r="C284" s="6" t="s">
        <v>364</v>
      </c>
      <c r="D284" s="6" t="s">
        <v>2411</v>
      </c>
      <c r="E284" s="6" t="s">
        <v>114</v>
      </c>
      <c r="F284" s="6" t="s">
        <v>107</v>
      </c>
      <c r="G284" s="6"/>
      <c r="H284" s="5" t="s">
        <v>365</v>
      </c>
      <c r="I284" s="5" t="s">
        <v>2412</v>
      </c>
    </row>
    <row r="285" spans="1:9">
      <c r="A285" s="6" t="s">
        <v>99</v>
      </c>
      <c r="B285" s="6">
        <v>5</v>
      </c>
      <c r="C285" s="6" t="s">
        <v>228</v>
      </c>
      <c r="D285" s="6" t="s">
        <v>2413</v>
      </c>
      <c r="E285" s="6" t="s">
        <v>218</v>
      </c>
      <c r="F285" s="6" t="s">
        <v>107</v>
      </c>
      <c r="G285" s="6"/>
      <c r="H285" s="5"/>
      <c r="I285" s="5"/>
    </row>
    <row r="286" spans="1:9">
      <c r="A286" s="6" t="s">
        <v>101</v>
      </c>
      <c r="B286" s="6">
        <v>1</v>
      </c>
      <c r="C286" s="6" t="s">
        <v>212</v>
      </c>
      <c r="D286" s="6" t="s">
        <v>2221</v>
      </c>
      <c r="E286" s="6" t="s">
        <v>213</v>
      </c>
      <c r="F286" s="6" t="s">
        <v>107</v>
      </c>
      <c r="G286" s="6" t="s">
        <v>2414</v>
      </c>
      <c r="H286" s="5"/>
      <c r="I286" s="5"/>
    </row>
    <row r="287" spans="1:9">
      <c r="A287" s="6" t="s">
        <v>101</v>
      </c>
      <c r="B287" s="6">
        <v>2</v>
      </c>
      <c r="C287" s="6" t="s">
        <v>245</v>
      </c>
      <c r="D287" s="6" t="s">
        <v>2407</v>
      </c>
      <c r="E287" s="6" t="s">
        <v>123</v>
      </c>
      <c r="F287" s="6" t="s">
        <v>107</v>
      </c>
      <c r="G287" s="6" t="s">
        <v>2414</v>
      </c>
      <c r="H287" s="5"/>
      <c r="I287" s="5" t="s">
        <v>2415</v>
      </c>
    </row>
    <row r="288" spans="1:9">
      <c r="A288" s="6" t="s">
        <v>101</v>
      </c>
      <c r="B288" s="6">
        <v>3</v>
      </c>
      <c r="C288" s="6" t="s">
        <v>98</v>
      </c>
      <c r="D288" s="6" t="s">
        <v>2112</v>
      </c>
      <c r="E288" s="6" t="s">
        <v>112</v>
      </c>
      <c r="F288" s="6" t="s">
        <v>107</v>
      </c>
      <c r="G288" s="6" t="s">
        <v>2416</v>
      </c>
      <c r="H288" s="5"/>
      <c r="I288" s="5" t="s">
        <v>2417</v>
      </c>
    </row>
    <row r="289" spans="1:9" ht="25">
      <c r="A289" s="6" t="s">
        <v>101</v>
      </c>
      <c r="B289" s="6" t="s">
        <v>366</v>
      </c>
      <c r="C289" s="6" t="s">
        <v>367</v>
      </c>
      <c r="D289" s="6" t="s">
        <v>2418</v>
      </c>
      <c r="E289" s="6" t="s">
        <v>123</v>
      </c>
      <c r="F289" s="6" t="s">
        <v>107</v>
      </c>
      <c r="G289" s="6" t="s">
        <v>368</v>
      </c>
      <c r="H289" s="5" t="s">
        <v>2419</v>
      </c>
      <c r="I289" s="5" t="s">
        <v>2420</v>
      </c>
    </row>
    <row r="290" spans="1:9">
      <c r="A290" s="6" t="s">
        <v>103</v>
      </c>
      <c r="B290" s="6">
        <v>1</v>
      </c>
      <c r="C290" s="6" t="s">
        <v>369</v>
      </c>
      <c r="D290" s="6" t="s">
        <v>2421</v>
      </c>
      <c r="E290" s="6" t="s">
        <v>370</v>
      </c>
      <c r="F290" s="6" t="s">
        <v>107</v>
      </c>
      <c r="G290" s="6" t="s">
        <v>108</v>
      </c>
      <c r="H290" s="5" t="s">
        <v>371</v>
      </c>
      <c r="I290" s="5" t="s">
        <v>2422</v>
      </c>
    </row>
    <row r="291" spans="1:9">
      <c r="A291" s="6" t="s">
        <v>103</v>
      </c>
      <c r="B291" s="6">
        <v>2</v>
      </c>
      <c r="C291" s="6" t="s">
        <v>372</v>
      </c>
      <c r="D291" s="6" t="s">
        <v>2423</v>
      </c>
      <c r="E291" s="6" t="s">
        <v>215</v>
      </c>
      <c r="F291" s="6" t="s">
        <v>107</v>
      </c>
      <c r="G291" s="6" t="s">
        <v>108</v>
      </c>
      <c r="H291" s="5" t="s">
        <v>373</v>
      </c>
      <c r="I291" s="5" t="s">
        <v>2424</v>
      </c>
    </row>
    <row r="292" spans="1:9">
      <c r="A292" s="6" t="s">
        <v>103</v>
      </c>
      <c r="B292" s="6">
        <v>3</v>
      </c>
      <c r="C292" s="6" t="s">
        <v>155</v>
      </c>
      <c r="D292" s="6" t="s">
        <v>2425</v>
      </c>
      <c r="E292" s="6" t="s">
        <v>114</v>
      </c>
      <c r="F292" s="6" t="s">
        <v>107</v>
      </c>
      <c r="G292" s="6" t="s">
        <v>108</v>
      </c>
      <c r="H292" s="5" t="s">
        <v>374</v>
      </c>
      <c r="I292" s="5" t="s">
        <v>2426</v>
      </c>
    </row>
    <row r="293" spans="1:9">
      <c r="A293" s="6" t="s">
        <v>103</v>
      </c>
      <c r="B293" s="6">
        <v>4</v>
      </c>
      <c r="C293" s="6" t="s">
        <v>375</v>
      </c>
      <c r="D293" s="6" t="s">
        <v>2427</v>
      </c>
      <c r="E293" s="6" t="s">
        <v>166</v>
      </c>
      <c r="F293" s="6" t="s">
        <v>107</v>
      </c>
      <c r="G293" s="6"/>
      <c r="H293" s="5"/>
      <c r="I293" s="5" t="s">
        <v>2428</v>
      </c>
    </row>
    <row r="294" spans="1:9">
      <c r="A294" s="6" t="s">
        <v>103</v>
      </c>
      <c r="B294" s="6">
        <v>5</v>
      </c>
      <c r="C294" s="6" t="s">
        <v>67</v>
      </c>
      <c r="D294" s="6" t="s">
        <v>2062</v>
      </c>
      <c r="E294" s="6" t="s">
        <v>128</v>
      </c>
      <c r="F294" s="6" t="s">
        <v>107</v>
      </c>
      <c r="G294" s="6"/>
      <c r="H294" s="5"/>
      <c r="I294" s="5" t="s">
        <v>2429</v>
      </c>
    </row>
    <row r="295" spans="1:9">
      <c r="A295" s="6" t="s">
        <v>103</v>
      </c>
      <c r="B295" s="6">
        <v>6</v>
      </c>
      <c r="C295" s="6" t="s">
        <v>228</v>
      </c>
      <c r="D295" s="6" t="s">
        <v>2430</v>
      </c>
      <c r="E295" s="6" t="s">
        <v>376</v>
      </c>
      <c r="F295" s="6" t="s">
        <v>107</v>
      </c>
      <c r="G295" s="6"/>
      <c r="H295" s="5"/>
      <c r="I295" s="5" t="s">
        <v>2431</v>
      </c>
    </row>
    <row r="296" spans="1:9">
      <c r="A296" s="31" t="s">
        <v>2750</v>
      </c>
      <c r="B296" s="31">
        <v>1</v>
      </c>
      <c r="C296" s="31" t="s">
        <v>2719</v>
      </c>
      <c r="D296" s="31" t="s">
        <v>2757</v>
      </c>
      <c r="E296" s="31" t="s">
        <v>106</v>
      </c>
      <c r="F296" s="31" t="s">
        <v>107</v>
      </c>
      <c r="G296" s="31" t="s">
        <v>107</v>
      </c>
      <c r="H296" s="32" t="s">
        <v>2758</v>
      </c>
      <c r="I296" s="32" t="s">
        <v>2759</v>
      </c>
    </row>
    <row r="297" spans="1:9">
      <c r="A297" s="31" t="s">
        <v>2750</v>
      </c>
      <c r="B297" s="31">
        <v>2</v>
      </c>
      <c r="C297" s="31" t="s">
        <v>2720</v>
      </c>
      <c r="D297" s="31" t="s">
        <v>2760</v>
      </c>
      <c r="E297" s="31" t="s">
        <v>128</v>
      </c>
      <c r="F297" s="31" t="s">
        <v>107</v>
      </c>
      <c r="G297" s="31" t="s">
        <v>107</v>
      </c>
      <c r="H297" s="26"/>
      <c r="I297" s="32" t="s">
        <v>2761</v>
      </c>
    </row>
    <row r="298" spans="1:9">
      <c r="A298" s="31" t="s">
        <v>2750</v>
      </c>
      <c r="B298" s="31">
        <v>3</v>
      </c>
      <c r="C298" s="31" t="s">
        <v>2721</v>
      </c>
      <c r="D298" s="31" t="s">
        <v>2762</v>
      </c>
      <c r="E298" s="31" t="s">
        <v>128</v>
      </c>
      <c r="F298" s="31" t="s">
        <v>131</v>
      </c>
      <c r="G298" s="31" t="s">
        <v>107</v>
      </c>
      <c r="H298" s="26"/>
      <c r="I298" s="32" t="s">
        <v>2763</v>
      </c>
    </row>
    <row r="299" spans="1:9">
      <c r="A299" s="31" t="s">
        <v>2750</v>
      </c>
      <c r="B299" s="31">
        <v>4</v>
      </c>
      <c r="C299" s="31" t="s">
        <v>2722</v>
      </c>
      <c r="D299" s="31" t="s">
        <v>2764</v>
      </c>
      <c r="E299" s="31" t="s">
        <v>106</v>
      </c>
      <c r="F299" s="31" t="s">
        <v>131</v>
      </c>
      <c r="G299" s="31" t="s">
        <v>107</v>
      </c>
      <c r="H299" s="26"/>
      <c r="I299" s="32" t="s">
        <v>2765</v>
      </c>
    </row>
    <row r="300" spans="1:9">
      <c r="A300" s="31" t="s">
        <v>2750</v>
      </c>
      <c r="B300" s="31">
        <v>5</v>
      </c>
      <c r="C300" s="31" t="s">
        <v>2723</v>
      </c>
      <c r="D300" s="31" t="s">
        <v>2766</v>
      </c>
      <c r="E300" s="31" t="s">
        <v>207</v>
      </c>
      <c r="F300" s="31" t="s">
        <v>107</v>
      </c>
      <c r="G300" s="20"/>
      <c r="H300" s="26"/>
      <c r="I300" s="32" t="s">
        <v>2767</v>
      </c>
    </row>
    <row r="301" spans="1:9">
      <c r="A301" s="31" t="s">
        <v>2750</v>
      </c>
      <c r="B301" s="31">
        <v>6</v>
      </c>
      <c r="C301" s="31" t="s">
        <v>2724</v>
      </c>
      <c r="D301" s="31" t="s">
        <v>2768</v>
      </c>
      <c r="E301" s="31" t="s">
        <v>207</v>
      </c>
      <c r="F301" s="31" t="s">
        <v>107</v>
      </c>
      <c r="G301" s="20"/>
      <c r="H301" s="26"/>
      <c r="I301" s="32" t="s">
        <v>2769</v>
      </c>
    </row>
    <row r="302" spans="1:9">
      <c r="A302" s="31" t="s">
        <v>2750</v>
      </c>
      <c r="B302" s="31">
        <v>7</v>
      </c>
      <c r="C302" s="31" t="s">
        <v>2726</v>
      </c>
      <c r="D302" s="31" t="s">
        <v>2770</v>
      </c>
      <c r="E302" s="31" t="s">
        <v>2771</v>
      </c>
      <c r="F302" s="31" t="s">
        <v>107</v>
      </c>
      <c r="G302" s="20"/>
      <c r="H302" s="26"/>
      <c r="I302" s="32" t="s">
        <v>2772</v>
      </c>
    </row>
    <row r="303" spans="1:9" ht="25">
      <c r="A303" s="31" t="s">
        <v>2750</v>
      </c>
      <c r="B303" s="31">
        <v>8</v>
      </c>
      <c r="C303" s="31" t="s">
        <v>2727</v>
      </c>
      <c r="D303" s="31" t="s">
        <v>2773</v>
      </c>
      <c r="E303" s="31" t="s">
        <v>2771</v>
      </c>
      <c r="F303" s="31" t="s">
        <v>107</v>
      </c>
      <c r="G303" s="20"/>
      <c r="H303" s="26"/>
      <c r="I303" s="32" t="s">
        <v>2774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2470</v>
      </c>
      <c r="B1" s="9" t="s">
        <v>2471</v>
      </c>
      <c r="C1" s="9" t="s">
        <v>2472</v>
      </c>
      <c r="D1" s="9" t="s">
        <v>2473</v>
      </c>
      <c r="E1" s="9" t="s">
        <v>2474</v>
      </c>
      <c r="F1" s="9" t="s">
        <v>2475</v>
      </c>
      <c r="G1" s="9" t="s">
        <v>2130</v>
      </c>
    </row>
    <row r="2" spans="1:7" ht="39">
      <c r="A2" s="6" t="s">
        <v>377</v>
      </c>
      <c r="B2" s="6" t="s">
        <v>2440</v>
      </c>
      <c r="C2" s="6" t="s">
        <v>378</v>
      </c>
      <c r="D2" s="6" t="s">
        <v>2441</v>
      </c>
      <c r="E2" s="23" t="s">
        <v>2658</v>
      </c>
      <c r="F2" s="5" t="s">
        <v>2442</v>
      </c>
      <c r="G2" s="6" t="s">
        <v>211</v>
      </c>
    </row>
    <row r="3" spans="1:7" ht="25">
      <c r="A3" s="6" t="s">
        <v>379</v>
      </c>
      <c r="B3" s="6" t="s">
        <v>2443</v>
      </c>
      <c r="C3" s="6" t="s">
        <v>380</v>
      </c>
      <c r="D3" s="6" t="s">
        <v>2444</v>
      </c>
      <c r="E3" s="5" t="s">
        <v>2445</v>
      </c>
      <c r="F3" s="5" t="s">
        <v>2446</v>
      </c>
      <c r="G3" s="6" t="s">
        <v>211</v>
      </c>
    </row>
    <row r="4" spans="1:7" ht="50">
      <c r="A4" s="6" t="s">
        <v>381</v>
      </c>
      <c r="B4" s="6" t="s">
        <v>2447</v>
      </c>
      <c r="C4" s="6" t="s">
        <v>382</v>
      </c>
      <c r="D4" s="6" t="s">
        <v>2448</v>
      </c>
      <c r="E4" s="32" t="s">
        <v>2714</v>
      </c>
      <c r="F4" s="5" t="s">
        <v>2449</v>
      </c>
      <c r="G4" s="6" t="s">
        <v>211</v>
      </c>
    </row>
    <row r="5" spans="1:7">
      <c r="A5" s="6" t="s">
        <v>383</v>
      </c>
      <c r="B5" s="6" t="s">
        <v>2450</v>
      </c>
      <c r="C5" s="6" t="s">
        <v>78</v>
      </c>
      <c r="D5" s="6" t="s">
        <v>2451</v>
      </c>
      <c r="E5" s="5" t="s">
        <v>2452</v>
      </c>
      <c r="F5" s="5" t="s">
        <v>2453</v>
      </c>
      <c r="G5" s="6" t="s">
        <v>211</v>
      </c>
    </row>
    <row r="6" spans="1:7" ht="65">
      <c r="A6" s="6" t="s">
        <v>384</v>
      </c>
      <c r="B6" s="6" t="s">
        <v>2454</v>
      </c>
      <c r="C6" s="6" t="s">
        <v>33</v>
      </c>
      <c r="D6" s="6" t="s">
        <v>2455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2456</v>
      </c>
      <c r="G6" s="6" t="s">
        <v>211</v>
      </c>
    </row>
    <row r="7" spans="1:7" ht="25">
      <c r="A7" s="6" t="s">
        <v>385</v>
      </c>
      <c r="B7" s="6" t="s">
        <v>2457</v>
      </c>
      <c r="C7" s="6" t="s">
        <v>97</v>
      </c>
      <c r="D7" s="6" t="s">
        <v>2111</v>
      </c>
      <c r="E7" s="5" t="s">
        <v>2458</v>
      </c>
      <c r="F7" s="5" t="s">
        <v>2459</v>
      </c>
      <c r="G7" s="6" t="s">
        <v>211</v>
      </c>
    </row>
    <row r="8" spans="1:7" ht="25">
      <c r="A8" s="6" t="s">
        <v>386</v>
      </c>
      <c r="B8" s="6" t="s">
        <v>2460</v>
      </c>
      <c r="C8" s="6" t="s">
        <v>61</v>
      </c>
      <c r="D8" s="6" t="s">
        <v>2441</v>
      </c>
      <c r="E8" s="5" t="s">
        <v>2461</v>
      </c>
      <c r="F8" s="5" t="s">
        <v>2462</v>
      </c>
      <c r="G8" s="6" t="s">
        <v>211</v>
      </c>
    </row>
    <row r="9" spans="1:7" ht="62.5">
      <c r="A9" s="6" t="s">
        <v>387</v>
      </c>
      <c r="B9" s="6" t="s">
        <v>2463</v>
      </c>
      <c r="C9" s="6" t="s">
        <v>33</v>
      </c>
      <c r="D9" s="6" t="s">
        <v>2464</v>
      </c>
      <c r="E9" s="32" t="s">
        <v>2718</v>
      </c>
      <c r="F9" s="5" t="s">
        <v>2465</v>
      </c>
      <c r="G9" s="6" t="s">
        <v>211</v>
      </c>
    </row>
    <row r="10" spans="1:7" ht="62.5">
      <c r="A10" s="6" t="s">
        <v>388</v>
      </c>
      <c r="B10" s="6" t="s">
        <v>2466</v>
      </c>
      <c r="C10" s="6" t="s">
        <v>389</v>
      </c>
      <c r="D10" s="6" t="s">
        <v>2467</v>
      </c>
      <c r="E10" s="5" t="s">
        <v>2468</v>
      </c>
      <c r="F10" s="5" t="s">
        <v>2469</v>
      </c>
      <c r="G10" s="6" t="s">
        <v>211</v>
      </c>
    </row>
    <row r="11" spans="1:7" ht="91">
      <c r="A11" s="22" t="s">
        <v>2650</v>
      </c>
      <c r="B11" s="22" t="s">
        <v>2651</v>
      </c>
      <c r="C11" s="22" t="s">
        <v>61</v>
      </c>
      <c r="D11" s="22" t="s">
        <v>2652</v>
      </c>
      <c r="E11" s="23" t="s">
        <v>2715</v>
      </c>
      <c r="F11" s="23" t="s">
        <v>2653</v>
      </c>
      <c r="G11" s="22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105</v>
      </c>
      <c r="B1" s="10" t="s">
        <v>109</v>
      </c>
      <c r="C1" s="10" t="s">
        <v>111</v>
      </c>
      <c r="D1" s="10" t="s">
        <v>113</v>
      </c>
      <c r="E1" s="10" t="s">
        <v>116</v>
      </c>
      <c r="F1" s="10" t="s">
        <v>118</v>
      </c>
      <c r="G1" s="10" t="s">
        <v>119</v>
      </c>
      <c r="H1" s="10" t="s">
        <v>121</v>
      </c>
      <c r="I1" s="10" t="s">
        <v>122</v>
      </c>
    </row>
    <row r="2" spans="1:9">
      <c r="A2" s="11" t="s">
        <v>390</v>
      </c>
      <c r="B2" s="11" t="s">
        <v>391</v>
      </c>
      <c r="C2" s="11" t="s">
        <v>392</v>
      </c>
      <c r="D2" s="11" t="s">
        <v>393</v>
      </c>
      <c r="E2" s="3" t="s">
        <v>394</v>
      </c>
      <c r="F2" s="24" t="s">
        <v>1974</v>
      </c>
      <c r="G2" s="12" t="s">
        <v>395</v>
      </c>
      <c r="H2" s="12" t="s">
        <v>396</v>
      </c>
      <c r="I2" s="11">
        <v>2</v>
      </c>
    </row>
    <row r="3" spans="1:9">
      <c r="A3" s="11" t="s">
        <v>397</v>
      </c>
      <c r="B3" s="11" t="s">
        <v>391</v>
      </c>
      <c r="C3" s="11" t="s">
        <v>398</v>
      </c>
      <c r="D3" s="11" t="s">
        <v>399</v>
      </c>
      <c r="E3" s="24" t="s">
        <v>1976</v>
      </c>
      <c r="F3" s="11" t="s">
        <v>400</v>
      </c>
      <c r="G3" s="21" t="s">
        <v>1977</v>
      </c>
      <c r="H3" s="21" t="s">
        <v>1978</v>
      </c>
      <c r="I3" s="11">
        <v>3</v>
      </c>
    </row>
    <row r="4" spans="1:9" ht="25">
      <c r="A4" s="11" t="s">
        <v>401</v>
      </c>
      <c r="B4" s="11" t="s">
        <v>391</v>
      </c>
      <c r="C4" s="11" t="s">
        <v>402</v>
      </c>
      <c r="D4" s="11" t="s">
        <v>399</v>
      </c>
      <c r="E4" s="24" t="s">
        <v>1966</v>
      </c>
      <c r="F4" s="11" t="s">
        <v>400</v>
      </c>
      <c r="G4" s="12" t="s">
        <v>403</v>
      </c>
      <c r="H4" s="12" t="s">
        <v>404</v>
      </c>
      <c r="I4" s="11">
        <v>4</v>
      </c>
    </row>
    <row r="5" spans="1:9">
      <c r="A5" s="11" t="s">
        <v>405</v>
      </c>
      <c r="B5" s="11" t="s">
        <v>391</v>
      </c>
      <c r="C5" s="11" t="s">
        <v>406</v>
      </c>
      <c r="D5" s="11" t="s">
        <v>399</v>
      </c>
      <c r="E5" s="24" t="s">
        <v>1959</v>
      </c>
      <c r="F5" s="11" t="s">
        <v>400</v>
      </c>
      <c r="G5" s="12" t="s">
        <v>407</v>
      </c>
      <c r="H5" s="12" t="s">
        <v>408</v>
      </c>
      <c r="I5" s="11">
        <v>5</v>
      </c>
    </row>
    <row r="6" spans="1:9" ht="26">
      <c r="A6" s="11" t="s">
        <v>409</v>
      </c>
      <c r="B6" s="11" t="s">
        <v>391</v>
      </c>
      <c r="C6" s="11" t="s">
        <v>410</v>
      </c>
      <c r="D6" s="11" t="s">
        <v>399</v>
      </c>
      <c r="E6" s="24" t="s">
        <v>1960</v>
      </c>
      <c r="F6" s="11" t="s">
        <v>411</v>
      </c>
      <c r="G6" s="21" t="s">
        <v>1970</v>
      </c>
      <c r="H6" s="21" t="s">
        <v>1961</v>
      </c>
      <c r="I6" s="11">
        <v>6</v>
      </c>
    </row>
    <row r="7" spans="1:9">
      <c r="A7" s="11" t="s">
        <v>412</v>
      </c>
      <c r="B7" s="11" t="s">
        <v>391</v>
      </c>
      <c r="C7" s="11" t="s">
        <v>413</v>
      </c>
      <c r="D7" s="11" t="s">
        <v>399</v>
      </c>
      <c r="E7" s="24" t="s">
        <v>1967</v>
      </c>
      <c r="F7" s="11" t="s">
        <v>400</v>
      </c>
      <c r="G7" s="12" t="s">
        <v>414</v>
      </c>
      <c r="H7" s="12" t="s">
        <v>415</v>
      </c>
      <c r="I7" s="11">
        <v>7</v>
      </c>
    </row>
    <row r="8" spans="1:9">
      <c r="A8" s="11" t="s">
        <v>416</v>
      </c>
      <c r="B8" s="11" t="s">
        <v>391</v>
      </c>
      <c r="C8" s="11" t="s">
        <v>417</v>
      </c>
      <c r="D8" s="11" t="s">
        <v>399</v>
      </c>
      <c r="E8" s="24" t="s">
        <v>1962</v>
      </c>
      <c r="F8" s="11" t="s">
        <v>400</v>
      </c>
      <c r="G8" s="12" t="s">
        <v>418</v>
      </c>
      <c r="H8" s="12" t="s">
        <v>419</v>
      </c>
      <c r="I8" s="11">
        <v>8</v>
      </c>
    </row>
    <row r="9" spans="1:9">
      <c r="A9" s="11" t="s">
        <v>420</v>
      </c>
      <c r="B9" s="11" t="s">
        <v>391</v>
      </c>
      <c r="C9" s="11" t="s">
        <v>421</v>
      </c>
      <c r="D9" s="11" t="s">
        <v>399</v>
      </c>
      <c r="E9" s="24" t="s">
        <v>1963</v>
      </c>
      <c r="F9" s="11" t="s">
        <v>400</v>
      </c>
      <c r="G9" s="12" t="s">
        <v>422</v>
      </c>
      <c r="H9" s="12" t="s">
        <v>423</v>
      </c>
      <c r="I9" s="11">
        <v>9</v>
      </c>
    </row>
    <row r="10" spans="1:9" ht="26">
      <c r="A10" s="6" t="s">
        <v>424</v>
      </c>
      <c r="B10" s="6" t="s">
        <v>391</v>
      </c>
      <c r="C10" s="6" t="s">
        <v>2476</v>
      </c>
      <c r="D10" s="6" t="s">
        <v>425</v>
      </c>
      <c r="E10" s="22" t="s">
        <v>2659</v>
      </c>
      <c r="F10" s="6" t="s">
        <v>2477</v>
      </c>
      <c r="G10" s="23" t="s">
        <v>2660</v>
      </c>
      <c r="H10" s="23" t="s">
        <v>2661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105</v>
      </c>
      <c r="B1" s="10" t="s">
        <v>109</v>
      </c>
      <c r="C1" s="10" t="s">
        <v>124</v>
      </c>
      <c r="D1" s="10" t="s">
        <v>127</v>
      </c>
      <c r="E1" s="10" t="s">
        <v>129</v>
      </c>
      <c r="F1" s="10" t="s">
        <v>130</v>
      </c>
      <c r="G1" s="10" t="s">
        <v>122</v>
      </c>
    </row>
    <row r="2" spans="1:7">
      <c r="A2" s="11" t="s">
        <v>390</v>
      </c>
      <c r="B2" s="11" t="s">
        <v>391</v>
      </c>
      <c r="C2" s="11">
        <v>1</v>
      </c>
      <c r="D2" s="11" t="s">
        <v>426</v>
      </c>
      <c r="E2" s="11" t="s">
        <v>427</v>
      </c>
      <c r="F2" s="11">
        <v>1</v>
      </c>
      <c r="G2" s="11">
        <v>2</v>
      </c>
    </row>
    <row r="3" spans="1:7">
      <c r="A3" s="11" t="s">
        <v>390</v>
      </c>
      <c r="B3" s="11" t="s">
        <v>391</v>
      </c>
      <c r="C3" s="11">
        <v>2</v>
      </c>
      <c r="D3" s="11" t="s">
        <v>428</v>
      </c>
      <c r="E3" s="11" t="s">
        <v>429</v>
      </c>
      <c r="F3" s="11">
        <v>0</v>
      </c>
      <c r="G3" s="11">
        <v>2</v>
      </c>
    </row>
    <row r="4" spans="1:7">
      <c r="A4" s="11" t="s">
        <v>390</v>
      </c>
      <c r="B4" s="11" t="s">
        <v>391</v>
      </c>
      <c r="C4" s="11">
        <v>3</v>
      </c>
      <c r="D4" s="11" t="s">
        <v>430</v>
      </c>
      <c r="E4" s="24" t="s">
        <v>1968</v>
      </c>
      <c r="F4" s="11">
        <v>-1</v>
      </c>
      <c r="G4" s="11">
        <v>2</v>
      </c>
    </row>
    <row r="5" spans="1:7">
      <c r="A5" s="11" t="s">
        <v>397</v>
      </c>
      <c r="B5" s="11" t="s">
        <v>391</v>
      </c>
      <c r="C5" s="11">
        <v>1</v>
      </c>
      <c r="D5" s="11" t="s">
        <v>431</v>
      </c>
      <c r="E5" s="24" t="s">
        <v>1979</v>
      </c>
      <c r="F5" s="11">
        <v>1</v>
      </c>
      <c r="G5" s="11">
        <v>3</v>
      </c>
    </row>
    <row r="6" spans="1:7">
      <c r="A6" s="11" t="s">
        <v>397</v>
      </c>
      <c r="B6" s="11" t="s">
        <v>391</v>
      </c>
      <c r="C6" s="11">
        <v>2</v>
      </c>
      <c r="D6" s="11" t="s">
        <v>432</v>
      </c>
      <c r="E6" s="24" t="s">
        <v>1972</v>
      </c>
      <c r="F6" s="11">
        <v>0</v>
      </c>
      <c r="G6" s="11">
        <v>3</v>
      </c>
    </row>
    <row r="7" spans="1:7">
      <c r="A7" s="11" t="s">
        <v>397</v>
      </c>
      <c r="B7" s="11" t="s">
        <v>391</v>
      </c>
      <c r="C7" s="11">
        <v>3</v>
      </c>
      <c r="D7" s="11" t="s">
        <v>433</v>
      </c>
      <c r="E7" s="24" t="s">
        <v>1971</v>
      </c>
      <c r="F7" s="11">
        <v>-1</v>
      </c>
      <c r="G7" s="11">
        <v>3</v>
      </c>
    </row>
    <row r="8" spans="1:7">
      <c r="A8" s="11" t="s">
        <v>401</v>
      </c>
      <c r="B8" s="11" t="s">
        <v>391</v>
      </c>
      <c r="C8" s="11">
        <v>1</v>
      </c>
      <c r="D8" s="11" t="s">
        <v>433</v>
      </c>
      <c r="E8" s="11" t="s">
        <v>434</v>
      </c>
      <c r="F8" s="11">
        <v>1</v>
      </c>
      <c r="G8" s="11">
        <v>4</v>
      </c>
    </row>
    <row r="9" spans="1:7">
      <c r="A9" s="11" t="s">
        <v>401</v>
      </c>
      <c r="B9" s="11" t="s">
        <v>391</v>
      </c>
      <c r="C9" s="11">
        <v>2</v>
      </c>
      <c r="D9" s="11" t="s">
        <v>435</v>
      </c>
      <c r="E9" s="11" t="s">
        <v>436</v>
      </c>
      <c r="F9" s="11">
        <v>0</v>
      </c>
      <c r="G9" s="11">
        <v>4</v>
      </c>
    </row>
    <row r="10" spans="1:7">
      <c r="A10" s="11" t="s">
        <v>401</v>
      </c>
      <c r="B10" s="11" t="s">
        <v>391</v>
      </c>
      <c r="C10" s="11">
        <v>3</v>
      </c>
      <c r="D10" s="11" t="s">
        <v>437</v>
      </c>
      <c r="E10" s="11" t="s">
        <v>438</v>
      </c>
      <c r="F10" s="11">
        <v>-1</v>
      </c>
      <c r="G10" s="11">
        <v>4</v>
      </c>
    </row>
    <row r="11" spans="1:7">
      <c r="A11" s="11" t="s">
        <v>405</v>
      </c>
      <c r="B11" s="11" t="s">
        <v>391</v>
      </c>
      <c r="C11" s="11">
        <v>1</v>
      </c>
      <c r="D11" s="11" t="s">
        <v>433</v>
      </c>
      <c r="E11" s="24" t="s">
        <v>1971</v>
      </c>
      <c r="F11" s="11">
        <v>1</v>
      </c>
      <c r="G11" s="11">
        <v>5</v>
      </c>
    </row>
    <row r="12" spans="1:7">
      <c r="A12" s="11" t="s">
        <v>405</v>
      </c>
      <c r="B12" s="11" t="s">
        <v>391</v>
      </c>
      <c r="C12" s="11">
        <v>2</v>
      </c>
      <c r="D12" s="11" t="s">
        <v>440</v>
      </c>
      <c r="E12" s="3" t="s">
        <v>441</v>
      </c>
      <c r="F12" s="11">
        <v>0</v>
      </c>
      <c r="G12" s="11">
        <v>5</v>
      </c>
    </row>
    <row r="13" spans="1:7">
      <c r="A13" s="11" t="s">
        <v>405</v>
      </c>
      <c r="B13" s="11" t="s">
        <v>391</v>
      </c>
      <c r="C13" s="11">
        <v>3</v>
      </c>
      <c r="D13" s="11" t="s">
        <v>442</v>
      </c>
      <c r="E13" s="3" t="s">
        <v>443</v>
      </c>
      <c r="F13" s="11">
        <v>-1</v>
      </c>
      <c r="G13" s="11">
        <v>5</v>
      </c>
    </row>
    <row r="14" spans="1:7">
      <c r="A14" s="11" t="s">
        <v>409</v>
      </c>
      <c r="B14" s="11" t="s">
        <v>391</v>
      </c>
      <c r="C14" s="11">
        <v>1</v>
      </c>
      <c r="D14" s="11" t="s">
        <v>433</v>
      </c>
      <c r="E14" s="24" t="s">
        <v>1971</v>
      </c>
      <c r="F14" s="11"/>
      <c r="G14" s="11">
        <v>6</v>
      </c>
    </row>
    <row r="15" spans="1:7">
      <c r="A15" s="11" t="s">
        <v>409</v>
      </c>
      <c r="B15" s="11" t="s">
        <v>391</v>
      </c>
      <c r="C15" s="11">
        <v>2</v>
      </c>
      <c r="D15" s="24" t="s">
        <v>1964</v>
      </c>
      <c r="E15" s="24" t="s">
        <v>1972</v>
      </c>
      <c r="F15" s="11"/>
      <c r="G15" s="11">
        <v>6</v>
      </c>
    </row>
    <row r="16" spans="1:7">
      <c r="A16" s="11" t="s">
        <v>409</v>
      </c>
      <c r="B16" s="11" t="s">
        <v>391</v>
      </c>
      <c r="C16" s="11">
        <v>3</v>
      </c>
      <c r="D16" s="24" t="s">
        <v>1965</v>
      </c>
      <c r="E16" s="24" t="s">
        <v>1973</v>
      </c>
      <c r="F16" s="11"/>
      <c r="G16" s="11">
        <v>6</v>
      </c>
    </row>
    <row r="17" spans="1:7">
      <c r="A17" s="11" t="s">
        <v>412</v>
      </c>
      <c r="B17" s="11" t="s">
        <v>391</v>
      </c>
      <c r="C17" s="11">
        <v>1</v>
      </c>
      <c r="D17" s="11" t="s">
        <v>444</v>
      </c>
      <c r="E17" s="11" t="s">
        <v>445</v>
      </c>
      <c r="F17" s="11">
        <v>1</v>
      </c>
      <c r="G17" s="11">
        <v>7</v>
      </c>
    </row>
    <row r="18" spans="1:7">
      <c r="A18" s="11" t="s">
        <v>412</v>
      </c>
      <c r="B18" s="11" t="s">
        <v>391</v>
      </c>
      <c r="C18" s="11">
        <v>2</v>
      </c>
      <c r="D18" s="11" t="s">
        <v>446</v>
      </c>
      <c r="E18" s="3" t="s">
        <v>447</v>
      </c>
      <c r="F18" s="11">
        <v>0</v>
      </c>
      <c r="G18" s="11">
        <v>7</v>
      </c>
    </row>
    <row r="19" spans="1:7">
      <c r="A19" s="11" t="s">
        <v>412</v>
      </c>
      <c r="B19" s="11" t="s">
        <v>391</v>
      </c>
      <c r="C19" s="11">
        <v>3</v>
      </c>
      <c r="D19" s="11" t="s">
        <v>448</v>
      </c>
      <c r="E19" s="3" t="s">
        <v>449</v>
      </c>
      <c r="F19" s="11">
        <v>-1</v>
      </c>
      <c r="G19" s="11">
        <v>7</v>
      </c>
    </row>
    <row r="20" spans="1:7">
      <c r="A20" s="11" t="s">
        <v>416</v>
      </c>
      <c r="B20" s="11" t="s">
        <v>391</v>
      </c>
      <c r="C20" s="11">
        <v>1</v>
      </c>
      <c r="D20" s="11" t="s">
        <v>450</v>
      </c>
      <c r="E20" s="11" t="s">
        <v>451</v>
      </c>
      <c r="F20" s="11">
        <v>1</v>
      </c>
      <c r="G20" s="11">
        <v>8</v>
      </c>
    </row>
    <row r="21" spans="1:7">
      <c r="A21" s="11" t="s">
        <v>416</v>
      </c>
      <c r="B21" s="11" t="s">
        <v>391</v>
      </c>
      <c r="C21" s="11">
        <v>2</v>
      </c>
      <c r="D21" s="11" t="s">
        <v>452</v>
      </c>
      <c r="E21" s="11" t="s">
        <v>453</v>
      </c>
      <c r="F21" s="11">
        <v>0</v>
      </c>
      <c r="G21" s="11">
        <v>8</v>
      </c>
    </row>
    <row r="22" spans="1:7">
      <c r="A22" s="11" t="s">
        <v>416</v>
      </c>
      <c r="B22" s="11" t="s">
        <v>391</v>
      </c>
      <c r="C22" s="11">
        <v>3</v>
      </c>
      <c r="D22" s="11" t="s">
        <v>454</v>
      </c>
      <c r="E22" s="11" t="s">
        <v>439</v>
      </c>
      <c r="F22" s="11">
        <v>-1</v>
      </c>
      <c r="G22" s="11">
        <v>8</v>
      </c>
    </row>
    <row r="23" spans="1:7">
      <c r="A23" s="11" t="s">
        <v>420</v>
      </c>
      <c r="B23" s="11" t="s">
        <v>391</v>
      </c>
      <c r="C23" s="11">
        <v>1</v>
      </c>
      <c r="D23" s="11" t="s">
        <v>454</v>
      </c>
      <c r="E23" s="11" t="s">
        <v>439</v>
      </c>
      <c r="F23" s="11">
        <v>1</v>
      </c>
      <c r="G23" s="11">
        <v>9</v>
      </c>
    </row>
    <row r="24" spans="1:7">
      <c r="A24" s="11" t="s">
        <v>420</v>
      </c>
      <c r="B24" s="11" t="s">
        <v>391</v>
      </c>
      <c r="C24" s="11">
        <v>2</v>
      </c>
      <c r="D24" s="11" t="s">
        <v>452</v>
      </c>
      <c r="E24" s="11" t="s">
        <v>453</v>
      </c>
      <c r="F24" s="11">
        <v>0</v>
      </c>
      <c r="G24" s="11">
        <v>9</v>
      </c>
    </row>
    <row r="25" spans="1:7">
      <c r="A25" s="11" t="s">
        <v>420</v>
      </c>
      <c r="B25" s="11" t="s">
        <v>391</v>
      </c>
      <c r="C25" s="11">
        <v>3</v>
      </c>
      <c r="D25" s="11" t="s">
        <v>450</v>
      </c>
      <c r="E25" s="11" t="s">
        <v>451</v>
      </c>
      <c r="F25" s="11">
        <v>-1</v>
      </c>
      <c r="G25" s="11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22" t="s">
        <v>2662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2478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22" t="s">
        <v>2663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38</v>
      </c>
      <c r="B1" s="10" t="s">
        <v>165</v>
      </c>
      <c r="C1" s="10" t="s">
        <v>167</v>
      </c>
      <c r="D1" s="10" t="s">
        <v>168</v>
      </c>
      <c r="E1" s="10" t="s">
        <v>169</v>
      </c>
      <c r="F1" s="10" t="s">
        <v>170</v>
      </c>
      <c r="G1" s="10" t="s">
        <v>171</v>
      </c>
      <c r="H1" s="10" t="s">
        <v>172</v>
      </c>
      <c r="I1" s="10" t="s">
        <v>173</v>
      </c>
      <c r="J1" s="10" t="s">
        <v>175</v>
      </c>
      <c r="K1" s="10" t="s">
        <v>122</v>
      </c>
    </row>
    <row r="2" spans="1:11">
      <c r="A2" s="11" t="s">
        <v>458</v>
      </c>
      <c r="B2" s="11" t="s">
        <v>459</v>
      </c>
      <c r="C2" s="11" t="s">
        <v>460</v>
      </c>
      <c r="D2" s="11" t="b">
        <v>1</v>
      </c>
      <c r="E2" s="11" t="b">
        <v>1</v>
      </c>
      <c r="F2" s="11" t="b">
        <v>1</v>
      </c>
      <c r="G2" s="11" t="s">
        <v>459</v>
      </c>
      <c r="H2" s="12" t="s">
        <v>461</v>
      </c>
      <c r="I2" s="11" t="s">
        <v>462</v>
      </c>
      <c r="J2" s="12" t="s">
        <v>463</v>
      </c>
      <c r="K2" s="11">
        <v>2</v>
      </c>
    </row>
    <row r="3" spans="1:11">
      <c r="A3" s="11" t="s">
        <v>464</v>
      </c>
      <c r="B3" s="11" t="s">
        <v>465</v>
      </c>
      <c r="C3" s="11" t="s">
        <v>460</v>
      </c>
      <c r="D3" s="11" t="b">
        <v>1</v>
      </c>
      <c r="E3" s="11" t="b">
        <v>0</v>
      </c>
      <c r="F3" s="11" t="b">
        <v>1</v>
      </c>
      <c r="G3" s="11" t="s">
        <v>465</v>
      </c>
      <c r="H3" s="12"/>
      <c r="I3" s="11" t="s">
        <v>466</v>
      </c>
      <c r="J3" s="12" t="s">
        <v>463</v>
      </c>
      <c r="K3" s="11">
        <v>3</v>
      </c>
    </row>
    <row r="4" spans="1:11">
      <c r="A4" s="11" t="s">
        <v>467</v>
      </c>
      <c r="B4" s="11" t="s">
        <v>468</v>
      </c>
      <c r="C4" s="11" t="s">
        <v>460</v>
      </c>
      <c r="D4" s="11" t="b">
        <v>1</v>
      </c>
      <c r="E4" s="11" t="b">
        <v>0</v>
      </c>
      <c r="F4" s="11" t="b">
        <v>1</v>
      </c>
      <c r="G4" s="11" t="s">
        <v>469</v>
      </c>
      <c r="H4" s="12"/>
      <c r="I4" s="11" t="s">
        <v>466</v>
      </c>
      <c r="J4" s="12" t="s">
        <v>463</v>
      </c>
      <c r="K4" s="11">
        <v>4</v>
      </c>
    </row>
    <row r="5" spans="1:11">
      <c r="A5" s="11" t="s">
        <v>470</v>
      </c>
      <c r="B5" s="11" t="s">
        <v>471</v>
      </c>
      <c r="C5" s="11" t="s">
        <v>460</v>
      </c>
      <c r="D5" s="11" t="b">
        <v>1</v>
      </c>
      <c r="E5" s="11" t="b">
        <v>0</v>
      </c>
      <c r="F5" s="11" t="b">
        <v>1</v>
      </c>
      <c r="G5" s="11" t="s">
        <v>469</v>
      </c>
      <c r="H5" s="12"/>
      <c r="I5" s="11" t="s">
        <v>466</v>
      </c>
      <c r="J5" s="12" t="s">
        <v>463</v>
      </c>
      <c r="K5" s="11">
        <v>5</v>
      </c>
    </row>
    <row r="6" spans="1:11" ht="25">
      <c r="A6" s="11" t="s">
        <v>472</v>
      </c>
      <c r="B6" s="11" t="s">
        <v>473</v>
      </c>
      <c r="C6" s="11" t="s">
        <v>460</v>
      </c>
      <c r="D6" s="3" t="b">
        <v>0</v>
      </c>
      <c r="E6" s="11" t="b">
        <v>1</v>
      </c>
      <c r="F6" s="11" t="b">
        <v>1</v>
      </c>
      <c r="G6" s="11" t="s">
        <v>473</v>
      </c>
      <c r="H6" s="12" t="s">
        <v>474</v>
      </c>
      <c r="I6" s="11" t="s">
        <v>462</v>
      </c>
      <c r="J6" s="4" t="s">
        <v>475</v>
      </c>
      <c r="K6" s="11">
        <v>6</v>
      </c>
    </row>
    <row r="7" spans="1:11">
      <c r="A7" s="11" t="s">
        <v>476</v>
      </c>
      <c r="B7" s="11" t="s">
        <v>477</v>
      </c>
      <c r="C7" s="11" t="s">
        <v>460</v>
      </c>
      <c r="D7" s="11" t="b">
        <v>1</v>
      </c>
      <c r="E7" s="11" t="b">
        <v>1</v>
      </c>
      <c r="F7" s="11" t="b">
        <v>1</v>
      </c>
      <c r="G7" s="3" t="s">
        <v>478</v>
      </c>
      <c r="H7" s="12" t="s">
        <v>479</v>
      </c>
      <c r="I7" s="11" t="s">
        <v>462</v>
      </c>
      <c r="J7" s="12" t="s">
        <v>463</v>
      </c>
      <c r="K7" s="11">
        <v>7</v>
      </c>
    </row>
    <row r="8" spans="1:11">
      <c r="A8" s="11" t="s">
        <v>480</v>
      </c>
      <c r="B8" s="11" t="s">
        <v>481</v>
      </c>
      <c r="C8" s="11" t="s">
        <v>460</v>
      </c>
      <c r="D8" s="11" t="b">
        <v>1</v>
      </c>
      <c r="E8" s="11" t="b">
        <v>0</v>
      </c>
      <c r="F8" s="11" t="b">
        <v>1</v>
      </c>
      <c r="G8" s="11" t="s">
        <v>481</v>
      </c>
      <c r="H8" s="12"/>
      <c r="I8" s="11" t="s">
        <v>466</v>
      </c>
      <c r="J8" s="12" t="s">
        <v>463</v>
      </c>
      <c r="K8" s="11">
        <v>8</v>
      </c>
    </row>
    <row r="9" spans="1:11" ht="25">
      <c r="A9" s="11" t="s">
        <v>482</v>
      </c>
      <c r="B9" s="11" t="s">
        <v>483</v>
      </c>
      <c r="C9" s="11" t="s">
        <v>460</v>
      </c>
      <c r="D9" s="11" t="b">
        <v>0</v>
      </c>
      <c r="E9" s="11" t="b">
        <v>1</v>
      </c>
      <c r="F9" s="11" t="b">
        <v>0</v>
      </c>
      <c r="G9" s="11"/>
      <c r="H9" s="12" t="s">
        <v>484</v>
      </c>
      <c r="I9" s="11" t="s">
        <v>462</v>
      </c>
      <c r="J9" s="12" t="s">
        <v>485</v>
      </c>
      <c r="K9" s="11">
        <v>9</v>
      </c>
    </row>
    <row r="10" spans="1:11" ht="25">
      <c r="A10" s="11" t="s">
        <v>486</v>
      </c>
      <c r="B10" s="11" t="s">
        <v>487</v>
      </c>
      <c r="C10" s="11" t="s">
        <v>460</v>
      </c>
      <c r="D10" s="11" t="b">
        <v>0</v>
      </c>
      <c r="E10" s="11" t="b">
        <v>1</v>
      </c>
      <c r="F10" s="11" t="b">
        <v>0</v>
      </c>
      <c r="G10" s="11"/>
      <c r="H10" s="12" t="s">
        <v>484</v>
      </c>
      <c r="I10" s="11" t="s">
        <v>462</v>
      </c>
      <c r="J10" s="12" t="s">
        <v>485</v>
      </c>
      <c r="K10" s="11">
        <v>10</v>
      </c>
    </row>
    <row r="11" spans="1:11" ht="25">
      <c r="A11" s="11" t="s">
        <v>488</v>
      </c>
      <c r="B11" s="11" t="s">
        <v>489</v>
      </c>
      <c r="C11" s="11" t="s">
        <v>460</v>
      </c>
      <c r="D11" s="11" t="b">
        <v>0</v>
      </c>
      <c r="E11" s="11" t="b">
        <v>1</v>
      </c>
      <c r="F11" s="11" t="b">
        <v>0</v>
      </c>
      <c r="G11" s="11"/>
      <c r="H11" s="12" t="s">
        <v>484</v>
      </c>
      <c r="I11" s="11" t="s">
        <v>462</v>
      </c>
      <c r="J11" s="12" t="s">
        <v>485</v>
      </c>
      <c r="K11" s="11">
        <v>11</v>
      </c>
    </row>
    <row r="12" spans="1:11" ht="25">
      <c r="A12" s="11" t="s">
        <v>490</v>
      </c>
      <c r="B12" s="11" t="s">
        <v>491</v>
      </c>
      <c r="C12" s="11" t="s">
        <v>460</v>
      </c>
      <c r="D12" s="11" t="b">
        <v>0</v>
      </c>
      <c r="E12" s="11" t="b">
        <v>1</v>
      </c>
      <c r="F12" s="11" t="b">
        <v>0</v>
      </c>
      <c r="G12" s="11"/>
      <c r="H12" s="12" t="s">
        <v>484</v>
      </c>
      <c r="I12" s="11" t="s">
        <v>462</v>
      </c>
      <c r="J12" s="12" t="s">
        <v>485</v>
      </c>
      <c r="K12" s="11">
        <v>12</v>
      </c>
    </row>
    <row r="13" spans="1:11" ht="25">
      <c r="A13" s="11" t="s">
        <v>492</v>
      </c>
      <c r="B13" s="11" t="s">
        <v>493</v>
      </c>
      <c r="C13" s="11" t="s">
        <v>460</v>
      </c>
      <c r="D13" s="11" t="b">
        <v>0</v>
      </c>
      <c r="E13" s="11" t="b">
        <v>1</v>
      </c>
      <c r="F13" s="11" t="b">
        <v>0</v>
      </c>
      <c r="G13" s="11"/>
      <c r="H13" s="12" t="s">
        <v>484</v>
      </c>
      <c r="I13" s="11" t="s">
        <v>462</v>
      </c>
      <c r="J13" s="12" t="s">
        <v>485</v>
      </c>
      <c r="K13" s="11">
        <v>13</v>
      </c>
    </row>
    <row r="14" spans="1:11" ht="25">
      <c r="A14" s="11" t="s">
        <v>494</v>
      </c>
      <c r="B14" s="11" t="s">
        <v>495</v>
      </c>
      <c r="C14" s="11" t="s">
        <v>460</v>
      </c>
      <c r="D14" s="11" t="b">
        <v>0</v>
      </c>
      <c r="E14" s="11" t="b">
        <v>1</v>
      </c>
      <c r="F14" s="11" t="b">
        <v>0</v>
      </c>
      <c r="G14" s="11"/>
      <c r="H14" s="12" t="s">
        <v>496</v>
      </c>
      <c r="I14" s="11" t="s">
        <v>462</v>
      </c>
      <c r="J14" s="12" t="s">
        <v>485</v>
      </c>
      <c r="K14" s="11">
        <v>14</v>
      </c>
    </row>
    <row r="15" spans="1:11" ht="37.5">
      <c r="A15" s="11" t="s">
        <v>497</v>
      </c>
      <c r="B15" s="11" t="s">
        <v>498</v>
      </c>
      <c r="C15" s="11" t="s">
        <v>460</v>
      </c>
      <c r="D15" s="11" t="b">
        <v>0</v>
      </c>
      <c r="E15" s="11" t="b">
        <v>1</v>
      </c>
      <c r="F15" s="11" t="b">
        <v>0</v>
      </c>
      <c r="G15" s="11"/>
      <c r="H15" s="12" t="s">
        <v>499</v>
      </c>
      <c r="I15" s="11" t="s">
        <v>462</v>
      </c>
      <c r="J15" s="12" t="s">
        <v>485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38</v>
      </c>
      <c r="B1" s="10" t="s">
        <v>105</v>
      </c>
      <c r="C1" s="10" t="s">
        <v>122</v>
      </c>
    </row>
    <row r="2" spans="1:3">
      <c r="A2" s="11" t="s">
        <v>458</v>
      </c>
      <c r="B2" s="11" t="s">
        <v>397</v>
      </c>
      <c r="C2" s="11">
        <v>2</v>
      </c>
    </row>
    <row r="3" spans="1:3">
      <c r="A3" s="11" t="s">
        <v>458</v>
      </c>
      <c r="B3" s="11" t="s">
        <v>401</v>
      </c>
      <c r="C3" s="11">
        <v>2</v>
      </c>
    </row>
    <row r="4" spans="1:3">
      <c r="A4" s="11" t="s">
        <v>458</v>
      </c>
      <c r="B4" s="11" t="s">
        <v>412</v>
      </c>
      <c r="C4" s="11">
        <v>2</v>
      </c>
    </row>
    <row r="5" spans="1:3">
      <c r="A5" s="11" t="s">
        <v>464</v>
      </c>
      <c r="B5" s="11" t="s">
        <v>405</v>
      </c>
      <c r="C5" s="11">
        <v>3</v>
      </c>
    </row>
    <row r="6" spans="1:3">
      <c r="A6" s="11" t="s">
        <v>464</v>
      </c>
      <c r="B6" s="11" t="s">
        <v>397</v>
      </c>
      <c r="C6" s="11">
        <v>3</v>
      </c>
    </row>
    <row r="7" spans="1:3">
      <c r="A7" s="11" t="s">
        <v>467</v>
      </c>
      <c r="B7" s="11" t="s">
        <v>420</v>
      </c>
      <c r="C7" s="11">
        <v>4</v>
      </c>
    </row>
    <row r="8" spans="1:3">
      <c r="A8" s="11" t="s">
        <v>467</v>
      </c>
      <c r="B8" s="11" t="s">
        <v>412</v>
      </c>
      <c r="C8" s="11">
        <v>4</v>
      </c>
    </row>
    <row r="9" spans="1:3">
      <c r="A9" s="11" t="s">
        <v>470</v>
      </c>
      <c r="B9" s="11" t="s">
        <v>420</v>
      </c>
      <c r="C9" s="11">
        <v>5</v>
      </c>
    </row>
    <row r="10" spans="1:3">
      <c r="A10" s="11" t="s">
        <v>470</v>
      </c>
      <c r="B10" s="11" t="s">
        <v>412</v>
      </c>
      <c r="C10" s="11">
        <v>5</v>
      </c>
    </row>
    <row r="11" spans="1:3">
      <c r="A11" s="11" t="s">
        <v>470</v>
      </c>
      <c r="B11" s="11" t="s">
        <v>401</v>
      </c>
      <c r="C11" s="11">
        <v>5</v>
      </c>
    </row>
    <row r="12" spans="1:3">
      <c r="A12" s="3" t="s">
        <v>476</v>
      </c>
      <c r="B12" s="11" t="s">
        <v>405</v>
      </c>
      <c r="C12" s="3">
        <v>7</v>
      </c>
    </row>
    <row r="13" spans="1:3">
      <c r="A13" s="11" t="s">
        <v>476</v>
      </c>
      <c r="B13" s="3" t="s">
        <v>420</v>
      </c>
      <c r="C13" s="11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11" t="s">
        <v>480</v>
      </c>
      <c r="B15" s="3" t="s">
        <v>420</v>
      </c>
      <c r="C15" s="11">
        <v>8</v>
      </c>
    </row>
    <row r="16" spans="1:3">
      <c r="A16" s="11" t="s">
        <v>480</v>
      </c>
      <c r="B16" s="3" t="s">
        <v>412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38</v>
      </c>
      <c r="B1" s="10" t="s">
        <v>144</v>
      </c>
      <c r="C1" s="10" t="s">
        <v>122</v>
      </c>
    </row>
    <row r="2" spans="1:3">
      <c r="A2" s="11" t="s">
        <v>458</v>
      </c>
      <c r="B2" s="11" t="s">
        <v>500</v>
      </c>
      <c r="C2" s="11">
        <v>2</v>
      </c>
    </row>
    <row r="3" spans="1:3">
      <c r="A3" s="11" t="s">
        <v>458</v>
      </c>
      <c r="B3" s="11" t="s">
        <v>501</v>
      </c>
      <c r="C3" s="11">
        <v>2</v>
      </c>
    </row>
    <row r="4" spans="1:3">
      <c r="A4" s="11" t="s">
        <v>472</v>
      </c>
      <c r="B4" s="11" t="s">
        <v>502</v>
      </c>
      <c r="C4" s="11">
        <v>6</v>
      </c>
    </row>
    <row r="5" spans="1:3">
      <c r="A5" s="11" t="s">
        <v>472</v>
      </c>
      <c r="B5" s="11" t="s">
        <v>501</v>
      </c>
      <c r="C5" s="11">
        <v>6</v>
      </c>
    </row>
    <row r="6" spans="1:3">
      <c r="A6" s="11" t="s">
        <v>476</v>
      </c>
      <c r="B6" s="11" t="s">
        <v>503</v>
      </c>
      <c r="C6" s="11">
        <v>7</v>
      </c>
    </row>
    <row r="7" spans="1:3">
      <c r="A7" s="11" t="s">
        <v>482</v>
      </c>
      <c r="B7" s="11" t="s">
        <v>501</v>
      </c>
      <c r="C7" s="11">
        <v>9</v>
      </c>
    </row>
    <row r="8" spans="1:3">
      <c r="A8" s="11" t="s">
        <v>482</v>
      </c>
      <c r="B8" s="11" t="s">
        <v>500</v>
      </c>
      <c r="C8" s="11">
        <v>9</v>
      </c>
    </row>
    <row r="9" spans="1:3">
      <c r="A9" s="11" t="s">
        <v>482</v>
      </c>
      <c r="B9" s="11" t="s">
        <v>502</v>
      </c>
      <c r="C9" s="11">
        <v>9</v>
      </c>
    </row>
    <row r="10" spans="1:3">
      <c r="A10" s="11" t="s">
        <v>486</v>
      </c>
      <c r="B10" s="11" t="s">
        <v>501</v>
      </c>
      <c r="C10" s="11">
        <v>10</v>
      </c>
    </row>
    <row r="11" spans="1:3">
      <c r="A11" s="11" t="s">
        <v>486</v>
      </c>
      <c r="B11" s="11" t="s">
        <v>500</v>
      </c>
      <c r="C11" s="11">
        <v>10</v>
      </c>
    </row>
    <row r="12" spans="1:3">
      <c r="A12" s="11" t="s">
        <v>486</v>
      </c>
      <c r="B12" s="11" t="s">
        <v>502</v>
      </c>
      <c r="C12" s="11">
        <v>10</v>
      </c>
    </row>
    <row r="13" spans="1:3">
      <c r="A13" s="11" t="s">
        <v>488</v>
      </c>
      <c r="B13" s="11" t="s">
        <v>501</v>
      </c>
      <c r="C13" s="11">
        <v>11</v>
      </c>
    </row>
    <row r="14" spans="1:3">
      <c r="A14" s="11" t="s">
        <v>488</v>
      </c>
      <c r="B14" s="11" t="s">
        <v>500</v>
      </c>
      <c r="C14" s="11">
        <v>11</v>
      </c>
    </row>
    <row r="15" spans="1:3">
      <c r="A15" s="11" t="s">
        <v>488</v>
      </c>
      <c r="B15" s="11" t="s">
        <v>502</v>
      </c>
      <c r="C15" s="11">
        <v>11</v>
      </c>
    </row>
    <row r="16" spans="1:3">
      <c r="A16" s="11" t="s">
        <v>490</v>
      </c>
      <c r="B16" s="11" t="s">
        <v>501</v>
      </c>
      <c r="C16" s="11">
        <v>12</v>
      </c>
    </row>
    <row r="17" spans="1:3">
      <c r="A17" s="11" t="s">
        <v>490</v>
      </c>
      <c r="B17" s="11" t="s">
        <v>500</v>
      </c>
      <c r="C17" s="11">
        <v>12</v>
      </c>
    </row>
    <row r="18" spans="1:3">
      <c r="A18" s="11" t="s">
        <v>490</v>
      </c>
      <c r="B18" s="11" t="s">
        <v>502</v>
      </c>
      <c r="C18" s="11">
        <v>12</v>
      </c>
    </row>
    <row r="19" spans="1:3">
      <c r="A19" s="11" t="s">
        <v>492</v>
      </c>
      <c r="B19" s="11" t="s">
        <v>501</v>
      </c>
      <c r="C19" s="11">
        <v>13</v>
      </c>
    </row>
    <row r="20" spans="1:3">
      <c r="A20" s="11" t="s">
        <v>492</v>
      </c>
      <c r="B20" s="11" t="s">
        <v>500</v>
      </c>
      <c r="C20" s="11">
        <v>13</v>
      </c>
    </row>
    <row r="21" spans="1:3">
      <c r="A21" s="11" t="s">
        <v>492</v>
      </c>
      <c r="B21" s="11" t="s">
        <v>502</v>
      </c>
      <c r="C21" s="11">
        <v>13</v>
      </c>
    </row>
    <row r="22" spans="1:3">
      <c r="A22" s="11" t="s">
        <v>494</v>
      </c>
      <c r="B22" s="11" t="s">
        <v>502</v>
      </c>
      <c r="C22" s="11">
        <v>14</v>
      </c>
    </row>
    <row r="23" spans="1:3">
      <c r="A23" s="11" t="s">
        <v>494</v>
      </c>
      <c r="B23" s="11" t="s">
        <v>501</v>
      </c>
      <c r="C23" s="11">
        <v>14</v>
      </c>
    </row>
    <row r="24" spans="1:3">
      <c r="A24" s="11" t="s">
        <v>497</v>
      </c>
      <c r="B24" s="11" t="s">
        <v>501</v>
      </c>
      <c r="C24" s="11">
        <v>15</v>
      </c>
    </row>
    <row r="25" spans="1:3">
      <c r="A25" s="11" t="s">
        <v>497</v>
      </c>
      <c r="B25" s="11" t="s">
        <v>500</v>
      </c>
      <c r="C25" s="11">
        <v>15</v>
      </c>
    </row>
    <row r="26" spans="1:3">
      <c r="A26" s="11" t="s">
        <v>497</v>
      </c>
      <c r="B26" s="11" t="s">
        <v>502</v>
      </c>
      <c r="C26" s="11">
        <v>15</v>
      </c>
    </row>
    <row r="27" spans="1:3">
      <c r="A27" s="11" t="s">
        <v>497</v>
      </c>
      <c r="B27" s="11" t="s">
        <v>504</v>
      </c>
      <c r="C27" s="11">
        <v>15</v>
      </c>
    </row>
    <row r="28" spans="1:3">
      <c r="A28" s="11" t="s">
        <v>497</v>
      </c>
      <c r="B28" s="11" t="s">
        <v>503</v>
      </c>
      <c r="C28" s="11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47</v>
      </c>
      <c r="B1" s="10" t="s">
        <v>38</v>
      </c>
      <c r="C1" s="10" t="s">
        <v>179</v>
      </c>
      <c r="D1" s="10" t="s">
        <v>180</v>
      </c>
      <c r="E1" s="10" t="s">
        <v>182</v>
      </c>
      <c r="F1" s="10" t="s">
        <v>184</v>
      </c>
      <c r="G1" s="10" t="s">
        <v>185</v>
      </c>
      <c r="H1" s="10" t="s">
        <v>186</v>
      </c>
      <c r="I1" s="10" t="s">
        <v>187</v>
      </c>
      <c r="J1" s="10" t="s">
        <v>188</v>
      </c>
      <c r="K1" s="10" t="s">
        <v>189</v>
      </c>
      <c r="L1" s="10" t="s">
        <v>122</v>
      </c>
    </row>
    <row r="2" spans="1:12">
      <c r="A2" s="11" t="s">
        <v>505</v>
      </c>
      <c r="B2" s="11" t="s">
        <v>458</v>
      </c>
      <c r="C2" s="11" t="s">
        <v>506</v>
      </c>
      <c r="D2" s="11" t="s">
        <v>507</v>
      </c>
      <c r="E2" s="11" t="s">
        <v>508</v>
      </c>
      <c r="F2" s="11"/>
      <c r="G2" s="11">
        <v>12</v>
      </c>
      <c r="H2" s="11">
        <v>2</v>
      </c>
      <c r="I2" s="11" t="b">
        <v>1</v>
      </c>
      <c r="J2" s="11"/>
      <c r="K2" s="11" t="s">
        <v>509</v>
      </c>
      <c r="L2" s="11">
        <v>2</v>
      </c>
    </row>
    <row r="3" spans="1:12">
      <c r="A3" s="11" t="s">
        <v>510</v>
      </c>
      <c r="B3" s="11" t="s">
        <v>458</v>
      </c>
      <c r="C3" s="11" t="s">
        <v>511</v>
      </c>
      <c r="D3" s="11" t="s">
        <v>512</v>
      </c>
      <c r="E3" s="11" t="s">
        <v>508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513</v>
      </c>
      <c r="B4" s="11" t="s">
        <v>458</v>
      </c>
      <c r="C4" s="11" t="s">
        <v>514</v>
      </c>
      <c r="D4" s="11" t="s">
        <v>515</v>
      </c>
      <c r="E4" s="11" t="s">
        <v>508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516</v>
      </c>
      <c r="B5" s="11" t="s">
        <v>458</v>
      </c>
      <c r="C5" s="11" t="s">
        <v>517</v>
      </c>
      <c r="D5" s="11" t="s">
        <v>518</v>
      </c>
      <c r="E5" s="11" t="s">
        <v>508</v>
      </c>
      <c r="F5" s="11"/>
      <c r="G5" s="11">
        <v>12</v>
      </c>
      <c r="H5" s="11">
        <v>2</v>
      </c>
      <c r="I5" s="11" t="b">
        <v>1</v>
      </c>
      <c r="J5" s="11"/>
      <c r="K5" s="11" t="s">
        <v>518</v>
      </c>
      <c r="L5" s="11">
        <v>5</v>
      </c>
    </row>
    <row r="6" spans="1:12">
      <c r="A6" s="11" t="s">
        <v>519</v>
      </c>
      <c r="B6" s="11" t="s">
        <v>464</v>
      </c>
      <c r="C6" s="11" t="s">
        <v>520</v>
      </c>
      <c r="D6" s="11" t="s">
        <v>521</v>
      </c>
      <c r="E6" s="11" t="s">
        <v>508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522</v>
      </c>
      <c r="B7" s="11" t="s">
        <v>464</v>
      </c>
      <c r="C7" s="11" t="s">
        <v>523</v>
      </c>
      <c r="D7" s="11" t="s">
        <v>524</v>
      </c>
      <c r="E7" s="11" t="s">
        <v>508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525</v>
      </c>
      <c r="B8" s="11" t="s">
        <v>464</v>
      </c>
      <c r="C8" s="11" t="s">
        <v>526</v>
      </c>
      <c r="D8" s="11" t="s">
        <v>527</v>
      </c>
      <c r="E8" s="11" t="s">
        <v>508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528</v>
      </c>
      <c r="B9" s="11" t="s">
        <v>467</v>
      </c>
      <c r="C9" s="11" t="s">
        <v>529</v>
      </c>
      <c r="D9" s="11" t="s">
        <v>530</v>
      </c>
      <c r="E9" s="11" t="s">
        <v>531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532</v>
      </c>
      <c r="B10" s="11" t="s">
        <v>467</v>
      </c>
      <c r="C10" s="11" t="s">
        <v>533</v>
      </c>
      <c r="D10" s="11" t="s">
        <v>534</v>
      </c>
      <c r="E10" s="11" t="s">
        <v>531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535</v>
      </c>
      <c r="B11" s="11" t="s">
        <v>467</v>
      </c>
      <c r="C11" s="11" t="s">
        <v>536</v>
      </c>
      <c r="D11" s="11" t="s">
        <v>537</v>
      </c>
      <c r="E11" s="11" t="s">
        <v>531</v>
      </c>
      <c r="F11" s="11"/>
      <c r="G11" s="11">
        <v>12</v>
      </c>
      <c r="H11" s="11">
        <v>2</v>
      </c>
      <c r="I11" s="11" t="b">
        <v>1</v>
      </c>
      <c r="J11" s="11"/>
      <c r="K11" s="11" t="s">
        <v>538</v>
      </c>
      <c r="L11" s="11">
        <v>11</v>
      </c>
    </row>
    <row r="12" spans="1:12">
      <c r="A12" s="11" t="s">
        <v>539</v>
      </c>
      <c r="B12" s="11" t="s">
        <v>470</v>
      </c>
      <c r="C12" s="11" t="s">
        <v>540</v>
      </c>
      <c r="D12" s="11" t="s">
        <v>541</v>
      </c>
      <c r="E12" s="11" t="s">
        <v>531</v>
      </c>
      <c r="F12" s="11"/>
      <c r="G12" s="11">
        <v>12</v>
      </c>
      <c r="H12" s="11">
        <v>2</v>
      </c>
      <c r="I12" s="11" t="b">
        <v>1</v>
      </c>
      <c r="J12" s="11"/>
      <c r="K12" s="11" t="s">
        <v>542</v>
      </c>
      <c r="L12" s="11">
        <v>12</v>
      </c>
    </row>
    <row r="13" spans="1:12">
      <c r="A13" s="11" t="s">
        <v>543</v>
      </c>
      <c r="B13" s="11" t="s">
        <v>470</v>
      </c>
      <c r="C13" s="11" t="s">
        <v>544</v>
      </c>
      <c r="D13" s="11" t="s">
        <v>545</v>
      </c>
      <c r="E13" s="11" t="s">
        <v>531</v>
      </c>
      <c r="F13" s="11"/>
      <c r="G13" s="11">
        <v>12</v>
      </c>
      <c r="H13" s="11">
        <v>2</v>
      </c>
      <c r="I13" s="11" t="b">
        <v>1</v>
      </c>
      <c r="J13" s="11"/>
      <c r="K13" s="11" t="s">
        <v>542</v>
      </c>
      <c r="L13" s="11">
        <v>13</v>
      </c>
    </row>
    <row r="14" spans="1:12">
      <c r="A14" s="11" t="s">
        <v>546</v>
      </c>
      <c r="B14" s="11" t="s">
        <v>472</v>
      </c>
      <c r="C14" s="11" t="s">
        <v>547</v>
      </c>
      <c r="D14" s="11" t="s">
        <v>548</v>
      </c>
      <c r="E14" s="11" t="s">
        <v>531</v>
      </c>
      <c r="F14" s="11"/>
      <c r="G14" s="11">
        <v>12</v>
      </c>
      <c r="H14" s="11">
        <v>1</v>
      </c>
      <c r="I14" s="11" t="b">
        <v>1</v>
      </c>
      <c r="J14" s="11"/>
      <c r="K14" s="11" t="s">
        <v>549</v>
      </c>
      <c r="L14" s="11">
        <v>14</v>
      </c>
    </row>
    <row r="15" spans="1:12">
      <c r="A15" s="11" t="s">
        <v>550</v>
      </c>
      <c r="B15" s="11" t="s">
        <v>472</v>
      </c>
      <c r="C15" s="11" t="s">
        <v>551</v>
      </c>
      <c r="D15" s="11" t="s">
        <v>552</v>
      </c>
      <c r="E15" s="11" t="s">
        <v>531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553</v>
      </c>
      <c r="B16" s="11" t="s">
        <v>472</v>
      </c>
      <c r="C16" s="11" t="s">
        <v>554</v>
      </c>
      <c r="D16" s="11" t="s">
        <v>555</v>
      </c>
      <c r="E16" s="11" t="s">
        <v>531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556</v>
      </c>
      <c r="B17" s="11" t="s">
        <v>472</v>
      </c>
      <c r="C17" s="11" t="s">
        <v>557</v>
      </c>
      <c r="D17" s="11" t="s">
        <v>558</v>
      </c>
      <c r="E17" s="11" t="s">
        <v>531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559</v>
      </c>
      <c r="B18" s="11" t="s">
        <v>472</v>
      </c>
      <c r="C18" s="11" t="s">
        <v>560</v>
      </c>
      <c r="D18" s="11" t="s">
        <v>561</v>
      </c>
      <c r="E18" s="11" t="s">
        <v>531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562</v>
      </c>
      <c r="B19" s="11" t="s">
        <v>472</v>
      </c>
      <c r="C19" s="11" t="s">
        <v>563</v>
      </c>
      <c r="D19" s="11" t="s">
        <v>564</v>
      </c>
      <c r="E19" s="11" t="s">
        <v>531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565</v>
      </c>
      <c r="B20" s="11" t="s">
        <v>472</v>
      </c>
      <c r="C20" s="11" t="s">
        <v>566</v>
      </c>
      <c r="D20" s="11" t="s">
        <v>567</v>
      </c>
      <c r="E20" s="11" t="s">
        <v>508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568</v>
      </c>
      <c r="B21" s="11" t="s">
        <v>472</v>
      </c>
      <c r="C21" s="11" t="s">
        <v>569</v>
      </c>
      <c r="D21" s="11" t="s">
        <v>570</v>
      </c>
      <c r="E21" s="11" t="s">
        <v>531</v>
      </c>
      <c r="F21" s="11"/>
      <c r="G21" s="11">
        <v>12</v>
      </c>
      <c r="H21" s="11">
        <v>2</v>
      </c>
      <c r="I21" s="11" t="b">
        <v>1</v>
      </c>
      <c r="J21" s="11"/>
      <c r="K21" s="11" t="s">
        <v>571</v>
      </c>
      <c r="L21" s="11">
        <v>21</v>
      </c>
    </row>
    <row r="22" spans="1:12">
      <c r="A22" s="11" t="s">
        <v>572</v>
      </c>
      <c r="B22" s="11" t="s">
        <v>472</v>
      </c>
      <c r="C22" s="11" t="s">
        <v>573</v>
      </c>
      <c r="D22" s="11" t="s">
        <v>574</v>
      </c>
      <c r="E22" s="11" t="s">
        <v>531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575</v>
      </c>
      <c r="B23" s="11" t="s">
        <v>472</v>
      </c>
      <c r="C23" s="11" t="s">
        <v>576</v>
      </c>
      <c r="D23" s="11" t="s">
        <v>577</v>
      </c>
      <c r="E23" s="11" t="s">
        <v>508</v>
      </c>
      <c r="F23" s="11"/>
      <c r="G23" s="11">
        <v>12</v>
      </c>
      <c r="H23" s="11">
        <v>2</v>
      </c>
      <c r="I23" s="11" t="b">
        <v>1</v>
      </c>
      <c r="J23" s="11"/>
      <c r="K23" s="11" t="s">
        <v>578</v>
      </c>
      <c r="L23" s="11">
        <v>23</v>
      </c>
    </row>
    <row r="24" spans="1:12">
      <c r="A24" s="11" t="s">
        <v>579</v>
      </c>
      <c r="B24" s="11" t="s">
        <v>472</v>
      </c>
      <c r="C24" s="11" t="s">
        <v>580</v>
      </c>
      <c r="D24" s="11" t="s">
        <v>581</v>
      </c>
      <c r="E24" s="11" t="s">
        <v>508</v>
      </c>
      <c r="F24" s="11"/>
      <c r="G24" s="11">
        <v>12</v>
      </c>
      <c r="H24" s="11">
        <v>2</v>
      </c>
      <c r="I24" s="11" t="b">
        <v>1</v>
      </c>
      <c r="J24" s="11"/>
      <c r="K24" s="11" t="s">
        <v>582</v>
      </c>
      <c r="L24" s="11">
        <v>24</v>
      </c>
    </row>
    <row r="25" spans="1:12">
      <c r="A25" s="11" t="s">
        <v>583</v>
      </c>
      <c r="B25" s="11" t="s">
        <v>476</v>
      </c>
      <c r="C25" s="11" t="s">
        <v>584</v>
      </c>
      <c r="D25" s="11" t="s">
        <v>585</v>
      </c>
      <c r="E25" s="11" t="s">
        <v>508</v>
      </c>
      <c r="F25" s="11"/>
      <c r="G25" s="11">
        <v>12</v>
      </c>
      <c r="H25" s="11">
        <v>1</v>
      </c>
      <c r="I25" s="11" t="b">
        <v>1</v>
      </c>
      <c r="J25" s="11"/>
      <c r="K25" s="11" t="s">
        <v>586</v>
      </c>
      <c r="L25" s="11">
        <v>25</v>
      </c>
    </row>
    <row r="26" spans="1:12">
      <c r="A26" s="11" t="s">
        <v>587</v>
      </c>
      <c r="B26" s="11" t="s">
        <v>476</v>
      </c>
      <c r="C26" s="11" t="s">
        <v>588</v>
      </c>
      <c r="D26" s="11" t="s">
        <v>589</v>
      </c>
      <c r="E26" s="11" t="s">
        <v>531</v>
      </c>
      <c r="F26" s="11"/>
      <c r="G26" s="11">
        <v>12</v>
      </c>
      <c r="H26" s="11">
        <v>1</v>
      </c>
      <c r="I26" s="11" t="b">
        <v>1</v>
      </c>
      <c r="J26" s="11"/>
      <c r="K26" s="11" t="s">
        <v>590</v>
      </c>
      <c r="L26" s="11">
        <v>26</v>
      </c>
    </row>
    <row r="27" spans="1:12">
      <c r="A27" s="11" t="s">
        <v>591</v>
      </c>
      <c r="B27" s="11" t="s">
        <v>476</v>
      </c>
      <c r="C27" s="11" t="s">
        <v>592</v>
      </c>
      <c r="D27" s="11" t="s">
        <v>593</v>
      </c>
      <c r="E27" s="11" t="s">
        <v>508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594</v>
      </c>
      <c r="B28" s="11" t="s">
        <v>476</v>
      </c>
      <c r="C28" s="11" t="s">
        <v>595</v>
      </c>
      <c r="D28" s="11" t="s">
        <v>596</v>
      </c>
      <c r="E28" s="11" t="s">
        <v>508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597</v>
      </c>
      <c r="B29" s="11" t="s">
        <v>476</v>
      </c>
      <c r="C29" s="11" t="s">
        <v>598</v>
      </c>
      <c r="D29" s="11" t="s">
        <v>599</v>
      </c>
      <c r="E29" s="11" t="s">
        <v>508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600</v>
      </c>
      <c r="B30" s="11" t="s">
        <v>476</v>
      </c>
      <c r="C30" s="11" t="s">
        <v>601</v>
      </c>
      <c r="D30" s="11" t="s">
        <v>602</v>
      </c>
      <c r="E30" s="11" t="s">
        <v>508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603</v>
      </c>
      <c r="B31" s="11" t="s">
        <v>476</v>
      </c>
      <c r="C31" s="11" t="s">
        <v>604</v>
      </c>
      <c r="D31" s="11" t="s">
        <v>605</v>
      </c>
      <c r="E31" s="11" t="s">
        <v>508</v>
      </c>
      <c r="F31" s="11"/>
      <c r="G31" s="11">
        <v>12</v>
      </c>
      <c r="H31" s="11">
        <v>2</v>
      </c>
      <c r="I31" s="11" t="b">
        <v>1</v>
      </c>
      <c r="J31" s="11"/>
      <c r="K31" s="11" t="s">
        <v>606</v>
      </c>
      <c r="L31" s="11">
        <v>31</v>
      </c>
    </row>
    <row r="32" spans="1:12">
      <c r="A32" s="11" t="s">
        <v>607</v>
      </c>
      <c r="B32" s="11" t="s">
        <v>476</v>
      </c>
      <c r="C32" s="11" t="s">
        <v>608</v>
      </c>
      <c r="D32" s="11" t="s">
        <v>609</v>
      </c>
      <c r="E32" s="11" t="s">
        <v>508</v>
      </c>
      <c r="F32" s="11"/>
      <c r="G32" s="11">
        <v>12</v>
      </c>
      <c r="H32" s="11">
        <v>2</v>
      </c>
      <c r="I32" s="11" t="b">
        <v>1</v>
      </c>
      <c r="J32" s="11"/>
      <c r="K32" s="11" t="s">
        <v>609</v>
      </c>
      <c r="L32" s="11">
        <v>32</v>
      </c>
    </row>
    <row r="33" spans="1:12">
      <c r="A33" s="11" t="s">
        <v>610</v>
      </c>
      <c r="B33" s="11" t="s">
        <v>476</v>
      </c>
      <c r="C33" s="11" t="s">
        <v>611</v>
      </c>
      <c r="D33" s="11" t="s">
        <v>612</v>
      </c>
      <c r="E33" s="11" t="s">
        <v>508</v>
      </c>
      <c r="F33" s="11"/>
      <c r="G33" s="11">
        <v>12</v>
      </c>
      <c r="H33" s="11">
        <v>1</v>
      </c>
      <c r="I33" s="11" t="b">
        <v>1</v>
      </c>
      <c r="J33" s="11"/>
      <c r="K33" s="11" t="s">
        <v>613</v>
      </c>
      <c r="L33" s="11">
        <v>33</v>
      </c>
    </row>
    <row r="34" spans="1:12">
      <c r="A34" s="11" t="s">
        <v>614</v>
      </c>
      <c r="B34" s="11" t="s">
        <v>476</v>
      </c>
      <c r="C34" s="11" t="s">
        <v>615</v>
      </c>
      <c r="D34" s="11" t="s">
        <v>616</v>
      </c>
      <c r="E34" s="11" t="s">
        <v>508</v>
      </c>
      <c r="F34" s="11"/>
      <c r="G34" s="11">
        <v>12</v>
      </c>
      <c r="H34" s="11">
        <v>1</v>
      </c>
      <c r="I34" s="11" t="b">
        <v>1</v>
      </c>
      <c r="J34" s="11"/>
      <c r="K34" s="11" t="s">
        <v>617</v>
      </c>
      <c r="L34" s="11">
        <v>34</v>
      </c>
    </row>
    <row r="35" spans="1:12">
      <c r="A35" s="11" t="s">
        <v>618</v>
      </c>
      <c r="B35" s="11" t="s">
        <v>476</v>
      </c>
      <c r="C35" s="11" t="s">
        <v>619</v>
      </c>
      <c r="D35" s="11" t="s">
        <v>620</v>
      </c>
      <c r="E35" s="11" t="s">
        <v>508</v>
      </c>
      <c r="F35" s="11"/>
      <c r="G35" s="11">
        <v>12</v>
      </c>
      <c r="H35" s="11">
        <v>1</v>
      </c>
      <c r="I35" s="11" t="b">
        <v>1</v>
      </c>
      <c r="J35" s="11"/>
      <c r="K35" s="11" t="s">
        <v>621</v>
      </c>
      <c r="L35" s="11">
        <v>35</v>
      </c>
    </row>
    <row r="36" spans="1:12">
      <c r="A36" s="11" t="s">
        <v>622</v>
      </c>
      <c r="B36" s="11" t="s">
        <v>480</v>
      </c>
      <c r="C36" s="11" t="s">
        <v>623</v>
      </c>
      <c r="D36" s="11" t="s">
        <v>624</v>
      </c>
      <c r="E36" s="11" t="s">
        <v>531</v>
      </c>
      <c r="F36" s="11"/>
      <c r="G36" s="11">
        <v>12</v>
      </c>
      <c r="H36" s="11">
        <v>2</v>
      </c>
      <c r="I36" s="11" t="b">
        <v>1</v>
      </c>
      <c r="J36" s="11"/>
      <c r="K36" s="11" t="s">
        <v>625</v>
      </c>
      <c r="L36" s="11">
        <v>36</v>
      </c>
    </row>
    <row r="37" spans="1:12">
      <c r="A37" s="11" t="s">
        <v>626</v>
      </c>
      <c r="B37" s="11" t="s">
        <v>480</v>
      </c>
      <c r="C37" s="11" t="s">
        <v>627</v>
      </c>
      <c r="D37" s="11" t="s">
        <v>628</v>
      </c>
      <c r="E37" s="11" t="s">
        <v>531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629</v>
      </c>
      <c r="B38" s="11" t="s">
        <v>480</v>
      </c>
      <c r="C38" s="11" t="s">
        <v>630</v>
      </c>
      <c r="D38" s="11" t="s">
        <v>631</v>
      </c>
      <c r="E38" s="11" t="s">
        <v>531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632</v>
      </c>
      <c r="B39" s="11" t="s">
        <v>482</v>
      </c>
      <c r="C39" s="11" t="s">
        <v>633</v>
      </c>
      <c r="D39" s="11" t="s">
        <v>634</v>
      </c>
      <c r="E39" s="11" t="s">
        <v>635</v>
      </c>
      <c r="F39" s="11" t="s">
        <v>636</v>
      </c>
      <c r="G39" s="11">
        <v>10</v>
      </c>
      <c r="H39" s="11">
        <v>1</v>
      </c>
      <c r="I39" s="11" t="b">
        <v>0</v>
      </c>
      <c r="J39" s="11"/>
      <c r="K39" s="11" t="s">
        <v>637</v>
      </c>
      <c r="L39" s="11">
        <v>39</v>
      </c>
    </row>
    <row r="40" spans="1:12">
      <c r="A40" s="11" t="s">
        <v>638</v>
      </c>
      <c r="B40" s="11" t="s">
        <v>482</v>
      </c>
      <c r="C40" s="11" t="s">
        <v>639</v>
      </c>
      <c r="D40" s="11" t="s">
        <v>640</v>
      </c>
      <c r="E40" s="11" t="s">
        <v>531</v>
      </c>
      <c r="F40" s="11"/>
      <c r="G40" s="11">
        <v>10</v>
      </c>
      <c r="H40" s="11">
        <v>1</v>
      </c>
      <c r="I40" s="11" t="b">
        <v>0</v>
      </c>
      <c r="J40" s="11"/>
      <c r="K40" s="11" t="s">
        <v>641</v>
      </c>
      <c r="L40" s="11">
        <v>40</v>
      </c>
    </row>
    <row r="41" spans="1:12">
      <c r="A41" s="11" t="s">
        <v>642</v>
      </c>
      <c r="B41" s="11" t="s">
        <v>482</v>
      </c>
      <c r="C41" s="11" t="s">
        <v>643</v>
      </c>
      <c r="D41" s="11" t="s">
        <v>644</v>
      </c>
      <c r="E41" s="11" t="s">
        <v>508</v>
      </c>
      <c r="F41" s="11"/>
      <c r="G41" s="11">
        <v>10</v>
      </c>
      <c r="H41" s="11">
        <v>1</v>
      </c>
      <c r="I41" s="11" t="b">
        <v>0</v>
      </c>
      <c r="J41" s="11"/>
      <c r="K41" s="11" t="s">
        <v>641</v>
      </c>
      <c r="L41" s="11">
        <v>41</v>
      </c>
    </row>
    <row r="42" spans="1:12">
      <c r="A42" s="11" t="s">
        <v>645</v>
      </c>
      <c r="B42" s="11" t="s">
        <v>482</v>
      </c>
      <c r="C42" s="11" t="s">
        <v>646</v>
      </c>
      <c r="D42" s="11" t="s">
        <v>647</v>
      </c>
      <c r="E42" s="11" t="s">
        <v>508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648</v>
      </c>
      <c r="B43" s="11" t="s">
        <v>482</v>
      </c>
      <c r="C43" s="11" t="s">
        <v>649</v>
      </c>
      <c r="D43" s="11" t="s">
        <v>650</v>
      </c>
      <c r="E43" s="11" t="s">
        <v>508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651</v>
      </c>
      <c r="B44" s="11" t="s">
        <v>482</v>
      </c>
      <c r="C44" s="11" t="s">
        <v>652</v>
      </c>
      <c r="D44" s="11" t="s">
        <v>653</v>
      </c>
      <c r="E44" s="11" t="s">
        <v>508</v>
      </c>
      <c r="F44" s="11"/>
      <c r="G44" s="11">
        <v>12</v>
      </c>
      <c r="H44" s="11">
        <v>1</v>
      </c>
      <c r="I44" s="11" t="b">
        <v>0</v>
      </c>
      <c r="J44" s="11"/>
      <c r="K44" s="11" t="s">
        <v>654</v>
      </c>
      <c r="L44" s="11">
        <v>44</v>
      </c>
    </row>
    <row r="45" spans="1:12">
      <c r="A45" s="11" t="s">
        <v>655</v>
      </c>
      <c r="B45" s="11" t="s">
        <v>486</v>
      </c>
      <c r="C45" s="11" t="s">
        <v>656</v>
      </c>
      <c r="D45" s="11" t="s">
        <v>657</v>
      </c>
      <c r="E45" s="11" t="s">
        <v>531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658</v>
      </c>
      <c r="B46" s="11" t="s">
        <v>486</v>
      </c>
      <c r="C46" s="11" t="s">
        <v>659</v>
      </c>
      <c r="D46" s="11" t="s">
        <v>660</v>
      </c>
      <c r="E46" s="11" t="s">
        <v>531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661</v>
      </c>
      <c r="B47" s="11" t="s">
        <v>486</v>
      </c>
      <c r="C47" s="11" t="s">
        <v>662</v>
      </c>
      <c r="D47" s="11" t="s">
        <v>663</v>
      </c>
      <c r="E47" s="11" t="s">
        <v>531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664</v>
      </c>
      <c r="B48" s="11" t="s">
        <v>486</v>
      </c>
      <c r="C48" s="11" t="s">
        <v>665</v>
      </c>
      <c r="D48" s="11" t="s">
        <v>666</v>
      </c>
      <c r="E48" s="11" t="s">
        <v>531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667</v>
      </c>
      <c r="B49" s="11" t="s">
        <v>486</v>
      </c>
      <c r="C49" s="11" t="s">
        <v>668</v>
      </c>
      <c r="D49" s="11" t="s">
        <v>669</v>
      </c>
      <c r="E49" s="11" t="s">
        <v>531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670</v>
      </c>
      <c r="B50" s="11" t="s">
        <v>486</v>
      </c>
      <c r="C50" s="11" t="s">
        <v>671</v>
      </c>
      <c r="D50" s="11" t="s">
        <v>672</v>
      </c>
      <c r="E50" s="11" t="s">
        <v>531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673</v>
      </c>
      <c r="B51" s="11" t="s">
        <v>488</v>
      </c>
      <c r="C51" s="11" t="s">
        <v>674</v>
      </c>
      <c r="D51" s="11" t="s">
        <v>675</v>
      </c>
      <c r="E51" s="11" t="s">
        <v>635</v>
      </c>
      <c r="F51" s="11" t="s">
        <v>676</v>
      </c>
      <c r="G51" s="11">
        <v>12</v>
      </c>
      <c r="H51" s="11">
        <v>1</v>
      </c>
      <c r="I51" s="11" t="b">
        <v>0</v>
      </c>
      <c r="J51" s="11"/>
      <c r="K51" s="11" t="s">
        <v>677</v>
      </c>
      <c r="L51" s="11">
        <v>51</v>
      </c>
    </row>
    <row r="52" spans="1:12">
      <c r="A52" s="11" t="s">
        <v>678</v>
      </c>
      <c r="B52" s="11" t="s">
        <v>488</v>
      </c>
      <c r="C52" s="11" t="s">
        <v>679</v>
      </c>
      <c r="D52" s="11" t="s">
        <v>680</v>
      </c>
      <c r="E52" s="11" t="s">
        <v>531</v>
      </c>
      <c r="F52" s="11"/>
      <c r="G52" s="11">
        <v>12</v>
      </c>
      <c r="H52" s="11">
        <v>1</v>
      </c>
      <c r="I52" s="11" t="b">
        <v>0</v>
      </c>
      <c r="J52" s="11"/>
      <c r="K52" s="11" t="s">
        <v>681</v>
      </c>
      <c r="L52" s="11">
        <v>52</v>
      </c>
    </row>
    <row r="53" spans="1:12">
      <c r="A53" s="11" t="s">
        <v>682</v>
      </c>
      <c r="B53" s="11" t="s">
        <v>488</v>
      </c>
      <c r="C53" s="11" t="s">
        <v>683</v>
      </c>
      <c r="D53" s="11" t="s">
        <v>684</v>
      </c>
      <c r="E53" s="11" t="s">
        <v>508</v>
      </c>
      <c r="F53" s="11"/>
      <c r="G53" s="11">
        <v>12</v>
      </c>
      <c r="H53" s="11">
        <v>1</v>
      </c>
      <c r="I53" s="11" t="b">
        <v>0</v>
      </c>
      <c r="J53" s="11"/>
      <c r="K53" s="11" t="s">
        <v>684</v>
      </c>
      <c r="L53" s="11">
        <v>53</v>
      </c>
    </row>
    <row r="54" spans="1:12">
      <c r="A54" s="11" t="s">
        <v>685</v>
      </c>
      <c r="B54" s="11" t="s">
        <v>488</v>
      </c>
      <c r="C54" s="11" t="s">
        <v>686</v>
      </c>
      <c r="D54" s="11" t="s">
        <v>687</v>
      </c>
      <c r="E54" s="11" t="s">
        <v>531</v>
      </c>
      <c r="F54" s="11"/>
      <c r="G54" s="11">
        <v>12</v>
      </c>
      <c r="H54" s="11">
        <v>1</v>
      </c>
      <c r="I54" s="11" t="b">
        <v>0</v>
      </c>
      <c r="J54" s="11"/>
      <c r="K54" s="11" t="s">
        <v>687</v>
      </c>
      <c r="L54" s="11">
        <v>54</v>
      </c>
    </row>
    <row r="55" spans="1:12">
      <c r="A55" s="11" t="s">
        <v>688</v>
      </c>
      <c r="B55" s="11" t="s">
        <v>490</v>
      </c>
      <c r="C55" s="11" t="s">
        <v>689</v>
      </c>
      <c r="D55" s="11" t="s">
        <v>690</v>
      </c>
      <c r="E55" s="11" t="s">
        <v>635</v>
      </c>
      <c r="F55" s="11" t="s">
        <v>691</v>
      </c>
      <c r="G55" s="11">
        <v>6</v>
      </c>
      <c r="H55" s="11">
        <v>1</v>
      </c>
      <c r="I55" s="11" t="b">
        <v>0</v>
      </c>
      <c r="J55" s="11" t="s">
        <v>692</v>
      </c>
      <c r="K55" s="11" t="s">
        <v>693</v>
      </c>
      <c r="L55" s="11">
        <v>55</v>
      </c>
    </row>
    <row r="56" spans="1:12">
      <c r="A56" s="11" t="s">
        <v>694</v>
      </c>
      <c r="B56" s="11" t="s">
        <v>492</v>
      </c>
      <c r="C56" s="11" t="s">
        <v>695</v>
      </c>
      <c r="D56" s="11" t="s">
        <v>696</v>
      </c>
      <c r="E56" s="11" t="s">
        <v>531</v>
      </c>
      <c r="F56" s="11"/>
      <c r="G56" s="11"/>
      <c r="H56" s="11">
        <v>1</v>
      </c>
      <c r="I56" s="11" t="b">
        <v>0</v>
      </c>
      <c r="J56" s="11"/>
      <c r="K56" s="11" t="s">
        <v>697</v>
      </c>
      <c r="L56" s="11">
        <v>56</v>
      </c>
    </row>
    <row r="57" spans="1:12">
      <c r="A57" s="11" t="s">
        <v>698</v>
      </c>
      <c r="B57" s="11" t="s">
        <v>492</v>
      </c>
      <c r="C57" s="11" t="s">
        <v>699</v>
      </c>
      <c r="D57" s="11" t="s">
        <v>700</v>
      </c>
      <c r="E57" s="11" t="s">
        <v>531</v>
      </c>
      <c r="F57" s="11"/>
      <c r="G57" s="11"/>
      <c r="H57" s="11">
        <v>1</v>
      </c>
      <c r="I57" s="11" t="b">
        <v>0</v>
      </c>
      <c r="J57" s="11"/>
      <c r="K57" s="11" t="s">
        <v>701</v>
      </c>
      <c r="L57" s="11">
        <v>57</v>
      </c>
    </row>
    <row r="58" spans="1:12">
      <c r="A58" s="11" t="s">
        <v>702</v>
      </c>
      <c r="B58" s="11" t="s">
        <v>492</v>
      </c>
      <c r="C58" s="11" t="s">
        <v>703</v>
      </c>
      <c r="D58" s="11" t="s">
        <v>704</v>
      </c>
      <c r="E58" s="11" t="s">
        <v>531</v>
      </c>
      <c r="F58" s="11"/>
      <c r="G58" s="11"/>
      <c r="H58" s="11">
        <v>1</v>
      </c>
      <c r="I58" s="11" t="b">
        <v>0</v>
      </c>
      <c r="J58" s="11"/>
      <c r="K58" s="11" t="s">
        <v>705</v>
      </c>
      <c r="L58" s="11">
        <v>58</v>
      </c>
    </row>
    <row r="59" spans="1:12">
      <c r="A59" s="11" t="s">
        <v>706</v>
      </c>
      <c r="B59" s="11" t="s">
        <v>494</v>
      </c>
      <c r="C59" s="11" t="s">
        <v>707</v>
      </c>
      <c r="D59" s="11" t="s">
        <v>708</v>
      </c>
      <c r="E59" s="11" t="s">
        <v>508</v>
      </c>
      <c r="F59" s="11"/>
      <c r="G59" s="11"/>
      <c r="H59" s="11">
        <v>1</v>
      </c>
      <c r="I59" s="11" t="b">
        <v>0</v>
      </c>
      <c r="J59" s="11"/>
      <c r="K59" s="11" t="s">
        <v>709</v>
      </c>
      <c r="L59" s="11">
        <v>59</v>
      </c>
    </row>
    <row r="60" spans="1:12">
      <c r="A60" s="11" t="s">
        <v>710</v>
      </c>
      <c r="B60" s="11" t="s">
        <v>494</v>
      </c>
      <c r="C60" s="11" t="s">
        <v>711</v>
      </c>
      <c r="D60" s="11" t="s">
        <v>712</v>
      </c>
      <c r="E60" s="11" t="s">
        <v>531</v>
      </c>
      <c r="F60" s="11"/>
      <c r="G60" s="11"/>
      <c r="H60" s="11">
        <v>1</v>
      </c>
      <c r="I60" s="11" t="b">
        <v>0</v>
      </c>
      <c r="J60" s="11"/>
      <c r="K60" s="11" t="s">
        <v>713</v>
      </c>
      <c r="L60" s="11">
        <v>60</v>
      </c>
    </row>
    <row r="61" spans="1:12">
      <c r="A61" s="11" t="s">
        <v>714</v>
      </c>
      <c r="B61" s="11" t="s">
        <v>494</v>
      </c>
      <c r="C61" s="11" t="s">
        <v>715</v>
      </c>
      <c r="D61" s="11" t="s">
        <v>716</v>
      </c>
      <c r="E61" s="11" t="s">
        <v>531</v>
      </c>
      <c r="F61" s="11"/>
      <c r="G61" s="11"/>
      <c r="H61" s="11">
        <v>1</v>
      </c>
      <c r="I61" s="11" t="b">
        <v>0</v>
      </c>
      <c r="J61" s="11"/>
      <c r="K61" s="11" t="s">
        <v>717</v>
      </c>
      <c r="L61" s="11">
        <v>61</v>
      </c>
    </row>
    <row r="62" spans="1:12">
      <c r="A62" s="11" t="s">
        <v>718</v>
      </c>
      <c r="B62" s="11" t="s">
        <v>497</v>
      </c>
      <c r="C62" s="11" t="s">
        <v>719</v>
      </c>
      <c r="D62" s="11" t="s">
        <v>720</v>
      </c>
      <c r="E62" s="11" t="s">
        <v>508</v>
      </c>
      <c r="F62" s="11"/>
      <c r="G62" s="11">
        <v>12</v>
      </c>
      <c r="H62" s="11">
        <v>1</v>
      </c>
      <c r="I62" s="11" t="b">
        <v>0</v>
      </c>
      <c r="J62" s="11"/>
      <c r="K62" s="11" t="s">
        <v>721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49</v>
      </c>
      <c r="B1" s="10" t="s">
        <v>190</v>
      </c>
      <c r="C1" s="10" t="s">
        <v>191</v>
      </c>
      <c r="D1" s="10" t="s">
        <v>192</v>
      </c>
      <c r="E1" s="10" t="s">
        <v>193</v>
      </c>
      <c r="F1" s="10" t="s">
        <v>195</v>
      </c>
      <c r="G1" s="10" t="s">
        <v>197</v>
      </c>
      <c r="H1" s="10" t="s">
        <v>199</v>
      </c>
      <c r="I1" s="10" t="s">
        <v>200</v>
      </c>
      <c r="J1" s="10" t="s">
        <v>202</v>
      </c>
      <c r="K1" s="10" t="s">
        <v>122</v>
      </c>
    </row>
    <row r="2" spans="1:11">
      <c r="A2" s="11" t="s">
        <v>722</v>
      </c>
      <c r="B2" s="11" t="s">
        <v>723</v>
      </c>
      <c r="C2" s="11" t="s">
        <v>724</v>
      </c>
      <c r="D2" s="12" t="s">
        <v>725</v>
      </c>
      <c r="E2" s="11" t="s">
        <v>726</v>
      </c>
      <c r="F2" s="11"/>
      <c r="G2" s="11"/>
      <c r="H2" s="11"/>
      <c r="I2" s="13" t="s">
        <v>727</v>
      </c>
      <c r="J2" s="12" t="s">
        <v>728</v>
      </c>
      <c r="K2" s="11">
        <v>2</v>
      </c>
    </row>
    <row r="3" spans="1:11">
      <c r="A3" s="11" t="s">
        <v>729</v>
      </c>
      <c r="B3" s="11" t="s">
        <v>723</v>
      </c>
      <c r="C3" s="11" t="s">
        <v>730</v>
      </c>
      <c r="D3" s="12" t="s">
        <v>731</v>
      </c>
      <c r="E3" s="11" t="s">
        <v>726</v>
      </c>
      <c r="F3" s="11"/>
      <c r="G3" s="11"/>
      <c r="H3" s="11"/>
      <c r="I3" s="13" t="s">
        <v>727</v>
      </c>
      <c r="J3" s="12" t="s">
        <v>728</v>
      </c>
      <c r="K3" s="11">
        <v>3</v>
      </c>
    </row>
    <row r="4" spans="1:11">
      <c r="A4" s="11" t="s">
        <v>732</v>
      </c>
      <c r="B4" s="11" t="s">
        <v>723</v>
      </c>
      <c r="C4" s="11" t="s">
        <v>733</v>
      </c>
      <c r="D4" s="12" t="s">
        <v>734</v>
      </c>
      <c r="E4" s="11" t="s">
        <v>726</v>
      </c>
      <c r="F4" s="11"/>
      <c r="G4" s="11"/>
      <c r="H4" s="11"/>
      <c r="I4" s="13" t="s">
        <v>727</v>
      </c>
      <c r="J4" s="12" t="s">
        <v>728</v>
      </c>
      <c r="K4" s="11">
        <v>4</v>
      </c>
    </row>
    <row r="5" spans="1:11">
      <c r="A5" s="11" t="s">
        <v>735</v>
      </c>
      <c r="B5" s="11" t="s">
        <v>723</v>
      </c>
      <c r="C5" s="11" t="s">
        <v>736</v>
      </c>
      <c r="D5" s="12" t="s">
        <v>737</v>
      </c>
      <c r="E5" s="11" t="s">
        <v>726</v>
      </c>
      <c r="F5" s="11"/>
      <c r="G5" s="11"/>
      <c r="H5" s="11"/>
      <c r="I5" s="13" t="s">
        <v>727</v>
      </c>
      <c r="J5" s="12" t="s">
        <v>728</v>
      </c>
      <c r="K5" s="11">
        <v>5</v>
      </c>
    </row>
    <row r="6" spans="1:11">
      <c r="A6" s="11" t="s">
        <v>738</v>
      </c>
      <c r="B6" s="11" t="s">
        <v>723</v>
      </c>
      <c r="C6" s="11" t="s">
        <v>739</v>
      </c>
      <c r="D6" s="12" t="s">
        <v>740</v>
      </c>
      <c r="E6" s="11" t="s">
        <v>741</v>
      </c>
      <c r="F6" s="11">
        <v>28</v>
      </c>
      <c r="G6" s="11"/>
      <c r="H6" s="11"/>
      <c r="I6" s="14" t="s">
        <v>742</v>
      </c>
      <c r="J6" s="12" t="s">
        <v>743</v>
      </c>
      <c r="K6" s="11">
        <v>6</v>
      </c>
    </row>
    <row r="7" spans="1:11">
      <c r="A7" s="11" t="s">
        <v>744</v>
      </c>
      <c r="B7" s="11" t="s">
        <v>723</v>
      </c>
      <c r="C7" s="11" t="s">
        <v>745</v>
      </c>
      <c r="D7" s="12" t="s">
        <v>746</v>
      </c>
      <c r="E7" s="11" t="s">
        <v>741</v>
      </c>
      <c r="F7" s="11">
        <v>3</v>
      </c>
      <c r="G7" s="11"/>
      <c r="H7" s="11"/>
      <c r="I7" s="14" t="s">
        <v>742</v>
      </c>
      <c r="J7" s="12" t="s">
        <v>728</v>
      </c>
      <c r="K7" s="11">
        <v>7</v>
      </c>
    </row>
    <row r="8" spans="1:11">
      <c r="A8" s="11" t="s">
        <v>747</v>
      </c>
      <c r="B8" s="11" t="s">
        <v>723</v>
      </c>
      <c r="C8" s="11" t="s">
        <v>748</v>
      </c>
      <c r="D8" s="12" t="s">
        <v>749</v>
      </c>
      <c r="E8" s="11" t="s">
        <v>741</v>
      </c>
      <c r="F8" s="11">
        <v>7</v>
      </c>
      <c r="G8" s="11"/>
      <c r="H8" s="11"/>
      <c r="I8" s="14" t="s">
        <v>742</v>
      </c>
      <c r="J8" s="12" t="s">
        <v>728</v>
      </c>
      <c r="K8" s="11">
        <v>8</v>
      </c>
    </row>
    <row r="9" spans="1:11">
      <c r="A9" s="11" t="s">
        <v>750</v>
      </c>
      <c r="B9" s="11" t="s">
        <v>723</v>
      </c>
      <c r="C9" s="11" t="s">
        <v>751</v>
      </c>
      <c r="D9" s="12" t="s">
        <v>752</v>
      </c>
      <c r="E9" s="11" t="s">
        <v>741</v>
      </c>
      <c r="F9" s="11">
        <v>84</v>
      </c>
      <c r="G9" s="11"/>
      <c r="H9" s="11"/>
      <c r="I9" s="14" t="s">
        <v>742</v>
      </c>
      <c r="J9" s="12" t="s">
        <v>728</v>
      </c>
      <c r="K9" s="11">
        <v>9</v>
      </c>
    </row>
    <row r="10" spans="1:11" ht="26">
      <c r="A10" s="11" t="s">
        <v>753</v>
      </c>
      <c r="B10" s="11" t="s">
        <v>240</v>
      </c>
      <c r="C10" s="11" t="s">
        <v>754</v>
      </c>
      <c r="D10" s="21" t="s">
        <v>1980</v>
      </c>
      <c r="E10" s="11" t="s">
        <v>726</v>
      </c>
      <c r="F10" s="11"/>
      <c r="G10" s="11"/>
      <c r="H10" s="11"/>
      <c r="I10" s="25" t="s">
        <v>727</v>
      </c>
      <c r="J10" s="12" t="s">
        <v>756</v>
      </c>
      <c r="K10" s="11">
        <v>10</v>
      </c>
    </row>
    <row r="11" spans="1:11">
      <c r="A11" s="11" t="s">
        <v>757</v>
      </c>
      <c r="B11" s="11" t="s">
        <v>240</v>
      </c>
      <c r="C11" s="11" t="s">
        <v>758</v>
      </c>
      <c r="D11" s="21" t="s">
        <v>2646</v>
      </c>
      <c r="E11" s="11" t="s">
        <v>726</v>
      </c>
      <c r="F11" s="11"/>
      <c r="G11" s="11"/>
      <c r="H11" s="11"/>
      <c r="I11" s="14" t="s">
        <v>742</v>
      </c>
      <c r="J11" s="12" t="s">
        <v>759</v>
      </c>
      <c r="K11" s="11">
        <v>11</v>
      </c>
    </row>
    <row r="12" spans="1:11">
      <c r="A12" s="11" t="s">
        <v>760</v>
      </c>
      <c r="B12" s="11" t="s">
        <v>761</v>
      </c>
      <c r="C12" s="11" t="s">
        <v>762</v>
      </c>
      <c r="D12" s="12" t="s">
        <v>763</v>
      </c>
      <c r="E12" s="11" t="s">
        <v>198</v>
      </c>
      <c r="F12" s="11"/>
      <c r="G12" s="11" t="s">
        <v>763</v>
      </c>
      <c r="H12" s="11"/>
      <c r="I12" s="14" t="s">
        <v>742</v>
      </c>
      <c r="J12" s="12" t="s">
        <v>764</v>
      </c>
      <c r="K12" s="11">
        <v>12</v>
      </c>
    </row>
    <row r="13" spans="1:11">
      <c r="A13" s="11" t="s">
        <v>765</v>
      </c>
      <c r="B13" s="11" t="s">
        <v>761</v>
      </c>
      <c r="C13" s="11" t="s">
        <v>766</v>
      </c>
      <c r="D13" s="12" t="s">
        <v>767</v>
      </c>
      <c r="E13" s="11" t="s">
        <v>198</v>
      </c>
      <c r="F13" s="11"/>
      <c r="G13" s="11" t="s">
        <v>767</v>
      </c>
      <c r="H13" s="11"/>
      <c r="I13" s="14" t="s">
        <v>742</v>
      </c>
      <c r="J13" s="12" t="s">
        <v>768</v>
      </c>
      <c r="K13" s="11">
        <v>13</v>
      </c>
    </row>
    <row r="14" spans="1:11">
      <c r="A14" s="11" t="s">
        <v>769</v>
      </c>
      <c r="B14" s="11" t="s">
        <v>761</v>
      </c>
      <c r="C14" s="11" t="s">
        <v>770</v>
      </c>
      <c r="D14" s="12" t="s">
        <v>771</v>
      </c>
      <c r="E14" s="11" t="s">
        <v>198</v>
      </c>
      <c r="F14" s="11"/>
      <c r="G14" s="11" t="s">
        <v>771</v>
      </c>
      <c r="H14" s="11"/>
      <c r="I14" s="14" t="s">
        <v>742</v>
      </c>
      <c r="J14" s="12" t="s">
        <v>772</v>
      </c>
      <c r="K14" s="11">
        <v>14</v>
      </c>
    </row>
    <row r="15" spans="1:11">
      <c r="A15" s="11" t="s">
        <v>773</v>
      </c>
      <c r="B15" s="11" t="s">
        <v>774</v>
      </c>
      <c r="C15" s="11" t="s">
        <v>775</v>
      </c>
      <c r="D15" s="12" t="s">
        <v>776</v>
      </c>
      <c r="E15" s="11" t="s">
        <v>198</v>
      </c>
      <c r="F15" s="11"/>
      <c r="G15" s="11" t="s">
        <v>776</v>
      </c>
      <c r="H15" s="11"/>
      <c r="I15" s="14" t="s">
        <v>742</v>
      </c>
      <c r="J15" s="12" t="s">
        <v>777</v>
      </c>
      <c r="K15" s="11">
        <v>15</v>
      </c>
    </row>
    <row r="16" spans="1:11">
      <c r="A16" s="11" t="s">
        <v>778</v>
      </c>
      <c r="B16" s="11" t="s">
        <v>779</v>
      </c>
      <c r="C16" s="11" t="s">
        <v>780</v>
      </c>
      <c r="D16" s="12" t="s">
        <v>771</v>
      </c>
      <c r="E16" s="11" t="s">
        <v>198</v>
      </c>
      <c r="F16" s="11"/>
      <c r="G16" s="11" t="s">
        <v>771</v>
      </c>
      <c r="H16" s="11"/>
      <c r="I16" s="14" t="s">
        <v>742</v>
      </c>
      <c r="J16" s="12" t="s">
        <v>781</v>
      </c>
      <c r="K16" s="11">
        <v>16</v>
      </c>
    </row>
    <row r="17" spans="1:11">
      <c r="A17" s="11" t="s">
        <v>782</v>
      </c>
      <c r="B17" s="11" t="s">
        <v>779</v>
      </c>
      <c r="C17" s="11" t="s">
        <v>783</v>
      </c>
      <c r="D17" s="12" t="s">
        <v>784</v>
      </c>
      <c r="E17" s="11" t="s">
        <v>726</v>
      </c>
      <c r="F17" s="11"/>
      <c r="G17" s="11"/>
      <c r="H17" s="11"/>
      <c r="I17" s="14" t="s">
        <v>742</v>
      </c>
      <c r="J17" s="12" t="s">
        <v>785</v>
      </c>
      <c r="K17" s="11">
        <v>17</v>
      </c>
    </row>
    <row r="18" spans="1:11">
      <c r="A18" s="11" t="s">
        <v>786</v>
      </c>
      <c r="B18" s="11" t="s">
        <v>787</v>
      </c>
      <c r="C18" s="11" t="s">
        <v>788</v>
      </c>
      <c r="D18" s="21" t="s">
        <v>1981</v>
      </c>
      <c r="E18" s="11" t="s">
        <v>726</v>
      </c>
      <c r="F18" s="11"/>
      <c r="G18" s="11"/>
      <c r="H18" s="11"/>
      <c r="I18" s="14" t="s">
        <v>742</v>
      </c>
      <c r="J18" s="12" t="s">
        <v>789</v>
      </c>
      <c r="K18" s="11">
        <v>18</v>
      </c>
    </row>
    <row r="19" spans="1:11">
      <c r="A19" s="11" t="s">
        <v>790</v>
      </c>
      <c r="B19" s="11" t="s">
        <v>791</v>
      </c>
      <c r="C19" s="11" t="s">
        <v>792</v>
      </c>
      <c r="D19" s="12" t="s">
        <v>793</v>
      </c>
      <c r="E19" s="11" t="s">
        <v>726</v>
      </c>
      <c r="F19" s="11"/>
      <c r="G19" s="11"/>
      <c r="H19" s="11"/>
      <c r="I19" s="14" t="s">
        <v>755</v>
      </c>
      <c r="J19" s="12" t="s">
        <v>794</v>
      </c>
      <c r="K19" s="11">
        <v>19</v>
      </c>
    </row>
    <row r="20" spans="1:11">
      <c r="A20" s="11" t="s">
        <v>795</v>
      </c>
      <c r="B20" s="11" t="s">
        <v>791</v>
      </c>
      <c r="C20" s="11" t="s">
        <v>796</v>
      </c>
      <c r="D20" s="12" t="s">
        <v>797</v>
      </c>
      <c r="E20" s="11" t="s">
        <v>726</v>
      </c>
      <c r="F20" s="11"/>
      <c r="G20" s="11"/>
      <c r="H20" s="11"/>
      <c r="I20" s="14" t="s">
        <v>742</v>
      </c>
      <c r="J20" s="12" t="s">
        <v>794</v>
      </c>
      <c r="K20" s="11">
        <v>20</v>
      </c>
    </row>
    <row r="21" spans="1:11">
      <c r="A21" s="11" t="s">
        <v>798</v>
      </c>
      <c r="B21" s="11" t="s">
        <v>791</v>
      </c>
      <c r="C21" s="11" t="s">
        <v>799</v>
      </c>
      <c r="D21" s="12" t="s">
        <v>800</v>
      </c>
      <c r="E21" s="11" t="s">
        <v>726</v>
      </c>
      <c r="F21" s="11"/>
      <c r="G21" s="11"/>
      <c r="H21" s="11"/>
      <c r="I21" s="14" t="s">
        <v>742</v>
      </c>
      <c r="J21" s="21" t="s">
        <v>1975</v>
      </c>
      <c r="K21" s="11">
        <v>21</v>
      </c>
    </row>
    <row r="22" spans="1:11">
      <c r="A22" s="11" t="s">
        <v>801</v>
      </c>
      <c r="B22" s="11" t="s">
        <v>802</v>
      </c>
      <c r="C22" s="11" t="s">
        <v>803</v>
      </c>
      <c r="D22" s="12" t="s">
        <v>804</v>
      </c>
      <c r="E22" s="11" t="s">
        <v>726</v>
      </c>
      <c r="F22" s="11"/>
      <c r="G22" s="11"/>
      <c r="H22" s="11"/>
      <c r="I22" s="14" t="s">
        <v>755</v>
      </c>
      <c r="J22" s="12" t="s">
        <v>805</v>
      </c>
      <c r="K22" s="11">
        <v>22</v>
      </c>
    </row>
    <row r="23" spans="1:11">
      <c r="A23" s="11" t="s">
        <v>806</v>
      </c>
      <c r="B23" s="11" t="s">
        <v>802</v>
      </c>
      <c r="C23" s="11" t="s">
        <v>807</v>
      </c>
      <c r="D23" s="12" t="s">
        <v>808</v>
      </c>
      <c r="E23" s="11" t="s">
        <v>726</v>
      </c>
      <c r="F23" s="11"/>
      <c r="G23" s="11"/>
      <c r="H23" s="11"/>
      <c r="I23" s="14" t="s">
        <v>755</v>
      </c>
      <c r="J23" s="12" t="s">
        <v>805</v>
      </c>
      <c r="K23" s="11">
        <v>23</v>
      </c>
    </row>
    <row r="24" spans="1:11">
      <c r="A24" s="11" t="s">
        <v>809</v>
      </c>
      <c r="B24" s="11" t="s">
        <v>802</v>
      </c>
      <c r="C24" s="11" t="s">
        <v>810</v>
      </c>
      <c r="D24" s="12" t="s">
        <v>811</v>
      </c>
      <c r="E24" s="11" t="s">
        <v>726</v>
      </c>
      <c r="F24" s="11"/>
      <c r="G24" s="11"/>
      <c r="H24" s="11"/>
      <c r="I24" s="14" t="s">
        <v>755</v>
      </c>
      <c r="J24" s="12" t="s">
        <v>812</v>
      </c>
      <c r="K24" s="11">
        <v>24</v>
      </c>
    </row>
    <row r="25" spans="1:11">
      <c r="A25" s="11" t="s">
        <v>813</v>
      </c>
      <c r="B25" s="11" t="s">
        <v>802</v>
      </c>
      <c r="C25" s="11" t="s">
        <v>814</v>
      </c>
      <c r="D25" s="12" t="s">
        <v>815</v>
      </c>
      <c r="E25" s="11" t="s">
        <v>726</v>
      </c>
      <c r="F25" s="11"/>
      <c r="G25" s="11"/>
      <c r="H25" s="11"/>
      <c r="I25" s="14" t="s">
        <v>755</v>
      </c>
      <c r="J25" s="12" t="s">
        <v>816</v>
      </c>
      <c r="K25" s="11">
        <v>25</v>
      </c>
    </row>
    <row r="26" spans="1:11">
      <c r="A26" s="11" t="s">
        <v>817</v>
      </c>
      <c r="B26" s="11" t="s">
        <v>802</v>
      </c>
      <c r="C26" s="11" t="s">
        <v>818</v>
      </c>
      <c r="D26" s="12" t="s">
        <v>819</v>
      </c>
      <c r="E26" s="11" t="s">
        <v>726</v>
      </c>
      <c r="F26" s="11"/>
      <c r="G26" s="11"/>
      <c r="H26" s="11"/>
      <c r="I26" s="14" t="s">
        <v>755</v>
      </c>
      <c r="J26" s="12" t="s">
        <v>816</v>
      </c>
      <c r="K26" s="11">
        <v>26</v>
      </c>
    </row>
    <row r="27" spans="1:11">
      <c r="A27" s="11" t="s">
        <v>820</v>
      </c>
      <c r="B27" s="11" t="s">
        <v>802</v>
      </c>
      <c r="C27" s="11" t="s">
        <v>821</v>
      </c>
      <c r="D27" s="12" t="s">
        <v>822</v>
      </c>
      <c r="E27" s="11" t="s">
        <v>726</v>
      </c>
      <c r="F27" s="11"/>
      <c r="G27" s="11"/>
      <c r="H27" s="11"/>
      <c r="I27" s="14" t="s">
        <v>755</v>
      </c>
      <c r="J27" s="12" t="s">
        <v>816</v>
      </c>
      <c r="K27" s="11">
        <v>27</v>
      </c>
    </row>
    <row r="28" spans="1:11">
      <c r="A28" s="11" t="s">
        <v>823</v>
      </c>
      <c r="B28" s="11" t="s">
        <v>802</v>
      </c>
      <c r="C28" s="11" t="s">
        <v>824</v>
      </c>
      <c r="D28" s="12" t="s">
        <v>825</v>
      </c>
      <c r="E28" s="11" t="s">
        <v>726</v>
      </c>
      <c r="F28" s="11"/>
      <c r="G28" s="11"/>
      <c r="H28" s="11"/>
      <c r="I28" s="14" t="s">
        <v>755</v>
      </c>
      <c r="J28" s="12" t="s">
        <v>816</v>
      </c>
      <c r="K28" s="11">
        <v>28</v>
      </c>
    </row>
    <row r="29" spans="1:11">
      <c r="A29" s="11" t="s">
        <v>826</v>
      </c>
      <c r="B29" s="11" t="s">
        <v>827</v>
      </c>
      <c r="C29" s="11" t="s">
        <v>828</v>
      </c>
      <c r="D29" s="12" t="s">
        <v>829</v>
      </c>
      <c r="E29" s="11" t="s">
        <v>726</v>
      </c>
      <c r="F29" s="11"/>
      <c r="G29" s="11"/>
      <c r="H29" s="11"/>
      <c r="I29" s="14" t="s">
        <v>742</v>
      </c>
      <c r="J29" s="12" t="s">
        <v>830</v>
      </c>
      <c r="K29" s="11">
        <v>29</v>
      </c>
    </row>
    <row r="30" spans="1:11">
      <c r="A30" s="11" t="s">
        <v>831</v>
      </c>
      <c r="B30" s="11" t="s">
        <v>827</v>
      </c>
      <c r="C30" s="11" t="s">
        <v>832</v>
      </c>
      <c r="D30" s="12" t="s">
        <v>833</v>
      </c>
      <c r="E30" s="11" t="s">
        <v>726</v>
      </c>
      <c r="F30" s="11"/>
      <c r="G30" s="11"/>
      <c r="H30" s="11"/>
      <c r="I30" s="14" t="s">
        <v>742</v>
      </c>
      <c r="J30" s="12" t="s">
        <v>834</v>
      </c>
      <c r="K30" s="11">
        <v>30</v>
      </c>
    </row>
    <row r="31" spans="1:11">
      <c r="A31" s="11" t="s">
        <v>835</v>
      </c>
      <c r="B31" s="11" t="s">
        <v>827</v>
      </c>
      <c r="C31" s="11" t="s">
        <v>836</v>
      </c>
      <c r="D31" s="21" t="s">
        <v>1969</v>
      </c>
      <c r="E31" s="11" t="s">
        <v>726</v>
      </c>
      <c r="F31" s="11"/>
      <c r="G31" s="11"/>
      <c r="H31" s="11"/>
      <c r="I31" s="14" t="s">
        <v>742</v>
      </c>
      <c r="J31" s="12" t="s">
        <v>837</v>
      </c>
      <c r="K31" s="11">
        <v>31</v>
      </c>
    </row>
    <row r="32" spans="1:11">
      <c r="A32" s="11" t="s">
        <v>838</v>
      </c>
      <c r="B32" s="11" t="s">
        <v>839</v>
      </c>
      <c r="C32" s="11" t="s">
        <v>840</v>
      </c>
      <c r="D32" s="12" t="s">
        <v>841</v>
      </c>
      <c r="E32" s="11" t="s">
        <v>726</v>
      </c>
      <c r="F32" s="11"/>
      <c r="G32" s="11"/>
      <c r="H32" s="11"/>
      <c r="I32" s="14" t="s">
        <v>755</v>
      </c>
      <c r="J32" s="12" t="s">
        <v>842</v>
      </c>
      <c r="K32" s="11">
        <v>32</v>
      </c>
    </row>
    <row r="33" spans="1:11">
      <c r="A33" s="11" t="s">
        <v>843</v>
      </c>
      <c r="B33" s="11" t="s">
        <v>839</v>
      </c>
      <c r="C33" s="11" t="s">
        <v>844</v>
      </c>
      <c r="D33" s="12" t="s">
        <v>845</v>
      </c>
      <c r="E33" s="11" t="s">
        <v>726</v>
      </c>
      <c r="F33" s="11"/>
      <c r="G33" s="11"/>
      <c r="H33" s="11"/>
      <c r="I33" s="14" t="s">
        <v>742</v>
      </c>
      <c r="J33" s="12" t="s">
        <v>846</v>
      </c>
      <c r="K33" s="11">
        <v>33</v>
      </c>
    </row>
    <row r="34" spans="1:11">
      <c r="A34" s="11" t="s">
        <v>847</v>
      </c>
      <c r="B34" s="11" t="s">
        <v>848</v>
      </c>
      <c r="C34" s="11" t="s">
        <v>849</v>
      </c>
      <c r="D34" s="12" t="s">
        <v>850</v>
      </c>
      <c r="E34" s="11" t="s">
        <v>726</v>
      </c>
      <c r="F34" s="11"/>
      <c r="G34" s="11"/>
      <c r="H34" s="11"/>
      <c r="I34" s="14" t="s">
        <v>755</v>
      </c>
      <c r="J34" s="12" t="s">
        <v>851</v>
      </c>
      <c r="K34" s="11">
        <v>34</v>
      </c>
    </row>
    <row r="35" spans="1:11">
      <c r="A35" s="11" t="s">
        <v>852</v>
      </c>
      <c r="B35" s="11" t="s">
        <v>848</v>
      </c>
      <c r="C35" s="11" t="s">
        <v>853</v>
      </c>
      <c r="D35" s="12" t="s">
        <v>854</v>
      </c>
      <c r="E35" s="11" t="s">
        <v>726</v>
      </c>
      <c r="F35" s="11"/>
      <c r="G35" s="11"/>
      <c r="H35" s="11"/>
      <c r="I35" s="14" t="s">
        <v>755</v>
      </c>
      <c r="J35" s="12" t="s">
        <v>855</v>
      </c>
      <c r="K35" s="11">
        <v>35</v>
      </c>
    </row>
    <row r="36" spans="1:11">
      <c r="A36" s="11" t="s">
        <v>856</v>
      </c>
      <c r="B36" s="11" t="s">
        <v>848</v>
      </c>
      <c r="C36" s="11" t="s">
        <v>857</v>
      </c>
      <c r="D36" s="12" t="s">
        <v>858</v>
      </c>
      <c r="E36" s="11" t="s">
        <v>726</v>
      </c>
      <c r="F36" s="11"/>
      <c r="G36" s="11"/>
      <c r="H36" s="11"/>
      <c r="I36" s="14" t="s">
        <v>755</v>
      </c>
      <c r="J36" s="12" t="s">
        <v>859</v>
      </c>
      <c r="K36" s="11">
        <v>36</v>
      </c>
    </row>
    <row r="37" spans="1:11">
      <c r="A37" s="11" t="s">
        <v>860</v>
      </c>
      <c r="B37" s="11" t="s">
        <v>848</v>
      </c>
      <c r="C37" s="11" t="s">
        <v>861</v>
      </c>
      <c r="D37" s="12" t="s">
        <v>862</v>
      </c>
      <c r="E37" s="11" t="s">
        <v>726</v>
      </c>
      <c r="F37" s="11"/>
      <c r="G37" s="11"/>
      <c r="H37" s="11"/>
      <c r="I37" s="14" t="s">
        <v>755</v>
      </c>
      <c r="J37" s="12" t="s">
        <v>863</v>
      </c>
      <c r="K37" s="11">
        <v>37</v>
      </c>
    </row>
    <row r="38" spans="1:11">
      <c r="A38" s="11" t="s">
        <v>864</v>
      </c>
      <c r="B38" s="11" t="s">
        <v>25</v>
      </c>
      <c r="C38" s="11" t="s">
        <v>865</v>
      </c>
      <c r="D38" s="12" t="s">
        <v>866</v>
      </c>
      <c r="E38" s="11" t="s">
        <v>726</v>
      </c>
      <c r="F38" s="11"/>
      <c r="G38" s="11"/>
      <c r="H38" s="11"/>
      <c r="I38" s="14" t="s">
        <v>742</v>
      </c>
      <c r="J38" s="12" t="s">
        <v>867</v>
      </c>
      <c r="K38" s="11">
        <v>38</v>
      </c>
    </row>
    <row r="39" spans="1:11">
      <c r="A39" s="11" t="s">
        <v>868</v>
      </c>
      <c r="B39" s="11" t="s">
        <v>25</v>
      </c>
      <c r="C39" s="11" t="s">
        <v>869</v>
      </c>
      <c r="D39" s="12" t="s">
        <v>870</v>
      </c>
      <c r="E39" s="11" t="s">
        <v>147</v>
      </c>
      <c r="F39" s="11"/>
      <c r="G39" s="11"/>
      <c r="H39" s="11" t="b">
        <v>0</v>
      </c>
      <c r="I39" s="14" t="s">
        <v>742</v>
      </c>
      <c r="J39" s="12" t="s">
        <v>871</v>
      </c>
      <c r="K39" s="11">
        <v>39</v>
      </c>
    </row>
    <row r="40" spans="1:11">
      <c r="A40" s="11" t="s">
        <v>872</v>
      </c>
      <c r="B40" s="11" t="s">
        <v>25</v>
      </c>
      <c r="C40" s="11" t="s">
        <v>873</v>
      </c>
      <c r="D40" s="12" t="s">
        <v>870</v>
      </c>
      <c r="E40" s="11" t="s">
        <v>147</v>
      </c>
      <c r="F40" s="11"/>
      <c r="G40" s="11"/>
      <c r="H40" s="11" t="b">
        <v>0</v>
      </c>
      <c r="I40" s="14" t="s">
        <v>742</v>
      </c>
      <c r="J40" s="12" t="s">
        <v>871</v>
      </c>
      <c r="K40" s="11">
        <v>40</v>
      </c>
    </row>
    <row r="41" spans="1:11" ht="25">
      <c r="A41" s="11" t="s">
        <v>874</v>
      </c>
      <c r="B41" s="11" t="s">
        <v>25</v>
      </c>
      <c r="C41" s="11" t="s">
        <v>875</v>
      </c>
      <c r="D41" s="4" t="s">
        <v>876</v>
      </c>
      <c r="E41" s="11" t="s">
        <v>726</v>
      </c>
      <c r="F41" s="11"/>
      <c r="G41" s="11"/>
      <c r="H41" s="11"/>
      <c r="I41" s="13" t="s">
        <v>727</v>
      </c>
      <c r="J41" s="12" t="s">
        <v>871</v>
      </c>
      <c r="K41" s="11">
        <v>41</v>
      </c>
    </row>
    <row r="42" spans="1:11">
      <c r="A42" s="11" t="s">
        <v>877</v>
      </c>
      <c r="B42" s="11" t="s">
        <v>878</v>
      </c>
      <c r="C42" s="11" t="s">
        <v>879</v>
      </c>
      <c r="D42" s="12" t="s">
        <v>880</v>
      </c>
      <c r="E42" s="11" t="s">
        <v>726</v>
      </c>
      <c r="F42" s="11"/>
      <c r="G42" s="11"/>
      <c r="H42" s="11"/>
      <c r="I42" s="14" t="s">
        <v>742</v>
      </c>
      <c r="J42" s="12" t="s">
        <v>881</v>
      </c>
      <c r="K42" s="11">
        <v>42</v>
      </c>
    </row>
    <row r="43" spans="1:11">
      <c r="A43" s="11" t="s">
        <v>882</v>
      </c>
      <c r="B43" s="11" t="s">
        <v>878</v>
      </c>
      <c r="C43" s="11" t="s">
        <v>883</v>
      </c>
      <c r="D43" s="12" t="s">
        <v>884</v>
      </c>
      <c r="E43" s="11" t="s">
        <v>726</v>
      </c>
      <c r="F43" s="11"/>
      <c r="G43" s="11"/>
      <c r="H43" s="11"/>
      <c r="I43" s="14" t="s">
        <v>755</v>
      </c>
      <c r="J43" s="12" t="s">
        <v>885</v>
      </c>
      <c r="K43" s="11">
        <v>43</v>
      </c>
    </row>
    <row r="44" spans="1:11">
      <c r="A44" s="11" t="s">
        <v>886</v>
      </c>
      <c r="B44" s="11" t="s">
        <v>878</v>
      </c>
      <c r="C44" s="11" t="s">
        <v>887</v>
      </c>
      <c r="D44" s="12" t="s">
        <v>888</v>
      </c>
      <c r="E44" s="11" t="s">
        <v>726</v>
      </c>
      <c r="F44" s="11"/>
      <c r="G44" s="11"/>
      <c r="H44" s="11"/>
      <c r="I44" s="14" t="s">
        <v>755</v>
      </c>
      <c r="J44" s="12" t="s">
        <v>889</v>
      </c>
      <c r="K44" s="11">
        <v>44</v>
      </c>
    </row>
    <row r="45" spans="1:11">
      <c r="A45" s="11" t="s">
        <v>890</v>
      </c>
      <c r="B45" s="11" t="s">
        <v>240</v>
      </c>
      <c r="C45" s="11" t="s">
        <v>891</v>
      </c>
      <c r="D45" s="12" t="s">
        <v>870</v>
      </c>
      <c r="E45" s="11" t="s">
        <v>147</v>
      </c>
      <c r="F45" s="11"/>
      <c r="G45" s="11"/>
      <c r="H45" s="11" t="b">
        <v>0</v>
      </c>
      <c r="I45" s="14" t="s">
        <v>742</v>
      </c>
      <c r="J45" s="12" t="s">
        <v>892</v>
      </c>
      <c r="K45" s="11">
        <v>45</v>
      </c>
    </row>
    <row r="46" spans="1:11">
      <c r="A46" s="11" t="s">
        <v>893</v>
      </c>
      <c r="B46" s="11" t="s">
        <v>894</v>
      </c>
      <c r="C46" s="11" t="s">
        <v>895</v>
      </c>
      <c r="D46" s="12" t="s">
        <v>896</v>
      </c>
      <c r="E46" s="11" t="s">
        <v>726</v>
      </c>
      <c r="F46" s="11"/>
      <c r="G46" s="11"/>
      <c r="H46" s="11"/>
      <c r="I46" s="14" t="s">
        <v>742</v>
      </c>
      <c r="J46" s="12" t="s">
        <v>885</v>
      </c>
      <c r="K46" s="11">
        <v>46</v>
      </c>
    </row>
    <row r="47" spans="1:11">
      <c r="A47" s="11" t="s">
        <v>897</v>
      </c>
      <c r="B47" s="11" t="s">
        <v>894</v>
      </c>
      <c r="C47" s="11" t="s">
        <v>898</v>
      </c>
      <c r="D47" s="12" t="s">
        <v>899</v>
      </c>
      <c r="E47" s="11" t="s">
        <v>726</v>
      </c>
      <c r="F47" s="11"/>
      <c r="G47" s="11"/>
      <c r="H47" s="11"/>
      <c r="I47" s="14" t="s">
        <v>742</v>
      </c>
      <c r="J47" s="12" t="s">
        <v>900</v>
      </c>
      <c r="K47" s="11">
        <v>47</v>
      </c>
    </row>
    <row r="48" spans="1:11">
      <c r="A48" s="11" t="s">
        <v>901</v>
      </c>
      <c r="B48" s="11" t="s">
        <v>902</v>
      </c>
      <c r="C48" s="11" t="s">
        <v>253</v>
      </c>
      <c r="D48" s="12" t="s">
        <v>391</v>
      </c>
      <c r="E48" s="11" t="s">
        <v>726</v>
      </c>
      <c r="F48" s="11"/>
      <c r="G48" s="11"/>
      <c r="H48" s="11"/>
      <c r="I48" s="14" t="s">
        <v>755</v>
      </c>
      <c r="J48" s="12" t="s">
        <v>903</v>
      </c>
      <c r="K48" s="11">
        <v>48</v>
      </c>
    </row>
    <row r="49" spans="1:11">
      <c r="A49" s="11" t="s">
        <v>904</v>
      </c>
      <c r="B49" s="11" t="s">
        <v>905</v>
      </c>
      <c r="C49" s="11" t="s">
        <v>906</v>
      </c>
      <c r="D49" s="12" t="s">
        <v>907</v>
      </c>
      <c r="E49" s="11" t="s">
        <v>726</v>
      </c>
      <c r="F49" s="11"/>
      <c r="G49" s="11"/>
      <c r="H49" s="11"/>
      <c r="I49" s="14" t="s">
        <v>755</v>
      </c>
      <c r="J49" s="12" t="s">
        <v>791</v>
      </c>
      <c r="K49" s="11">
        <v>49</v>
      </c>
    </row>
    <row r="50" spans="1:11">
      <c r="A50" s="11" t="s">
        <v>908</v>
      </c>
      <c r="B50" s="11" t="s">
        <v>905</v>
      </c>
      <c r="C50" s="11" t="s">
        <v>909</v>
      </c>
      <c r="D50" s="12" t="s">
        <v>910</v>
      </c>
      <c r="E50" s="11" t="s">
        <v>726</v>
      </c>
      <c r="F50" s="11"/>
      <c r="G50" s="11"/>
      <c r="H50" s="11"/>
      <c r="I50" s="14" t="s">
        <v>755</v>
      </c>
      <c r="J50" s="12" t="s">
        <v>723</v>
      </c>
      <c r="K50" s="11">
        <v>50</v>
      </c>
    </row>
    <row r="51" spans="1:11">
      <c r="A51" s="11" t="s">
        <v>911</v>
      </c>
      <c r="B51" s="11" t="s">
        <v>894</v>
      </c>
      <c r="C51" s="11" t="s">
        <v>912</v>
      </c>
      <c r="D51" s="12" t="s">
        <v>913</v>
      </c>
      <c r="E51" s="11" t="s">
        <v>726</v>
      </c>
      <c r="F51" s="11"/>
      <c r="G51" s="11"/>
      <c r="H51" s="11"/>
      <c r="I51" s="14" t="s">
        <v>755</v>
      </c>
      <c r="J51" s="12" t="s">
        <v>914</v>
      </c>
      <c r="K51" s="11">
        <v>51</v>
      </c>
    </row>
    <row r="52" spans="1:11">
      <c r="A52" s="11" t="s">
        <v>915</v>
      </c>
      <c r="B52" s="11" t="s">
        <v>894</v>
      </c>
      <c r="C52" s="11" t="s">
        <v>916</v>
      </c>
      <c r="D52" s="12" t="s">
        <v>917</v>
      </c>
      <c r="E52" s="11" t="s">
        <v>726</v>
      </c>
      <c r="F52" s="11"/>
      <c r="G52" s="11"/>
      <c r="H52" s="11"/>
      <c r="I52" s="14" t="s">
        <v>755</v>
      </c>
      <c r="J52" s="12" t="s">
        <v>918</v>
      </c>
      <c r="K52" s="11">
        <v>52</v>
      </c>
    </row>
    <row r="53" spans="1:11">
      <c r="A53" s="11" t="s">
        <v>919</v>
      </c>
      <c r="B53" s="11" t="s">
        <v>774</v>
      </c>
      <c r="C53" s="11" t="s">
        <v>920</v>
      </c>
      <c r="D53" s="12" t="s">
        <v>921</v>
      </c>
      <c r="E53" s="11" t="s">
        <v>726</v>
      </c>
      <c r="F53" s="11"/>
      <c r="G53" s="11"/>
      <c r="H53" s="11"/>
      <c r="I53" s="14" t="s">
        <v>755</v>
      </c>
      <c r="J53" s="12" t="s">
        <v>922</v>
      </c>
      <c r="K53" s="11">
        <v>53</v>
      </c>
    </row>
    <row r="54" spans="1:11">
      <c r="A54" s="11" t="s">
        <v>923</v>
      </c>
      <c r="B54" s="11" t="s">
        <v>924</v>
      </c>
      <c r="C54" s="11" t="s">
        <v>925</v>
      </c>
      <c r="D54" s="12" t="s">
        <v>926</v>
      </c>
      <c r="E54" s="11" t="s">
        <v>726</v>
      </c>
      <c r="F54" s="11"/>
      <c r="G54" s="11"/>
      <c r="H54" s="11"/>
      <c r="I54" s="14" t="s">
        <v>755</v>
      </c>
      <c r="J54" s="12" t="s">
        <v>885</v>
      </c>
      <c r="K54" s="11">
        <v>54</v>
      </c>
    </row>
    <row r="55" spans="1:11">
      <c r="A55" s="11" t="s">
        <v>927</v>
      </c>
      <c r="B55" s="11" t="s">
        <v>928</v>
      </c>
      <c r="C55" s="11" t="s">
        <v>929</v>
      </c>
      <c r="D55" s="12" t="s">
        <v>930</v>
      </c>
      <c r="E55" s="11" t="s">
        <v>147</v>
      </c>
      <c r="F55" s="11"/>
      <c r="G55" s="11"/>
      <c r="H55" s="11" t="b">
        <v>1</v>
      </c>
      <c r="I55" s="14" t="s">
        <v>742</v>
      </c>
      <c r="J55" s="12" t="s">
        <v>931</v>
      </c>
      <c r="K55" s="11">
        <v>55</v>
      </c>
    </row>
    <row r="56" spans="1:11" ht="25">
      <c r="A56" s="11" t="s">
        <v>932</v>
      </c>
      <c r="B56" s="11" t="s">
        <v>761</v>
      </c>
      <c r="C56" s="11" t="s">
        <v>933</v>
      </c>
      <c r="D56" s="12" t="s">
        <v>771</v>
      </c>
      <c r="E56" s="11" t="s">
        <v>198</v>
      </c>
      <c r="F56" s="11"/>
      <c r="G56" s="11" t="s">
        <v>771</v>
      </c>
      <c r="H56" s="11"/>
      <c r="I56" s="14" t="s">
        <v>742</v>
      </c>
      <c r="J56" s="12" t="s">
        <v>934</v>
      </c>
      <c r="K56" s="11">
        <v>56</v>
      </c>
    </row>
    <row r="57" spans="1:11">
      <c r="A57" s="6" t="s">
        <v>935</v>
      </c>
      <c r="B57" s="6" t="s">
        <v>2479</v>
      </c>
      <c r="C57" s="6" t="s">
        <v>2480</v>
      </c>
      <c r="D57" s="5" t="s">
        <v>2481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2482</v>
      </c>
      <c r="K57" s="6">
        <v>57</v>
      </c>
    </row>
    <row r="58" spans="1:11">
      <c r="A58" s="6" t="s">
        <v>936</v>
      </c>
      <c r="B58" s="6" t="s">
        <v>2483</v>
      </c>
      <c r="C58" s="6" t="s">
        <v>2484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2485</v>
      </c>
      <c r="K58" s="6">
        <v>58</v>
      </c>
    </row>
    <row r="59" spans="1:11">
      <c r="A59" s="6" t="s">
        <v>938</v>
      </c>
      <c r="B59" s="6" t="s">
        <v>2483</v>
      </c>
      <c r="C59" s="6" t="s">
        <v>2486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2485</v>
      </c>
      <c r="K59" s="6">
        <v>59</v>
      </c>
    </row>
    <row r="60" spans="1:11">
      <c r="A60" s="6" t="s">
        <v>940</v>
      </c>
      <c r="B60" s="6" t="s">
        <v>2483</v>
      </c>
      <c r="C60" s="6" t="s">
        <v>2487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2485</v>
      </c>
      <c r="K60" s="6">
        <v>60</v>
      </c>
    </row>
    <row r="61" spans="1:11">
      <c r="A61" s="6" t="s">
        <v>941</v>
      </c>
      <c r="B61" s="6" t="s">
        <v>2483</v>
      </c>
      <c r="C61" s="6" t="s">
        <v>2488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2485</v>
      </c>
      <c r="K61" s="6">
        <v>61</v>
      </c>
    </row>
    <row r="62" spans="1:11">
      <c r="A62" s="6" t="s">
        <v>942</v>
      </c>
      <c r="B62" s="6" t="s">
        <v>2489</v>
      </c>
      <c r="C62" s="6" t="s">
        <v>2490</v>
      </c>
      <c r="D62" s="5" t="s">
        <v>2491</v>
      </c>
      <c r="E62" s="6" t="s">
        <v>943</v>
      </c>
      <c r="F62" s="6"/>
      <c r="G62" s="6"/>
      <c r="H62" s="6"/>
      <c r="I62" s="6" t="s">
        <v>742</v>
      </c>
      <c r="J62" s="5" t="s">
        <v>2492</v>
      </c>
      <c r="K62" s="6">
        <v>62</v>
      </c>
    </row>
    <row r="63" spans="1:11">
      <c r="A63" s="6" t="s">
        <v>944</v>
      </c>
      <c r="B63" s="6" t="s">
        <v>2493</v>
      </c>
      <c r="C63" s="6" t="s">
        <v>2494</v>
      </c>
      <c r="D63" s="5" t="s">
        <v>2495</v>
      </c>
      <c r="E63" s="6" t="s">
        <v>943</v>
      </c>
      <c r="F63" s="6"/>
      <c r="G63" s="6"/>
      <c r="H63" s="6"/>
      <c r="I63" s="6" t="s">
        <v>742</v>
      </c>
      <c r="J63" s="5" t="s">
        <v>2496</v>
      </c>
      <c r="K63" s="6">
        <v>63</v>
      </c>
    </row>
    <row r="64" spans="1:11">
      <c r="A64" s="6" t="s">
        <v>945</v>
      </c>
      <c r="B64" s="6" t="s">
        <v>2497</v>
      </c>
      <c r="C64" s="6" t="s">
        <v>2498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2499</v>
      </c>
      <c r="K64" s="6">
        <v>64</v>
      </c>
    </row>
    <row r="65" spans="1:11">
      <c r="A65" s="6" t="s">
        <v>948</v>
      </c>
      <c r="B65" s="6" t="s">
        <v>2493</v>
      </c>
      <c r="C65" s="6" t="s">
        <v>2500</v>
      </c>
      <c r="D65" s="5" t="s">
        <v>2501</v>
      </c>
      <c r="E65" s="6" t="s">
        <v>943</v>
      </c>
      <c r="F65" s="6"/>
      <c r="G65" s="6"/>
      <c r="H65" s="6"/>
      <c r="I65" s="6" t="s">
        <v>742</v>
      </c>
      <c r="J65" s="5" t="s">
        <v>2502</v>
      </c>
      <c r="K65" s="6"/>
    </row>
    <row r="66" spans="1:11">
      <c r="A66" s="6" t="s">
        <v>949</v>
      </c>
      <c r="B66" s="6" t="s">
        <v>2251</v>
      </c>
      <c r="C66" s="6" t="s">
        <v>2503</v>
      </c>
      <c r="D66" s="5" t="s">
        <v>2504</v>
      </c>
      <c r="E66" s="6" t="s">
        <v>943</v>
      </c>
      <c r="F66" s="6"/>
      <c r="G66" s="6"/>
      <c r="H66" s="6"/>
      <c r="I66" s="6" t="s">
        <v>742</v>
      </c>
      <c r="J66" s="5" t="s">
        <v>2505</v>
      </c>
      <c r="K66" s="6"/>
    </row>
    <row r="67" spans="1:11">
      <c r="A67" s="6" t="s">
        <v>950</v>
      </c>
      <c r="B67" s="6" t="s">
        <v>2251</v>
      </c>
      <c r="C67" s="6" t="s">
        <v>2506</v>
      </c>
      <c r="D67" s="5" t="s">
        <v>2507</v>
      </c>
      <c r="E67" s="6" t="s">
        <v>943</v>
      </c>
      <c r="F67" s="6"/>
      <c r="G67" s="6"/>
      <c r="H67" s="6"/>
      <c r="I67" s="6" t="s">
        <v>742</v>
      </c>
      <c r="J67" s="5" t="s">
        <v>2505</v>
      </c>
      <c r="K67" s="6"/>
    </row>
    <row r="68" spans="1:11" ht="39">
      <c r="A68" s="22" t="s">
        <v>1952</v>
      </c>
      <c r="B68" s="22" t="s">
        <v>2664</v>
      </c>
      <c r="C68" s="22" t="s">
        <v>2665</v>
      </c>
      <c r="D68" s="23" t="s">
        <v>2666</v>
      </c>
      <c r="E68" s="22" t="s">
        <v>726</v>
      </c>
      <c r="F68" s="6"/>
      <c r="G68" s="6"/>
      <c r="H68" s="6"/>
      <c r="I68" s="22" t="s">
        <v>742</v>
      </c>
      <c r="J68" s="23" t="s">
        <v>2667</v>
      </c>
      <c r="K68" s="6"/>
    </row>
    <row r="69" spans="1:11" ht="26">
      <c r="A69" s="22" t="s">
        <v>1953</v>
      </c>
      <c r="B69" s="22" t="s">
        <v>2664</v>
      </c>
      <c r="C69" s="22" t="s">
        <v>2668</v>
      </c>
      <c r="D69" s="23" t="s">
        <v>2669</v>
      </c>
      <c r="E69" s="22" t="s">
        <v>726</v>
      </c>
      <c r="F69" s="6"/>
      <c r="G69" s="6"/>
      <c r="H69" s="6"/>
      <c r="I69" s="22" t="s">
        <v>742</v>
      </c>
      <c r="J69" s="23" t="s">
        <v>2667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49</v>
      </c>
      <c r="B1" s="10" t="s">
        <v>350</v>
      </c>
      <c r="C1" s="10" t="s">
        <v>283</v>
      </c>
      <c r="D1" s="10" t="s">
        <v>195</v>
      </c>
      <c r="E1" s="10" t="s">
        <v>351</v>
      </c>
      <c r="F1" s="10" t="s">
        <v>274</v>
      </c>
      <c r="G1" s="10" t="s">
        <v>353</v>
      </c>
      <c r="H1" s="10" t="s">
        <v>280</v>
      </c>
    </row>
    <row r="2" spans="1:8">
      <c r="A2" s="11" t="s">
        <v>722</v>
      </c>
      <c r="B2" s="11" t="s">
        <v>951</v>
      </c>
      <c r="C2" s="11" t="s">
        <v>952</v>
      </c>
      <c r="D2" s="11">
        <v>0.5</v>
      </c>
      <c r="E2" s="12"/>
      <c r="F2" s="11" t="s">
        <v>953</v>
      </c>
      <c r="G2" s="3" t="s">
        <v>954</v>
      </c>
      <c r="H2" s="4" t="s">
        <v>955</v>
      </c>
    </row>
    <row r="3" spans="1:8">
      <c r="A3" s="11" t="s">
        <v>729</v>
      </c>
      <c r="B3" s="11" t="s">
        <v>956</v>
      </c>
      <c r="C3" s="11" t="s">
        <v>952</v>
      </c>
      <c r="D3" s="11">
        <v>0.6</v>
      </c>
      <c r="E3" s="12"/>
      <c r="F3" s="11" t="s">
        <v>953</v>
      </c>
      <c r="G3" s="3" t="s">
        <v>954</v>
      </c>
      <c r="H3" s="4" t="s">
        <v>955</v>
      </c>
    </row>
    <row r="4" spans="1:8">
      <c r="A4" s="11" t="s">
        <v>732</v>
      </c>
      <c r="B4" s="11" t="s">
        <v>951</v>
      </c>
      <c r="C4" s="11" t="s">
        <v>957</v>
      </c>
      <c r="D4" s="11">
        <v>0.2</v>
      </c>
      <c r="E4" s="12"/>
      <c r="F4" s="11" t="s">
        <v>953</v>
      </c>
      <c r="G4" s="3" t="s">
        <v>954</v>
      </c>
      <c r="H4" s="4" t="s">
        <v>955</v>
      </c>
    </row>
    <row r="5" spans="1:8">
      <c r="A5" s="11" t="s">
        <v>786</v>
      </c>
      <c r="B5" s="11" t="s">
        <v>958</v>
      </c>
      <c r="C5" s="11" t="s">
        <v>959</v>
      </c>
      <c r="D5" s="11">
        <v>3</v>
      </c>
      <c r="E5" s="12"/>
      <c r="F5" s="11" t="s">
        <v>947</v>
      </c>
      <c r="G5" s="11" t="s">
        <v>960</v>
      </c>
      <c r="H5" s="21" t="s">
        <v>1982</v>
      </c>
    </row>
    <row r="6" spans="1:8">
      <c r="A6" s="11" t="s">
        <v>795</v>
      </c>
      <c r="B6" s="11" t="s">
        <v>961</v>
      </c>
      <c r="C6" s="11" t="s">
        <v>952</v>
      </c>
      <c r="D6" s="11">
        <v>2</v>
      </c>
      <c r="E6" s="12"/>
      <c r="F6" s="11" t="s">
        <v>962</v>
      </c>
      <c r="G6" s="11" t="s">
        <v>960</v>
      </c>
      <c r="H6" s="12" t="s">
        <v>963</v>
      </c>
    </row>
    <row r="7" spans="1:8">
      <c r="A7" s="11" t="s">
        <v>798</v>
      </c>
      <c r="B7" s="11" t="s">
        <v>964</v>
      </c>
      <c r="C7" s="11" t="s">
        <v>959</v>
      </c>
      <c r="D7" s="11">
        <v>30</v>
      </c>
      <c r="E7" s="12"/>
      <c r="F7" s="11" t="s">
        <v>947</v>
      </c>
      <c r="G7" s="11" t="s">
        <v>960</v>
      </c>
      <c r="H7" s="12" t="s">
        <v>799</v>
      </c>
    </row>
    <row r="8" spans="1:8">
      <c r="A8" s="11" t="s">
        <v>826</v>
      </c>
      <c r="B8" s="11" t="s">
        <v>965</v>
      </c>
      <c r="C8" s="11" t="s">
        <v>966</v>
      </c>
      <c r="D8" s="11">
        <v>22</v>
      </c>
      <c r="E8" s="12"/>
      <c r="F8" s="11" t="s">
        <v>967</v>
      </c>
      <c r="G8" s="11" t="s">
        <v>960</v>
      </c>
      <c r="H8" s="12" t="s">
        <v>968</v>
      </c>
    </row>
    <row r="9" spans="1:8">
      <c r="A9" s="11" t="s">
        <v>831</v>
      </c>
      <c r="B9" s="11" t="s">
        <v>969</v>
      </c>
      <c r="C9" s="11" t="s">
        <v>966</v>
      </c>
      <c r="D9" s="11">
        <v>32</v>
      </c>
      <c r="E9" s="12"/>
      <c r="F9" s="11" t="s">
        <v>967</v>
      </c>
      <c r="G9" s="11" t="s">
        <v>960</v>
      </c>
      <c r="H9" s="12" t="s">
        <v>970</v>
      </c>
    </row>
    <row r="10" spans="1:8">
      <c r="A10" s="11" t="s">
        <v>835</v>
      </c>
      <c r="B10" s="11" t="s">
        <v>971</v>
      </c>
      <c r="C10" s="11" t="s">
        <v>966</v>
      </c>
      <c r="D10" s="11">
        <v>14</v>
      </c>
      <c r="E10" s="12"/>
      <c r="F10" s="11" t="s">
        <v>967</v>
      </c>
      <c r="G10" s="11" t="s">
        <v>960</v>
      </c>
      <c r="H10" s="12" t="s">
        <v>972</v>
      </c>
    </row>
    <row r="11" spans="1:8">
      <c r="A11" s="11" t="s">
        <v>843</v>
      </c>
      <c r="B11" s="11" t="s">
        <v>973</v>
      </c>
      <c r="C11" s="11" t="s">
        <v>957</v>
      </c>
      <c r="D11" s="11">
        <v>0.4</v>
      </c>
      <c r="E11" s="12"/>
      <c r="F11" s="11" t="s">
        <v>953</v>
      </c>
      <c r="G11" s="11" t="s">
        <v>960</v>
      </c>
      <c r="H11" s="12" t="s">
        <v>974</v>
      </c>
    </row>
    <row r="12" spans="1:8">
      <c r="A12" s="11" t="s">
        <v>864</v>
      </c>
      <c r="B12" s="11" t="s">
        <v>975</v>
      </c>
      <c r="C12" s="11" t="s">
        <v>959</v>
      </c>
      <c r="D12" s="11">
        <v>1</v>
      </c>
      <c r="E12" s="12"/>
      <c r="F12" s="11" t="s">
        <v>962</v>
      </c>
      <c r="G12" s="11" t="s">
        <v>960</v>
      </c>
      <c r="H12" s="12" t="s">
        <v>976</v>
      </c>
    </row>
    <row r="13" spans="1:8">
      <c r="A13" s="11" t="s">
        <v>864</v>
      </c>
      <c r="B13" s="11" t="s">
        <v>977</v>
      </c>
      <c r="C13" s="11" t="s">
        <v>966</v>
      </c>
      <c r="D13" s="11">
        <v>1</v>
      </c>
      <c r="E13" s="12"/>
      <c r="F13" s="11" t="s">
        <v>962</v>
      </c>
      <c r="G13" s="11" t="s">
        <v>960</v>
      </c>
      <c r="H13" s="12" t="s">
        <v>978</v>
      </c>
    </row>
    <row r="14" spans="1:8">
      <c r="A14" s="11" t="s">
        <v>782</v>
      </c>
      <c r="B14" s="11" t="s">
        <v>979</v>
      </c>
      <c r="C14" s="11" t="s">
        <v>952</v>
      </c>
      <c r="D14" s="11"/>
      <c r="E14" s="12" t="s">
        <v>980</v>
      </c>
      <c r="F14" s="11" t="s">
        <v>981</v>
      </c>
      <c r="G14" s="11" t="s">
        <v>960</v>
      </c>
      <c r="H14" s="12" t="s">
        <v>982</v>
      </c>
    </row>
    <row r="15" spans="1:8">
      <c r="A15" s="11" t="s">
        <v>843</v>
      </c>
      <c r="B15" s="11" t="s">
        <v>983</v>
      </c>
      <c r="C15" s="11" t="s">
        <v>957</v>
      </c>
      <c r="D15" s="11"/>
      <c r="E15" s="12" t="s">
        <v>980</v>
      </c>
      <c r="F15" s="11" t="s">
        <v>981</v>
      </c>
      <c r="G15" s="11" t="s">
        <v>984</v>
      </c>
      <c r="H15" s="12" t="s">
        <v>985</v>
      </c>
    </row>
    <row r="16" spans="1:8">
      <c r="A16" s="11" t="s">
        <v>936</v>
      </c>
      <c r="B16" s="11" t="s">
        <v>986</v>
      </c>
      <c r="C16" s="11" t="s">
        <v>959</v>
      </c>
      <c r="D16" s="11">
        <v>1</v>
      </c>
      <c r="E16" s="12"/>
      <c r="F16" s="11" t="s">
        <v>987</v>
      </c>
      <c r="G16" s="11" t="s">
        <v>960</v>
      </c>
      <c r="H16" s="12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2508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2509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2510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2511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2512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2513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2514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2515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2516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2517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2518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2519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2520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2521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2522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2523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2524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2525</v>
      </c>
    </row>
    <row r="35" spans="1:8">
      <c r="A35" s="22" t="s">
        <v>753</v>
      </c>
      <c r="B35" s="22" t="s">
        <v>1954</v>
      </c>
      <c r="C35" s="22" t="s">
        <v>959</v>
      </c>
      <c r="D35" s="22">
        <v>4</v>
      </c>
      <c r="E35" s="5"/>
      <c r="F35" s="22" t="s">
        <v>962</v>
      </c>
      <c r="G35" s="22" t="s">
        <v>1001</v>
      </c>
      <c r="H35" s="23" t="s">
        <v>2670</v>
      </c>
    </row>
    <row r="36" spans="1:8">
      <c r="A36" s="22" t="s">
        <v>753</v>
      </c>
      <c r="B36" s="22" t="s">
        <v>1955</v>
      </c>
      <c r="C36" s="22" t="s">
        <v>952</v>
      </c>
      <c r="D36" s="22">
        <v>3</v>
      </c>
      <c r="E36" s="5"/>
      <c r="F36" s="22" t="s">
        <v>962</v>
      </c>
      <c r="G36" s="22" t="s">
        <v>1001</v>
      </c>
      <c r="H36" s="23" t="s">
        <v>2671</v>
      </c>
    </row>
    <row r="37" spans="1:8">
      <c r="A37" s="22" t="s">
        <v>753</v>
      </c>
      <c r="B37" s="22" t="s">
        <v>1956</v>
      </c>
      <c r="C37" s="22" t="s">
        <v>952</v>
      </c>
      <c r="D37" s="22">
        <v>3</v>
      </c>
      <c r="E37" s="5"/>
      <c r="F37" s="22" t="s">
        <v>962</v>
      </c>
      <c r="G37" s="22" t="s">
        <v>1001</v>
      </c>
      <c r="H37" s="23" t="s">
        <v>2672</v>
      </c>
    </row>
    <row r="38" spans="1:8">
      <c r="A38" s="22" t="s">
        <v>757</v>
      </c>
      <c r="B38" s="22" t="s">
        <v>1957</v>
      </c>
      <c r="C38" s="22" t="s">
        <v>959</v>
      </c>
      <c r="D38" s="22">
        <v>2</v>
      </c>
      <c r="E38" s="5"/>
      <c r="F38" s="22" t="s">
        <v>962</v>
      </c>
      <c r="G38" s="22" t="s">
        <v>1001</v>
      </c>
      <c r="H38" s="23" t="s">
        <v>2673</v>
      </c>
    </row>
    <row r="39" spans="1:8">
      <c r="A39" s="22" t="s">
        <v>1953</v>
      </c>
      <c r="B39" s="22" t="s">
        <v>1958</v>
      </c>
      <c r="C39" s="22" t="s">
        <v>966</v>
      </c>
      <c r="D39" s="22">
        <v>56</v>
      </c>
      <c r="E39" s="5"/>
      <c r="F39" s="22" t="s">
        <v>947</v>
      </c>
      <c r="G39" s="22" t="s">
        <v>1001</v>
      </c>
      <c r="H39" s="23" t="s">
        <v>2674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67</v>
      </c>
      <c r="B1" s="10" t="s">
        <v>267</v>
      </c>
      <c r="C1" s="10" t="s">
        <v>268</v>
      </c>
      <c r="D1" s="10" t="s">
        <v>270</v>
      </c>
      <c r="E1" s="10" t="s">
        <v>271</v>
      </c>
      <c r="F1" s="10" t="s">
        <v>272</v>
      </c>
    </row>
    <row r="2" spans="1:6" ht="50">
      <c r="A2" s="11" t="s">
        <v>344</v>
      </c>
      <c r="B2" s="11" t="s">
        <v>1016</v>
      </c>
      <c r="C2" s="11" t="s">
        <v>1017</v>
      </c>
      <c r="D2" s="11" t="s">
        <v>1018</v>
      </c>
      <c r="E2" s="12" t="s">
        <v>1019</v>
      </c>
      <c r="F2" s="12" t="s">
        <v>1020</v>
      </c>
    </row>
    <row r="3" spans="1:6">
      <c r="A3" s="11" t="s">
        <v>1021</v>
      </c>
      <c r="B3" s="11" t="s">
        <v>1022</v>
      </c>
      <c r="C3" s="11" t="s">
        <v>1023</v>
      </c>
      <c r="D3" s="11" t="s">
        <v>1024</v>
      </c>
      <c r="E3" s="12" t="s">
        <v>1025</v>
      </c>
      <c r="F3" s="12" t="s">
        <v>1026</v>
      </c>
    </row>
    <row r="4" spans="1:6">
      <c r="A4" s="11" t="s">
        <v>1027</v>
      </c>
      <c r="B4" s="11" t="s">
        <v>1028</v>
      </c>
      <c r="C4" s="11" t="s">
        <v>1029</v>
      </c>
      <c r="D4" s="11" t="s">
        <v>1030</v>
      </c>
      <c r="E4" s="12" t="s">
        <v>1031</v>
      </c>
      <c r="F4" s="12" t="s">
        <v>1032</v>
      </c>
    </row>
    <row r="5" spans="1:6">
      <c r="A5" s="11" t="s">
        <v>1033</v>
      </c>
      <c r="B5" s="11" t="s">
        <v>1034</v>
      </c>
      <c r="C5" s="11" t="s">
        <v>1029</v>
      </c>
      <c r="D5" s="11" t="s">
        <v>1035</v>
      </c>
      <c r="E5" s="12" t="s">
        <v>1036</v>
      </c>
      <c r="F5" s="12" t="s">
        <v>1037</v>
      </c>
    </row>
    <row r="6" spans="1:6">
      <c r="A6" s="11" t="s">
        <v>1038</v>
      </c>
      <c r="B6" s="11" t="s">
        <v>1039</v>
      </c>
      <c r="C6" s="11" t="s">
        <v>1029</v>
      </c>
      <c r="D6" s="11" t="s">
        <v>1040</v>
      </c>
      <c r="E6" s="12"/>
      <c r="F6" s="12" t="s">
        <v>1041</v>
      </c>
    </row>
    <row r="7" spans="1:6" ht="25">
      <c r="A7" s="11" t="s">
        <v>1042</v>
      </c>
      <c r="B7" s="11" t="s">
        <v>1043</v>
      </c>
      <c r="C7" s="11" t="s">
        <v>1029</v>
      </c>
      <c r="D7" s="11" t="s">
        <v>1035</v>
      </c>
      <c r="E7" s="12" t="s">
        <v>1044</v>
      </c>
      <c r="F7" s="12" t="s">
        <v>1045</v>
      </c>
    </row>
    <row r="8" spans="1:6">
      <c r="A8" s="11" t="s">
        <v>1046</v>
      </c>
      <c r="B8" s="11" t="s">
        <v>1047</v>
      </c>
      <c r="C8" s="11" t="s">
        <v>1029</v>
      </c>
      <c r="D8" s="11" t="s">
        <v>1048</v>
      </c>
      <c r="E8" s="12"/>
      <c r="F8" s="12" t="s">
        <v>1049</v>
      </c>
    </row>
    <row r="9" spans="1:6" ht="25">
      <c r="A9" s="6" t="s">
        <v>1050</v>
      </c>
      <c r="B9" s="6" t="s">
        <v>2526</v>
      </c>
      <c r="C9" s="6" t="s">
        <v>1051</v>
      </c>
      <c r="D9" s="6" t="s">
        <v>1052</v>
      </c>
      <c r="E9" s="5"/>
      <c r="F9" s="5" t="s">
        <v>2527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69</v>
      </c>
      <c r="B1" s="10" t="s">
        <v>273</v>
      </c>
      <c r="C1" s="10" t="s">
        <v>274</v>
      </c>
      <c r="D1" s="10" t="s">
        <v>275</v>
      </c>
      <c r="E1" s="10" t="s">
        <v>277</v>
      </c>
      <c r="F1" s="10" t="s">
        <v>278</v>
      </c>
      <c r="G1" s="10" t="s">
        <v>279</v>
      </c>
      <c r="H1" s="10" t="s">
        <v>280</v>
      </c>
    </row>
    <row r="2" spans="1:8">
      <c r="A2" s="11" t="s">
        <v>1053</v>
      </c>
      <c r="B2" s="11" t="s">
        <v>1054</v>
      </c>
      <c r="C2" s="11" t="s">
        <v>1055</v>
      </c>
      <c r="D2" s="11" t="s">
        <v>1056</v>
      </c>
      <c r="E2" s="11" t="b">
        <v>0</v>
      </c>
      <c r="F2" s="11" t="b">
        <v>1</v>
      </c>
      <c r="G2" s="11" t="s">
        <v>344</v>
      </c>
      <c r="H2" s="11" t="s">
        <v>1057</v>
      </c>
    </row>
    <row r="3" spans="1:8">
      <c r="A3" s="11" t="s">
        <v>1058</v>
      </c>
      <c r="B3" s="11" t="s">
        <v>1059</v>
      </c>
      <c r="C3" s="11" t="s">
        <v>1060</v>
      </c>
      <c r="D3" s="11" t="s">
        <v>1061</v>
      </c>
      <c r="E3" s="11" t="b">
        <v>0</v>
      </c>
      <c r="F3" s="11" t="b">
        <v>1</v>
      </c>
      <c r="G3" s="11" t="s">
        <v>344</v>
      </c>
      <c r="H3" s="11" t="s">
        <v>1062</v>
      </c>
    </row>
    <row r="4" spans="1:8">
      <c r="A4" s="11" t="s">
        <v>1063</v>
      </c>
      <c r="B4" s="11" t="s">
        <v>1064</v>
      </c>
      <c r="C4" s="11" t="s">
        <v>1065</v>
      </c>
      <c r="D4" s="11" t="s">
        <v>1061</v>
      </c>
      <c r="E4" s="11" t="b">
        <v>1</v>
      </c>
      <c r="F4" s="11" t="b">
        <v>0</v>
      </c>
      <c r="G4" s="11" t="s">
        <v>344</v>
      </c>
      <c r="H4" s="11" t="s">
        <v>1066</v>
      </c>
    </row>
    <row r="5" spans="1:8">
      <c r="A5" s="11" t="s">
        <v>1067</v>
      </c>
      <c r="B5" s="11" t="s">
        <v>1068</v>
      </c>
      <c r="C5" s="11" t="s">
        <v>1069</v>
      </c>
      <c r="D5" s="11" t="s">
        <v>1061</v>
      </c>
      <c r="E5" s="11" t="b">
        <v>0</v>
      </c>
      <c r="F5" s="11" t="b">
        <v>1</v>
      </c>
      <c r="G5" s="11" t="s">
        <v>344</v>
      </c>
      <c r="H5" s="11" t="s">
        <v>1070</v>
      </c>
    </row>
    <row r="6" spans="1:8">
      <c r="A6" s="11" t="s">
        <v>1071</v>
      </c>
      <c r="B6" s="11" t="s">
        <v>1072</v>
      </c>
      <c r="C6" s="11" t="s">
        <v>1069</v>
      </c>
      <c r="D6" s="11" t="s">
        <v>1061</v>
      </c>
      <c r="E6" s="11" t="b">
        <v>0</v>
      </c>
      <c r="F6" s="11" t="b">
        <v>1</v>
      </c>
      <c r="G6" s="11" t="s">
        <v>344</v>
      </c>
      <c r="H6" s="11" t="s">
        <v>1073</v>
      </c>
    </row>
    <row r="7" spans="1:8">
      <c r="A7" s="11" t="s">
        <v>1074</v>
      </c>
      <c r="B7" s="11" t="s">
        <v>1075</v>
      </c>
      <c r="C7" s="11" t="s">
        <v>1069</v>
      </c>
      <c r="D7" s="11" t="s">
        <v>1061</v>
      </c>
      <c r="E7" s="11" t="b">
        <v>0</v>
      </c>
      <c r="F7" s="11" t="b">
        <v>0</v>
      </c>
      <c r="G7" s="11" t="s">
        <v>344</v>
      </c>
      <c r="H7" s="11" t="s">
        <v>1076</v>
      </c>
    </row>
    <row r="8" spans="1:8">
      <c r="A8" s="11" t="s">
        <v>1077</v>
      </c>
      <c r="B8" s="11" t="s">
        <v>1078</v>
      </c>
      <c r="C8" s="11" t="s">
        <v>1069</v>
      </c>
      <c r="D8" s="11" t="s">
        <v>1061</v>
      </c>
      <c r="E8" s="11" t="b">
        <v>0</v>
      </c>
      <c r="F8" s="11" t="b">
        <v>0</v>
      </c>
      <c r="G8" s="11" t="s">
        <v>344</v>
      </c>
      <c r="H8" s="11"/>
    </row>
    <row r="9" spans="1:8">
      <c r="A9" s="11" t="s">
        <v>1079</v>
      </c>
      <c r="B9" s="11" t="s">
        <v>1080</v>
      </c>
      <c r="C9" s="11" t="s">
        <v>1069</v>
      </c>
      <c r="D9" s="11" t="s">
        <v>1061</v>
      </c>
      <c r="E9" s="11" t="b">
        <v>0</v>
      </c>
      <c r="F9" s="11" t="b">
        <v>0</v>
      </c>
      <c r="G9" s="11" t="s">
        <v>344</v>
      </c>
      <c r="H9" s="11" t="s">
        <v>1081</v>
      </c>
    </row>
    <row r="10" spans="1:8">
      <c r="A10" s="11" t="s">
        <v>1082</v>
      </c>
      <c r="B10" s="11" t="s">
        <v>1083</v>
      </c>
      <c r="C10" s="11" t="s">
        <v>1084</v>
      </c>
      <c r="D10" s="11" t="s">
        <v>1061</v>
      </c>
      <c r="E10" s="11" t="b">
        <v>0</v>
      </c>
      <c r="F10" s="11" t="b">
        <v>0</v>
      </c>
      <c r="G10" s="11" t="s">
        <v>344</v>
      </c>
      <c r="H10" s="11" t="s">
        <v>1085</v>
      </c>
    </row>
    <row r="11" spans="1:8">
      <c r="A11" s="11" t="s">
        <v>1086</v>
      </c>
      <c r="B11" s="11" t="s">
        <v>1087</v>
      </c>
      <c r="C11" s="11" t="s">
        <v>1084</v>
      </c>
      <c r="D11" s="11" t="s">
        <v>1061</v>
      </c>
      <c r="E11" s="11" t="b">
        <v>0</v>
      </c>
      <c r="F11" s="11" t="b">
        <v>0</v>
      </c>
      <c r="G11" s="11" t="s">
        <v>344</v>
      </c>
      <c r="H11" s="11" t="s">
        <v>1088</v>
      </c>
    </row>
    <row r="12" spans="1:8">
      <c r="A12" s="11" t="s">
        <v>1089</v>
      </c>
      <c r="B12" s="11" t="s">
        <v>1090</v>
      </c>
      <c r="C12" s="11" t="s">
        <v>1084</v>
      </c>
      <c r="D12" s="11" t="s">
        <v>1061</v>
      </c>
      <c r="E12" s="11" t="b">
        <v>1</v>
      </c>
      <c r="F12" s="11" t="b">
        <v>0</v>
      </c>
      <c r="G12" s="11" t="s">
        <v>344</v>
      </c>
      <c r="H12" s="11" t="s">
        <v>1091</v>
      </c>
    </row>
    <row r="13" spans="1:8">
      <c r="A13" s="11" t="s">
        <v>1092</v>
      </c>
      <c r="B13" s="11" t="s">
        <v>1093</v>
      </c>
      <c r="C13" s="11"/>
      <c r="D13" s="11" t="s">
        <v>1094</v>
      </c>
      <c r="E13" s="11" t="b">
        <v>0</v>
      </c>
      <c r="F13" s="11" t="b">
        <v>0</v>
      </c>
      <c r="G13" s="11" t="s">
        <v>344</v>
      </c>
      <c r="H13" s="11" t="s">
        <v>1095</v>
      </c>
    </row>
    <row r="14" spans="1:8">
      <c r="A14" s="11" t="s">
        <v>1096</v>
      </c>
      <c r="B14" s="11" t="s">
        <v>1097</v>
      </c>
      <c r="C14" s="11" t="s">
        <v>1069</v>
      </c>
      <c r="D14" s="11" t="s">
        <v>1061</v>
      </c>
      <c r="E14" s="11" t="b">
        <v>0</v>
      </c>
      <c r="F14" s="11" t="b">
        <v>0</v>
      </c>
      <c r="G14" s="11" t="s">
        <v>344</v>
      </c>
      <c r="H14" s="11" t="s">
        <v>1098</v>
      </c>
    </row>
    <row r="15" spans="1:8">
      <c r="A15" s="11" t="s">
        <v>1099</v>
      </c>
      <c r="B15" s="11" t="s">
        <v>1100</v>
      </c>
      <c r="C15" s="11" t="s">
        <v>1101</v>
      </c>
      <c r="D15" s="11" t="s">
        <v>1061</v>
      </c>
      <c r="E15" s="11" t="b">
        <v>0</v>
      </c>
      <c r="F15" s="11" t="b">
        <v>0</v>
      </c>
      <c r="G15" s="11" t="s">
        <v>344</v>
      </c>
      <c r="H15" s="11" t="s">
        <v>1102</v>
      </c>
    </row>
    <row r="16" spans="1:8">
      <c r="A16" s="11" t="s">
        <v>1103</v>
      </c>
      <c r="B16" s="11" t="s">
        <v>1104</v>
      </c>
      <c r="C16" s="11" t="s">
        <v>1105</v>
      </c>
      <c r="D16" s="11" t="s">
        <v>1061</v>
      </c>
      <c r="E16" s="11" t="b">
        <v>1</v>
      </c>
      <c r="F16" s="11" t="b">
        <v>0</v>
      </c>
      <c r="G16" s="11" t="s">
        <v>344</v>
      </c>
      <c r="H16" s="11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69</v>
      </c>
      <c r="B1" s="10" t="s">
        <v>282</v>
      </c>
      <c r="C1" s="10" t="s">
        <v>275</v>
      </c>
      <c r="D1" s="10" t="s">
        <v>347</v>
      </c>
      <c r="E1" s="10" t="s">
        <v>348</v>
      </c>
      <c r="F1" s="10" t="s">
        <v>349</v>
      </c>
    </row>
    <row r="2" spans="1:6">
      <c r="A2" s="11" t="s">
        <v>1053</v>
      </c>
      <c r="B2" s="11" t="s">
        <v>1107</v>
      </c>
      <c r="C2" s="11" t="s">
        <v>741</v>
      </c>
      <c r="D2" s="11" t="b">
        <v>1</v>
      </c>
      <c r="E2" s="11" t="s">
        <v>1055</v>
      </c>
      <c r="F2" s="11" t="s">
        <v>1108</v>
      </c>
    </row>
    <row r="3" spans="1:6">
      <c r="A3" s="11" t="s">
        <v>1053</v>
      </c>
      <c r="B3" s="11" t="s">
        <v>1109</v>
      </c>
      <c r="C3" s="11" t="s">
        <v>741</v>
      </c>
      <c r="D3" s="11" t="b">
        <v>1</v>
      </c>
      <c r="E3" s="11" t="s">
        <v>1055</v>
      </c>
      <c r="F3" s="11" t="s">
        <v>1108</v>
      </c>
    </row>
    <row r="4" spans="1:6">
      <c r="A4" s="11" t="s">
        <v>1058</v>
      </c>
      <c r="B4" s="11" t="s">
        <v>1110</v>
      </c>
      <c r="C4" s="11" t="s">
        <v>741</v>
      </c>
      <c r="D4" s="11" t="b">
        <v>1</v>
      </c>
      <c r="E4" s="11" t="s">
        <v>1060</v>
      </c>
      <c r="F4" s="11" t="s">
        <v>1108</v>
      </c>
    </row>
    <row r="5" spans="1:6">
      <c r="A5" s="11" t="s">
        <v>1063</v>
      </c>
      <c r="B5" s="11" t="s">
        <v>1110</v>
      </c>
      <c r="C5" s="11" t="s">
        <v>741</v>
      </c>
      <c r="D5" s="11" t="b">
        <v>1</v>
      </c>
      <c r="E5" s="11" t="s">
        <v>1065</v>
      </c>
      <c r="F5" s="11" t="s">
        <v>1108</v>
      </c>
    </row>
    <row r="6" spans="1:6">
      <c r="A6" s="11" t="s">
        <v>1067</v>
      </c>
      <c r="B6" s="11" t="s">
        <v>1110</v>
      </c>
      <c r="C6" s="11" t="s">
        <v>741</v>
      </c>
      <c r="D6" s="11" t="b">
        <v>1</v>
      </c>
      <c r="E6" s="11" t="s">
        <v>1069</v>
      </c>
      <c r="F6" s="11" t="s">
        <v>1108</v>
      </c>
    </row>
    <row r="7" spans="1:6">
      <c r="A7" s="11" t="s">
        <v>1071</v>
      </c>
      <c r="B7" s="11" t="s">
        <v>1110</v>
      </c>
      <c r="C7" s="11" t="s">
        <v>741</v>
      </c>
      <c r="D7" s="11" t="b">
        <v>1</v>
      </c>
      <c r="E7" s="11" t="s">
        <v>1069</v>
      </c>
      <c r="F7" s="11" t="s">
        <v>1108</v>
      </c>
    </row>
    <row r="8" spans="1:6">
      <c r="A8" s="11" t="s">
        <v>1074</v>
      </c>
      <c r="B8" s="11" t="s">
        <v>1110</v>
      </c>
      <c r="C8" s="11" t="s">
        <v>741</v>
      </c>
      <c r="D8" s="11" t="b">
        <v>1</v>
      </c>
      <c r="E8" s="11" t="s">
        <v>1069</v>
      </c>
      <c r="F8" s="11" t="s">
        <v>1108</v>
      </c>
    </row>
    <row r="9" spans="1:6">
      <c r="A9" s="11" t="s">
        <v>1077</v>
      </c>
      <c r="B9" s="11" t="s">
        <v>1110</v>
      </c>
      <c r="C9" s="11" t="s">
        <v>741</v>
      </c>
      <c r="D9" s="11" t="b">
        <v>1</v>
      </c>
      <c r="E9" s="11" t="s">
        <v>1069</v>
      </c>
      <c r="F9" s="11" t="s">
        <v>1108</v>
      </c>
    </row>
    <row r="10" spans="1:6">
      <c r="A10" s="11" t="s">
        <v>1079</v>
      </c>
      <c r="B10" s="11" t="s">
        <v>1110</v>
      </c>
      <c r="C10" s="11" t="s">
        <v>741</v>
      </c>
      <c r="D10" s="11" t="b">
        <v>1</v>
      </c>
      <c r="E10" s="11" t="s">
        <v>1069</v>
      </c>
      <c r="F10" s="11" t="s">
        <v>1108</v>
      </c>
    </row>
    <row r="11" spans="1:6">
      <c r="A11" s="11" t="s">
        <v>1082</v>
      </c>
      <c r="B11" s="11" t="s">
        <v>1110</v>
      </c>
      <c r="C11" s="11" t="s">
        <v>741</v>
      </c>
      <c r="D11" s="11" t="b">
        <v>1</v>
      </c>
      <c r="E11" s="11" t="s">
        <v>1084</v>
      </c>
      <c r="F11" s="11" t="s">
        <v>1108</v>
      </c>
    </row>
    <row r="12" spans="1:6">
      <c r="A12" s="11" t="s">
        <v>1086</v>
      </c>
      <c r="B12" s="11" t="s">
        <v>1110</v>
      </c>
      <c r="C12" s="11" t="s">
        <v>741</v>
      </c>
      <c r="D12" s="11" t="b">
        <v>1</v>
      </c>
      <c r="E12" s="11" t="s">
        <v>1084</v>
      </c>
      <c r="F12" s="11" t="s">
        <v>1108</v>
      </c>
    </row>
    <row r="13" spans="1:6">
      <c r="A13" s="11" t="s">
        <v>1089</v>
      </c>
      <c r="B13" s="11" t="s">
        <v>1110</v>
      </c>
      <c r="C13" s="11" t="s">
        <v>741</v>
      </c>
      <c r="D13" s="11" t="b">
        <v>1</v>
      </c>
      <c r="E13" s="11" t="s">
        <v>1084</v>
      </c>
      <c r="F13" s="11" t="s">
        <v>1108</v>
      </c>
    </row>
    <row r="14" spans="1:6">
      <c r="A14" s="11" t="s">
        <v>1092</v>
      </c>
      <c r="B14" s="11" t="s">
        <v>1111</v>
      </c>
      <c r="C14" s="11" t="s">
        <v>1094</v>
      </c>
      <c r="D14" s="11" t="b">
        <v>1</v>
      </c>
      <c r="E14" s="11"/>
      <c r="F14" s="11" t="s">
        <v>1112</v>
      </c>
    </row>
    <row r="15" spans="1:6">
      <c r="A15" s="11" t="s">
        <v>1096</v>
      </c>
      <c r="B15" s="11" t="s">
        <v>1110</v>
      </c>
      <c r="C15" s="11" t="s">
        <v>741</v>
      </c>
      <c r="D15" s="11" t="b">
        <v>1</v>
      </c>
      <c r="E15" s="11" t="s">
        <v>1069</v>
      </c>
      <c r="F15" s="11" t="s">
        <v>1108</v>
      </c>
    </row>
    <row r="16" spans="1:6">
      <c r="A16" s="11" t="s">
        <v>1099</v>
      </c>
      <c r="B16" s="11" t="s">
        <v>1110</v>
      </c>
      <c r="C16" s="11" t="s">
        <v>741</v>
      </c>
      <c r="D16" s="11" t="b">
        <v>1</v>
      </c>
      <c r="E16" s="11" t="s">
        <v>1101</v>
      </c>
      <c r="F16" s="11" t="s">
        <v>1108</v>
      </c>
    </row>
    <row r="17" spans="1:6">
      <c r="A17" s="11" t="s">
        <v>1103</v>
      </c>
      <c r="B17" s="11" t="s">
        <v>1110</v>
      </c>
      <c r="C17" s="11" t="s">
        <v>741</v>
      </c>
      <c r="D17" s="11" t="b">
        <v>1</v>
      </c>
      <c r="E17" s="11" t="s">
        <v>1105</v>
      </c>
      <c r="F17" s="11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89</v>
      </c>
      <c r="B1" s="10" t="s">
        <v>69</v>
      </c>
      <c r="C1" s="10" t="s">
        <v>295</v>
      </c>
      <c r="D1" s="10" t="s">
        <v>340</v>
      </c>
      <c r="E1" s="10" t="s">
        <v>341</v>
      </c>
      <c r="F1" s="10" t="s">
        <v>342</v>
      </c>
      <c r="G1" s="10" t="s">
        <v>67</v>
      </c>
      <c r="H1" s="10" t="s">
        <v>252</v>
      </c>
      <c r="I1" s="10" t="s">
        <v>345</v>
      </c>
    </row>
    <row r="2" spans="1:9">
      <c r="A2" s="11" t="s">
        <v>1113</v>
      </c>
      <c r="B2" s="11" t="s">
        <v>1053</v>
      </c>
      <c r="C2" s="11" t="s">
        <v>1114</v>
      </c>
      <c r="D2" s="11" t="s">
        <v>1115</v>
      </c>
      <c r="E2" s="11">
        <v>1</v>
      </c>
      <c r="F2" s="11" t="s">
        <v>343</v>
      </c>
      <c r="G2" s="11" t="s">
        <v>344</v>
      </c>
      <c r="H2" s="11" t="s">
        <v>344</v>
      </c>
      <c r="I2" s="15">
        <v>46029</v>
      </c>
    </row>
    <row r="3" spans="1:9">
      <c r="A3" s="11" t="s">
        <v>1116</v>
      </c>
      <c r="B3" s="11" t="s">
        <v>1053</v>
      </c>
      <c r="C3" s="11" t="s">
        <v>1114</v>
      </c>
      <c r="D3" s="11" t="s">
        <v>1115</v>
      </c>
      <c r="E3" s="11">
        <v>1</v>
      </c>
      <c r="F3" s="11" t="s">
        <v>343</v>
      </c>
      <c r="G3" s="11" t="s">
        <v>344</v>
      </c>
      <c r="H3" s="11" t="s">
        <v>344</v>
      </c>
      <c r="I3" s="15">
        <v>46029</v>
      </c>
    </row>
    <row r="4" spans="1:9">
      <c r="A4" s="11" t="s">
        <v>1117</v>
      </c>
      <c r="B4" s="11" t="s">
        <v>1053</v>
      </c>
      <c r="C4" s="11" t="s">
        <v>1114</v>
      </c>
      <c r="D4" s="11" t="s">
        <v>1118</v>
      </c>
      <c r="E4" s="11">
        <v>2</v>
      </c>
      <c r="F4" s="11" t="s">
        <v>343</v>
      </c>
      <c r="G4" s="11" t="s">
        <v>344</v>
      </c>
      <c r="H4" s="11" t="s">
        <v>344</v>
      </c>
      <c r="I4" s="15">
        <v>46029</v>
      </c>
    </row>
    <row r="5" spans="1:9">
      <c r="A5" s="11" t="s">
        <v>1119</v>
      </c>
      <c r="B5" s="11" t="s">
        <v>1053</v>
      </c>
      <c r="C5" s="11" t="s">
        <v>1114</v>
      </c>
      <c r="D5" s="11" t="s">
        <v>1118</v>
      </c>
      <c r="E5" s="11">
        <v>2</v>
      </c>
      <c r="F5" s="11" t="s">
        <v>343</v>
      </c>
      <c r="G5" s="11" t="s">
        <v>344</v>
      </c>
      <c r="H5" s="11" t="s">
        <v>344</v>
      </c>
      <c r="I5" s="15">
        <v>46029</v>
      </c>
    </row>
    <row r="6" spans="1:9">
      <c r="A6" s="11" t="s">
        <v>1120</v>
      </c>
      <c r="B6" s="11" t="s">
        <v>1053</v>
      </c>
      <c r="C6" s="11" t="s">
        <v>1114</v>
      </c>
      <c r="D6" s="11" t="s">
        <v>1121</v>
      </c>
      <c r="E6" s="11">
        <v>3</v>
      </c>
      <c r="F6" s="11" t="s">
        <v>343</v>
      </c>
      <c r="G6" s="11" t="s">
        <v>344</v>
      </c>
      <c r="H6" s="11" t="s">
        <v>344</v>
      </c>
      <c r="I6" s="15">
        <v>46029</v>
      </c>
    </row>
    <row r="7" spans="1:9">
      <c r="A7" s="11" t="s">
        <v>1122</v>
      </c>
      <c r="B7" s="11" t="s">
        <v>1058</v>
      </c>
      <c r="C7" s="11" t="s">
        <v>1114</v>
      </c>
      <c r="D7" s="11" t="s">
        <v>1115</v>
      </c>
      <c r="E7" s="11">
        <v>1</v>
      </c>
      <c r="F7" s="11" t="s">
        <v>343</v>
      </c>
      <c r="G7" s="11" t="s">
        <v>344</v>
      </c>
      <c r="H7" s="11" t="s">
        <v>344</v>
      </c>
      <c r="I7" s="15">
        <v>46029</v>
      </c>
    </row>
    <row r="8" spans="1:9">
      <c r="A8" s="11" t="s">
        <v>1123</v>
      </c>
      <c r="B8" s="11" t="s">
        <v>1058</v>
      </c>
      <c r="C8" s="11" t="s">
        <v>1114</v>
      </c>
      <c r="D8" s="11" t="s">
        <v>1115</v>
      </c>
      <c r="E8" s="11">
        <v>1</v>
      </c>
      <c r="F8" s="11" t="s">
        <v>343</v>
      </c>
      <c r="G8" s="11" t="s">
        <v>344</v>
      </c>
      <c r="H8" s="11" t="s">
        <v>344</v>
      </c>
      <c r="I8" s="15">
        <v>46029</v>
      </c>
    </row>
    <row r="9" spans="1:9">
      <c r="A9" s="11" t="s">
        <v>1124</v>
      </c>
      <c r="B9" s="11" t="s">
        <v>1058</v>
      </c>
      <c r="C9" s="11" t="s">
        <v>1114</v>
      </c>
      <c r="D9" s="11" t="s">
        <v>1118</v>
      </c>
      <c r="E9" s="11">
        <v>2</v>
      </c>
      <c r="F9" s="11" t="s">
        <v>343</v>
      </c>
      <c r="G9" s="11" t="s">
        <v>344</v>
      </c>
      <c r="H9" s="11" t="s">
        <v>344</v>
      </c>
      <c r="I9" s="15">
        <v>46029</v>
      </c>
    </row>
    <row r="10" spans="1:9">
      <c r="A10" s="11" t="s">
        <v>1125</v>
      </c>
      <c r="B10" s="11" t="s">
        <v>1058</v>
      </c>
      <c r="C10" s="11" t="s">
        <v>1114</v>
      </c>
      <c r="D10" s="11" t="s">
        <v>1121</v>
      </c>
      <c r="E10" s="11">
        <v>3</v>
      </c>
      <c r="F10" s="11" t="s">
        <v>343</v>
      </c>
      <c r="G10" s="11" t="s">
        <v>344</v>
      </c>
      <c r="H10" s="11" t="s">
        <v>344</v>
      </c>
      <c r="I10" s="15">
        <v>46029</v>
      </c>
    </row>
    <row r="11" spans="1:9">
      <c r="A11" s="11" t="s">
        <v>1126</v>
      </c>
      <c r="B11" s="11" t="s">
        <v>1063</v>
      </c>
      <c r="C11" s="11" t="s">
        <v>1127</v>
      </c>
      <c r="D11" s="11" t="s">
        <v>1118</v>
      </c>
      <c r="E11" s="11">
        <v>2</v>
      </c>
      <c r="F11" s="11" t="s">
        <v>343</v>
      </c>
      <c r="G11" s="11" t="s">
        <v>344</v>
      </c>
      <c r="H11" s="11" t="s">
        <v>344</v>
      </c>
      <c r="I11" s="15">
        <v>46029</v>
      </c>
    </row>
    <row r="12" spans="1:9">
      <c r="A12" s="11" t="s">
        <v>1128</v>
      </c>
      <c r="B12" s="11" t="s">
        <v>1063</v>
      </c>
      <c r="C12" s="11" t="s">
        <v>1127</v>
      </c>
      <c r="D12" s="11" t="s">
        <v>1121</v>
      </c>
      <c r="E12" s="11">
        <v>3</v>
      </c>
      <c r="F12" s="11" t="s">
        <v>343</v>
      </c>
      <c r="G12" s="11" t="s">
        <v>344</v>
      </c>
      <c r="H12" s="11" t="s">
        <v>344</v>
      </c>
      <c r="I12" s="15">
        <v>46029</v>
      </c>
    </row>
    <row r="13" spans="1:9">
      <c r="A13" s="11" t="s">
        <v>1129</v>
      </c>
      <c r="B13" s="11" t="s">
        <v>1063</v>
      </c>
      <c r="C13" s="11" t="s">
        <v>1130</v>
      </c>
      <c r="D13" s="11" t="s">
        <v>1118</v>
      </c>
      <c r="E13" s="11">
        <v>2</v>
      </c>
      <c r="F13" s="11" t="s">
        <v>343</v>
      </c>
      <c r="G13" s="11" t="s">
        <v>344</v>
      </c>
      <c r="H13" s="11" t="s">
        <v>344</v>
      </c>
      <c r="I13" s="15">
        <v>46029</v>
      </c>
    </row>
    <row r="14" spans="1:9">
      <c r="A14" s="11" t="s">
        <v>1131</v>
      </c>
      <c r="B14" s="11" t="s">
        <v>1063</v>
      </c>
      <c r="C14" s="11" t="s">
        <v>1130</v>
      </c>
      <c r="D14" s="11" t="s">
        <v>1121</v>
      </c>
      <c r="E14" s="11">
        <v>3</v>
      </c>
      <c r="F14" s="11" t="s">
        <v>343</v>
      </c>
      <c r="G14" s="11" t="s">
        <v>344</v>
      </c>
      <c r="H14" s="11" t="s">
        <v>344</v>
      </c>
      <c r="I14" s="15">
        <v>46029</v>
      </c>
    </row>
    <row r="15" spans="1:9">
      <c r="A15" s="11" t="s">
        <v>1132</v>
      </c>
      <c r="B15" s="11" t="s">
        <v>1067</v>
      </c>
      <c r="C15" s="11" t="s">
        <v>1114</v>
      </c>
      <c r="D15" s="11" t="s">
        <v>1115</v>
      </c>
      <c r="E15" s="11">
        <v>1</v>
      </c>
      <c r="F15" s="11" t="s">
        <v>343</v>
      </c>
      <c r="G15" s="11" t="s">
        <v>344</v>
      </c>
      <c r="H15" s="11" t="s">
        <v>344</v>
      </c>
      <c r="I15" s="15">
        <v>46029</v>
      </c>
    </row>
    <row r="16" spans="1:9">
      <c r="A16" s="11" t="s">
        <v>1133</v>
      </c>
      <c r="B16" s="11" t="s">
        <v>1067</v>
      </c>
      <c r="C16" s="11" t="s">
        <v>1114</v>
      </c>
      <c r="D16" s="11" t="s">
        <v>1118</v>
      </c>
      <c r="E16" s="11">
        <v>2</v>
      </c>
      <c r="F16" s="11" t="s">
        <v>343</v>
      </c>
      <c r="G16" s="11" t="s">
        <v>344</v>
      </c>
      <c r="H16" s="11" t="s">
        <v>344</v>
      </c>
      <c r="I16" s="15">
        <v>46029</v>
      </c>
    </row>
    <row r="17" spans="1:9">
      <c r="A17" s="11" t="s">
        <v>1134</v>
      </c>
      <c r="B17" s="11" t="s">
        <v>1067</v>
      </c>
      <c r="C17" s="11" t="s">
        <v>1114</v>
      </c>
      <c r="D17" s="11" t="s">
        <v>1121</v>
      </c>
      <c r="E17" s="11">
        <v>3</v>
      </c>
      <c r="F17" s="11" t="s">
        <v>343</v>
      </c>
      <c r="G17" s="11" t="s">
        <v>344</v>
      </c>
      <c r="H17" s="11" t="s">
        <v>344</v>
      </c>
      <c r="I17" s="15">
        <v>46029</v>
      </c>
    </row>
    <row r="18" spans="1:9">
      <c r="A18" s="11" t="s">
        <v>1135</v>
      </c>
      <c r="B18" s="11" t="s">
        <v>1071</v>
      </c>
      <c r="C18" s="11" t="s">
        <v>1114</v>
      </c>
      <c r="D18" s="11" t="s">
        <v>1115</v>
      </c>
      <c r="E18" s="11">
        <v>1</v>
      </c>
      <c r="F18" s="11" t="s">
        <v>343</v>
      </c>
      <c r="G18" s="11" t="s">
        <v>344</v>
      </c>
      <c r="H18" s="11" t="s">
        <v>344</v>
      </c>
      <c r="I18" s="15">
        <v>46029</v>
      </c>
    </row>
    <row r="19" spans="1:9">
      <c r="A19" s="11" t="s">
        <v>1136</v>
      </c>
      <c r="B19" s="11" t="s">
        <v>1071</v>
      </c>
      <c r="C19" s="11" t="s">
        <v>1114</v>
      </c>
      <c r="D19" s="11" t="s">
        <v>1118</v>
      </c>
      <c r="E19" s="11">
        <v>2</v>
      </c>
      <c r="F19" s="11" t="s">
        <v>343</v>
      </c>
      <c r="G19" s="11" t="s">
        <v>344</v>
      </c>
      <c r="H19" s="11" t="s">
        <v>344</v>
      </c>
      <c r="I19" s="15">
        <v>46029</v>
      </c>
    </row>
    <row r="20" spans="1:9">
      <c r="A20" s="11" t="s">
        <v>1137</v>
      </c>
      <c r="B20" s="11" t="s">
        <v>1071</v>
      </c>
      <c r="C20" s="11" t="s">
        <v>1114</v>
      </c>
      <c r="D20" s="11" t="s">
        <v>1121</v>
      </c>
      <c r="E20" s="11">
        <v>3</v>
      </c>
      <c r="F20" s="11" t="s">
        <v>343</v>
      </c>
      <c r="G20" s="11" t="s">
        <v>344</v>
      </c>
      <c r="H20" s="11" t="s">
        <v>344</v>
      </c>
      <c r="I20" s="15">
        <v>46029</v>
      </c>
    </row>
    <row r="21" spans="1:9">
      <c r="A21" s="11" t="s">
        <v>1138</v>
      </c>
      <c r="B21" s="11" t="s">
        <v>1077</v>
      </c>
      <c r="C21" s="11" t="s">
        <v>1114</v>
      </c>
      <c r="D21" s="11" t="s">
        <v>1115</v>
      </c>
      <c r="E21" s="11">
        <v>1</v>
      </c>
      <c r="F21" s="11" t="s">
        <v>343</v>
      </c>
      <c r="G21" s="11" t="s">
        <v>344</v>
      </c>
      <c r="H21" s="11" t="s">
        <v>344</v>
      </c>
      <c r="I21" s="15">
        <v>46029</v>
      </c>
    </row>
    <row r="22" spans="1:9">
      <c r="A22" s="11" t="s">
        <v>1139</v>
      </c>
      <c r="B22" s="11" t="s">
        <v>1077</v>
      </c>
      <c r="C22" s="11" t="s">
        <v>1114</v>
      </c>
      <c r="D22" s="11" t="s">
        <v>1118</v>
      </c>
      <c r="E22" s="11">
        <v>2</v>
      </c>
      <c r="F22" s="11" t="s">
        <v>343</v>
      </c>
      <c r="G22" s="11" t="s">
        <v>344</v>
      </c>
      <c r="H22" s="11" t="s">
        <v>344</v>
      </c>
      <c r="I22" s="15">
        <v>46029</v>
      </c>
    </row>
    <row r="23" spans="1:9">
      <c r="A23" s="11" t="s">
        <v>1140</v>
      </c>
      <c r="B23" s="11" t="s">
        <v>1077</v>
      </c>
      <c r="C23" s="11" t="s">
        <v>1114</v>
      </c>
      <c r="D23" s="11" t="s">
        <v>1121</v>
      </c>
      <c r="E23" s="11">
        <v>3</v>
      </c>
      <c r="F23" s="11" t="s">
        <v>343</v>
      </c>
      <c r="G23" s="11" t="s">
        <v>344</v>
      </c>
      <c r="H23" s="11" t="s">
        <v>344</v>
      </c>
      <c r="I23" s="15">
        <v>46029</v>
      </c>
    </row>
    <row r="24" spans="1:9">
      <c r="A24" s="11" t="s">
        <v>1141</v>
      </c>
      <c r="B24" s="11" t="s">
        <v>1079</v>
      </c>
      <c r="C24" s="11" t="s">
        <v>1114</v>
      </c>
      <c r="D24" s="11" t="s">
        <v>1115</v>
      </c>
      <c r="E24" s="11">
        <v>1</v>
      </c>
      <c r="F24" s="11" t="s">
        <v>343</v>
      </c>
      <c r="G24" s="11" t="s">
        <v>344</v>
      </c>
      <c r="H24" s="11" t="s">
        <v>344</v>
      </c>
      <c r="I24" s="15">
        <v>46029</v>
      </c>
    </row>
    <row r="25" spans="1:9">
      <c r="A25" s="11" t="s">
        <v>1142</v>
      </c>
      <c r="B25" s="11" t="s">
        <v>1079</v>
      </c>
      <c r="C25" s="11" t="s">
        <v>1114</v>
      </c>
      <c r="D25" s="11" t="s">
        <v>1118</v>
      </c>
      <c r="E25" s="11">
        <v>2</v>
      </c>
      <c r="F25" s="11" t="s">
        <v>343</v>
      </c>
      <c r="G25" s="11" t="s">
        <v>344</v>
      </c>
      <c r="H25" s="11" t="s">
        <v>344</v>
      </c>
      <c r="I25" s="15">
        <v>46029</v>
      </c>
    </row>
    <row r="26" spans="1:9">
      <c r="A26" s="11" t="s">
        <v>1143</v>
      </c>
      <c r="B26" s="11" t="s">
        <v>1079</v>
      </c>
      <c r="C26" s="11" t="s">
        <v>1114</v>
      </c>
      <c r="D26" s="11" t="s">
        <v>1121</v>
      </c>
      <c r="E26" s="11">
        <v>3</v>
      </c>
      <c r="F26" s="11" t="s">
        <v>343</v>
      </c>
      <c r="G26" s="11" t="s">
        <v>344</v>
      </c>
      <c r="H26" s="11" t="s">
        <v>344</v>
      </c>
      <c r="I26" s="15">
        <v>46029</v>
      </c>
    </row>
    <row r="27" spans="1:9">
      <c r="A27" s="11" t="s">
        <v>1144</v>
      </c>
      <c r="B27" s="11" t="s">
        <v>1074</v>
      </c>
      <c r="C27" s="11" t="s">
        <v>1114</v>
      </c>
      <c r="D27" s="11" t="s">
        <v>1115</v>
      </c>
      <c r="E27" s="11">
        <v>1</v>
      </c>
      <c r="F27" s="11" t="s">
        <v>343</v>
      </c>
      <c r="G27" s="11" t="s">
        <v>344</v>
      </c>
      <c r="H27" s="11" t="s">
        <v>344</v>
      </c>
      <c r="I27" s="15">
        <v>46029</v>
      </c>
    </row>
    <row r="28" spans="1:9">
      <c r="A28" s="11" t="s">
        <v>1145</v>
      </c>
      <c r="B28" s="11" t="s">
        <v>1074</v>
      </c>
      <c r="C28" s="11" t="s">
        <v>1114</v>
      </c>
      <c r="D28" s="11" t="s">
        <v>1118</v>
      </c>
      <c r="E28" s="11">
        <v>2</v>
      </c>
      <c r="F28" s="11" t="s">
        <v>343</v>
      </c>
      <c r="G28" s="11" t="s">
        <v>344</v>
      </c>
      <c r="H28" s="11" t="s">
        <v>344</v>
      </c>
      <c r="I28" s="15">
        <v>46029</v>
      </c>
    </row>
    <row r="29" spans="1:9">
      <c r="A29" s="11" t="s">
        <v>1146</v>
      </c>
      <c r="B29" s="11" t="s">
        <v>1074</v>
      </c>
      <c r="C29" s="11" t="s">
        <v>1114</v>
      </c>
      <c r="D29" s="11" t="s">
        <v>1121</v>
      </c>
      <c r="E29" s="11">
        <v>3</v>
      </c>
      <c r="F29" s="11" t="s">
        <v>343</v>
      </c>
      <c r="G29" s="11" t="s">
        <v>344</v>
      </c>
      <c r="H29" s="11" t="s">
        <v>344</v>
      </c>
      <c r="I29" s="15">
        <v>46029</v>
      </c>
    </row>
    <row r="30" spans="1:9">
      <c r="A30" s="11" t="s">
        <v>1147</v>
      </c>
      <c r="B30" s="11" t="s">
        <v>1082</v>
      </c>
      <c r="C30" s="11" t="s">
        <v>1114</v>
      </c>
      <c r="D30" s="11" t="s">
        <v>1115</v>
      </c>
      <c r="E30" s="11">
        <v>1</v>
      </c>
      <c r="F30" s="11" t="s">
        <v>343</v>
      </c>
      <c r="G30" s="11" t="s">
        <v>344</v>
      </c>
      <c r="H30" s="11" t="s">
        <v>344</v>
      </c>
      <c r="I30" s="15">
        <v>46029</v>
      </c>
    </row>
    <row r="31" spans="1:9">
      <c r="A31" s="11" t="s">
        <v>1148</v>
      </c>
      <c r="B31" s="11" t="s">
        <v>1082</v>
      </c>
      <c r="C31" s="11" t="s">
        <v>1114</v>
      </c>
      <c r="D31" s="11" t="s">
        <v>1118</v>
      </c>
      <c r="E31" s="11">
        <v>2</v>
      </c>
      <c r="F31" s="11" t="s">
        <v>343</v>
      </c>
      <c r="G31" s="11" t="s">
        <v>344</v>
      </c>
      <c r="H31" s="11" t="s">
        <v>344</v>
      </c>
      <c r="I31" s="15">
        <v>46029</v>
      </c>
    </row>
    <row r="32" spans="1:9">
      <c r="A32" s="11" t="s">
        <v>1149</v>
      </c>
      <c r="B32" s="11" t="s">
        <v>1082</v>
      </c>
      <c r="C32" s="11" t="s">
        <v>1114</v>
      </c>
      <c r="D32" s="11" t="s">
        <v>1121</v>
      </c>
      <c r="E32" s="11">
        <v>3</v>
      </c>
      <c r="F32" s="11" t="s">
        <v>343</v>
      </c>
      <c r="G32" s="11" t="s">
        <v>344</v>
      </c>
      <c r="H32" s="11" t="s">
        <v>344</v>
      </c>
      <c r="I32" s="15">
        <v>46029</v>
      </c>
    </row>
    <row r="33" spans="1:9">
      <c r="A33" s="11" t="s">
        <v>1150</v>
      </c>
      <c r="B33" s="11" t="s">
        <v>1086</v>
      </c>
      <c r="C33" s="11" t="s">
        <v>1114</v>
      </c>
      <c r="D33" s="11" t="s">
        <v>1115</v>
      </c>
      <c r="E33" s="11">
        <v>1</v>
      </c>
      <c r="F33" s="11" t="s">
        <v>343</v>
      </c>
      <c r="G33" s="11" t="s">
        <v>344</v>
      </c>
      <c r="H33" s="11" t="s">
        <v>344</v>
      </c>
      <c r="I33" s="15">
        <v>46029</v>
      </c>
    </row>
    <row r="34" spans="1:9">
      <c r="A34" s="11" t="s">
        <v>1151</v>
      </c>
      <c r="B34" s="11" t="s">
        <v>1086</v>
      </c>
      <c r="C34" s="11" t="s">
        <v>1114</v>
      </c>
      <c r="D34" s="11" t="s">
        <v>1118</v>
      </c>
      <c r="E34" s="11">
        <v>2</v>
      </c>
      <c r="F34" s="11" t="s">
        <v>343</v>
      </c>
      <c r="G34" s="11" t="s">
        <v>344</v>
      </c>
      <c r="H34" s="11" t="s">
        <v>344</v>
      </c>
      <c r="I34" s="15">
        <v>46029</v>
      </c>
    </row>
    <row r="35" spans="1:9">
      <c r="A35" s="11" t="s">
        <v>1152</v>
      </c>
      <c r="B35" s="11" t="s">
        <v>1086</v>
      </c>
      <c r="C35" s="11" t="s">
        <v>1114</v>
      </c>
      <c r="D35" s="11" t="s">
        <v>1121</v>
      </c>
      <c r="E35" s="11">
        <v>3</v>
      </c>
      <c r="F35" s="11" t="s">
        <v>343</v>
      </c>
      <c r="G35" s="11" t="s">
        <v>344</v>
      </c>
      <c r="H35" s="11" t="s">
        <v>344</v>
      </c>
      <c r="I35" s="15">
        <v>46029</v>
      </c>
    </row>
    <row r="36" spans="1:9">
      <c r="A36" s="11" t="s">
        <v>1153</v>
      </c>
      <c r="B36" s="11" t="s">
        <v>1089</v>
      </c>
      <c r="C36" s="11" t="s">
        <v>1127</v>
      </c>
      <c r="D36" s="11" t="s">
        <v>1115</v>
      </c>
      <c r="E36" s="11">
        <v>1</v>
      </c>
      <c r="F36" s="11" t="s">
        <v>343</v>
      </c>
      <c r="G36" s="11" t="s">
        <v>344</v>
      </c>
      <c r="H36" s="11" t="s">
        <v>344</v>
      </c>
      <c r="I36" s="15">
        <v>46029</v>
      </c>
    </row>
    <row r="37" spans="1:9">
      <c r="A37" s="11" t="s">
        <v>1154</v>
      </c>
      <c r="B37" s="11" t="s">
        <v>1089</v>
      </c>
      <c r="C37" s="11" t="s">
        <v>1127</v>
      </c>
      <c r="D37" s="11" t="s">
        <v>1118</v>
      </c>
      <c r="E37" s="11">
        <v>2</v>
      </c>
      <c r="F37" s="11" t="s">
        <v>343</v>
      </c>
      <c r="G37" s="11" t="s">
        <v>344</v>
      </c>
      <c r="H37" s="11" t="s">
        <v>344</v>
      </c>
      <c r="I37" s="15">
        <v>46029</v>
      </c>
    </row>
    <row r="38" spans="1:9">
      <c r="A38" s="11" t="s">
        <v>1155</v>
      </c>
      <c r="B38" s="11" t="s">
        <v>1089</v>
      </c>
      <c r="C38" s="11" t="s">
        <v>1127</v>
      </c>
      <c r="D38" s="11" t="s">
        <v>1121</v>
      </c>
      <c r="E38" s="11">
        <v>3</v>
      </c>
      <c r="F38" s="11" t="s">
        <v>343</v>
      </c>
      <c r="G38" s="11" t="s">
        <v>344</v>
      </c>
      <c r="H38" s="11" t="s">
        <v>344</v>
      </c>
      <c r="I38" s="15">
        <v>46029</v>
      </c>
    </row>
    <row r="39" spans="1:9">
      <c r="A39" s="11" t="s">
        <v>1156</v>
      </c>
      <c r="B39" s="11" t="s">
        <v>1089</v>
      </c>
      <c r="C39" s="11" t="s">
        <v>1130</v>
      </c>
      <c r="D39" s="11" t="s">
        <v>1115</v>
      </c>
      <c r="E39" s="11">
        <v>1</v>
      </c>
      <c r="F39" s="11" t="s">
        <v>343</v>
      </c>
      <c r="G39" s="11" t="s">
        <v>344</v>
      </c>
      <c r="H39" s="11" t="s">
        <v>344</v>
      </c>
      <c r="I39" s="15">
        <v>46029</v>
      </c>
    </row>
    <row r="40" spans="1:9">
      <c r="A40" s="11" t="s">
        <v>1157</v>
      </c>
      <c r="B40" s="11" t="s">
        <v>1089</v>
      </c>
      <c r="C40" s="11" t="s">
        <v>1130</v>
      </c>
      <c r="D40" s="11" t="s">
        <v>1118</v>
      </c>
      <c r="E40" s="11">
        <v>2</v>
      </c>
      <c r="F40" s="11" t="s">
        <v>343</v>
      </c>
      <c r="G40" s="11" t="s">
        <v>344</v>
      </c>
      <c r="H40" s="11" t="s">
        <v>344</v>
      </c>
      <c r="I40" s="15">
        <v>46029</v>
      </c>
    </row>
    <row r="41" spans="1:9">
      <c r="A41" s="11" t="s">
        <v>1158</v>
      </c>
      <c r="B41" s="11" t="s">
        <v>1089</v>
      </c>
      <c r="C41" s="11" t="s">
        <v>1130</v>
      </c>
      <c r="D41" s="11" t="s">
        <v>1121</v>
      </c>
      <c r="E41" s="11">
        <v>3</v>
      </c>
      <c r="F41" s="11" t="s">
        <v>343</v>
      </c>
      <c r="G41" s="11" t="s">
        <v>344</v>
      </c>
      <c r="H41" s="11" t="s">
        <v>344</v>
      </c>
      <c r="I41" s="15">
        <v>46029</v>
      </c>
    </row>
    <row r="42" spans="1:9">
      <c r="A42" s="11" t="s">
        <v>1159</v>
      </c>
      <c r="B42" s="11" t="s">
        <v>1092</v>
      </c>
      <c r="C42" s="11" t="s">
        <v>1114</v>
      </c>
      <c r="D42" s="11" t="s">
        <v>1115</v>
      </c>
      <c r="E42" s="11">
        <v>1</v>
      </c>
      <c r="F42" s="11" t="s">
        <v>343</v>
      </c>
      <c r="G42" s="11" t="s">
        <v>344</v>
      </c>
      <c r="H42" s="11" t="s">
        <v>344</v>
      </c>
      <c r="I42" s="15">
        <v>46029</v>
      </c>
    </row>
    <row r="43" spans="1:9">
      <c r="A43" s="11" t="s">
        <v>1160</v>
      </c>
      <c r="B43" s="11" t="s">
        <v>1092</v>
      </c>
      <c r="C43" s="11" t="s">
        <v>1114</v>
      </c>
      <c r="D43" s="11" t="s">
        <v>1118</v>
      </c>
      <c r="E43" s="11">
        <v>2</v>
      </c>
      <c r="F43" s="11" t="s">
        <v>343</v>
      </c>
      <c r="G43" s="11" t="s">
        <v>344</v>
      </c>
      <c r="H43" s="11" t="s">
        <v>344</v>
      </c>
      <c r="I43" s="15">
        <v>46029</v>
      </c>
    </row>
    <row r="44" spans="1:9">
      <c r="A44" s="11" t="s">
        <v>1161</v>
      </c>
      <c r="B44" s="11" t="s">
        <v>1092</v>
      </c>
      <c r="C44" s="11" t="s">
        <v>1114</v>
      </c>
      <c r="D44" s="11" t="s">
        <v>1121</v>
      </c>
      <c r="E44" s="11">
        <v>3</v>
      </c>
      <c r="F44" s="11" t="s">
        <v>343</v>
      </c>
      <c r="G44" s="11" t="s">
        <v>344</v>
      </c>
      <c r="H44" s="11" t="s">
        <v>344</v>
      </c>
      <c r="I44" s="15">
        <v>46029</v>
      </c>
    </row>
    <row r="45" spans="1:9">
      <c r="A45" s="11" t="s">
        <v>1162</v>
      </c>
      <c r="B45" s="11" t="s">
        <v>1096</v>
      </c>
      <c r="C45" s="11" t="s">
        <v>1114</v>
      </c>
      <c r="D45" s="11" t="s">
        <v>1115</v>
      </c>
      <c r="E45" s="11">
        <v>1</v>
      </c>
      <c r="F45" s="11" t="s">
        <v>343</v>
      </c>
      <c r="G45" s="11" t="s">
        <v>344</v>
      </c>
      <c r="H45" s="11" t="s">
        <v>344</v>
      </c>
      <c r="I45" s="15">
        <v>46029</v>
      </c>
    </row>
    <row r="46" spans="1:9">
      <c r="A46" s="11" t="s">
        <v>1163</v>
      </c>
      <c r="B46" s="11" t="s">
        <v>1096</v>
      </c>
      <c r="C46" s="11" t="s">
        <v>1114</v>
      </c>
      <c r="D46" s="11" t="s">
        <v>1121</v>
      </c>
      <c r="E46" s="11">
        <v>3</v>
      </c>
      <c r="F46" s="11" t="s">
        <v>343</v>
      </c>
      <c r="G46" s="11" t="s">
        <v>344</v>
      </c>
      <c r="H46" s="11" t="s">
        <v>344</v>
      </c>
      <c r="I46" s="15">
        <v>46029</v>
      </c>
    </row>
    <row r="47" spans="1:9">
      <c r="A47" s="11" t="s">
        <v>1164</v>
      </c>
      <c r="B47" s="11" t="s">
        <v>1099</v>
      </c>
      <c r="C47" s="11" t="s">
        <v>1114</v>
      </c>
      <c r="D47" s="11" t="s">
        <v>1115</v>
      </c>
      <c r="E47" s="11">
        <v>1</v>
      </c>
      <c r="F47" s="11" t="s">
        <v>343</v>
      </c>
      <c r="G47" s="11" t="s">
        <v>344</v>
      </c>
      <c r="H47" s="11" t="s">
        <v>344</v>
      </c>
      <c r="I47" s="15">
        <v>46029</v>
      </c>
    </row>
    <row r="48" spans="1:9">
      <c r="A48" s="11" t="s">
        <v>1165</v>
      </c>
      <c r="B48" s="11" t="s">
        <v>1099</v>
      </c>
      <c r="C48" s="11" t="s">
        <v>1114</v>
      </c>
      <c r="D48" s="11" t="s">
        <v>1121</v>
      </c>
      <c r="E48" s="11">
        <v>3</v>
      </c>
      <c r="F48" s="11" t="s">
        <v>343</v>
      </c>
      <c r="G48" s="11" t="s">
        <v>344</v>
      </c>
      <c r="H48" s="11" t="s">
        <v>344</v>
      </c>
      <c r="I48" s="15">
        <v>46029</v>
      </c>
    </row>
    <row r="49" spans="1:9">
      <c r="A49" s="11" t="s">
        <v>1166</v>
      </c>
      <c r="B49" s="11" t="s">
        <v>1103</v>
      </c>
      <c r="C49" s="11" t="s">
        <v>1127</v>
      </c>
      <c r="D49" s="11" t="s">
        <v>1115</v>
      </c>
      <c r="E49" s="11">
        <v>1</v>
      </c>
      <c r="F49" s="11" t="s">
        <v>343</v>
      </c>
      <c r="G49" s="11" t="s">
        <v>344</v>
      </c>
      <c r="H49" s="11" t="s">
        <v>344</v>
      </c>
      <c r="I49" s="15">
        <v>46029</v>
      </c>
    </row>
    <row r="50" spans="1:9">
      <c r="A50" s="11" t="s">
        <v>1167</v>
      </c>
      <c r="B50" s="11" t="s">
        <v>1103</v>
      </c>
      <c r="C50" s="11" t="s">
        <v>1127</v>
      </c>
      <c r="D50" s="11" t="s">
        <v>1118</v>
      </c>
      <c r="E50" s="11">
        <v>2</v>
      </c>
      <c r="F50" s="11" t="s">
        <v>343</v>
      </c>
      <c r="G50" s="11" t="s">
        <v>344</v>
      </c>
      <c r="H50" s="11" t="s">
        <v>344</v>
      </c>
      <c r="I50" s="15">
        <v>46029</v>
      </c>
    </row>
    <row r="51" spans="1:9">
      <c r="A51" s="11" t="s">
        <v>1168</v>
      </c>
      <c r="B51" s="11" t="s">
        <v>1103</v>
      </c>
      <c r="C51" s="11" t="s">
        <v>1127</v>
      </c>
      <c r="D51" s="11" t="s">
        <v>1121</v>
      </c>
      <c r="E51" s="11">
        <v>3</v>
      </c>
      <c r="F51" s="11" t="s">
        <v>343</v>
      </c>
      <c r="G51" s="11" t="s">
        <v>344</v>
      </c>
      <c r="H51" s="11" t="s">
        <v>344</v>
      </c>
      <c r="I51" s="15">
        <v>46029</v>
      </c>
    </row>
    <row r="52" spans="1:9">
      <c r="A52" s="11" t="s">
        <v>1169</v>
      </c>
      <c r="B52" s="11" t="s">
        <v>1103</v>
      </c>
      <c r="C52" s="11" t="s">
        <v>1130</v>
      </c>
      <c r="D52" s="11" t="s">
        <v>1115</v>
      </c>
      <c r="E52" s="11">
        <v>1</v>
      </c>
      <c r="F52" s="11" t="s">
        <v>343</v>
      </c>
      <c r="G52" s="11" t="s">
        <v>344</v>
      </c>
      <c r="H52" s="11" t="s">
        <v>344</v>
      </c>
      <c r="I52" s="15">
        <v>46029</v>
      </c>
    </row>
    <row r="53" spans="1:9">
      <c r="A53" s="11" t="s">
        <v>1170</v>
      </c>
      <c r="B53" s="11" t="s">
        <v>1103</v>
      </c>
      <c r="C53" s="11" t="s">
        <v>1130</v>
      </c>
      <c r="D53" s="11" t="s">
        <v>1118</v>
      </c>
      <c r="E53" s="11">
        <v>2</v>
      </c>
      <c r="F53" s="11" t="s">
        <v>343</v>
      </c>
      <c r="G53" s="11" t="s">
        <v>344</v>
      </c>
      <c r="H53" s="11" t="s">
        <v>344</v>
      </c>
      <c r="I53" s="15">
        <v>46029</v>
      </c>
    </row>
    <row r="54" spans="1:9">
      <c r="A54" s="11" t="s">
        <v>1171</v>
      </c>
      <c r="B54" s="11" t="s">
        <v>1103</v>
      </c>
      <c r="C54" s="11" t="s">
        <v>1130</v>
      </c>
      <c r="D54" s="11" t="s">
        <v>1121</v>
      </c>
      <c r="E54" s="11">
        <v>3</v>
      </c>
      <c r="F54" s="11" t="s">
        <v>343</v>
      </c>
      <c r="G54" s="11" t="s">
        <v>344</v>
      </c>
      <c r="H54" s="11" t="s">
        <v>344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89</v>
      </c>
      <c r="B1" s="10" t="s">
        <v>281</v>
      </c>
      <c r="C1" s="10" t="s">
        <v>69</v>
      </c>
      <c r="D1" s="10" t="s">
        <v>282</v>
      </c>
      <c r="E1" s="10" t="s">
        <v>283</v>
      </c>
      <c r="F1" s="10" t="s">
        <v>285</v>
      </c>
      <c r="G1" s="10" t="s">
        <v>280</v>
      </c>
    </row>
    <row r="2" spans="1:7">
      <c r="A2" s="11" t="s">
        <v>1113</v>
      </c>
      <c r="B2" s="11">
        <v>1</v>
      </c>
      <c r="C2" s="11" t="s">
        <v>1053</v>
      </c>
      <c r="D2" s="11" t="s">
        <v>1107</v>
      </c>
      <c r="E2" s="11" t="s">
        <v>952</v>
      </c>
      <c r="F2" s="11">
        <v>140</v>
      </c>
      <c r="G2" s="11"/>
    </row>
    <row r="3" spans="1:7">
      <c r="A3" s="11" t="s">
        <v>1116</v>
      </c>
      <c r="B3" s="11">
        <v>1</v>
      </c>
      <c r="C3" s="11" t="s">
        <v>1053</v>
      </c>
      <c r="D3" s="11" t="s">
        <v>1109</v>
      </c>
      <c r="E3" s="11" t="s">
        <v>952</v>
      </c>
      <c r="F3" s="11">
        <v>90</v>
      </c>
      <c r="G3" s="11"/>
    </row>
    <row r="4" spans="1:7">
      <c r="A4" s="11" t="s">
        <v>1117</v>
      </c>
      <c r="B4" s="11">
        <v>1</v>
      </c>
      <c r="C4" s="11" t="s">
        <v>1053</v>
      </c>
      <c r="D4" s="11" t="s">
        <v>1107</v>
      </c>
      <c r="E4" s="11" t="s">
        <v>952</v>
      </c>
      <c r="F4" s="11">
        <v>120</v>
      </c>
      <c r="G4" s="11"/>
    </row>
    <row r="5" spans="1:7">
      <c r="A5" s="11" t="s">
        <v>1117</v>
      </c>
      <c r="B5" s="11">
        <v>2</v>
      </c>
      <c r="C5" s="11" t="s">
        <v>1053</v>
      </c>
      <c r="D5" s="11" t="s">
        <v>1107</v>
      </c>
      <c r="E5" s="11" t="s">
        <v>957</v>
      </c>
      <c r="F5" s="11">
        <v>140</v>
      </c>
      <c r="G5" s="11"/>
    </row>
    <row r="6" spans="1:7">
      <c r="A6" s="11" t="s">
        <v>1119</v>
      </c>
      <c r="B6" s="11">
        <v>1</v>
      </c>
      <c r="C6" s="11" t="s">
        <v>1053</v>
      </c>
      <c r="D6" s="11" t="s">
        <v>1109</v>
      </c>
      <c r="E6" s="11" t="s">
        <v>952</v>
      </c>
      <c r="F6" s="11">
        <v>80</v>
      </c>
      <c r="G6" s="11"/>
    </row>
    <row r="7" spans="1:7">
      <c r="A7" s="11" t="s">
        <v>1119</v>
      </c>
      <c r="B7" s="11">
        <v>2</v>
      </c>
      <c r="C7" s="11" t="s">
        <v>1053</v>
      </c>
      <c r="D7" s="11" t="s">
        <v>1109</v>
      </c>
      <c r="E7" s="11" t="s">
        <v>957</v>
      </c>
      <c r="F7" s="11">
        <v>90</v>
      </c>
      <c r="G7" s="11"/>
    </row>
    <row r="8" spans="1:7">
      <c r="A8" s="11" t="s">
        <v>1120</v>
      </c>
      <c r="B8" s="11">
        <v>1</v>
      </c>
      <c r="C8" s="11" t="s">
        <v>1053</v>
      </c>
      <c r="D8" s="11" t="s">
        <v>1107</v>
      </c>
      <c r="E8" s="11" t="s">
        <v>957</v>
      </c>
      <c r="F8" s="11">
        <v>120</v>
      </c>
      <c r="G8" s="11"/>
    </row>
    <row r="9" spans="1:7">
      <c r="A9" s="11" t="s">
        <v>1120</v>
      </c>
      <c r="B9" s="11">
        <v>2</v>
      </c>
      <c r="C9" s="11" t="s">
        <v>1053</v>
      </c>
      <c r="D9" s="11" t="s">
        <v>1109</v>
      </c>
      <c r="E9" s="11" t="s">
        <v>957</v>
      </c>
      <c r="F9" s="11">
        <v>80</v>
      </c>
      <c r="G9" s="11"/>
    </row>
    <row r="10" spans="1:7">
      <c r="A10" s="11" t="s">
        <v>1122</v>
      </c>
      <c r="B10" s="11">
        <v>1</v>
      </c>
      <c r="C10" s="11" t="s">
        <v>1058</v>
      </c>
      <c r="D10" s="11" t="s">
        <v>1110</v>
      </c>
      <c r="E10" s="11" t="s">
        <v>957</v>
      </c>
      <c r="F10" s="11">
        <v>18.5</v>
      </c>
      <c r="G10" s="11"/>
    </row>
    <row r="11" spans="1:7">
      <c r="A11" s="11" t="s">
        <v>1123</v>
      </c>
      <c r="B11" s="11">
        <v>1</v>
      </c>
      <c r="C11" s="11" t="s">
        <v>1058</v>
      </c>
      <c r="D11" s="11" t="s">
        <v>1110</v>
      </c>
      <c r="E11" s="11" t="s">
        <v>952</v>
      </c>
      <c r="F11" s="11">
        <v>30</v>
      </c>
      <c r="G11" s="11"/>
    </row>
    <row r="12" spans="1:7">
      <c r="A12" s="11" t="s">
        <v>1124</v>
      </c>
      <c r="B12" s="11">
        <v>1</v>
      </c>
      <c r="C12" s="11" t="s">
        <v>1058</v>
      </c>
      <c r="D12" s="11" t="s">
        <v>1110</v>
      </c>
      <c r="E12" s="11" t="s">
        <v>952</v>
      </c>
      <c r="F12" s="11">
        <v>25</v>
      </c>
      <c r="G12" s="11"/>
    </row>
    <row r="13" spans="1:7">
      <c r="A13" s="11" t="s">
        <v>1124</v>
      </c>
      <c r="B13" s="11">
        <v>2</v>
      </c>
      <c r="C13" s="11" t="s">
        <v>1058</v>
      </c>
      <c r="D13" s="11" t="s">
        <v>1110</v>
      </c>
      <c r="E13" s="11" t="s">
        <v>957</v>
      </c>
      <c r="F13" s="11">
        <v>30</v>
      </c>
      <c r="G13" s="11"/>
    </row>
    <row r="14" spans="1:7">
      <c r="A14" s="11" t="s">
        <v>1125</v>
      </c>
      <c r="B14" s="11">
        <v>1</v>
      </c>
      <c r="C14" s="11" t="s">
        <v>1058</v>
      </c>
      <c r="D14" s="11" t="s">
        <v>1110</v>
      </c>
      <c r="E14" s="11" t="s">
        <v>952</v>
      </c>
      <c r="F14" s="11">
        <v>18.5</v>
      </c>
      <c r="G14" s="11"/>
    </row>
    <row r="15" spans="1:7">
      <c r="A15" s="11" t="s">
        <v>1125</v>
      </c>
      <c r="B15" s="11">
        <v>2</v>
      </c>
      <c r="C15" s="11" t="s">
        <v>1058</v>
      </c>
      <c r="D15" s="11" t="s">
        <v>1110</v>
      </c>
      <c r="E15" s="11" t="s">
        <v>957</v>
      </c>
      <c r="F15" s="11">
        <v>25</v>
      </c>
      <c r="G15" s="11"/>
    </row>
    <row r="16" spans="1:7">
      <c r="A16" s="11" t="s">
        <v>1126</v>
      </c>
      <c r="B16" s="11">
        <v>1</v>
      </c>
      <c r="C16" s="11" t="s">
        <v>1063</v>
      </c>
      <c r="D16" s="11" t="s">
        <v>1110</v>
      </c>
      <c r="E16" s="11" t="s">
        <v>952</v>
      </c>
      <c r="F16" s="11">
        <v>90</v>
      </c>
      <c r="G16" s="11"/>
    </row>
    <row r="17" spans="1:7">
      <c r="A17" s="11" t="s">
        <v>1128</v>
      </c>
      <c r="B17" s="11">
        <v>1</v>
      </c>
      <c r="C17" s="11" t="s">
        <v>1063</v>
      </c>
      <c r="D17" s="11" t="s">
        <v>1110</v>
      </c>
      <c r="E17" s="11" t="s">
        <v>957</v>
      </c>
      <c r="F17" s="11">
        <v>90</v>
      </c>
      <c r="G17" s="11"/>
    </row>
    <row r="18" spans="1:7">
      <c r="A18" s="11" t="s">
        <v>1129</v>
      </c>
      <c r="B18" s="11">
        <v>1</v>
      </c>
      <c r="C18" s="11" t="s">
        <v>1063</v>
      </c>
      <c r="D18" s="11" t="s">
        <v>1110</v>
      </c>
      <c r="E18" s="11" t="s">
        <v>952</v>
      </c>
      <c r="F18" s="11">
        <v>85</v>
      </c>
      <c r="G18" s="11"/>
    </row>
    <row r="19" spans="1:7">
      <c r="A19" s="11" t="s">
        <v>1131</v>
      </c>
      <c r="B19" s="11">
        <v>1</v>
      </c>
      <c r="C19" s="11" t="s">
        <v>1063</v>
      </c>
      <c r="D19" s="11" t="s">
        <v>1110</v>
      </c>
      <c r="E19" s="11" t="s">
        <v>957</v>
      </c>
      <c r="F19" s="11">
        <v>85</v>
      </c>
      <c r="G19" s="11"/>
    </row>
    <row r="20" spans="1:7">
      <c r="A20" s="11" t="s">
        <v>1132</v>
      </c>
      <c r="B20" s="11">
        <v>1</v>
      </c>
      <c r="C20" s="11" t="s">
        <v>1067</v>
      </c>
      <c r="D20" s="11" t="s">
        <v>1110</v>
      </c>
      <c r="E20" s="11" t="s">
        <v>952</v>
      </c>
      <c r="F20" s="11">
        <v>126</v>
      </c>
      <c r="G20" s="11"/>
    </row>
    <row r="21" spans="1:7">
      <c r="A21" s="11" t="s">
        <v>1133</v>
      </c>
      <c r="B21" s="11">
        <v>1</v>
      </c>
      <c r="C21" s="11" t="s">
        <v>1067</v>
      </c>
      <c r="D21" s="11" t="s">
        <v>1110</v>
      </c>
      <c r="E21" s="11" t="s">
        <v>952</v>
      </c>
      <c r="F21" s="11">
        <v>100</v>
      </c>
      <c r="G21" s="11"/>
    </row>
    <row r="22" spans="1:7">
      <c r="A22" s="11" t="s">
        <v>1133</v>
      </c>
      <c r="B22" s="11">
        <v>2</v>
      </c>
      <c r="C22" s="11" t="s">
        <v>1067</v>
      </c>
      <c r="D22" s="11" t="s">
        <v>1110</v>
      </c>
      <c r="E22" s="11" t="s">
        <v>957</v>
      </c>
      <c r="F22" s="11">
        <v>126</v>
      </c>
      <c r="G22" s="11"/>
    </row>
    <row r="23" spans="1:7">
      <c r="A23" s="11" t="s">
        <v>1134</v>
      </c>
      <c r="B23" s="11">
        <v>1</v>
      </c>
      <c r="C23" s="11" t="s">
        <v>1067</v>
      </c>
      <c r="D23" s="11" t="s">
        <v>1110</v>
      </c>
      <c r="E23" s="11" t="s">
        <v>957</v>
      </c>
      <c r="F23" s="11">
        <v>100</v>
      </c>
      <c r="G23" s="11"/>
    </row>
    <row r="24" spans="1:7">
      <c r="A24" s="11" t="s">
        <v>1135</v>
      </c>
      <c r="B24" s="11">
        <v>1</v>
      </c>
      <c r="C24" s="11" t="s">
        <v>1071</v>
      </c>
      <c r="D24" s="11" t="s">
        <v>1110</v>
      </c>
      <c r="E24" s="11" t="s">
        <v>952</v>
      </c>
      <c r="F24" s="11">
        <v>240</v>
      </c>
      <c r="G24" s="11"/>
    </row>
    <row r="25" spans="1:7">
      <c r="A25" s="11" t="s">
        <v>1136</v>
      </c>
      <c r="B25" s="11">
        <v>1</v>
      </c>
      <c r="C25" s="11" t="s">
        <v>1071</v>
      </c>
      <c r="D25" s="11" t="s">
        <v>1110</v>
      </c>
      <c r="E25" s="11" t="s">
        <v>952</v>
      </c>
      <c r="F25" s="11">
        <v>200</v>
      </c>
      <c r="G25" s="11"/>
    </row>
    <row r="26" spans="1:7">
      <c r="A26" s="11" t="s">
        <v>1136</v>
      </c>
      <c r="B26" s="11">
        <v>2</v>
      </c>
      <c r="C26" s="11" t="s">
        <v>1071</v>
      </c>
      <c r="D26" s="11" t="s">
        <v>1110</v>
      </c>
      <c r="E26" s="11" t="s">
        <v>957</v>
      </c>
      <c r="F26" s="11">
        <v>240</v>
      </c>
      <c r="G26" s="11"/>
    </row>
    <row r="27" spans="1:7">
      <c r="A27" s="11" t="s">
        <v>1137</v>
      </c>
      <c r="B27" s="11">
        <v>1</v>
      </c>
      <c r="C27" s="11" t="s">
        <v>1071</v>
      </c>
      <c r="D27" s="11" t="s">
        <v>1110</v>
      </c>
      <c r="E27" s="11" t="s">
        <v>957</v>
      </c>
      <c r="F27" s="11">
        <v>200</v>
      </c>
      <c r="G27" s="11"/>
    </row>
    <row r="28" spans="1:7">
      <c r="A28" s="11" t="s">
        <v>1138</v>
      </c>
      <c r="B28" s="11">
        <v>1</v>
      </c>
      <c r="C28" s="11" t="s">
        <v>1077</v>
      </c>
      <c r="D28" s="11" t="s">
        <v>1110</v>
      </c>
      <c r="E28" s="11" t="s">
        <v>952</v>
      </c>
      <c r="F28" s="11">
        <v>200</v>
      </c>
      <c r="G28" s="11"/>
    </row>
    <row r="29" spans="1:7">
      <c r="A29" s="11" t="s">
        <v>1139</v>
      </c>
      <c r="B29" s="11">
        <v>1</v>
      </c>
      <c r="C29" s="11" t="s">
        <v>1077</v>
      </c>
      <c r="D29" s="11" t="s">
        <v>1110</v>
      </c>
      <c r="E29" s="11" t="s">
        <v>952</v>
      </c>
      <c r="F29" s="11">
        <v>150</v>
      </c>
      <c r="G29" s="11"/>
    </row>
    <row r="30" spans="1:7">
      <c r="A30" s="11" t="s">
        <v>1139</v>
      </c>
      <c r="B30" s="11">
        <v>2</v>
      </c>
      <c r="C30" s="11" t="s">
        <v>1077</v>
      </c>
      <c r="D30" s="11" t="s">
        <v>1110</v>
      </c>
      <c r="E30" s="11" t="s">
        <v>957</v>
      </c>
      <c r="F30" s="11">
        <v>200</v>
      </c>
      <c r="G30" s="11"/>
    </row>
    <row r="31" spans="1:7">
      <c r="A31" s="11" t="s">
        <v>1140</v>
      </c>
      <c r="B31" s="11">
        <v>1</v>
      </c>
      <c r="C31" s="11" t="s">
        <v>1077</v>
      </c>
      <c r="D31" s="11" t="s">
        <v>1110</v>
      </c>
      <c r="E31" s="11" t="s">
        <v>957</v>
      </c>
      <c r="F31" s="11">
        <v>150</v>
      </c>
      <c r="G31" s="11"/>
    </row>
    <row r="32" spans="1:7">
      <c r="A32" s="11" t="s">
        <v>1141</v>
      </c>
      <c r="B32" s="11">
        <v>1</v>
      </c>
      <c r="C32" s="11" t="s">
        <v>1079</v>
      </c>
      <c r="D32" s="11" t="s">
        <v>1110</v>
      </c>
      <c r="E32" s="11" t="s">
        <v>952</v>
      </c>
      <c r="F32" s="11">
        <v>160</v>
      </c>
      <c r="G32" s="11"/>
    </row>
    <row r="33" spans="1:7">
      <c r="A33" s="11" t="s">
        <v>1142</v>
      </c>
      <c r="B33" s="11">
        <v>1</v>
      </c>
      <c r="C33" s="11" t="s">
        <v>1079</v>
      </c>
      <c r="D33" s="11" t="s">
        <v>1110</v>
      </c>
      <c r="E33" s="11" t="s">
        <v>952</v>
      </c>
      <c r="F33" s="11">
        <v>130</v>
      </c>
      <c r="G33" s="11"/>
    </row>
    <row r="34" spans="1:7">
      <c r="A34" s="11" t="s">
        <v>1142</v>
      </c>
      <c r="B34" s="11">
        <v>2</v>
      </c>
      <c r="C34" s="11" t="s">
        <v>1079</v>
      </c>
      <c r="D34" s="11" t="s">
        <v>1110</v>
      </c>
      <c r="E34" s="11" t="s">
        <v>957</v>
      </c>
      <c r="F34" s="11">
        <v>160</v>
      </c>
      <c r="G34" s="11"/>
    </row>
    <row r="35" spans="1:7">
      <c r="A35" s="11" t="s">
        <v>1143</v>
      </c>
      <c r="B35" s="11">
        <v>1</v>
      </c>
      <c r="C35" s="11" t="s">
        <v>1079</v>
      </c>
      <c r="D35" s="11" t="s">
        <v>1110</v>
      </c>
      <c r="E35" s="11" t="s">
        <v>957</v>
      </c>
      <c r="F35" s="11">
        <v>130</v>
      </c>
      <c r="G35" s="11"/>
    </row>
    <row r="36" spans="1:7">
      <c r="A36" s="11" t="s">
        <v>1144</v>
      </c>
      <c r="B36" s="11">
        <v>1</v>
      </c>
      <c r="C36" s="11" t="s">
        <v>1074</v>
      </c>
      <c r="D36" s="11" t="s">
        <v>1110</v>
      </c>
      <c r="E36" s="11" t="s">
        <v>957</v>
      </c>
      <c r="F36" s="11">
        <v>40</v>
      </c>
      <c r="G36" s="11"/>
    </row>
    <row r="37" spans="1:7">
      <c r="A37" s="11" t="s">
        <v>1145</v>
      </c>
      <c r="B37" s="11">
        <v>1</v>
      </c>
      <c r="C37" s="11" t="s">
        <v>1074</v>
      </c>
      <c r="D37" s="11" t="s">
        <v>1110</v>
      </c>
      <c r="E37" s="11" t="s">
        <v>952</v>
      </c>
      <c r="F37" s="11">
        <v>40</v>
      </c>
      <c r="G37" s="11"/>
    </row>
    <row r="38" spans="1:7">
      <c r="A38" s="11" t="s">
        <v>1145</v>
      </c>
      <c r="B38" s="11">
        <v>2</v>
      </c>
      <c r="C38" s="11" t="s">
        <v>1074</v>
      </c>
      <c r="D38" s="11" t="s">
        <v>1110</v>
      </c>
      <c r="E38" s="11" t="s">
        <v>957</v>
      </c>
      <c r="F38" s="11">
        <v>60</v>
      </c>
      <c r="G38" s="11"/>
    </row>
    <row r="39" spans="1:7">
      <c r="A39" s="11" t="s">
        <v>1146</v>
      </c>
      <c r="B39" s="11">
        <v>1</v>
      </c>
      <c r="C39" s="11" t="s">
        <v>1074</v>
      </c>
      <c r="D39" s="11" t="s">
        <v>1110</v>
      </c>
      <c r="E39" s="11" t="s">
        <v>952</v>
      </c>
      <c r="F39" s="11">
        <v>60</v>
      </c>
      <c r="G39" s="11"/>
    </row>
    <row r="40" spans="1:7">
      <c r="A40" s="11" t="s">
        <v>1147</v>
      </c>
      <c r="B40" s="11">
        <v>1</v>
      </c>
      <c r="C40" s="11" t="s">
        <v>1082</v>
      </c>
      <c r="D40" s="11" t="s">
        <v>1110</v>
      </c>
      <c r="E40" s="11" t="s">
        <v>1172</v>
      </c>
      <c r="F40" s="11">
        <v>50</v>
      </c>
      <c r="G40" s="11"/>
    </row>
    <row r="41" spans="1:7">
      <c r="A41" s="11" t="s">
        <v>1148</v>
      </c>
      <c r="B41" s="11">
        <v>1</v>
      </c>
      <c r="C41" s="11" t="s">
        <v>1082</v>
      </c>
      <c r="D41" s="11" t="s">
        <v>1110</v>
      </c>
      <c r="E41" s="11" t="s">
        <v>1172</v>
      </c>
      <c r="F41" s="11">
        <v>40</v>
      </c>
      <c r="G41" s="11"/>
    </row>
    <row r="42" spans="1:7">
      <c r="A42" s="11" t="s">
        <v>1148</v>
      </c>
      <c r="B42" s="11">
        <v>2</v>
      </c>
      <c r="C42" s="11" t="s">
        <v>1082</v>
      </c>
      <c r="D42" s="11" t="s">
        <v>1110</v>
      </c>
      <c r="E42" s="11" t="s">
        <v>966</v>
      </c>
      <c r="F42" s="11">
        <v>50</v>
      </c>
      <c r="G42" s="11"/>
    </row>
    <row r="43" spans="1:7">
      <c r="A43" s="11" t="s">
        <v>1149</v>
      </c>
      <c r="B43" s="11">
        <v>1</v>
      </c>
      <c r="C43" s="11" t="s">
        <v>1082</v>
      </c>
      <c r="D43" s="11" t="s">
        <v>1110</v>
      </c>
      <c r="E43" s="11" t="s">
        <v>966</v>
      </c>
      <c r="F43" s="11">
        <v>40</v>
      </c>
      <c r="G43" s="11"/>
    </row>
    <row r="44" spans="1:7">
      <c r="A44" s="11" t="s">
        <v>1150</v>
      </c>
      <c r="B44" s="11">
        <v>1</v>
      </c>
      <c r="C44" s="11" t="s">
        <v>1086</v>
      </c>
      <c r="D44" s="11" t="s">
        <v>1110</v>
      </c>
      <c r="E44" s="11" t="s">
        <v>1172</v>
      </c>
      <c r="F44" s="11">
        <v>45</v>
      </c>
      <c r="G44" s="11"/>
    </row>
    <row r="45" spans="1:7">
      <c r="A45" s="11" t="s">
        <v>1151</v>
      </c>
      <c r="B45" s="11">
        <v>1</v>
      </c>
      <c r="C45" s="11" t="s">
        <v>1086</v>
      </c>
      <c r="D45" s="11" t="s">
        <v>1110</v>
      </c>
      <c r="E45" s="11" t="s">
        <v>1172</v>
      </c>
      <c r="F45" s="11">
        <v>35</v>
      </c>
      <c r="G45" s="11"/>
    </row>
    <row r="46" spans="1:7">
      <c r="A46" s="11" t="s">
        <v>1151</v>
      </c>
      <c r="B46" s="11">
        <v>2</v>
      </c>
      <c r="C46" s="11" t="s">
        <v>1086</v>
      </c>
      <c r="D46" s="11" t="s">
        <v>1110</v>
      </c>
      <c r="E46" s="11" t="s">
        <v>966</v>
      </c>
      <c r="F46" s="11">
        <v>45</v>
      </c>
      <c r="G46" s="11"/>
    </row>
    <row r="47" spans="1:7">
      <c r="A47" s="11" t="s">
        <v>1152</v>
      </c>
      <c r="B47" s="11">
        <v>1</v>
      </c>
      <c r="C47" s="11" t="s">
        <v>1086</v>
      </c>
      <c r="D47" s="11" t="s">
        <v>1110</v>
      </c>
      <c r="E47" s="11" t="s">
        <v>966</v>
      </c>
      <c r="F47" s="11">
        <v>35</v>
      </c>
      <c r="G47" s="11"/>
    </row>
    <row r="48" spans="1:7">
      <c r="A48" s="11" t="s">
        <v>1153</v>
      </c>
      <c r="B48" s="11">
        <v>1</v>
      </c>
      <c r="C48" s="11" t="s">
        <v>1089</v>
      </c>
      <c r="D48" s="11" t="s">
        <v>1110</v>
      </c>
      <c r="E48" s="11" t="s">
        <v>1172</v>
      </c>
      <c r="F48" s="11">
        <v>77</v>
      </c>
      <c r="G48" s="11"/>
    </row>
    <row r="49" spans="1:7">
      <c r="A49" s="11" t="s">
        <v>1154</v>
      </c>
      <c r="B49" s="11">
        <v>1</v>
      </c>
      <c r="C49" s="11" t="s">
        <v>1089</v>
      </c>
      <c r="D49" s="11" t="s">
        <v>1110</v>
      </c>
      <c r="E49" s="11" t="s">
        <v>1172</v>
      </c>
      <c r="F49" s="11">
        <v>63</v>
      </c>
      <c r="G49" s="11"/>
    </row>
    <row r="50" spans="1:7">
      <c r="A50" s="11" t="s">
        <v>1154</v>
      </c>
      <c r="B50" s="11">
        <v>2</v>
      </c>
      <c r="C50" s="11" t="s">
        <v>1089</v>
      </c>
      <c r="D50" s="11" t="s">
        <v>1110</v>
      </c>
      <c r="E50" s="11" t="s">
        <v>966</v>
      </c>
      <c r="F50" s="11">
        <v>77</v>
      </c>
      <c r="G50" s="11"/>
    </row>
    <row r="51" spans="1:7">
      <c r="A51" s="11" t="s">
        <v>1155</v>
      </c>
      <c r="B51" s="11">
        <v>1</v>
      </c>
      <c r="C51" s="11" t="s">
        <v>1089</v>
      </c>
      <c r="D51" s="11" t="s">
        <v>1110</v>
      </c>
      <c r="E51" s="11" t="s">
        <v>952</v>
      </c>
      <c r="F51" s="11">
        <v>11</v>
      </c>
      <c r="G51" s="11"/>
    </row>
    <row r="52" spans="1:7">
      <c r="A52" s="11" t="s">
        <v>1155</v>
      </c>
      <c r="B52" s="11">
        <v>2</v>
      </c>
      <c r="C52" s="11" t="s">
        <v>1089</v>
      </c>
      <c r="D52" s="11" t="s">
        <v>1110</v>
      </c>
      <c r="E52" s="11" t="s">
        <v>966</v>
      </c>
      <c r="F52" s="11">
        <v>63</v>
      </c>
      <c r="G52" s="11"/>
    </row>
    <row r="53" spans="1:7">
      <c r="A53" s="11" t="s">
        <v>1156</v>
      </c>
      <c r="B53" s="11">
        <v>1</v>
      </c>
      <c r="C53" s="11" t="s">
        <v>1089</v>
      </c>
      <c r="D53" s="11" t="s">
        <v>1110</v>
      </c>
      <c r="E53" s="11" t="s">
        <v>1172</v>
      </c>
      <c r="F53" s="11">
        <v>45</v>
      </c>
      <c r="G53" s="11"/>
    </row>
    <row r="54" spans="1:7">
      <c r="A54" s="11" t="s">
        <v>1157</v>
      </c>
      <c r="B54" s="11">
        <v>1</v>
      </c>
      <c r="C54" s="11" t="s">
        <v>1089</v>
      </c>
      <c r="D54" s="11" t="s">
        <v>1110</v>
      </c>
      <c r="E54" s="11" t="s">
        <v>1172</v>
      </c>
      <c r="F54" s="11">
        <v>35</v>
      </c>
      <c r="G54" s="11"/>
    </row>
    <row r="55" spans="1:7">
      <c r="A55" s="11" t="s">
        <v>1157</v>
      </c>
      <c r="B55" s="11">
        <v>2</v>
      </c>
      <c r="C55" s="11" t="s">
        <v>1089</v>
      </c>
      <c r="D55" s="11" t="s">
        <v>1110</v>
      </c>
      <c r="E55" s="11" t="s">
        <v>966</v>
      </c>
      <c r="F55" s="11">
        <v>45</v>
      </c>
      <c r="G55" s="11"/>
    </row>
    <row r="56" spans="1:7">
      <c r="A56" s="11" t="s">
        <v>1158</v>
      </c>
      <c r="B56" s="11">
        <v>1</v>
      </c>
      <c r="C56" s="11" t="s">
        <v>1089</v>
      </c>
      <c r="D56" s="11" t="s">
        <v>1110</v>
      </c>
      <c r="E56" s="11" t="s">
        <v>952</v>
      </c>
      <c r="F56" s="11">
        <v>8</v>
      </c>
      <c r="G56" s="11"/>
    </row>
    <row r="57" spans="1:7">
      <c r="A57" s="11" t="s">
        <v>1158</v>
      </c>
      <c r="B57" s="11">
        <v>2</v>
      </c>
      <c r="C57" s="11" t="s">
        <v>1089</v>
      </c>
      <c r="D57" s="11" t="s">
        <v>1110</v>
      </c>
      <c r="E57" s="11" t="s">
        <v>966</v>
      </c>
      <c r="F57" s="11">
        <v>35</v>
      </c>
      <c r="G57" s="11"/>
    </row>
    <row r="58" spans="1:7">
      <c r="A58" s="11" t="s">
        <v>1159</v>
      </c>
      <c r="B58" s="11">
        <v>1</v>
      </c>
      <c r="C58" s="11" t="s">
        <v>1092</v>
      </c>
      <c r="D58" s="11" t="s">
        <v>1111</v>
      </c>
      <c r="E58" s="11" t="s">
        <v>952</v>
      </c>
      <c r="F58" s="11">
        <v>1</v>
      </c>
      <c r="G58" s="11"/>
    </row>
    <row r="59" spans="1:7">
      <c r="A59" s="11" t="s">
        <v>1160</v>
      </c>
      <c r="B59" s="11">
        <v>1</v>
      </c>
      <c r="C59" s="11" t="s">
        <v>1092</v>
      </c>
      <c r="D59" s="11" t="s">
        <v>1111</v>
      </c>
      <c r="E59" s="11" t="s">
        <v>959</v>
      </c>
      <c r="F59" s="11">
        <v>0</v>
      </c>
      <c r="G59" s="11"/>
    </row>
    <row r="60" spans="1:7">
      <c r="A60" s="11" t="s">
        <v>1161</v>
      </c>
      <c r="B60" s="11">
        <v>1</v>
      </c>
      <c r="C60" s="11" t="s">
        <v>1092</v>
      </c>
      <c r="D60" s="11" t="s">
        <v>1111</v>
      </c>
      <c r="E60" s="11" t="s">
        <v>959</v>
      </c>
      <c r="F60" s="11">
        <v>-1</v>
      </c>
      <c r="G60" s="11"/>
    </row>
    <row r="61" spans="1:7">
      <c r="A61" s="11" t="s">
        <v>1162</v>
      </c>
      <c r="B61" s="11">
        <v>1</v>
      </c>
      <c r="C61" s="11" t="s">
        <v>1096</v>
      </c>
      <c r="D61" s="11" t="s">
        <v>1110</v>
      </c>
      <c r="E61" s="11" t="s">
        <v>1172</v>
      </c>
      <c r="F61" s="11">
        <v>1.5</v>
      </c>
      <c r="G61" s="11"/>
    </row>
    <row r="62" spans="1:7">
      <c r="A62" s="11" t="s">
        <v>1163</v>
      </c>
      <c r="B62" s="11">
        <v>1</v>
      </c>
      <c r="C62" s="11" t="s">
        <v>1096</v>
      </c>
      <c r="D62" s="11" t="s">
        <v>1110</v>
      </c>
      <c r="E62" s="11" t="s">
        <v>966</v>
      </c>
      <c r="F62" s="11">
        <v>1.5</v>
      </c>
      <c r="G62" s="11"/>
    </row>
    <row r="63" spans="1:7">
      <c r="A63" s="11" t="s">
        <v>1164</v>
      </c>
      <c r="B63" s="11">
        <v>1</v>
      </c>
      <c r="C63" s="11" t="s">
        <v>1099</v>
      </c>
      <c r="D63" s="11" t="s">
        <v>1110</v>
      </c>
      <c r="E63" s="11" t="s">
        <v>957</v>
      </c>
      <c r="F63" s="11">
        <v>60</v>
      </c>
      <c r="G63" s="11"/>
    </row>
    <row r="64" spans="1:7">
      <c r="A64" s="11" t="s">
        <v>1165</v>
      </c>
      <c r="B64" s="11">
        <v>1</v>
      </c>
      <c r="C64" s="11" t="s">
        <v>1099</v>
      </c>
      <c r="D64" s="11" t="s">
        <v>1110</v>
      </c>
      <c r="E64" s="11" t="s">
        <v>952</v>
      </c>
      <c r="F64" s="11">
        <v>60</v>
      </c>
      <c r="G64" s="11"/>
    </row>
    <row r="65" spans="1:7">
      <c r="A65" s="11" t="s">
        <v>1166</v>
      </c>
      <c r="B65" s="11">
        <v>1</v>
      </c>
      <c r="C65" s="11" t="s">
        <v>1103</v>
      </c>
      <c r="D65" s="11" t="s">
        <v>1110</v>
      </c>
      <c r="E65" s="11" t="s">
        <v>957</v>
      </c>
      <c r="F65" s="11">
        <v>12</v>
      </c>
      <c r="G65" s="11"/>
    </row>
    <row r="66" spans="1:7">
      <c r="A66" s="11" t="s">
        <v>1167</v>
      </c>
      <c r="B66" s="11">
        <v>1</v>
      </c>
      <c r="C66" s="11" t="s">
        <v>1103</v>
      </c>
      <c r="D66" s="11" t="s">
        <v>1110</v>
      </c>
      <c r="E66" s="11" t="s">
        <v>952</v>
      </c>
      <c r="F66" s="11">
        <v>12</v>
      </c>
      <c r="G66" s="11"/>
    </row>
    <row r="67" spans="1:7">
      <c r="A67" s="11" t="s">
        <v>1167</v>
      </c>
      <c r="B67" s="11">
        <v>2</v>
      </c>
      <c r="C67" s="11" t="s">
        <v>1103</v>
      </c>
      <c r="D67" s="11" t="s">
        <v>1110</v>
      </c>
      <c r="E67" s="11" t="s">
        <v>957</v>
      </c>
      <c r="F67" s="11">
        <v>13</v>
      </c>
      <c r="G67" s="11"/>
    </row>
    <row r="68" spans="1:7">
      <c r="A68" s="11" t="s">
        <v>1168</v>
      </c>
      <c r="B68" s="11">
        <v>1</v>
      </c>
      <c r="C68" s="11" t="s">
        <v>1103</v>
      </c>
      <c r="D68" s="11" t="s">
        <v>1110</v>
      </c>
      <c r="E68" s="11" t="s">
        <v>952</v>
      </c>
      <c r="F68" s="11">
        <v>13</v>
      </c>
      <c r="G68" s="11"/>
    </row>
    <row r="69" spans="1:7">
      <c r="A69" s="11" t="s">
        <v>1168</v>
      </c>
      <c r="B69" s="11">
        <v>2</v>
      </c>
      <c r="C69" s="11" t="s">
        <v>1103</v>
      </c>
      <c r="D69" s="11" t="s">
        <v>1110</v>
      </c>
      <c r="E69" s="11" t="s">
        <v>966</v>
      </c>
      <c r="F69" s="11">
        <v>16.5</v>
      </c>
      <c r="G69" s="11"/>
    </row>
    <row r="70" spans="1:7">
      <c r="A70" s="11" t="s">
        <v>1169</v>
      </c>
      <c r="B70" s="11">
        <v>1</v>
      </c>
      <c r="C70" s="11" t="s">
        <v>1103</v>
      </c>
      <c r="D70" s="11" t="s">
        <v>1110</v>
      </c>
      <c r="E70" s="11" t="s">
        <v>957</v>
      </c>
      <c r="F70" s="11">
        <v>10</v>
      </c>
      <c r="G70" s="11"/>
    </row>
    <row r="71" spans="1:7">
      <c r="A71" s="11" t="s">
        <v>1170</v>
      </c>
      <c r="B71" s="11">
        <v>1</v>
      </c>
      <c r="C71" s="11" t="s">
        <v>1103</v>
      </c>
      <c r="D71" s="11" t="s">
        <v>1110</v>
      </c>
      <c r="E71" s="11" t="s">
        <v>952</v>
      </c>
      <c r="F71" s="11">
        <v>10</v>
      </c>
      <c r="G71" s="11"/>
    </row>
    <row r="72" spans="1:7">
      <c r="A72" s="11" t="s">
        <v>1170</v>
      </c>
      <c r="B72" s="11">
        <v>2</v>
      </c>
      <c r="C72" s="11" t="s">
        <v>1103</v>
      </c>
      <c r="D72" s="11" t="s">
        <v>1110</v>
      </c>
      <c r="E72" s="11" t="s">
        <v>957</v>
      </c>
      <c r="F72" s="11">
        <v>12</v>
      </c>
      <c r="G72" s="11"/>
    </row>
    <row r="73" spans="1:7">
      <c r="A73" s="11" t="s">
        <v>1171</v>
      </c>
      <c r="B73" s="11">
        <v>1</v>
      </c>
      <c r="C73" s="11" t="s">
        <v>1103</v>
      </c>
      <c r="D73" s="11" t="s">
        <v>1110</v>
      </c>
      <c r="E73" s="11" t="s">
        <v>952</v>
      </c>
      <c r="F73" s="11">
        <v>12</v>
      </c>
      <c r="G73" s="11"/>
    </row>
    <row r="74" spans="1:7">
      <c r="A74" s="11" t="s">
        <v>1171</v>
      </c>
      <c r="B74" s="11">
        <v>2</v>
      </c>
      <c r="C74" s="11" t="s">
        <v>1103</v>
      </c>
      <c r="D74" s="11" t="s">
        <v>1110</v>
      </c>
      <c r="E74" s="11" t="s">
        <v>966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69</v>
      </c>
      <c r="B1" s="10" t="s">
        <v>287</v>
      </c>
      <c r="C1" s="10" t="s">
        <v>288</v>
      </c>
      <c r="D1" s="10" t="s">
        <v>289</v>
      </c>
      <c r="E1" s="10" t="s">
        <v>280</v>
      </c>
    </row>
    <row r="2" spans="1:5">
      <c r="A2" s="11" t="s">
        <v>1092</v>
      </c>
      <c r="B2" s="11" t="s">
        <v>1173</v>
      </c>
      <c r="C2" s="11" t="s">
        <v>1174</v>
      </c>
      <c r="D2" s="11">
        <v>-1</v>
      </c>
      <c r="E2" s="11" t="s">
        <v>1175</v>
      </c>
    </row>
    <row r="3" spans="1:5">
      <c r="A3" s="11" t="s">
        <v>1092</v>
      </c>
      <c r="B3" s="11" t="s">
        <v>1176</v>
      </c>
      <c r="C3" s="11" t="s">
        <v>1177</v>
      </c>
      <c r="D3" s="11">
        <v>0</v>
      </c>
      <c r="E3" s="11" t="s">
        <v>1175</v>
      </c>
    </row>
    <row r="4" spans="1:5">
      <c r="A4" s="11" t="s">
        <v>1092</v>
      </c>
      <c r="B4" s="11" t="s">
        <v>1178</v>
      </c>
      <c r="C4" s="11" t="s">
        <v>1179</v>
      </c>
      <c r="D4" s="11">
        <v>1</v>
      </c>
      <c r="E4" s="11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75</v>
      </c>
      <c r="B1" s="10" t="s">
        <v>290</v>
      </c>
      <c r="C1" s="10" t="s">
        <v>292</v>
      </c>
      <c r="D1" s="10" t="s">
        <v>293</v>
      </c>
      <c r="E1" s="10" t="s">
        <v>200</v>
      </c>
      <c r="F1" s="10" t="s">
        <v>67</v>
      </c>
    </row>
    <row r="2" spans="1:6">
      <c r="A2" s="11" t="s">
        <v>1181</v>
      </c>
      <c r="B2" s="11" t="s">
        <v>1182</v>
      </c>
      <c r="C2" s="11">
        <v>1</v>
      </c>
      <c r="D2" s="12" t="s">
        <v>1183</v>
      </c>
      <c r="E2" s="11" t="s">
        <v>162</v>
      </c>
      <c r="F2" s="11" t="s">
        <v>344</v>
      </c>
    </row>
    <row r="3" spans="1:6">
      <c r="A3" s="11" t="s">
        <v>1184</v>
      </c>
      <c r="B3" s="11" t="s">
        <v>1182</v>
      </c>
      <c r="C3" s="11">
        <v>2</v>
      </c>
      <c r="D3" s="12" t="s">
        <v>1185</v>
      </c>
      <c r="E3" s="11" t="s">
        <v>162</v>
      </c>
      <c r="F3" s="11" t="s">
        <v>1021</v>
      </c>
    </row>
    <row r="4" spans="1:6">
      <c r="A4" s="11" t="s">
        <v>1186</v>
      </c>
      <c r="B4" s="11" t="s">
        <v>1182</v>
      </c>
      <c r="C4" s="11">
        <v>3</v>
      </c>
      <c r="D4" s="12" t="s">
        <v>1187</v>
      </c>
      <c r="E4" s="11" t="s">
        <v>162</v>
      </c>
      <c r="F4" s="11" t="s">
        <v>1021</v>
      </c>
    </row>
    <row r="5" spans="1:6">
      <c r="A5" s="11" t="s">
        <v>1188</v>
      </c>
      <c r="B5" s="11" t="s">
        <v>1189</v>
      </c>
      <c r="C5" s="11">
        <v>1</v>
      </c>
      <c r="D5" s="12" t="s">
        <v>1190</v>
      </c>
      <c r="E5" s="11" t="s">
        <v>162</v>
      </c>
      <c r="F5" s="11" t="s">
        <v>1021</v>
      </c>
    </row>
    <row r="6" spans="1:6">
      <c r="A6" s="11" t="s">
        <v>1191</v>
      </c>
      <c r="B6" s="11" t="s">
        <v>1189</v>
      </c>
      <c r="C6" s="11">
        <v>2</v>
      </c>
      <c r="D6" s="12" t="s">
        <v>1192</v>
      </c>
      <c r="E6" s="11" t="s">
        <v>162</v>
      </c>
      <c r="F6" s="11" t="s">
        <v>1021</v>
      </c>
    </row>
    <row r="7" spans="1:6">
      <c r="A7" s="11" t="s">
        <v>1193</v>
      </c>
      <c r="B7" s="11" t="s">
        <v>1194</v>
      </c>
      <c r="C7" s="11">
        <v>1</v>
      </c>
      <c r="D7" s="12" t="s">
        <v>1195</v>
      </c>
      <c r="E7" s="11" t="s">
        <v>162</v>
      </c>
      <c r="F7" s="11" t="s">
        <v>1021</v>
      </c>
    </row>
    <row r="8" spans="1:6">
      <c r="A8" s="11" t="s">
        <v>1196</v>
      </c>
      <c r="B8" s="11" t="s">
        <v>1197</v>
      </c>
      <c r="C8" s="11">
        <v>1</v>
      </c>
      <c r="D8" s="12" t="s">
        <v>1198</v>
      </c>
      <c r="E8" s="11" t="s">
        <v>162</v>
      </c>
      <c r="F8" s="11" t="s">
        <v>1021</v>
      </c>
    </row>
    <row r="9" spans="1:6">
      <c r="A9" s="11" t="s">
        <v>1199</v>
      </c>
      <c r="B9" s="11" t="s">
        <v>1182</v>
      </c>
      <c r="C9" s="11">
        <v>4</v>
      </c>
      <c r="D9" s="12" t="s">
        <v>1200</v>
      </c>
      <c r="E9" s="11" t="s">
        <v>162</v>
      </c>
      <c r="F9" s="11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2528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77</v>
      </c>
      <c r="B1" s="10" t="s">
        <v>69</v>
      </c>
      <c r="C1" s="10" t="s">
        <v>295</v>
      </c>
      <c r="D1" s="10" t="s">
        <v>297</v>
      </c>
      <c r="E1" s="10" t="s">
        <v>298</v>
      </c>
      <c r="F1" s="10" t="s">
        <v>299</v>
      </c>
      <c r="G1" s="10" t="s">
        <v>67</v>
      </c>
      <c r="H1" s="10" t="s">
        <v>280</v>
      </c>
    </row>
    <row r="2" spans="1:8">
      <c r="A2" s="11" t="s">
        <v>1202</v>
      </c>
      <c r="B2" s="11" t="s">
        <v>1053</v>
      </c>
      <c r="C2" s="11" t="s">
        <v>1114</v>
      </c>
      <c r="D2" s="11" t="s">
        <v>1203</v>
      </c>
      <c r="E2" s="11" t="s">
        <v>1204</v>
      </c>
      <c r="F2" s="11" t="s">
        <v>1205</v>
      </c>
      <c r="G2" s="11" t="s">
        <v>1033</v>
      </c>
      <c r="H2" s="11"/>
    </row>
    <row r="3" spans="1:8">
      <c r="A3" s="11" t="s">
        <v>1206</v>
      </c>
      <c r="B3" s="11" t="s">
        <v>1053</v>
      </c>
      <c r="C3" s="11" t="s">
        <v>1114</v>
      </c>
      <c r="D3" s="11" t="s">
        <v>1207</v>
      </c>
      <c r="E3" s="11" t="s">
        <v>1208</v>
      </c>
      <c r="F3" s="11" t="s">
        <v>1205</v>
      </c>
      <c r="G3" s="11" t="s">
        <v>1033</v>
      </c>
      <c r="H3" s="11"/>
    </row>
    <row r="4" spans="1:8">
      <c r="A4" s="11" t="s">
        <v>1209</v>
      </c>
      <c r="B4" s="11" t="s">
        <v>1053</v>
      </c>
      <c r="C4" s="11" t="s">
        <v>1114</v>
      </c>
      <c r="D4" s="11" t="s">
        <v>1210</v>
      </c>
      <c r="E4" s="11" t="s">
        <v>1211</v>
      </c>
      <c r="F4" s="11" t="s">
        <v>1205</v>
      </c>
      <c r="G4" s="11" t="s">
        <v>1033</v>
      </c>
      <c r="H4" s="11"/>
    </row>
    <row r="5" spans="1:8">
      <c r="A5" s="11" t="s">
        <v>1212</v>
      </c>
      <c r="B5" s="11" t="s">
        <v>1053</v>
      </c>
      <c r="C5" s="11" t="s">
        <v>1114</v>
      </c>
      <c r="D5" s="11" t="s">
        <v>1213</v>
      </c>
      <c r="E5" s="11" t="s">
        <v>1214</v>
      </c>
      <c r="F5" s="11" t="s">
        <v>1205</v>
      </c>
      <c r="G5" s="11" t="s">
        <v>1033</v>
      </c>
      <c r="H5" s="11"/>
    </row>
    <row r="6" spans="1:8">
      <c r="A6" s="11" t="s">
        <v>1215</v>
      </c>
      <c r="B6" s="11" t="s">
        <v>1053</v>
      </c>
      <c r="C6" s="11" t="s">
        <v>1114</v>
      </c>
      <c r="D6" s="11" t="s">
        <v>1216</v>
      </c>
      <c r="E6" s="11" t="s">
        <v>1217</v>
      </c>
      <c r="F6" s="11" t="s">
        <v>1205</v>
      </c>
      <c r="G6" s="11" t="s">
        <v>1033</v>
      </c>
      <c r="H6" s="11"/>
    </row>
    <row r="7" spans="1:8">
      <c r="A7" s="11" t="s">
        <v>1218</v>
      </c>
      <c r="B7" s="11" t="s">
        <v>1053</v>
      </c>
      <c r="C7" s="11" t="s">
        <v>1114</v>
      </c>
      <c r="D7" s="11" t="s">
        <v>1219</v>
      </c>
      <c r="E7" s="11" t="s">
        <v>1220</v>
      </c>
      <c r="F7" s="11" t="s">
        <v>1205</v>
      </c>
      <c r="G7" s="11" t="s">
        <v>1033</v>
      </c>
      <c r="H7" s="11"/>
    </row>
    <row r="8" spans="1:8">
      <c r="A8" s="11" t="s">
        <v>1221</v>
      </c>
      <c r="B8" s="11" t="s">
        <v>1067</v>
      </c>
      <c r="C8" s="11" t="s">
        <v>1114</v>
      </c>
      <c r="D8" s="11" t="s">
        <v>1222</v>
      </c>
      <c r="E8" s="11" t="s">
        <v>1223</v>
      </c>
      <c r="F8" s="11" t="s">
        <v>1205</v>
      </c>
      <c r="G8" s="11" t="s">
        <v>1038</v>
      </c>
      <c r="H8" s="11" t="s">
        <v>1224</v>
      </c>
    </row>
    <row r="9" spans="1:8">
      <c r="A9" s="11" t="s">
        <v>1225</v>
      </c>
      <c r="B9" s="11" t="s">
        <v>1079</v>
      </c>
      <c r="C9" s="11" t="s">
        <v>1114</v>
      </c>
      <c r="D9" s="11" t="s">
        <v>1226</v>
      </c>
      <c r="E9" s="11" t="s">
        <v>1227</v>
      </c>
      <c r="F9" s="11" t="s">
        <v>1205</v>
      </c>
      <c r="G9" s="11" t="s">
        <v>1042</v>
      </c>
      <c r="H9" s="11"/>
    </row>
    <row r="10" spans="1:8">
      <c r="A10" s="11" t="s">
        <v>1228</v>
      </c>
      <c r="B10" s="11" t="s">
        <v>1079</v>
      </c>
      <c r="C10" s="11" t="s">
        <v>1114</v>
      </c>
      <c r="D10" s="11" t="s">
        <v>1229</v>
      </c>
      <c r="E10" s="11" t="s">
        <v>1230</v>
      </c>
      <c r="F10" s="11" t="s">
        <v>1205</v>
      </c>
      <c r="G10" s="11" t="s">
        <v>1042</v>
      </c>
      <c r="H10" s="11"/>
    </row>
    <row r="11" spans="1:8">
      <c r="A11" s="11" t="s">
        <v>1231</v>
      </c>
      <c r="B11" s="11" t="s">
        <v>1079</v>
      </c>
      <c r="C11" s="11" t="s">
        <v>1114</v>
      </c>
      <c r="D11" s="11" t="s">
        <v>1232</v>
      </c>
      <c r="E11" s="11" t="s">
        <v>1233</v>
      </c>
      <c r="F11" s="11" t="s">
        <v>1205</v>
      </c>
      <c r="G11" s="11" t="s">
        <v>1042</v>
      </c>
      <c r="H11" s="11"/>
    </row>
    <row r="12" spans="1:8">
      <c r="A12" s="11" t="s">
        <v>1234</v>
      </c>
      <c r="B12" s="11" t="s">
        <v>1079</v>
      </c>
      <c r="C12" s="11" t="s">
        <v>1114</v>
      </c>
      <c r="D12" s="11" t="s">
        <v>1235</v>
      </c>
      <c r="E12" s="11" t="s">
        <v>1236</v>
      </c>
      <c r="F12" s="11" t="s">
        <v>1205</v>
      </c>
      <c r="G12" s="11" t="s">
        <v>1042</v>
      </c>
      <c r="H12" s="11"/>
    </row>
    <row r="13" spans="1:8">
      <c r="A13" s="11" t="s">
        <v>1237</v>
      </c>
      <c r="B13" s="11" t="s">
        <v>1079</v>
      </c>
      <c r="C13" s="11" t="s">
        <v>1114</v>
      </c>
      <c r="D13" s="11" t="s">
        <v>1238</v>
      </c>
      <c r="E13" s="11" t="s">
        <v>1239</v>
      </c>
      <c r="F13" s="11" t="s">
        <v>1205</v>
      </c>
      <c r="G13" s="11" t="s">
        <v>1042</v>
      </c>
      <c r="H13" s="11"/>
    </row>
    <row r="14" spans="1:8">
      <c r="A14" s="11" t="s">
        <v>1240</v>
      </c>
      <c r="B14" s="11" t="s">
        <v>1071</v>
      </c>
      <c r="C14" s="11" t="s">
        <v>1114</v>
      </c>
      <c r="D14" s="11" t="s">
        <v>1226</v>
      </c>
      <c r="E14" s="11" t="s">
        <v>1241</v>
      </c>
      <c r="F14" s="11" t="s">
        <v>1205</v>
      </c>
      <c r="G14" s="11" t="s">
        <v>1042</v>
      </c>
      <c r="H14" s="11"/>
    </row>
    <row r="15" spans="1:8">
      <c r="A15" s="11" t="s">
        <v>1242</v>
      </c>
      <c r="B15" s="11" t="s">
        <v>1071</v>
      </c>
      <c r="C15" s="11" t="s">
        <v>1114</v>
      </c>
      <c r="D15" s="11" t="s">
        <v>1232</v>
      </c>
      <c r="E15" s="11" t="s">
        <v>1243</v>
      </c>
      <c r="F15" s="11" t="s">
        <v>1205</v>
      </c>
      <c r="G15" s="11" t="s">
        <v>1042</v>
      </c>
      <c r="H15" s="11"/>
    </row>
    <row r="16" spans="1:8">
      <c r="A16" s="11" t="s">
        <v>1244</v>
      </c>
      <c r="B16" s="11" t="s">
        <v>1071</v>
      </c>
      <c r="C16" s="11" t="s">
        <v>1114</v>
      </c>
      <c r="D16" s="11" t="s">
        <v>1238</v>
      </c>
      <c r="E16" s="11" t="s">
        <v>1245</v>
      </c>
      <c r="F16" s="11" t="s">
        <v>1205</v>
      </c>
      <c r="G16" s="11" t="s">
        <v>1042</v>
      </c>
      <c r="H16" s="11"/>
    </row>
    <row r="17" spans="1:8">
      <c r="A17" s="11" t="s">
        <v>1246</v>
      </c>
      <c r="B17" s="11" t="s">
        <v>1077</v>
      </c>
      <c r="C17" s="11" t="s">
        <v>1114</v>
      </c>
      <c r="D17" s="11" t="s">
        <v>1226</v>
      </c>
      <c r="E17" s="11" t="s">
        <v>1247</v>
      </c>
      <c r="F17" s="11" t="s">
        <v>1205</v>
      </c>
      <c r="G17" s="11" t="s">
        <v>1042</v>
      </c>
      <c r="H17" s="11"/>
    </row>
    <row r="18" spans="1:8">
      <c r="A18" s="11" t="s">
        <v>1248</v>
      </c>
      <c r="B18" s="11" t="s">
        <v>1077</v>
      </c>
      <c r="C18" s="11" t="s">
        <v>1114</v>
      </c>
      <c r="D18" s="11" t="s">
        <v>1232</v>
      </c>
      <c r="E18" s="11" t="s">
        <v>1249</v>
      </c>
      <c r="F18" s="11" t="s">
        <v>1205</v>
      </c>
      <c r="G18" s="11" t="s">
        <v>1042</v>
      </c>
      <c r="H18" s="11"/>
    </row>
    <row r="19" spans="1:8">
      <c r="A19" s="11" t="s">
        <v>1250</v>
      </c>
      <c r="B19" s="11" t="s">
        <v>1077</v>
      </c>
      <c r="C19" s="11" t="s">
        <v>1114</v>
      </c>
      <c r="D19" s="11" t="s">
        <v>1235</v>
      </c>
      <c r="E19" s="11" t="s">
        <v>1251</v>
      </c>
      <c r="F19" s="11" t="s">
        <v>1205</v>
      </c>
      <c r="G19" s="11" t="s">
        <v>1042</v>
      </c>
      <c r="H19" s="11"/>
    </row>
    <row r="20" spans="1:8">
      <c r="A20" s="11" t="s">
        <v>1252</v>
      </c>
      <c r="B20" s="11" t="s">
        <v>1077</v>
      </c>
      <c r="C20" s="11" t="s">
        <v>1114</v>
      </c>
      <c r="D20" s="11" t="s">
        <v>1238</v>
      </c>
      <c r="E20" s="11" t="s">
        <v>1253</v>
      </c>
      <c r="F20" s="11" t="s">
        <v>1205</v>
      </c>
      <c r="G20" s="11" t="s">
        <v>1042</v>
      </c>
      <c r="H20" s="11"/>
    </row>
    <row r="21" spans="1:8">
      <c r="A21" s="11" t="s">
        <v>1254</v>
      </c>
      <c r="B21" s="11" t="s">
        <v>1074</v>
      </c>
      <c r="C21" s="11" t="s">
        <v>1114</v>
      </c>
      <c r="D21" s="11" t="s">
        <v>1226</v>
      </c>
      <c r="E21" s="11" t="s">
        <v>1255</v>
      </c>
      <c r="F21" s="11" t="s">
        <v>1205</v>
      </c>
      <c r="G21" s="11" t="s">
        <v>1042</v>
      </c>
      <c r="H21" s="11"/>
    </row>
    <row r="22" spans="1:8">
      <c r="A22" s="11" t="s">
        <v>1256</v>
      </c>
      <c r="B22" s="11" t="s">
        <v>1074</v>
      </c>
      <c r="C22" s="11" t="s">
        <v>1114</v>
      </c>
      <c r="D22" s="11" t="s">
        <v>1257</v>
      </c>
      <c r="E22" s="11" t="s">
        <v>1258</v>
      </c>
      <c r="F22" s="11" t="s">
        <v>1205</v>
      </c>
      <c r="G22" s="11" t="s">
        <v>1042</v>
      </c>
      <c r="H22" s="11"/>
    </row>
    <row r="23" spans="1:8">
      <c r="A23" s="11" t="s">
        <v>1259</v>
      </c>
      <c r="B23" s="11" t="s">
        <v>1099</v>
      </c>
      <c r="C23" s="11" t="s">
        <v>1114</v>
      </c>
      <c r="D23" s="11" t="s">
        <v>1260</v>
      </c>
      <c r="E23" s="11" t="s">
        <v>1261</v>
      </c>
      <c r="F23" s="11" t="s">
        <v>1262</v>
      </c>
      <c r="G23" s="11" t="s">
        <v>1027</v>
      </c>
      <c r="H23" s="11" t="s">
        <v>1263</v>
      </c>
    </row>
    <row r="24" spans="1:8">
      <c r="A24" s="11" t="s">
        <v>1264</v>
      </c>
      <c r="B24" s="11" t="s">
        <v>1099</v>
      </c>
      <c r="C24" s="11" t="s">
        <v>1114</v>
      </c>
      <c r="D24" s="11" t="s">
        <v>1265</v>
      </c>
      <c r="E24" s="11" t="s">
        <v>1266</v>
      </c>
      <c r="F24" s="11" t="s">
        <v>1262</v>
      </c>
      <c r="G24" s="11" t="s">
        <v>1027</v>
      </c>
      <c r="H24" s="11" t="s">
        <v>1263</v>
      </c>
    </row>
    <row r="25" spans="1:8">
      <c r="A25" s="11" t="s">
        <v>1267</v>
      </c>
      <c r="B25" s="11" t="s">
        <v>1099</v>
      </c>
      <c r="C25" s="11" t="s">
        <v>1114</v>
      </c>
      <c r="D25" s="11" t="s">
        <v>1268</v>
      </c>
      <c r="E25" s="11" t="s">
        <v>1269</v>
      </c>
      <c r="F25" s="11" t="s">
        <v>1262</v>
      </c>
      <c r="G25" s="11" t="s">
        <v>1027</v>
      </c>
      <c r="H25" s="11" t="s">
        <v>1263</v>
      </c>
    </row>
    <row r="26" spans="1:8">
      <c r="A26" s="11" t="s">
        <v>1270</v>
      </c>
      <c r="B26" s="11" t="s">
        <v>1099</v>
      </c>
      <c r="C26" s="11" t="s">
        <v>1114</v>
      </c>
      <c r="D26" s="11" t="s">
        <v>1271</v>
      </c>
      <c r="E26" s="11" t="s">
        <v>1272</v>
      </c>
      <c r="F26" s="11" t="s">
        <v>1262</v>
      </c>
      <c r="G26" s="11" t="s">
        <v>1027</v>
      </c>
      <c r="H26" s="11" t="s">
        <v>1263</v>
      </c>
    </row>
    <row r="27" spans="1:8">
      <c r="A27" s="11" t="s">
        <v>1273</v>
      </c>
      <c r="B27" s="11" t="s">
        <v>1099</v>
      </c>
      <c r="C27" s="11" t="s">
        <v>1114</v>
      </c>
      <c r="D27" s="11" t="s">
        <v>1274</v>
      </c>
      <c r="E27" s="11" t="s">
        <v>1275</v>
      </c>
      <c r="F27" s="11" t="s">
        <v>1262</v>
      </c>
      <c r="G27" s="11" t="s">
        <v>1027</v>
      </c>
      <c r="H27" s="11" t="s">
        <v>1263</v>
      </c>
    </row>
    <row r="28" spans="1:8">
      <c r="A28" s="11" t="s">
        <v>1276</v>
      </c>
      <c r="B28" s="11" t="s">
        <v>1099</v>
      </c>
      <c r="C28" s="11" t="s">
        <v>1114</v>
      </c>
      <c r="D28" s="11" t="s">
        <v>1277</v>
      </c>
      <c r="E28" s="11" t="s">
        <v>1278</v>
      </c>
      <c r="F28" s="11" t="s">
        <v>1262</v>
      </c>
      <c r="G28" s="11" t="s">
        <v>1027</v>
      </c>
      <c r="H28" s="11" t="s">
        <v>1263</v>
      </c>
    </row>
    <row r="29" spans="1:8">
      <c r="A29" s="11" t="s">
        <v>1279</v>
      </c>
      <c r="B29" s="11" t="s">
        <v>1058</v>
      </c>
      <c r="C29" s="11" t="s">
        <v>1114</v>
      </c>
      <c r="D29" s="11" t="s">
        <v>1280</v>
      </c>
      <c r="E29" s="11" t="s">
        <v>1281</v>
      </c>
      <c r="F29" s="11" t="s">
        <v>1205</v>
      </c>
      <c r="G29" s="11" t="s">
        <v>1046</v>
      </c>
      <c r="H29" s="11"/>
    </row>
    <row r="30" spans="1:8">
      <c r="A30" s="11" t="s">
        <v>1282</v>
      </c>
      <c r="B30" s="11" t="s">
        <v>1058</v>
      </c>
      <c r="C30" s="11" t="s">
        <v>1114</v>
      </c>
      <c r="D30" s="11" t="s">
        <v>1229</v>
      </c>
      <c r="E30" s="11" t="s">
        <v>1283</v>
      </c>
      <c r="F30" s="11" t="s">
        <v>1205</v>
      </c>
      <c r="G30" s="11" t="s">
        <v>1046</v>
      </c>
      <c r="H30" s="11"/>
    </row>
    <row r="31" spans="1:8">
      <c r="A31" s="11" t="s">
        <v>1284</v>
      </c>
      <c r="B31" s="11" t="s">
        <v>1058</v>
      </c>
      <c r="C31" s="11" t="s">
        <v>1114</v>
      </c>
      <c r="D31" s="11" t="s">
        <v>1285</v>
      </c>
      <c r="E31" s="11" t="s">
        <v>1286</v>
      </c>
      <c r="F31" s="11" t="s">
        <v>1205</v>
      </c>
      <c r="G31" s="11" t="s">
        <v>1046</v>
      </c>
      <c r="H31" s="11"/>
    </row>
    <row r="32" spans="1:8">
      <c r="A32" s="11" t="s">
        <v>1287</v>
      </c>
      <c r="B32" s="11" t="s">
        <v>1058</v>
      </c>
      <c r="C32" s="11" t="s">
        <v>1114</v>
      </c>
      <c r="D32" s="11" t="s">
        <v>1288</v>
      </c>
      <c r="E32" s="11" t="s">
        <v>1289</v>
      </c>
      <c r="F32" s="11" t="s">
        <v>1205</v>
      </c>
      <c r="G32" s="11" t="s">
        <v>1046</v>
      </c>
      <c r="H32" s="11"/>
    </row>
    <row r="33" spans="1:8">
      <c r="A33" s="11" t="s">
        <v>1290</v>
      </c>
      <c r="B33" s="11" t="s">
        <v>1058</v>
      </c>
      <c r="C33" s="11" t="s">
        <v>1114</v>
      </c>
      <c r="D33" s="11" t="s">
        <v>1291</v>
      </c>
      <c r="E33" s="11" t="s">
        <v>1292</v>
      </c>
      <c r="F33" s="11" t="s">
        <v>1205</v>
      </c>
      <c r="G33" s="11" t="s">
        <v>1046</v>
      </c>
      <c r="H33" s="11"/>
    </row>
    <row r="34" spans="1:8">
      <c r="A34" s="11" t="s">
        <v>1293</v>
      </c>
      <c r="B34" s="11" t="s">
        <v>1058</v>
      </c>
      <c r="C34" s="11" t="s">
        <v>1114</v>
      </c>
      <c r="D34" s="11" t="s">
        <v>1294</v>
      </c>
      <c r="E34" s="11" t="s">
        <v>1295</v>
      </c>
      <c r="F34" s="11" t="s">
        <v>1205</v>
      </c>
      <c r="G34" s="11" t="s">
        <v>1046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69</v>
      </c>
      <c r="B1" s="10" t="s">
        <v>301</v>
      </c>
      <c r="C1" s="10" t="s">
        <v>302</v>
      </c>
      <c r="D1" s="10" t="s">
        <v>304</v>
      </c>
      <c r="E1" s="10" t="s">
        <v>306</v>
      </c>
      <c r="F1" s="10" t="s">
        <v>138</v>
      </c>
      <c r="G1" s="10" t="s">
        <v>308</v>
      </c>
      <c r="H1" s="10" t="s">
        <v>310</v>
      </c>
      <c r="I1" s="9" t="s">
        <v>311</v>
      </c>
    </row>
    <row r="2" spans="1:9" ht="25">
      <c r="A2" s="11" t="s">
        <v>1067</v>
      </c>
      <c r="B2" s="11">
        <v>1</v>
      </c>
      <c r="C2" s="11" t="s">
        <v>303</v>
      </c>
      <c r="D2" s="11" t="s">
        <v>305</v>
      </c>
      <c r="E2" s="11" t="s">
        <v>307</v>
      </c>
      <c r="F2" s="11" t="s">
        <v>397</v>
      </c>
      <c r="G2" s="11" t="s">
        <v>309</v>
      </c>
      <c r="H2" s="12" t="s">
        <v>1296</v>
      </c>
      <c r="I2" s="6"/>
    </row>
    <row r="3" spans="1:9">
      <c r="A3" s="11" t="s">
        <v>1053</v>
      </c>
      <c r="B3" s="11">
        <v>2</v>
      </c>
      <c r="C3" s="11" t="s">
        <v>303</v>
      </c>
      <c r="D3" s="11" t="s">
        <v>305</v>
      </c>
      <c r="E3" s="11" t="s">
        <v>307</v>
      </c>
      <c r="F3" s="11" t="s">
        <v>405</v>
      </c>
      <c r="G3" s="11" t="s">
        <v>309</v>
      </c>
      <c r="H3" s="12" t="s">
        <v>1297</v>
      </c>
      <c r="I3" s="6"/>
    </row>
    <row r="4" spans="1:9">
      <c r="A4" s="11" t="s">
        <v>1071</v>
      </c>
      <c r="B4" s="11">
        <v>3</v>
      </c>
      <c r="C4" s="11" t="s">
        <v>303</v>
      </c>
      <c r="D4" s="11" t="s">
        <v>305</v>
      </c>
      <c r="E4" s="11" t="s">
        <v>307</v>
      </c>
      <c r="F4" s="11" t="s">
        <v>420</v>
      </c>
      <c r="G4" s="11" t="s">
        <v>309</v>
      </c>
      <c r="H4" s="12" t="s">
        <v>1298</v>
      </c>
      <c r="I4" s="6"/>
    </row>
    <row r="5" spans="1:9">
      <c r="A5" s="11" t="s">
        <v>1058</v>
      </c>
      <c r="B5" s="11">
        <v>3</v>
      </c>
      <c r="C5" s="11" t="s">
        <v>303</v>
      </c>
      <c r="D5" s="11" t="s">
        <v>305</v>
      </c>
      <c r="E5" s="11" t="s">
        <v>307</v>
      </c>
      <c r="F5" s="11" t="s">
        <v>412</v>
      </c>
      <c r="G5" s="11" t="s">
        <v>309</v>
      </c>
      <c r="H5" s="12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75</v>
      </c>
      <c r="B1" s="10" t="s">
        <v>313</v>
      </c>
      <c r="C1" s="10" t="s">
        <v>315</v>
      </c>
      <c r="D1" s="10" t="s">
        <v>195</v>
      </c>
      <c r="E1" s="10" t="s">
        <v>67</v>
      </c>
      <c r="F1" s="10" t="s">
        <v>316</v>
      </c>
    </row>
    <row r="2" spans="1:6">
      <c r="A2" s="11" t="s">
        <v>1300</v>
      </c>
      <c r="B2" s="11" t="s">
        <v>1301</v>
      </c>
      <c r="C2" s="11" t="s">
        <v>1302</v>
      </c>
      <c r="D2" s="11"/>
      <c r="E2" s="11" t="s">
        <v>1021</v>
      </c>
      <c r="F2" s="11" t="s">
        <v>1303</v>
      </c>
    </row>
    <row r="3" spans="1:6">
      <c r="A3" s="11" t="s">
        <v>1304</v>
      </c>
      <c r="B3" s="11" t="s">
        <v>1305</v>
      </c>
      <c r="C3" s="11" t="s">
        <v>1306</v>
      </c>
      <c r="D3" s="11">
        <v>500</v>
      </c>
      <c r="E3" s="11" t="s">
        <v>1021</v>
      </c>
      <c r="F3" s="11" t="s">
        <v>1307</v>
      </c>
    </row>
    <row r="4" spans="1:6">
      <c r="A4" s="11" t="s">
        <v>1308</v>
      </c>
      <c r="B4" s="11" t="s">
        <v>1309</v>
      </c>
      <c r="C4" s="11" t="s">
        <v>1310</v>
      </c>
      <c r="D4" s="11"/>
      <c r="E4" s="11" t="s">
        <v>1021</v>
      </c>
      <c r="F4" s="11" t="s">
        <v>1307</v>
      </c>
    </row>
    <row r="5" spans="1:6">
      <c r="A5" s="11" t="s">
        <v>1311</v>
      </c>
      <c r="B5" s="11" t="s">
        <v>1312</v>
      </c>
      <c r="C5" s="11" t="s">
        <v>1313</v>
      </c>
      <c r="D5" s="11"/>
      <c r="E5" s="11" t="s">
        <v>1021</v>
      </c>
      <c r="F5" s="11" t="s">
        <v>1307</v>
      </c>
    </row>
    <row r="6" spans="1:6">
      <c r="A6" s="11" t="s">
        <v>1314</v>
      </c>
      <c r="B6" s="11" t="s">
        <v>1315</v>
      </c>
      <c r="C6" s="11" t="s">
        <v>1316</v>
      </c>
      <c r="D6" s="11">
        <v>20</v>
      </c>
      <c r="E6" s="11" t="s">
        <v>1021</v>
      </c>
      <c r="F6" s="11" t="s">
        <v>1307</v>
      </c>
    </row>
    <row r="7" spans="1:6">
      <c r="A7" s="11" t="s">
        <v>1317</v>
      </c>
      <c r="B7" s="11" t="s">
        <v>1318</v>
      </c>
      <c r="C7" s="11" t="s">
        <v>1319</v>
      </c>
      <c r="D7" s="11">
        <v>1</v>
      </c>
      <c r="E7" s="11" t="s">
        <v>1021</v>
      </c>
      <c r="F7" s="11" t="s">
        <v>1307</v>
      </c>
    </row>
    <row r="8" spans="1:6">
      <c r="A8" s="11" t="s">
        <v>1320</v>
      </c>
      <c r="B8" s="11" t="s">
        <v>1321</v>
      </c>
      <c r="C8" s="11" t="s">
        <v>1322</v>
      </c>
      <c r="D8" s="11"/>
      <c r="E8" s="11" t="s">
        <v>1021</v>
      </c>
      <c r="F8" s="11" t="s">
        <v>1307</v>
      </c>
    </row>
    <row r="9" spans="1:6">
      <c r="A9" s="11" t="s">
        <v>1323</v>
      </c>
      <c r="B9" s="11" t="s">
        <v>1324</v>
      </c>
      <c r="C9" s="11" t="s">
        <v>1325</v>
      </c>
      <c r="D9" s="11"/>
      <c r="E9" s="11" t="s">
        <v>1021</v>
      </c>
      <c r="F9" s="11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40" activePane="bottomLeft" state="frozen"/>
      <selection pane="bottomLeft" activeCell="A54" sqref="A54:XFD54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37</v>
      </c>
      <c r="B1" s="10" t="s">
        <v>1326</v>
      </c>
      <c r="C1" s="10" t="s">
        <v>1327</v>
      </c>
      <c r="D1" s="10" t="s">
        <v>1328</v>
      </c>
    </row>
    <row r="2" spans="1:4">
      <c r="A2" s="11" t="s">
        <v>1329</v>
      </c>
      <c r="B2" s="11" t="s">
        <v>25</v>
      </c>
      <c r="C2" s="12" t="s">
        <v>1330</v>
      </c>
      <c r="D2" s="12" t="s">
        <v>1331</v>
      </c>
    </row>
    <row r="3" spans="1:4">
      <c r="A3" s="11" t="s">
        <v>1332</v>
      </c>
      <c r="B3" s="11" t="s">
        <v>28</v>
      </c>
      <c r="C3" s="12" t="s">
        <v>1333</v>
      </c>
      <c r="D3" s="12" t="s">
        <v>1334</v>
      </c>
    </row>
    <row r="4" spans="1:4" ht="25">
      <c r="A4" s="11" t="s">
        <v>1335</v>
      </c>
      <c r="B4" s="11" t="s">
        <v>28</v>
      </c>
      <c r="C4" s="12" t="s">
        <v>1336</v>
      </c>
      <c r="D4" s="12" t="s">
        <v>1337</v>
      </c>
    </row>
    <row r="5" spans="1:4">
      <c r="A5" s="11" t="s">
        <v>1338</v>
      </c>
      <c r="B5" s="11" t="s">
        <v>31</v>
      </c>
      <c r="C5" s="12" t="s">
        <v>1339</v>
      </c>
      <c r="D5" s="12" t="s">
        <v>1340</v>
      </c>
    </row>
    <row r="6" spans="1:4" ht="37.5">
      <c r="A6" s="11" t="s">
        <v>1341</v>
      </c>
      <c r="B6" s="11" t="s">
        <v>31</v>
      </c>
      <c r="C6" s="38" t="s">
        <v>3920</v>
      </c>
      <c r="D6" s="12" t="s">
        <v>1342</v>
      </c>
    </row>
    <row r="7" spans="1:4" ht="25">
      <c r="A7" s="11" t="s">
        <v>1343</v>
      </c>
      <c r="B7" s="11" t="s">
        <v>34</v>
      </c>
      <c r="C7" s="12" t="s">
        <v>1344</v>
      </c>
      <c r="D7" s="12" t="s">
        <v>1345</v>
      </c>
    </row>
    <row r="8" spans="1:4">
      <c r="A8" s="11" t="s">
        <v>1346</v>
      </c>
      <c r="B8" s="11" t="s">
        <v>40</v>
      </c>
      <c r="C8" s="12" t="s">
        <v>1347</v>
      </c>
      <c r="D8" s="12" t="s">
        <v>1348</v>
      </c>
    </row>
    <row r="9" spans="1:4">
      <c r="A9" s="11" t="s">
        <v>1349</v>
      </c>
      <c r="B9" s="11" t="s">
        <v>43</v>
      </c>
      <c r="C9" s="12" t="s">
        <v>1350</v>
      </c>
      <c r="D9" s="12" t="s">
        <v>1351</v>
      </c>
    </row>
    <row r="10" spans="1:4">
      <c r="A10" s="11" t="s">
        <v>1352</v>
      </c>
      <c r="B10" s="11" t="s">
        <v>46</v>
      </c>
      <c r="C10" s="12" t="s">
        <v>1353</v>
      </c>
      <c r="D10" s="12" t="s">
        <v>1354</v>
      </c>
    </row>
    <row r="11" spans="1:4">
      <c r="A11" s="11" t="s">
        <v>1355</v>
      </c>
      <c r="B11" s="11" t="s">
        <v>1356</v>
      </c>
      <c r="C11" s="12" t="s">
        <v>1357</v>
      </c>
      <c r="D11" s="12" t="s">
        <v>1358</v>
      </c>
    </row>
    <row r="12" spans="1:4">
      <c r="A12" s="11" t="s">
        <v>1359</v>
      </c>
      <c r="B12" s="11" t="s">
        <v>918</v>
      </c>
      <c r="C12" s="12" t="s">
        <v>1360</v>
      </c>
      <c r="D12" s="12" t="s">
        <v>1361</v>
      </c>
    </row>
    <row r="13" spans="1:4">
      <c r="A13" s="11" t="s">
        <v>1362</v>
      </c>
      <c r="B13" s="11" t="s">
        <v>1363</v>
      </c>
      <c r="C13" s="12" t="s">
        <v>1364</v>
      </c>
      <c r="D13" s="12" t="s">
        <v>1365</v>
      </c>
    </row>
    <row r="14" spans="1:4">
      <c r="A14" s="11" t="s">
        <v>1366</v>
      </c>
      <c r="B14" s="11" t="s">
        <v>1367</v>
      </c>
      <c r="C14" s="12" t="s">
        <v>1368</v>
      </c>
      <c r="D14" s="12" t="s">
        <v>1369</v>
      </c>
    </row>
    <row r="15" spans="1:4">
      <c r="A15" s="11" t="s">
        <v>1370</v>
      </c>
      <c r="B15" s="11" t="s">
        <v>1371</v>
      </c>
      <c r="C15" s="12" t="s">
        <v>1372</v>
      </c>
      <c r="D15" s="12" t="s">
        <v>1373</v>
      </c>
    </row>
    <row r="16" spans="1:4">
      <c r="A16" s="11" t="s">
        <v>1374</v>
      </c>
      <c r="B16" s="11" t="s">
        <v>1371</v>
      </c>
      <c r="C16" s="12" t="s">
        <v>1375</v>
      </c>
      <c r="D16" s="12" t="s">
        <v>1376</v>
      </c>
    </row>
    <row r="17" spans="1:4">
      <c r="A17" s="11" t="s">
        <v>1377</v>
      </c>
      <c r="B17" s="11" t="s">
        <v>1371</v>
      </c>
      <c r="C17" s="12" t="s">
        <v>1378</v>
      </c>
      <c r="D17" s="12" t="s">
        <v>1379</v>
      </c>
    </row>
    <row r="18" spans="1:4" ht="25">
      <c r="A18" s="11" t="s">
        <v>1380</v>
      </c>
      <c r="B18" s="11" t="s">
        <v>79</v>
      </c>
      <c r="C18" s="12" t="s">
        <v>1381</v>
      </c>
      <c r="D18" s="12" t="s">
        <v>1382</v>
      </c>
    </row>
    <row r="19" spans="1:4">
      <c r="A19" s="11" t="s">
        <v>1383</v>
      </c>
      <c r="B19" s="11" t="s">
        <v>1384</v>
      </c>
      <c r="C19" s="12" t="s">
        <v>1385</v>
      </c>
      <c r="D19" s="12" t="s">
        <v>1386</v>
      </c>
    </row>
    <row r="20" spans="1:4" ht="25">
      <c r="A20" s="11" t="s">
        <v>1387</v>
      </c>
      <c r="B20" s="11" t="s">
        <v>1388</v>
      </c>
      <c r="C20" s="12" t="s">
        <v>1389</v>
      </c>
      <c r="D20" s="12" t="s">
        <v>1390</v>
      </c>
    </row>
    <row r="21" spans="1:4" ht="25">
      <c r="A21" s="11" t="s">
        <v>1391</v>
      </c>
      <c r="B21" s="11" t="s">
        <v>79</v>
      </c>
      <c r="C21" s="12" t="s">
        <v>1392</v>
      </c>
      <c r="D21" s="12" t="s">
        <v>1393</v>
      </c>
    </row>
    <row r="22" spans="1:4" ht="25">
      <c r="A22" s="11" t="s">
        <v>1394</v>
      </c>
      <c r="B22" s="11" t="s">
        <v>88</v>
      </c>
      <c r="C22" s="12" t="s">
        <v>1395</v>
      </c>
      <c r="D22" s="12" t="s">
        <v>1396</v>
      </c>
    </row>
    <row r="23" spans="1:4">
      <c r="A23" s="11" t="s">
        <v>1397</v>
      </c>
      <c r="B23" s="11" t="s">
        <v>1388</v>
      </c>
      <c r="C23" s="12" t="s">
        <v>1398</v>
      </c>
      <c r="D23" s="12" t="s">
        <v>1399</v>
      </c>
    </row>
    <row r="24" spans="1:4">
      <c r="A24" s="11" t="s">
        <v>1400</v>
      </c>
      <c r="B24" s="11" t="s">
        <v>1401</v>
      </c>
      <c r="C24" s="12" t="s">
        <v>1402</v>
      </c>
      <c r="D24" s="12" t="s">
        <v>1403</v>
      </c>
    </row>
    <row r="25" spans="1:4" ht="25">
      <c r="A25" s="11" t="s">
        <v>1404</v>
      </c>
      <c r="B25" s="11" t="s">
        <v>36</v>
      </c>
      <c r="C25" s="12" t="s">
        <v>1405</v>
      </c>
      <c r="D25" s="12" t="s">
        <v>1406</v>
      </c>
    </row>
    <row r="26" spans="1:4" ht="25">
      <c r="A26" s="11" t="s">
        <v>1407</v>
      </c>
      <c r="B26" s="11" t="s">
        <v>34</v>
      </c>
      <c r="C26" s="12" t="s">
        <v>1408</v>
      </c>
      <c r="D26" s="12" t="s">
        <v>1409</v>
      </c>
    </row>
    <row r="27" spans="1:4" ht="25">
      <c r="A27" s="11" t="s">
        <v>1410</v>
      </c>
      <c r="B27" s="11" t="s">
        <v>1411</v>
      </c>
      <c r="C27" s="12" t="s">
        <v>1412</v>
      </c>
      <c r="D27" s="12" t="s">
        <v>1413</v>
      </c>
    </row>
    <row r="28" spans="1:4">
      <c r="A28" s="11" t="s">
        <v>1414</v>
      </c>
      <c r="B28" s="11" t="s">
        <v>93</v>
      </c>
      <c r="C28" s="12" t="s">
        <v>1415</v>
      </c>
      <c r="D28" s="12" t="s">
        <v>1416</v>
      </c>
    </row>
    <row r="29" spans="1:4" ht="37.5">
      <c r="A29" s="6" t="s">
        <v>1417</v>
      </c>
      <c r="B29" s="6" t="s">
        <v>2084</v>
      </c>
      <c r="C29" s="5" t="s">
        <v>2529</v>
      </c>
      <c r="D29" s="5" t="s">
        <v>2530</v>
      </c>
    </row>
    <row r="30" spans="1:4" ht="62.5">
      <c r="A30" s="6" t="s">
        <v>1418</v>
      </c>
      <c r="B30" s="6" t="s">
        <v>2531</v>
      </c>
      <c r="C30" s="5" t="s">
        <v>2532</v>
      </c>
      <c r="D30" s="5" t="s">
        <v>2533</v>
      </c>
    </row>
    <row r="31" spans="1:4">
      <c r="A31" s="6" t="s">
        <v>1419</v>
      </c>
      <c r="B31" s="6" t="s">
        <v>2534</v>
      </c>
      <c r="C31" s="5" t="s">
        <v>2535</v>
      </c>
      <c r="D31" s="5" t="s">
        <v>2536</v>
      </c>
    </row>
    <row r="32" spans="1:4" ht="25">
      <c r="A32" s="6" t="s">
        <v>1420</v>
      </c>
      <c r="B32" s="6" t="s">
        <v>2537</v>
      </c>
      <c r="C32" s="5" t="s">
        <v>2538</v>
      </c>
      <c r="D32" s="5" t="s">
        <v>2539</v>
      </c>
    </row>
    <row r="33" spans="1:4">
      <c r="A33" s="6" t="s">
        <v>1421</v>
      </c>
      <c r="B33" s="6" t="s">
        <v>2540</v>
      </c>
      <c r="C33" s="5" t="s">
        <v>2541</v>
      </c>
      <c r="D33" s="5" t="s">
        <v>2542</v>
      </c>
    </row>
    <row r="34" spans="1:4" ht="62.5">
      <c r="A34" s="6" t="s">
        <v>1422</v>
      </c>
      <c r="B34" s="6" t="s">
        <v>2543</v>
      </c>
      <c r="C34" s="5" t="s">
        <v>2544</v>
      </c>
      <c r="D34" s="5" t="s">
        <v>2545</v>
      </c>
    </row>
    <row r="35" spans="1:4">
      <c r="A35" s="6" t="s">
        <v>1423</v>
      </c>
      <c r="B35" s="6" t="s">
        <v>2111</v>
      </c>
      <c r="C35" s="5" t="s">
        <v>2546</v>
      </c>
      <c r="D35" s="5" t="s">
        <v>2547</v>
      </c>
    </row>
    <row r="36" spans="1:4" ht="25">
      <c r="A36" s="6" t="s">
        <v>1424</v>
      </c>
      <c r="B36" s="6" t="s">
        <v>2548</v>
      </c>
      <c r="C36" s="5" t="s">
        <v>2549</v>
      </c>
      <c r="D36" s="5" t="s">
        <v>2550</v>
      </c>
    </row>
    <row r="37" spans="1:4" ht="25">
      <c r="A37" s="6" t="s">
        <v>1425</v>
      </c>
      <c r="B37" s="6" t="s">
        <v>2551</v>
      </c>
      <c r="C37" s="5" t="s">
        <v>2552</v>
      </c>
      <c r="D37" s="5" t="s">
        <v>2553</v>
      </c>
    </row>
    <row r="38" spans="1:4" ht="25">
      <c r="A38" s="6" t="s">
        <v>1426</v>
      </c>
      <c r="B38" s="6" t="s">
        <v>2554</v>
      </c>
      <c r="C38" s="5" t="s">
        <v>2555</v>
      </c>
      <c r="D38" s="5" t="s">
        <v>2556</v>
      </c>
    </row>
    <row r="39" spans="1:4" ht="62.5">
      <c r="A39" s="6" t="s">
        <v>1427</v>
      </c>
      <c r="B39" s="6" t="s">
        <v>2447</v>
      </c>
      <c r="C39" s="32" t="s">
        <v>2716</v>
      </c>
      <c r="D39" s="5" t="s">
        <v>2557</v>
      </c>
    </row>
    <row r="40" spans="1:4" ht="25">
      <c r="A40" s="6" t="s">
        <v>1428</v>
      </c>
      <c r="B40" s="6" t="s">
        <v>2558</v>
      </c>
      <c r="C40" s="5" t="s">
        <v>2559</v>
      </c>
      <c r="D40" s="5" t="s">
        <v>2560</v>
      </c>
    </row>
    <row r="41" spans="1:4" ht="25">
      <c r="A41" s="6" t="s">
        <v>1429</v>
      </c>
      <c r="B41" s="6" t="s">
        <v>2561</v>
      </c>
      <c r="C41" s="5" t="s">
        <v>2562</v>
      </c>
      <c r="D41" s="5" t="s">
        <v>2563</v>
      </c>
    </row>
    <row r="42" spans="1:4" ht="52">
      <c r="A42" s="6" t="s">
        <v>1430</v>
      </c>
      <c r="B42" s="6" t="s">
        <v>2505</v>
      </c>
      <c r="C42" s="23" t="s">
        <v>2675</v>
      </c>
      <c r="D42" s="23" t="s">
        <v>2676</v>
      </c>
    </row>
    <row r="43" spans="1:4" ht="25">
      <c r="A43" s="6" t="s">
        <v>1431</v>
      </c>
      <c r="B43" s="6" t="s">
        <v>2564</v>
      </c>
      <c r="C43" s="5" t="s">
        <v>2565</v>
      </c>
      <c r="D43" s="5" t="s">
        <v>2566</v>
      </c>
    </row>
    <row r="44" spans="1:4" ht="37.5">
      <c r="A44" s="6" t="s">
        <v>1432</v>
      </c>
      <c r="B44" s="6" t="s">
        <v>2567</v>
      </c>
      <c r="C44" s="5" t="s">
        <v>2568</v>
      </c>
      <c r="D44" s="5" t="s">
        <v>2569</v>
      </c>
    </row>
    <row r="45" spans="1:4" ht="37.5">
      <c r="A45" s="6" t="s">
        <v>1433</v>
      </c>
      <c r="B45" s="6" t="s">
        <v>2570</v>
      </c>
      <c r="C45" s="5" t="s">
        <v>2571</v>
      </c>
      <c r="D45" s="5" t="s">
        <v>2572</v>
      </c>
    </row>
    <row r="46" spans="1:4" ht="25">
      <c r="A46" s="6" t="s">
        <v>1434</v>
      </c>
      <c r="B46" s="6" t="s">
        <v>2573</v>
      </c>
      <c r="C46" s="5" t="s">
        <v>2574</v>
      </c>
      <c r="D46" s="5" t="s">
        <v>2575</v>
      </c>
    </row>
    <row r="47" spans="1:4" ht="25">
      <c r="A47" s="6" t="s">
        <v>1435</v>
      </c>
      <c r="B47" s="6" t="s">
        <v>2576</v>
      </c>
      <c r="C47" s="5" t="s">
        <v>2577</v>
      </c>
      <c r="D47" s="5" t="s">
        <v>2578</v>
      </c>
    </row>
    <row r="48" spans="1:4" ht="25">
      <c r="A48" s="6" t="s">
        <v>1436</v>
      </c>
      <c r="B48" s="6" t="s">
        <v>2579</v>
      </c>
      <c r="C48" s="5" t="s">
        <v>2580</v>
      </c>
      <c r="D48" s="5" t="s">
        <v>2581</v>
      </c>
    </row>
    <row r="49" spans="1:4" ht="26">
      <c r="A49" s="6" t="s">
        <v>1437</v>
      </c>
      <c r="B49" s="6" t="s">
        <v>2582</v>
      </c>
      <c r="C49" s="23" t="s">
        <v>2677</v>
      </c>
      <c r="D49" s="23" t="s">
        <v>2678</v>
      </c>
    </row>
    <row r="50" spans="1:4" ht="25">
      <c r="A50" s="6" t="s">
        <v>1438</v>
      </c>
      <c r="B50" s="6" t="s">
        <v>2583</v>
      </c>
      <c r="C50" s="32" t="s">
        <v>2717</v>
      </c>
      <c r="D50" s="5" t="s">
        <v>2584</v>
      </c>
    </row>
    <row r="51" spans="1:4" ht="39">
      <c r="A51" s="22" t="s">
        <v>1983</v>
      </c>
      <c r="B51" s="22" t="s">
        <v>2679</v>
      </c>
      <c r="C51" s="23" t="s">
        <v>2680</v>
      </c>
      <c r="D51" s="23" t="s">
        <v>2681</v>
      </c>
    </row>
    <row r="52" spans="1:4" ht="65">
      <c r="A52" s="22" t="s">
        <v>1990</v>
      </c>
      <c r="B52" s="22" t="s">
        <v>2647</v>
      </c>
      <c r="C52" s="23" t="s">
        <v>2648</v>
      </c>
      <c r="D52" s="23" t="s">
        <v>2649</v>
      </c>
    </row>
    <row r="53" spans="1:4" ht="52">
      <c r="A53" s="22" t="s">
        <v>2775</v>
      </c>
      <c r="B53" s="22" t="s">
        <v>2776</v>
      </c>
      <c r="C53" s="8" t="s">
        <v>3921</v>
      </c>
      <c r="D53" s="23" t="s">
        <v>2777</v>
      </c>
    </row>
    <row r="54" spans="1:4" ht="39">
      <c r="A54" s="22" t="s">
        <v>2778</v>
      </c>
      <c r="B54" s="22" t="s">
        <v>2779</v>
      </c>
      <c r="C54" s="8" t="s">
        <v>3922</v>
      </c>
      <c r="D54" s="23" t="s">
        <v>2780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98</v>
      </c>
      <c r="B1" s="16" t="s">
        <v>357</v>
      </c>
      <c r="C1" s="16" t="s">
        <v>358</v>
      </c>
      <c r="D1" s="16" t="s">
        <v>38</v>
      </c>
      <c r="E1" s="16" t="s">
        <v>360</v>
      </c>
      <c r="F1" s="16" t="s">
        <v>361</v>
      </c>
    </row>
    <row r="2" spans="1:6">
      <c r="A2" s="17" t="s">
        <v>1439</v>
      </c>
      <c r="B2" s="17" t="s">
        <v>465</v>
      </c>
      <c r="C2" s="17" t="s">
        <v>305</v>
      </c>
      <c r="D2" s="17" t="s">
        <v>464</v>
      </c>
      <c r="E2" s="17" t="s">
        <v>1440</v>
      </c>
      <c r="F2" s="17" t="s">
        <v>1441</v>
      </c>
    </row>
    <row r="3" spans="1:6">
      <c r="A3" s="17" t="s">
        <v>1442</v>
      </c>
      <c r="B3" s="17" t="s">
        <v>459</v>
      </c>
      <c r="C3" s="17" t="s">
        <v>305</v>
      </c>
      <c r="D3" s="17" t="s">
        <v>458</v>
      </c>
      <c r="E3" s="17" t="s">
        <v>1443</v>
      </c>
      <c r="F3" s="17" t="s">
        <v>1441</v>
      </c>
    </row>
    <row r="4" spans="1:6">
      <c r="A4" s="17" t="s">
        <v>1444</v>
      </c>
      <c r="B4" s="17" t="s">
        <v>468</v>
      </c>
      <c r="C4" s="17" t="s">
        <v>305</v>
      </c>
      <c r="D4" s="17" t="s">
        <v>467</v>
      </c>
      <c r="E4" s="17" t="s">
        <v>1445</v>
      </c>
      <c r="F4" s="17" t="s">
        <v>1441</v>
      </c>
    </row>
    <row r="5" spans="1:6">
      <c r="A5" s="17" t="s">
        <v>1446</v>
      </c>
      <c r="B5" s="17" t="s">
        <v>473</v>
      </c>
      <c r="C5" s="17" t="s">
        <v>1447</v>
      </c>
      <c r="D5" s="17" t="s">
        <v>472</v>
      </c>
      <c r="E5" s="17" t="s">
        <v>1448</v>
      </c>
      <c r="F5" s="17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369</v>
      </c>
      <c r="B1" s="18" t="s">
        <v>372</v>
      </c>
      <c r="C1" s="18" t="s">
        <v>155</v>
      </c>
      <c r="D1" s="18" t="s">
        <v>375</v>
      </c>
      <c r="E1" s="18" t="s">
        <v>67</v>
      </c>
      <c r="F1" s="18" t="s">
        <v>228</v>
      </c>
    </row>
    <row r="2" spans="1:6">
      <c r="A2" s="33" t="s">
        <v>371</v>
      </c>
      <c r="B2" s="33" t="s">
        <v>2697</v>
      </c>
      <c r="C2" s="31" t="s">
        <v>1950</v>
      </c>
      <c r="D2" s="31" t="s">
        <v>2698</v>
      </c>
      <c r="E2" s="31" t="s">
        <v>2699</v>
      </c>
      <c r="F2" s="33" t="s">
        <v>2700</v>
      </c>
    </row>
    <row r="3" spans="1:6">
      <c r="A3" s="34" t="s">
        <v>371</v>
      </c>
      <c r="B3" s="34" t="s">
        <v>2701</v>
      </c>
      <c r="C3" s="35" t="s">
        <v>1950</v>
      </c>
      <c r="D3" s="35" t="s">
        <v>2698</v>
      </c>
      <c r="E3" s="35" t="s">
        <v>2699</v>
      </c>
      <c r="F3" s="34" t="s">
        <v>2700</v>
      </c>
    </row>
    <row r="4" spans="1:6">
      <c r="A4" s="34" t="s">
        <v>371</v>
      </c>
      <c r="B4" s="34" t="s">
        <v>2702</v>
      </c>
      <c r="C4" s="35" t="s">
        <v>1950</v>
      </c>
      <c r="D4" s="35" t="s">
        <v>2698</v>
      </c>
      <c r="E4" s="35" t="s">
        <v>2699</v>
      </c>
      <c r="F4" s="34" t="s">
        <v>2700</v>
      </c>
    </row>
    <row r="5" spans="1:6">
      <c r="A5" s="34" t="s">
        <v>371</v>
      </c>
      <c r="B5" s="34" t="s">
        <v>2703</v>
      </c>
      <c r="C5" s="35" t="s">
        <v>1950</v>
      </c>
      <c r="D5" s="35" t="s">
        <v>2704</v>
      </c>
      <c r="E5" s="35" t="s">
        <v>2699</v>
      </c>
      <c r="F5" s="34" t="s">
        <v>2700</v>
      </c>
    </row>
    <row r="6" spans="1:6">
      <c r="A6" s="34" t="s">
        <v>371</v>
      </c>
      <c r="B6" s="34" t="s">
        <v>2705</v>
      </c>
      <c r="C6" s="35" t="s">
        <v>1950</v>
      </c>
      <c r="D6" s="35" t="s">
        <v>2704</v>
      </c>
      <c r="E6" s="35" t="s">
        <v>2699</v>
      </c>
      <c r="F6" s="34" t="s">
        <v>2700</v>
      </c>
    </row>
    <row r="7" spans="1:6">
      <c r="A7" s="34" t="s">
        <v>371</v>
      </c>
      <c r="B7" s="34" t="s">
        <v>2706</v>
      </c>
      <c r="C7" s="35" t="s">
        <v>1950</v>
      </c>
      <c r="D7" s="35" t="s">
        <v>2704</v>
      </c>
      <c r="E7" s="35" t="s">
        <v>2699</v>
      </c>
      <c r="F7" s="34" t="s">
        <v>2700</v>
      </c>
    </row>
    <row r="8" spans="1:6">
      <c r="A8" s="34" t="s">
        <v>371</v>
      </c>
      <c r="B8" s="34" t="s">
        <v>2707</v>
      </c>
      <c r="C8" s="35" t="s">
        <v>1950</v>
      </c>
      <c r="D8" s="35" t="s">
        <v>2698</v>
      </c>
      <c r="E8" s="35" t="s">
        <v>2699</v>
      </c>
      <c r="F8" s="34" t="s">
        <v>2700</v>
      </c>
    </row>
    <row r="9" spans="1:6">
      <c r="A9" s="34" t="s">
        <v>371</v>
      </c>
      <c r="B9" s="34" t="s">
        <v>2708</v>
      </c>
      <c r="C9" s="35" t="s">
        <v>1950</v>
      </c>
      <c r="D9" s="35" t="s">
        <v>2698</v>
      </c>
      <c r="E9" s="35" t="s">
        <v>2699</v>
      </c>
      <c r="F9" s="34" t="s">
        <v>2700</v>
      </c>
    </row>
    <row r="10" spans="1:6">
      <c r="A10" s="34" t="s">
        <v>371</v>
      </c>
      <c r="B10" s="34" t="s">
        <v>2709</v>
      </c>
      <c r="C10" s="35" t="s">
        <v>1950</v>
      </c>
      <c r="D10" s="35" t="s">
        <v>2698</v>
      </c>
      <c r="E10" s="35" t="s">
        <v>2699</v>
      </c>
      <c r="F10" s="34" t="s">
        <v>2700</v>
      </c>
    </row>
    <row r="11" spans="1:6">
      <c r="A11" s="34" t="s">
        <v>371</v>
      </c>
      <c r="B11" s="34" t="s">
        <v>2710</v>
      </c>
      <c r="C11" s="35" t="s">
        <v>1950</v>
      </c>
      <c r="D11" s="35" t="s">
        <v>2698</v>
      </c>
      <c r="E11" s="35" t="s">
        <v>2699</v>
      </c>
      <c r="F11" s="34" t="s">
        <v>2700</v>
      </c>
    </row>
    <row r="12" spans="1:6">
      <c r="A12" s="34" t="s">
        <v>371</v>
      </c>
      <c r="B12" s="34" t="s">
        <v>2711</v>
      </c>
      <c r="C12" s="35" t="s">
        <v>1950</v>
      </c>
      <c r="D12" s="35" t="s">
        <v>2704</v>
      </c>
      <c r="E12" s="35" t="s">
        <v>2699</v>
      </c>
      <c r="F12" s="34" t="s">
        <v>2700</v>
      </c>
    </row>
    <row r="13" spans="1:6">
      <c r="A13" s="34" t="s">
        <v>371</v>
      </c>
      <c r="B13" s="34" t="s">
        <v>2712</v>
      </c>
      <c r="C13" s="35" t="s">
        <v>1950</v>
      </c>
      <c r="D13" s="35" t="s">
        <v>2704</v>
      </c>
      <c r="E13" s="35" t="s">
        <v>2699</v>
      </c>
      <c r="F13" s="34" t="s">
        <v>2700</v>
      </c>
    </row>
    <row r="14" spans="1:6">
      <c r="A14" s="34" t="s">
        <v>371</v>
      </c>
      <c r="B14" s="34" t="s">
        <v>2713</v>
      </c>
      <c r="C14" s="35" t="s">
        <v>1950</v>
      </c>
      <c r="D14" s="35" t="s">
        <v>2704</v>
      </c>
      <c r="E14" s="35" t="s">
        <v>2699</v>
      </c>
      <c r="F14" s="34" t="s">
        <v>2700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04"/>
  <sheetViews>
    <sheetView showGridLines="0" workbookViewId="0">
      <pane ySplit="1" topLeftCell="A148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133</v>
      </c>
      <c r="B1" s="9" t="s">
        <v>134</v>
      </c>
      <c r="C1" s="9" t="s">
        <v>135</v>
      </c>
      <c r="D1" s="9" t="s">
        <v>136</v>
      </c>
      <c r="E1" s="9" t="s">
        <v>138</v>
      </c>
      <c r="F1" s="9" t="s">
        <v>139</v>
      </c>
      <c r="G1" s="9" t="s">
        <v>141</v>
      </c>
      <c r="H1" s="9" t="s">
        <v>143</v>
      </c>
      <c r="I1" s="9" t="s">
        <v>144</v>
      </c>
      <c r="J1" s="9" t="s">
        <v>146</v>
      </c>
      <c r="K1" s="9" t="s">
        <v>149</v>
      </c>
      <c r="L1" s="9" t="s">
        <v>150</v>
      </c>
      <c r="M1" s="9" t="s">
        <v>122</v>
      </c>
    </row>
    <row r="2" spans="1:13">
      <c r="A2" s="17" t="s">
        <v>1449</v>
      </c>
      <c r="B2" s="17" t="s">
        <v>391</v>
      </c>
      <c r="C2" s="17" t="s">
        <v>1450</v>
      </c>
      <c r="D2" s="17" t="s">
        <v>1451</v>
      </c>
      <c r="E2" s="17" t="s">
        <v>390</v>
      </c>
      <c r="F2" s="17" t="s">
        <v>1452</v>
      </c>
      <c r="G2" s="6" t="s">
        <v>1453</v>
      </c>
      <c r="H2" s="19" t="s">
        <v>1454</v>
      </c>
      <c r="I2" s="17" t="s">
        <v>502</v>
      </c>
      <c r="J2" s="17"/>
      <c r="K2" s="17" t="s">
        <v>1455</v>
      </c>
      <c r="L2" s="19" t="s">
        <v>1456</v>
      </c>
      <c r="M2" s="17">
        <v>2</v>
      </c>
    </row>
    <row r="3" spans="1:13">
      <c r="A3" s="17" t="s">
        <v>1457</v>
      </c>
      <c r="B3" s="17" t="s">
        <v>391</v>
      </c>
      <c r="C3" s="17" t="s">
        <v>1450</v>
      </c>
      <c r="D3" s="17" t="s">
        <v>1451</v>
      </c>
      <c r="E3" s="17" t="s">
        <v>390</v>
      </c>
      <c r="F3" s="17" t="s">
        <v>1003</v>
      </c>
      <c r="G3" s="17" t="s">
        <v>1458</v>
      </c>
      <c r="H3" s="19" t="s">
        <v>1459</v>
      </c>
      <c r="I3" s="17" t="s">
        <v>502</v>
      </c>
      <c r="J3" s="17"/>
      <c r="K3" s="17" t="s">
        <v>1455</v>
      </c>
      <c r="L3" s="19" t="s">
        <v>1456</v>
      </c>
      <c r="M3" s="17">
        <v>3</v>
      </c>
    </row>
    <row r="4" spans="1:13">
      <c r="A4" s="17" t="s">
        <v>1460</v>
      </c>
      <c r="B4" s="17" t="s">
        <v>391</v>
      </c>
      <c r="C4" s="17" t="s">
        <v>1450</v>
      </c>
      <c r="D4" s="17" t="s">
        <v>1451</v>
      </c>
      <c r="E4" s="17" t="s">
        <v>390</v>
      </c>
      <c r="F4" s="17" t="s">
        <v>1003</v>
      </c>
      <c r="G4" s="6" t="s">
        <v>1461</v>
      </c>
      <c r="H4" s="19" t="s">
        <v>1462</v>
      </c>
      <c r="I4" s="17" t="s">
        <v>502</v>
      </c>
      <c r="J4" s="17"/>
      <c r="K4" s="17" t="s">
        <v>1455</v>
      </c>
      <c r="L4" s="19" t="s">
        <v>1456</v>
      </c>
      <c r="M4" s="17">
        <v>4</v>
      </c>
    </row>
    <row r="5" spans="1:13">
      <c r="A5" s="17" t="s">
        <v>1463</v>
      </c>
      <c r="B5" s="17" t="s">
        <v>391</v>
      </c>
      <c r="C5" s="17" t="s">
        <v>1450</v>
      </c>
      <c r="D5" s="17" t="s">
        <v>1451</v>
      </c>
      <c r="E5" s="17" t="s">
        <v>390</v>
      </c>
      <c r="F5" s="17" t="s">
        <v>1464</v>
      </c>
      <c r="G5" s="6" t="s">
        <v>1465</v>
      </c>
      <c r="H5" s="19" t="s">
        <v>1466</v>
      </c>
      <c r="I5" s="17"/>
      <c r="J5" s="17"/>
      <c r="K5" s="17" t="s">
        <v>1455</v>
      </c>
      <c r="L5" s="19" t="s">
        <v>1456</v>
      </c>
      <c r="M5" s="17">
        <v>5</v>
      </c>
    </row>
    <row r="6" spans="1:13">
      <c r="A6" s="17" t="s">
        <v>1467</v>
      </c>
      <c r="B6" s="17" t="s">
        <v>391</v>
      </c>
      <c r="C6" s="17" t="s">
        <v>1450</v>
      </c>
      <c r="D6" s="17" t="s">
        <v>1451</v>
      </c>
      <c r="E6" s="17" t="s">
        <v>397</v>
      </c>
      <c r="F6" s="17" t="s">
        <v>1452</v>
      </c>
      <c r="G6" s="6" t="s">
        <v>1468</v>
      </c>
      <c r="H6" s="19" t="s">
        <v>1469</v>
      </c>
      <c r="I6" s="17" t="s">
        <v>502</v>
      </c>
      <c r="J6" s="17"/>
      <c r="K6" s="17" t="s">
        <v>1470</v>
      </c>
      <c r="L6" s="19" t="s">
        <v>1456</v>
      </c>
      <c r="M6" s="17">
        <v>6</v>
      </c>
    </row>
    <row r="7" spans="1:13">
      <c r="A7" s="17" t="s">
        <v>1471</v>
      </c>
      <c r="B7" s="17" t="s">
        <v>391</v>
      </c>
      <c r="C7" s="17" t="s">
        <v>1450</v>
      </c>
      <c r="D7" s="17" t="s">
        <v>1451</v>
      </c>
      <c r="E7" s="17" t="s">
        <v>397</v>
      </c>
      <c r="F7" s="17" t="s">
        <v>1003</v>
      </c>
      <c r="G7" s="6" t="s">
        <v>1472</v>
      </c>
      <c r="H7" s="19" t="s">
        <v>1473</v>
      </c>
      <c r="I7" s="17" t="s">
        <v>502</v>
      </c>
      <c r="J7" s="17"/>
      <c r="K7" s="17" t="s">
        <v>1470</v>
      </c>
      <c r="L7" s="19" t="s">
        <v>1456</v>
      </c>
      <c r="M7" s="17">
        <v>7</v>
      </c>
    </row>
    <row r="8" spans="1:13">
      <c r="A8" s="17" t="s">
        <v>1474</v>
      </c>
      <c r="B8" s="17" t="s">
        <v>391</v>
      </c>
      <c r="C8" s="17" t="s">
        <v>1450</v>
      </c>
      <c r="D8" s="17" t="s">
        <v>1451</v>
      </c>
      <c r="E8" s="17" t="s">
        <v>397</v>
      </c>
      <c r="F8" s="17" t="s">
        <v>1003</v>
      </c>
      <c r="G8" s="6" t="s">
        <v>1475</v>
      </c>
      <c r="H8" s="19" t="s">
        <v>1476</v>
      </c>
      <c r="I8" s="17"/>
      <c r="J8" s="17"/>
      <c r="K8" s="17" t="s">
        <v>1470</v>
      </c>
      <c r="L8" s="19" t="s">
        <v>1456</v>
      </c>
      <c r="M8" s="17">
        <v>8</v>
      </c>
    </row>
    <row r="9" spans="1:13">
      <c r="A9" s="17" t="s">
        <v>1477</v>
      </c>
      <c r="B9" s="17" t="s">
        <v>391</v>
      </c>
      <c r="C9" s="17" t="s">
        <v>1450</v>
      </c>
      <c r="D9" s="17" t="s">
        <v>1451</v>
      </c>
      <c r="E9" s="17" t="s">
        <v>397</v>
      </c>
      <c r="F9" s="17" t="s">
        <v>1464</v>
      </c>
      <c r="G9" s="6" t="s">
        <v>1478</v>
      </c>
      <c r="H9" s="19" t="s">
        <v>1479</v>
      </c>
      <c r="I9" s="17"/>
      <c r="J9" s="17"/>
      <c r="K9" s="17" t="s">
        <v>1470</v>
      </c>
      <c r="L9" s="19" t="s">
        <v>1456</v>
      </c>
      <c r="M9" s="17">
        <v>9</v>
      </c>
    </row>
    <row r="10" spans="1:13">
      <c r="A10" s="17" t="s">
        <v>1480</v>
      </c>
      <c r="B10" s="17" t="s">
        <v>391</v>
      </c>
      <c r="C10" s="17" t="s">
        <v>1450</v>
      </c>
      <c r="D10" s="17" t="s">
        <v>1451</v>
      </c>
      <c r="E10" s="17" t="s">
        <v>401</v>
      </c>
      <c r="F10" s="17" t="s">
        <v>1452</v>
      </c>
      <c r="G10" s="6" t="s">
        <v>1481</v>
      </c>
      <c r="H10" s="19" t="s">
        <v>1482</v>
      </c>
      <c r="I10" s="17" t="s">
        <v>503</v>
      </c>
      <c r="J10" s="17"/>
      <c r="K10" s="17" t="s">
        <v>1483</v>
      </c>
      <c r="L10" s="19" t="s">
        <v>1456</v>
      </c>
      <c r="M10" s="17">
        <v>10</v>
      </c>
    </row>
    <row r="11" spans="1:13">
      <c r="A11" s="17" t="s">
        <v>1484</v>
      </c>
      <c r="B11" s="17" t="s">
        <v>391</v>
      </c>
      <c r="C11" s="17" t="s">
        <v>1450</v>
      </c>
      <c r="D11" s="17" t="s">
        <v>1451</v>
      </c>
      <c r="E11" s="17" t="s">
        <v>401</v>
      </c>
      <c r="F11" s="17" t="s">
        <v>1003</v>
      </c>
      <c r="G11" s="6" t="s">
        <v>1485</v>
      </c>
      <c r="H11" s="19" t="s">
        <v>1486</v>
      </c>
      <c r="I11" s="17" t="s">
        <v>503</v>
      </c>
      <c r="J11" s="17"/>
      <c r="K11" s="17" t="s">
        <v>1487</v>
      </c>
      <c r="L11" s="19" t="s">
        <v>1456</v>
      </c>
      <c r="M11" s="17">
        <v>11</v>
      </c>
    </row>
    <row r="12" spans="1:13">
      <c r="A12" s="17" t="s">
        <v>1488</v>
      </c>
      <c r="B12" s="17" t="s">
        <v>391</v>
      </c>
      <c r="C12" s="17" t="s">
        <v>1450</v>
      </c>
      <c r="D12" s="17" t="s">
        <v>1451</v>
      </c>
      <c r="E12" s="17" t="s">
        <v>401</v>
      </c>
      <c r="F12" s="17" t="s">
        <v>1003</v>
      </c>
      <c r="G12" s="6" t="s">
        <v>1489</v>
      </c>
      <c r="H12" s="19" t="s">
        <v>1490</v>
      </c>
      <c r="I12" s="17" t="s">
        <v>500</v>
      </c>
      <c r="J12" s="17"/>
      <c r="K12" s="17" t="s">
        <v>1491</v>
      </c>
      <c r="L12" s="19" t="s">
        <v>1456</v>
      </c>
      <c r="M12" s="17">
        <v>12</v>
      </c>
    </row>
    <row r="13" spans="1:13">
      <c r="A13" s="17" t="s">
        <v>1492</v>
      </c>
      <c r="B13" s="17" t="s">
        <v>391</v>
      </c>
      <c r="C13" s="17" t="s">
        <v>1450</v>
      </c>
      <c r="D13" s="17" t="s">
        <v>1451</v>
      </c>
      <c r="E13" s="17" t="s">
        <v>401</v>
      </c>
      <c r="F13" s="17" t="s">
        <v>1464</v>
      </c>
      <c r="G13" s="6" t="s">
        <v>1493</v>
      </c>
      <c r="H13" s="19" t="s">
        <v>1494</v>
      </c>
      <c r="I13" s="17" t="s">
        <v>500</v>
      </c>
      <c r="J13" s="17"/>
      <c r="K13" s="17" t="s">
        <v>1487</v>
      </c>
      <c r="L13" s="19" t="s">
        <v>1456</v>
      </c>
      <c r="M13" s="17">
        <v>13</v>
      </c>
    </row>
    <row r="14" spans="1:13">
      <c r="A14" s="17" t="s">
        <v>1495</v>
      </c>
      <c r="B14" s="17" t="s">
        <v>391</v>
      </c>
      <c r="C14" s="17" t="s">
        <v>1450</v>
      </c>
      <c r="D14" s="17" t="s">
        <v>1451</v>
      </c>
      <c r="E14" s="17" t="s">
        <v>405</v>
      </c>
      <c r="F14" s="17" t="s">
        <v>1452</v>
      </c>
      <c r="G14" s="17" t="s">
        <v>1496</v>
      </c>
      <c r="H14" s="19" t="s">
        <v>1497</v>
      </c>
      <c r="I14" s="17" t="s">
        <v>501</v>
      </c>
      <c r="J14" s="17"/>
      <c r="K14" s="17" t="s">
        <v>1487</v>
      </c>
      <c r="L14" s="19" t="s">
        <v>1456</v>
      </c>
      <c r="M14" s="17">
        <v>14</v>
      </c>
    </row>
    <row r="15" spans="1:13">
      <c r="A15" s="17" t="s">
        <v>1498</v>
      </c>
      <c r="B15" s="17" t="s">
        <v>391</v>
      </c>
      <c r="C15" s="17" t="s">
        <v>1450</v>
      </c>
      <c r="D15" s="17" t="s">
        <v>1451</v>
      </c>
      <c r="E15" s="17" t="s">
        <v>405</v>
      </c>
      <c r="F15" s="17" t="s">
        <v>1003</v>
      </c>
      <c r="G15" s="17" t="s">
        <v>1499</v>
      </c>
      <c r="H15" s="19" t="s">
        <v>1500</v>
      </c>
      <c r="I15" s="17"/>
      <c r="J15" s="17"/>
      <c r="K15" s="17" t="s">
        <v>1483</v>
      </c>
      <c r="L15" s="19" t="s">
        <v>1456</v>
      </c>
      <c r="M15" s="17">
        <v>15</v>
      </c>
    </row>
    <row r="16" spans="1:13">
      <c r="A16" s="17" t="s">
        <v>1501</v>
      </c>
      <c r="B16" s="17" t="s">
        <v>391</v>
      </c>
      <c r="C16" s="17" t="s">
        <v>1450</v>
      </c>
      <c r="D16" s="17" t="s">
        <v>1451</v>
      </c>
      <c r="E16" s="17" t="s">
        <v>405</v>
      </c>
      <c r="F16" s="17" t="s">
        <v>1003</v>
      </c>
      <c r="G16" s="6" t="s">
        <v>1502</v>
      </c>
      <c r="H16" s="19" t="s">
        <v>1503</v>
      </c>
      <c r="I16" s="17"/>
      <c r="J16" s="17"/>
      <c r="K16" s="17" t="s">
        <v>1491</v>
      </c>
      <c r="L16" s="19" t="s">
        <v>1456</v>
      </c>
      <c r="M16" s="17">
        <v>16</v>
      </c>
    </row>
    <row r="17" spans="1:13">
      <c r="A17" s="17" t="s">
        <v>1504</v>
      </c>
      <c r="B17" s="17" t="s">
        <v>391</v>
      </c>
      <c r="C17" s="17" t="s">
        <v>1450</v>
      </c>
      <c r="D17" s="17" t="s">
        <v>1451</v>
      </c>
      <c r="E17" s="17" t="s">
        <v>405</v>
      </c>
      <c r="F17" s="17" t="s">
        <v>1464</v>
      </c>
      <c r="G17" s="6" t="s">
        <v>1505</v>
      </c>
      <c r="H17" s="19" t="s">
        <v>1506</v>
      </c>
      <c r="I17" s="17"/>
      <c r="J17" s="17"/>
      <c r="K17" s="17" t="s">
        <v>1455</v>
      </c>
      <c r="L17" s="19" t="s">
        <v>1507</v>
      </c>
      <c r="M17" s="17">
        <v>17</v>
      </c>
    </row>
    <row r="18" spans="1:13">
      <c r="A18" s="17" t="s">
        <v>1508</v>
      </c>
      <c r="B18" s="17" t="s">
        <v>391</v>
      </c>
      <c r="C18" s="17" t="s">
        <v>1450</v>
      </c>
      <c r="D18" s="17" t="s">
        <v>1451</v>
      </c>
      <c r="E18" s="17" t="s">
        <v>412</v>
      </c>
      <c r="F18" s="17" t="s">
        <v>1452</v>
      </c>
      <c r="G18" s="6" t="s">
        <v>1509</v>
      </c>
      <c r="H18" s="19" t="s">
        <v>1510</v>
      </c>
      <c r="I18" s="17"/>
      <c r="J18" s="17"/>
      <c r="K18" s="17" t="s">
        <v>1511</v>
      </c>
      <c r="L18" s="19" t="s">
        <v>1456</v>
      </c>
      <c r="M18" s="17">
        <v>18</v>
      </c>
    </row>
    <row r="19" spans="1:13">
      <c r="A19" s="17" t="s">
        <v>1512</v>
      </c>
      <c r="B19" s="17" t="s">
        <v>391</v>
      </c>
      <c r="C19" s="17" t="s">
        <v>1450</v>
      </c>
      <c r="D19" s="17" t="s">
        <v>1451</v>
      </c>
      <c r="E19" s="17" t="s">
        <v>412</v>
      </c>
      <c r="F19" s="17" t="s">
        <v>1003</v>
      </c>
      <c r="G19" s="6" t="s">
        <v>1513</v>
      </c>
      <c r="H19" s="19" t="s">
        <v>1514</v>
      </c>
      <c r="I19" s="17"/>
      <c r="J19" s="17"/>
      <c r="K19" s="17" t="s">
        <v>1511</v>
      </c>
      <c r="L19" s="19" t="s">
        <v>1507</v>
      </c>
      <c r="M19" s="17">
        <v>19</v>
      </c>
    </row>
    <row r="20" spans="1:13">
      <c r="A20" s="17" t="s">
        <v>1515</v>
      </c>
      <c r="B20" s="17" t="s">
        <v>391</v>
      </c>
      <c r="C20" s="17" t="s">
        <v>1450</v>
      </c>
      <c r="D20" s="17" t="s">
        <v>1451</v>
      </c>
      <c r="E20" s="17" t="s">
        <v>412</v>
      </c>
      <c r="F20" s="17" t="s">
        <v>1464</v>
      </c>
      <c r="G20" s="6" t="s">
        <v>1516</v>
      </c>
      <c r="H20" s="19" t="s">
        <v>1517</v>
      </c>
      <c r="I20" s="17" t="s">
        <v>501</v>
      </c>
      <c r="J20" s="17"/>
      <c r="K20" s="17" t="s">
        <v>1511</v>
      </c>
      <c r="L20" s="19" t="s">
        <v>1507</v>
      </c>
      <c r="M20" s="17">
        <v>20</v>
      </c>
    </row>
    <row r="21" spans="1:13">
      <c r="A21" s="17" t="s">
        <v>1518</v>
      </c>
      <c r="B21" s="17" t="s">
        <v>391</v>
      </c>
      <c r="C21" s="17" t="s">
        <v>1450</v>
      </c>
      <c r="D21" s="17" t="s">
        <v>1451</v>
      </c>
      <c r="E21" s="17" t="s">
        <v>416</v>
      </c>
      <c r="F21" s="17" t="s">
        <v>1452</v>
      </c>
      <c r="G21" s="6" t="s">
        <v>1519</v>
      </c>
      <c r="H21" s="19" t="s">
        <v>1520</v>
      </c>
      <c r="I21" s="17" t="s">
        <v>502</v>
      </c>
      <c r="J21" s="17"/>
      <c r="K21" s="17" t="s">
        <v>1470</v>
      </c>
      <c r="L21" s="19" t="s">
        <v>1456</v>
      </c>
      <c r="M21" s="17">
        <v>21</v>
      </c>
    </row>
    <row r="22" spans="1:13">
      <c r="A22" s="17" t="s">
        <v>1521</v>
      </c>
      <c r="B22" s="17" t="s">
        <v>391</v>
      </c>
      <c r="C22" s="17" t="s">
        <v>1450</v>
      </c>
      <c r="D22" s="17" t="s">
        <v>1451</v>
      </c>
      <c r="E22" s="17" t="s">
        <v>416</v>
      </c>
      <c r="F22" s="17" t="s">
        <v>1003</v>
      </c>
      <c r="G22" s="6" t="s">
        <v>1522</v>
      </c>
      <c r="H22" s="19" t="s">
        <v>1523</v>
      </c>
      <c r="I22" s="17" t="s">
        <v>502</v>
      </c>
      <c r="J22" s="17"/>
      <c r="K22" s="17" t="s">
        <v>1470</v>
      </c>
      <c r="L22" s="19" t="s">
        <v>1456</v>
      </c>
      <c r="M22" s="17">
        <v>22</v>
      </c>
    </row>
    <row r="23" spans="1:13">
      <c r="A23" s="17" t="s">
        <v>1524</v>
      </c>
      <c r="B23" s="17" t="s">
        <v>391</v>
      </c>
      <c r="C23" s="17" t="s">
        <v>1450</v>
      </c>
      <c r="D23" s="17" t="s">
        <v>1451</v>
      </c>
      <c r="E23" s="17" t="s">
        <v>416</v>
      </c>
      <c r="F23" s="17" t="s">
        <v>1464</v>
      </c>
      <c r="G23" s="6" t="s">
        <v>1525</v>
      </c>
      <c r="H23" s="19" t="s">
        <v>1526</v>
      </c>
      <c r="I23" s="17" t="s">
        <v>502</v>
      </c>
      <c r="J23" s="17"/>
      <c r="K23" s="17" t="s">
        <v>1470</v>
      </c>
      <c r="L23" s="19" t="s">
        <v>1456</v>
      </c>
      <c r="M23" s="17">
        <v>23</v>
      </c>
    </row>
    <row r="24" spans="1:13">
      <c r="A24" s="17" t="s">
        <v>1527</v>
      </c>
      <c r="B24" s="17" t="s">
        <v>391</v>
      </c>
      <c r="C24" s="17" t="s">
        <v>1450</v>
      </c>
      <c r="D24" s="17" t="s">
        <v>1451</v>
      </c>
      <c r="E24" s="17" t="s">
        <v>420</v>
      </c>
      <c r="F24" s="17" t="s">
        <v>1452</v>
      </c>
      <c r="G24" s="6" t="s">
        <v>1528</v>
      </c>
      <c r="H24" s="19" t="s">
        <v>1529</v>
      </c>
      <c r="I24" s="17" t="s">
        <v>501</v>
      </c>
      <c r="J24" s="17"/>
      <c r="K24" s="17" t="s">
        <v>1455</v>
      </c>
      <c r="L24" s="19" t="s">
        <v>1456</v>
      </c>
      <c r="M24" s="17">
        <v>24</v>
      </c>
    </row>
    <row r="25" spans="1:13">
      <c r="A25" s="17" t="s">
        <v>1530</v>
      </c>
      <c r="B25" s="17" t="s">
        <v>391</v>
      </c>
      <c r="C25" s="17" t="s">
        <v>1450</v>
      </c>
      <c r="D25" s="17" t="s">
        <v>1451</v>
      </c>
      <c r="E25" s="17" t="s">
        <v>420</v>
      </c>
      <c r="F25" s="17" t="s">
        <v>1003</v>
      </c>
      <c r="G25" s="6" t="s">
        <v>1531</v>
      </c>
      <c r="H25" s="19" t="s">
        <v>1532</v>
      </c>
      <c r="I25" s="17" t="s">
        <v>504</v>
      </c>
      <c r="J25" s="17"/>
      <c r="K25" s="17" t="s">
        <v>1470</v>
      </c>
      <c r="L25" s="19" t="s">
        <v>1456</v>
      </c>
      <c r="M25" s="17">
        <v>25</v>
      </c>
    </row>
    <row r="26" spans="1:13">
      <c r="A26" s="17" t="s">
        <v>1533</v>
      </c>
      <c r="B26" s="17" t="s">
        <v>391</v>
      </c>
      <c r="C26" s="17" t="s">
        <v>1450</v>
      </c>
      <c r="D26" s="17" t="s">
        <v>1451</v>
      </c>
      <c r="E26" s="17" t="s">
        <v>420</v>
      </c>
      <c r="F26" s="17" t="s">
        <v>1464</v>
      </c>
      <c r="G26" s="6" t="s">
        <v>1534</v>
      </c>
      <c r="H26" s="19" t="s">
        <v>1535</v>
      </c>
      <c r="I26" s="17"/>
      <c r="J26" s="17"/>
      <c r="K26" s="17" t="s">
        <v>1536</v>
      </c>
      <c r="L26" s="19" t="s">
        <v>1456</v>
      </c>
      <c r="M26" s="17">
        <v>26</v>
      </c>
    </row>
    <row r="27" spans="1:13">
      <c r="A27" s="17" t="s">
        <v>1537</v>
      </c>
      <c r="B27" s="17" t="s">
        <v>391</v>
      </c>
      <c r="C27" s="17" t="s">
        <v>1450</v>
      </c>
      <c r="D27" s="17" t="s">
        <v>1538</v>
      </c>
      <c r="E27" s="17"/>
      <c r="F27" s="17"/>
      <c r="G27" s="6" t="s">
        <v>1539</v>
      </c>
      <c r="H27" s="19" t="s">
        <v>1540</v>
      </c>
      <c r="I27" s="17" t="s">
        <v>502</v>
      </c>
      <c r="J27" s="17"/>
      <c r="K27" s="17" t="s">
        <v>1455</v>
      </c>
      <c r="L27" s="19" t="s">
        <v>1507</v>
      </c>
      <c r="M27" s="17">
        <v>27</v>
      </c>
    </row>
    <row r="28" spans="1:13">
      <c r="A28" s="17" t="s">
        <v>1541</v>
      </c>
      <c r="B28" s="17" t="s">
        <v>391</v>
      </c>
      <c r="C28" s="17" t="s">
        <v>1450</v>
      </c>
      <c r="D28" s="17" t="s">
        <v>1538</v>
      </c>
      <c r="E28" s="17"/>
      <c r="F28" s="17"/>
      <c r="G28" s="6" t="s">
        <v>1542</v>
      </c>
      <c r="H28" s="19" t="s">
        <v>1543</v>
      </c>
      <c r="I28" s="17" t="s">
        <v>502</v>
      </c>
      <c r="J28" s="17"/>
      <c r="K28" s="17" t="s">
        <v>1455</v>
      </c>
      <c r="L28" s="19" t="s">
        <v>1456</v>
      </c>
      <c r="M28" s="17">
        <v>28</v>
      </c>
    </row>
    <row r="29" spans="1:13">
      <c r="A29" s="17" t="s">
        <v>1544</v>
      </c>
      <c r="B29" s="17" t="s">
        <v>391</v>
      </c>
      <c r="C29" s="17" t="s">
        <v>1450</v>
      </c>
      <c r="D29" s="17" t="s">
        <v>1538</v>
      </c>
      <c r="E29" s="17"/>
      <c r="F29" s="17"/>
      <c r="G29" s="6" t="s">
        <v>1545</v>
      </c>
      <c r="H29" s="19" t="s">
        <v>1546</v>
      </c>
      <c r="I29" s="17" t="s">
        <v>502</v>
      </c>
      <c r="J29" s="17"/>
      <c r="K29" s="17" t="s">
        <v>1455</v>
      </c>
      <c r="L29" s="19" t="s">
        <v>1456</v>
      </c>
      <c r="M29" s="17">
        <v>29</v>
      </c>
    </row>
    <row r="30" spans="1:13">
      <c r="A30" s="17" t="s">
        <v>1547</v>
      </c>
      <c r="B30" s="17" t="s">
        <v>391</v>
      </c>
      <c r="C30" s="17" t="s">
        <v>1450</v>
      </c>
      <c r="D30" s="17" t="s">
        <v>1548</v>
      </c>
      <c r="E30" s="17"/>
      <c r="F30" s="17"/>
      <c r="G30" s="6" t="s">
        <v>1549</v>
      </c>
      <c r="H30" s="19" t="s">
        <v>1550</v>
      </c>
      <c r="I30" s="17"/>
      <c r="J30" s="17"/>
      <c r="K30" s="17" t="s">
        <v>1491</v>
      </c>
      <c r="L30" s="19" t="s">
        <v>1507</v>
      </c>
      <c r="M30" s="17">
        <v>30</v>
      </c>
    </row>
    <row r="31" spans="1:13">
      <c r="A31" s="17" t="s">
        <v>1551</v>
      </c>
      <c r="B31" s="17" t="s">
        <v>391</v>
      </c>
      <c r="C31" s="17" t="s">
        <v>1450</v>
      </c>
      <c r="D31" s="17" t="s">
        <v>1548</v>
      </c>
      <c r="E31" s="17"/>
      <c r="F31" s="17"/>
      <c r="G31" s="6" t="s">
        <v>1552</v>
      </c>
      <c r="H31" s="19" t="s">
        <v>1553</v>
      </c>
      <c r="I31" s="17"/>
      <c r="J31" s="17"/>
      <c r="K31" s="17" t="s">
        <v>1455</v>
      </c>
      <c r="L31" s="19" t="s">
        <v>1507</v>
      </c>
      <c r="M31" s="17">
        <v>31</v>
      </c>
    </row>
    <row r="32" spans="1:13">
      <c r="A32" s="17" t="s">
        <v>1554</v>
      </c>
      <c r="B32" s="17" t="s">
        <v>391</v>
      </c>
      <c r="C32" s="17" t="s">
        <v>1450</v>
      </c>
      <c r="D32" s="17" t="s">
        <v>1548</v>
      </c>
      <c r="E32" s="17"/>
      <c r="F32" s="17"/>
      <c r="G32" s="6" t="s">
        <v>1555</v>
      </c>
      <c r="H32" s="19" t="s">
        <v>1556</v>
      </c>
      <c r="I32" s="17"/>
      <c r="J32" s="17"/>
      <c r="K32" s="17" t="s">
        <v>1491</v>
      </c>
      <c r="L32" s="19" t="s">
        <v>1456</v>
      </c>
      <c r="M32" s="17">
        <v>32</v>
      </c>
    </row>
    <row r="33" spans="1:13">
      <c r="A33" s="17" t="s">
        <v>1557</v>
      </c>
      <c r="B33" s="17" t="s">
        <v>391</v>
      </c>
      <c r="C33" s="17" t="s">
        <v>1450</v>
      </c>
      <c r="D33" s="17" t="s">
        <v>1451</v>
      </c>
      <c r="E33" s="17" t="s">
        <v>390</v>
      </c>
      <c r="F33" s="17" t="s">
        <v>1452</v>
      </c>
      <c r="G33" s="6" t="s">
        <v>1558</v>
      </c>
      <c r="H33" s="19" t="s">
        <v>1559</v>
      </c>
      <c r="I33" s="17" t="s">
        <v>502</v>
      </c>
      <c r="J33" s="17"/>
      <c r="K33" s="17" t="s">
        <v>1560</v>
      </c>
      <c r="L33" s="19" t="s">
        <v>1507</v>
      </c>
      <c r="M33" s="17">
        <v>33</v>
      </c>
    </row>
    <row r="34" spans="1:13">
      <c r="A34" s="17" t="s">
        <v>1561</v>
      </c>
      <c r="B34" s="17" t="s">
        <v>391</v>
      </c>
      <c r="C34" s="17" t="s">
        <v>1450</v>
      </c>
      <c r="D34" s="17" t="s">
        <v>1451</v>
      </c>
      <c r="E34" s="17" t="s">
        <v>390</v>
      </c>
      <c r="F34" s="17" t="s">
        <v>1003</v>
      </c>
      <c r="G34" s="6" t="s">
        <v>1562</v>
      </c>
      <c r="H34" s="19" t="s">
        <v>1563</v>
      </c>
      <c r="I34" s="17"/>
      <c r="J34" s="17"/>
      <c r="K34" s="17" t="s">
        <v>1455</v>
      </c>
      <c r="L34" s="19" t="s">
        <v>1456</v>
      </c>
      <c r="M34" s="17">
        <v>34</v>
      </c>
    </row>
    <row r="35" spans="1:13">
      <c r="A35" s="17" t="s">
        <v>1564</v>
      </c>
      <c r="B35" s="17" t="s">
        <v>391</v>
      </c>
      <c r="C35" s="17" t="s">
        <v>1450</v>
      </c>
      <c r="D35" s="17" t="s">
        <v>1451</v>
      </c>
      <c r="E35" s="17" t="s">
        <v>390</v>
      </c>
      <c r="F35" s="17" t="s">
        <v>1464</v>
      </c>
      <c r="G35" s="6" t="s">
        <v>1565</v>
      </c>
      <c r="H35" s="19" t="s">
        <v>1566</v>
      </c>
      <c r="I35" s="17" t="s">
        <v>502</v>
      </c>
      <c r="J35" s="17"/>
      <c r="K35" s="17" t="s">
        <v>1455</v>
      </c>
      <c r="L35" s="19" t="s">
        <v>1456</v>
      </c>
      <c r="M35" s="17">
        <v>35</v>
      </c>
    </row>
    <row r="36" spans="1:13">
      <c r="A36" s="17" t="s">
        <v>1567</v>
      </c>
      <c r="B36" s="17" t="s">
        <v>391</v>
      </c>
      <c r="C36" s="17" t="s">
        <v>1450</v>
      </c>
      <c r="D36" s="17" t="s">
        <v>1451</v>
      </c>
      <c r="E36" s="17" t="s">
        <v>397</v>
      </c>
      <c r="F36" s="17" t="s">
        <v>1452</v>
      </c>
      <c r="G36" s="6" t="s">
        <v>1568</v>
      </c>
      <c r="H36" s="19" t="s">
        <v>1569</v>
      </c>
      <c r="I36" s="17"/>
      <c r="J36" s="17"/>
      <c r="K36" s="17" t="s">
        <v>1487</v>
      </c>
      <c r="L36" s="19" t="s">
        <v>1456</v>
      </c>
      <c r="M36" s="17">
        <v>37</v>
      </c>
    </row>
    <row r="37" spans="1:13">
      <c r="A37" s="17" t="s">
        <v>1570</v>
      </c>
      <c r="B37" s="17" t="s">
        <v>391</v>
      </c>
      <c r="C37" s="17" t="s">
        <v>1450</v>
      </c>
      <c r="D37" s="17" t="s">
        <v>1451</v>
      </c>
      <c r="E37" s="17" t="s">
        <v>397</v>
      </c>
      <c r="F37" s="17" t="s">
        <v>1452</v>
      </c>
      <c r="G37" s="6" t="s">
        <v>1571</v>
      </c>
      <c r="H37" s="19" t="s">
        <v>1572</v>
      </c>
      <c r="I37" s="17" t="s">
        <v>502</v>
      </c>
      <c r="J37" s="17"/>
      <c r="K37" s="17" t="s">
        <v>1470</v>
      </c>
      <c r="L37" s="19" t="s">
        <v>1573</v>
      </c>
      <c r="M37" s="17">
        <v>38</v>
      </c>
    </row>
    <row r="38" spans="1:13">
      <c r="A38" s="17" t="s">
        <v>1574</v>
      </c>
      <c r="B38" s="17" t="s">
        <v>391</v>
      </c>
      <c r="C38" s="17" t="s">
        <v>1450</v>
      </c>
      <c r="D38" s="17" t="s">
        <v>1451</v>
      </c>
      <c r="E38" s="17" t="s">
        <v>397</v>
      </c>
      <c r="F38" s="17" t="s">
        <v>1003</v>
      </c>
      <c r="G38" s="6" t="s">
        <v>1575</v>
      </c>
      <c r="H38" s="19" t="s">
        <v>1576</v>
      </c>
      <c r="I38" s="17" t="s">
        <v>502</v>
      </c>
      <c r="J38" s="17"/>
      <c r="K38" s="17" t="s">
        <v>1470</v>
      </c>
      <c r="L38" s="19" t="s">
        <v>1456</v>
      </c>
      <c r="M38" s="17">
        <v>39</v>
      </c>
    </row>
    <row r="39" spans="1:13">
      <c r="A39" s="17" t="s">
        <v>1577</v>
      </c>
      <c r="B39" s="17" t="s">
        <v>391</v>
      </c>
      <c r="C39" s="17" t="s">
        <v>1450</v>
      </c>
      <c r="D39" s="17" t="s">
        <v>1451</v>
      </c>
      <c r="E39" s="17" t="s">
        <v>397</v>
      </c>
      <c r="F39" s="17" t="s">
        <v>1464</v>
      </c>
      <c r="G39" s="6" t="s">
        <v>1578</v>
      </c>
      <c r="H39" s="19" t="s">
        <v>1579</v>
      </c>
      <c r="I39" s="17" t="s">
        <v>502</v>
      </c>
      <c r="J39" s="17"/>
      <c r="K39" s="17" t="s">
        <v>1470</v>
      </c>
      <c r="L39" s="19" t="s">
        <v>1456</v>
      </c>
      <c r="M39" s="17">
        <v>40</v>
      </c>
    </row>
    <row r="40" spans="1:13">
      <c r="A40" s="17" t="s">
        <v>1580</v>
      </c>
      <c r="B40" s="17" t="s">
        <v>391</v>
      </c>
      <c r="C40" s="17" t="s">
        <v>1450</v>
      </c>
      <c r="D40" s="17" t="s">
        <v>1451</v>
      </c>
      <c r="E40" s="17" t="s">
        <v>397</v>
      </c>
      <c r="F40" s="17" t="s">
        <v>1464</v>
      </c>
      <c r="G40" s="6" t="s">
        <v>1581</v>
      </c>
      <c r="H40" s="19" t="s">
        <v>1582</v>
      </c>
      <c r="I40" s="17"/>
      <c r="J40" s="17"/>
      <c r="K40" s="17" t="s">
        <v>1470</v>
      </c>
      <c r="L40" s="19" t="s">
        <v>1573</v>
      </c>
      <c r="M40" s="17">
        <v>41</v>
      </c>
    </row>
    <row r="41" spans="1:13">
      <c r="A41" s="17" t="s">
        <v>1583</v>
      </c>
      <c r="B41" s="17" t="s">
        <v>391</v>
      </c>
      <c r="C41" s="17" t="s">
        <v>1450</v>
      </c>
      <c r="D41" s="17" t="s">
        <v>1451</v>
      </c>
      <c r="E41" s="17" t="s">
        <v>401</v>
      </c>
      <c r="F41" s="17" t="s">
        <v>1452</v>
      </c>
      <c r="G41" s="6" t="s">
        <v>1584</v>
      </c>
      <c r="H41" s="19" t="s">
        <v>1585</v>
      </c>
      <c r="I41" s="17"/>
      <c r="J41" s="17"/>
      <c r="K41" s="17" t="s">
        <v>1487</v>
      </c>
      <c r="L41" s="19" t="s">
        <v>1456</v>
      </c>
      <c r="M41" s="17">
        <v>42</v>
      </c>
    </row>
    <row r="42" spans="1:13">
      <c r="A42" s="17" t="s">
        <v>1586</v>
      </c>
      <c r="B42" s="17" t="s">
        <v>391</v>
      </c>
      <c r="C42" s="17" t="s">
        <v>1450</v>
      </c>
      <c r="D42" s="17" t="s">
        <v>1451</v>
      </c>
      <c r="E42" s="17" t="s">
        <v>401</v>
      </c>
      <c r="F42" s="17" t="s">
        <v>1452</v>
      </c>
      <c r="G42" s="17" t="s">
        <v>1587</v>
      </c>
      <c r="H42" s="19" t="s">
        <v>1588</v>
      </c>
      <c r="I42" s="17" t="s">
        <v>503</v>
      </c>
      <c r="J42" s="17"/>
      <c r="K42" s="17" t="s">
        <v>1487</v>
      </c>
      <c r="L42" s="19" t="s">
        <v>1456</v>
      </c>
      <c r="M42" s="17">
        <v>43</v>
      </c>
    </row>
    <row r="43" spans="1:13">
      <c r="A43" s="17" t="s">
        <v>1589</v>
      </c>
      <c r="B43" s="17" t="s">
        <v>391</v>
      </c>
      <c r="C43" s="17" t="s">
        <v>1450</v>
      </c>
      <c r="D43" s="17" t="s">
        <v>1451</v>
      </c>
      <c r="E43" s="17" t="s">
        <v>401</v>
      </c>
      <c r="F43" s="17" t="s">
        <v>1003</v>
      </c>
      <c r="G43" s="17" t="s">
        <v>1590</v>
      </c>
      <c r="H43" s="19" t="s">
        <v>1591</v>
      </c>
      <c r="I43" s="17"/>
      <c r="J43" s="17"/>
      <c r="K43" s="17" t="s">
        <v>1455</v>
      </c>
      <c r="L43" s="19" t="s">
        <v>1456</v>
      </c>
      <c r="M43" s="17">
        <v>44</v>
      </c>
    </row>
    <row r="44" spans="1:13">
      <c r="A44" s="17" t="s">
        <v>1592</v>
      </c>
      <c r="B44" s="17" t="s">
        <v>391</v>
      </c>
      <c r="C44" s="17" t="s">
        <v>1450</v>
      </c>
      <c r="D44" s="17" t="s">
        <v>1451</v>
      </c>
      <c r="E44" s="17" t="s">
        <v>401</v>
      </c>
      <c r="F44" s="17" t="s">
        <v>1464</v>
      </c>
      <c r="G44" s="6" t="s">
        <v>1593</v>
      </c>
      <c r="H44" s="19" t="s">
        <v>1594</v>
      </c>
      <c r="I44" s="17" t="s">
        <v>500</v>
      </c>
      <c r="J44" s="17"/>
      <c r="K44" s="17" t="s">
        <v>1491</v>
      </c>
      <c r="L44" s="19" t="s">
        <v>1456</v>
      </c>
      <c r="M44" s="17">
        <v>45</v>
      </c>
    </row>
    <row r="45" spans="1:13">
      <c r="A45" s="17" t="s">
        <v>1595</v>
      </c>
      <c r="B45" s="17" t="s">
        <v>391</v>
      </c>
      <c r="C45" s="17" t="s">
        <v>1450</v>
      </c>
      <c r="D45" s="17" t="s">
        <v>1451</v>
      </c>
      <c r="E45" s="17" t="s">
        <v>405</v>
      </c>
      <c r="F45" s="17" t="s">
        <v>1452</v>
      </c>
      <c r="G45" s="17" t="s">
        <v>1596</v>
      </c>
      <c r="H45" s="19" t="s">
        <v>1597</v>
      </c>
      <c r="I45" s="17" t="s">
        <v>501</v>
      </c>
      <c r="J45" s="17"/>
      <c r="K45" s="17" t="s">
        <v>1487</v>
      </c>
      <c r="L45" s="19" t="s">
        <v>1456</v>
      </c>
      <c r="M45" s="17">
        <v>46</v>
      </c>
    </row>
    <row r="46" spans="1:13">
      <c r="A46" s="17" t="s">
        <v>1598</v>
      </c>
      <c r="B46" s="17" t="s">
        <v>391</v>
      </c>
      <c r="C46" s="17" t="s">
        <v>1450</v>
      </c>
      <c r="D46" s="17" t="s">
        <v>1451</v>
      </c>
      <c r="E46" s="17" t="s">
        <v>405</v>
      </c>
      <c r="F46" s="17" t="s">
        <v>1452</v>
      </c>
      <c r="G46" s="6" t="s">
        <v>1599</v>
      </c>
      <c r="H46" s="19" t="s">
        <v>1600</v>
      </c>
      <c r="I46" s="17"/>
      <c r="J46" s="17"/>
      <c r="K46" s="17" t="s">
        <v>1455</v>
      </c>
      <c r="L46" s="19" t="s">
        <v>1456</v>
      </c>
      <c r="M46" s="17">
        <v>47</v>
      </c>
    </row>
    <row r="47" spans="1:13">
      <c r="A47" s="17" t="s">
        <v>1601</v>
      </c>
      <c r="B47" s="17" t="s">
        <v>391</v>
      </c>
      <c r="C47" s="17" t="s">
        <v>1450</v>
      </c>
      <c r="D47" s="17" t="s">
        <v>1451</v>
      </c>
      <c r="E47" s="17" t="s">
        <v>405</v>
      </c>
      <c r="F47" s="17" t="s">
        <v>1003</v>
      </c>
      <c r="G47" s="6" t="s">
        <v>1602</v>
      </c>
      <c r="H47" s="19" t="s">
        <v>1603</v>
      </c>
      <c r="I47" s="17" t="s">
        <v>501</v>
      </c>
      <c r="J47" s="17"/>
      <c r="K47" s="17" t="s">
        <v>1491</v>
      </c>
      <c r="L47" s="19" t="s">
        <v>1507</v>
      </c>
      <c r="M47" s="17">
        <v>48</v>
      </c>
    </row>
    <row r="48" spans="1:13">
      <c r="A48" s="17" t="s">
        <v>1604</v>
      </c>
      <c r="B48" s="17" t="s">
        <v>391</v>
      </c>
      <c r="C48" s="17" t="s">
        <v>1450</v>
      </c>
      <c r="D48" s="17" t="s">
        <v>1451</v>
      </c>
      <c r="E48" s="17" t="s">
        <v>405</v>
      </c>
      <c r="F48" s="17" t="s">
        <v>1003</v>
      </c>
      <c r="G48" s="6" t="s">
        <v>1605</v>
      </c>
      <c r="H48" s="19" t="s">
        <v>1606</v>
      </c>
      <c r="I48" s="17" t="s">
        <v>500</v>
      </c>
      <c r="J48" s="17"/>
      <c r="K48" s="17" t="s">
        <v>1491</v>
      </c>
      <c r="L48" s="19" t="s">
        <v>1456</v>
      </c>
      <c r="M48" s="17">
        <v>49</v>
      </c>
    </row>
    <row r="49" spans="1:13">
      <c r="A49" s="17" t="s">
        <v>1607</v>
      </c>
      <c r="B49" s="17" t="s">
        <v>391</v>
      </c>
      <c r="C49" s="17" t="s">
        <v>1450</v>
      </c>
      <c r="D49" s="17" t="s">
        <v>1451</v>
      </c>
      <c r="E49" s="17" t="s">
        <v>405</v>
      </c>
      <c r="F49" s="17" t="s">
        <v>1464</v>
      </c>
      <c r="G49" s="6" t="s">
        <v>1608</v>
      </c>
      <c r="H49" s="19" t="s">
        <v>1609</v>
      </c>
      <c r="I49" s="17"/>
      <c r="J49" s="17"/>
      <c r="K49" s="17" t="s">
        <v>1455</v>
      </c>
      <c r="L49" s="19" t="s">
        <v>1573</v>
      </c>
      <c r="M49" s="17">
        <v>50</v>
      </c>
    </row>
    <row r="50" spans="1:13">
      <c r="A50" s="17" t="s">
        <v>1610</v>
      </c>
      <c r="B50" s="17" t="s">
        <v>391</v>
      </c>
      <c r="C50" s="17" t="s">
        <v>1450</v>
      </c>
      <c r="D50" s="17" t="s">
        <v>1451</v>
      </c>
      <c r="E50" s="17" t="s">
        <v>405</v>
      </c>
      <c r="F50" s="17" t="s">
        <v>1464</v>
      </c>
      <c r="G50" s="6" t="s">
        <v>1611</v>
      </c>
      <c r="H50" s="19" t="s">
        <v>1612</v>
      </c>
      <c r="I50" s="17" t="s">
        <v>500</v>
      </c>
      <c r="J50" s="17"/>
      <c r="K50" s="17" t="s">
        <v>1487</v>
      </c>
      <c r="L50" s="19" t="s">
        <v>1456</v>
      </c>
      <c r="M50" s="17">
        <v>51</v>
      </c>
    </row>
    <row r="51" spans="1:13">
      <c r="A51" s="17" t="s">
        <v>1613</v>
      </c>
      <c r="B51" s="17" t="s">
        <v>391</v>
      </c>
      <c r="C51" s="17" t="s">
        <v>1450</v>
      </c>
      <c r="D51" s="17" t="s">
        <v>1451</v>
      </c>
      <c r="E51" s="17" t="s">
        <v>412</v>
      </c>
      <c r="F51" s="17" t="s">
        <v>1452</v>
      </c>
      <c r="G51" s="6" t="s">
        <v>1614</v>
      </c>
      <c r="H51" s="19" t="s">
        <v>1615</v>
      </c>
      <c r="I51" s="17"/>
      <c r="J51" s="17"/>
      <c r="K51" s="17" t="s">
        <v>1511</v>
      </c>
      <c r="L51" s="19" t="s">
        <v>1456</v>
      </c>
      <c r="M51" s="17">
        <v>52</v>
      </c>
    </row>
    <row r="52" spans="1:13">
      <c r="A52" s="17" t="s">
        <v>1616</v>
      </c>
      <c r="B52" s="17" t="s">
        <v>391</v>
      </c>
      <c r="C52" s="17" t="s">
        <v>1450</v>
      </c>
      <c r="D52" s="17" t="s">
        <v>1451</v>
      </c>
      <c r="E52" s="17" t="s">
        <v>416</v>
      </c>
      <c r="F52" s="17" t="s">
        <v>1452</v>
      </c>
      <c r="G52" s="17" t="s">
        <v>1617</v>
      </c>
      <c r="H52" s="19" t="s">
        <v>1618</v>
      </c>
      <c r="I52" s="17" t="s">
        <v>502</v>
      </c>
      <c r="J52" s="17"/>
      <c r="K52" s="17" t="s">
        <v>1470</v>
      </c>
      <c r="L52" s="19" t="s">
        <v>1456</v>
      </c>
      <c r="M52" s="17">
        <v>53</v>
      </c>
    </row>
    <row r="53" spans="1:13">
      <c r="A53" s="17" t="s">
        <v>1619</v>
      </c>
      <c r="B53" s="17" t="s">
        <v>391</v>
      </c>
      <c r="C53" s="17" t="s">
        <v>1450</v>
      </c>
      <c r="D53" s="17" t="s">
        <v>1451</v>
      </c>
      <c r="E53" s="17" t="s">
        <v>416</v>
      </c>
      <c r="F53" s="17" t="s">
        <v>1452</v>
      </c>
      <c r="G53" s="6" t="s">
        <v>1620</v>
      </c>
      <c r="H53" s="19" t="s">
        <v>1621</v>
      </c>
      <c r="I53" s="17" t="s">
        <v>502</v>
      </c>
      <c r="J53" s="17"/>
      <c r="K53" s="17" t="s">
        <v>1560</v>
      </c>
      <c r="L53" s="19" t="s">
        <v>1573</v>
      </c>
      <c r="M53" s="17">
        <v>54</v>
      </c>
    </row>
    <row r="54" spans="1:13">
      <c r="A54" s="17" t="s">
        <v>1622</v>
      </c>
      <c r="B54" s="17" t="s">
        <v>391</v>
      </c>
      <c r="C54" s="17" t="s">
        <v>1450</v>
      </c>
      <c r="D54" s="17" t="s">
        <v>1451</v>
      </c>
      <c r="E54" s="17" t="s">
        <v>416</v>
      </c>
      <c r="F54" s="17" t="s">
        <v>1003</v>
      </c>
      <c r="G54" s="17" t="s">
        <v>1623</v>
      </c>
      <c r="H54" s="19" t="s">
        <v>1624</v>
      </c>
      <c r="I54" s="17"/>
      <c r="J54" s="17"/>
      <c r="K54" s="17" t="s">
        <v>1470</v>
      </c>
      <c r="L54" s="19" t="s">
        <v>1573</v>
      </c>
      <c r="M54" s="17">
        <v>55</v>
      </c>
    </row>
    <row r="55" spans="1:13">
      <c r="A55" s="17" t="s">
        <v>1625</v>
      </c>
      <c r="B55" s="17" t="s">
        <v>391</v>
      </c>
      <c r="C55" s="17" t="s">
        <v>1450</v>
      </c>
      <c r="D55" s="17" t="s">
        <v>1451</v>
      </c>
      <c r="E55" s="17" t="s">
        <v>416</v>
      </c>
      <c r="F55" s="17" t="s">
        <v>1003</v>
      </c>
      <c r="G55" s="6" t="s">
        <v>1626</v>
      </c>
      <c r="H55" s="19" t="s">
        <v>1627</v>
      </c>
      <c r="I55" s="17" t="s">
        <v>502</v>
      </c>
      <c r="J55" s="17"/>
      <c r="K55" s="17" t="s">
        <v>1470</v>
      </c>
      <c r="L55" s="19" t="s">
        <v>1507</v>
      </c>
      <c r="M55" s="17">
        <v>56</v>
      </c>
    </row>
    <row r="56" spans="1:13">
      <c r="A56" s="17" t="s">
        <v>1628</v>
      </c>
      <c r="B56" s="17" t="s">
        <v>391</v>
      </c>
      <c r="C56" s="17" t="s">
        <v>1450</v>
      </c>
      <c r="D56" s="17" t="s">
        <v>1451</v>
      </c>
      <c r="E56" s="17" t="s">
        <v>416</v>
      </c>
      <c r="F56" s="17" t="s">
        <v>1464</v>
      </c>
      <c r="G56" s="6" t="s">
        <v>1629</v>
      </c>
      <c r="H56" s="19" t="s">
        <v>1630</v>
      </c>
      <c r="I56" s="17"/>
      <c r="J56" s="17"/>
      <c r="K56" s="17" t="s">
        <v>1470</v>
      </c>
      <c r="L56" s="19" t="s">
        <v>1456</v>
      </c>
      <c r="M56" s="17">
        <v>57</v>
      </c>
    </row>
    <row r="57" spans="1:13">
      <c r="A57" s="17" t="s">
        <v>1631</v>
      </c>
      <c r="B57" s="17" t="s">
        <v>391</v>
      </c>
      <c r="C57" s="17" t="s">
        <v>1450</v>
      </c>
      <c r="D57" s="17" t="s">
        <v>1451</v>
      </c>
      <c r="E57" s="17" t="s">
        <v>420</v>
      </c>
      <c r="F57" s="17" t="s">
        <v>1452</v>
      </c>
      <c r="G57" s="6" t="s">
        <v>1632</v>
      </c>
      <c r="H57" s="19" t="s">
        <v>1633</v>
      </c>
      <c r="I57" s="17" t="s">
        <v>504</v>
      </c>
      <c r="J57" s="17"/>
      <c r="K57" s="17" t="s">
        <v>1491</v>
      </c>
      <c r="L57" s="19" t="s">
        <v>1456</v>
      </c>
      <c r="M57" s="17">
        <v>58</v>
      </c>
    </row>
    <row r="58" spans="1:13">
      <c r="A58" s="17" t="s">
        <v>1634</v>
      </c>
      <c r="B58" s="17" t="s">
        <v>391</v>
      </c>
      <c r="C58" s="17" t="s">
        <v>1450</v>
      </c>
      <c r="D58" s="17" t="s">
        <v>1451</v>
      </c>
      <c r="E58" s="17" t="s">
        <v>420</v>
      </c>
      <c r="F58" s="17" t="s">
        <v>1452</v>
      </c>
      <c r="G58" s="6" t="s">
        <v>1635</v>
      </c>
      <c r="H58" s="19" t="s">
        <v>1636</v>
      </c>
      <c r="I58" s="17" t="s">
        <v>504</v>
      </c>
      <c r="J58" s="17"/>
      <c r="K58" s="17" t="s">
        <v>1491</v>
      </c>
      <c r="L58" s="19" t="s">
        <v>1456</v>
      </c>
      <c r="M58" s="17">
        <v>59</v>
      </c>
    </row>
    <row r="59" spans="1:13">
      <c r="A59" s="17" t="s">
        <v>1637</v>
      </c>
      <c r="B59" s="17" t="s">
        <v>391</v>
      </c>
      <c r="C59" s="17" t="s">
        <v>1450</v>
      </c>
      <c r="D59" s="17" t="s">
        <v>1451</v>
      </c>
      <c r="E59" s="17" t="s">
        <v>420</v>
      </c>
      <c r="F59" s="17" t="s">
        <v>1003</v>
      </c>
      <c r="G59" s="6" t="s">
        <v>1638</v>
      </c>
      <c r="H59" s="19" t="s">
        <v>1639</v>
      </c>
      <c r="I59" s="17" t="s">
        <v>501</v>
      </c>
      <c r="J59" s="17"/>
      <c r="K59" s="17" t="s">
        <v>1491</v>
      </c>
      <c r="L59" s="19" t="s">
        <v>1456</v>
      </c>
      <c r="M59" s="17">
        <v>60</v>
      </c>
    </row>
    <row r="60" spans="1:13">
      <c r="A60" s="17" t="s">
        <v>1640</v>
      </c>
      <c r="B60" s="17" t="s">
        <v>391</v>
      </c>
      <c r="C60" s="17" t="s">
        <v>1450</v>
      </c>
      <c r="D60" s="17" t="s">
        <v>1451</v>
      </c>
      <c r="E60" s="17" t="s">
        <v>420</v>
      </c>
      <c r="F60" s="17" t="s">
        <v>1003</v>
      </c>
      <c r="G60" s="6" t="s">
        <v>1641</v>
      </c>
      <c r="H60" s="19" t="s">
        <v>1642</v>
      </c>
      <c r="I60" s="17"/>
      <c r="J60" s="17"/>
      <c r="K60" s="17" t="s">
        <v>1491</v>
      </c>
      <c r="L60" s="19" t="s">
        <v>1456</v>
      </c>
      <c r="M60" s="17">
        <v>61</v>
      </c>
    </row>
    <row r="61" spans="1:13">
      <c r="A61" s="17" t="s">
        <v>1643</v>
      </c>
      <c r="B61" s="17" t="s">
        <v>391</v>
      </c>
      <c r="C61" s="17" t="s">
        <v>1450</v>
      </c>
      <c r="D61" s="17" t="s">
        <v>1451</v>
      </c>
      <c r="E61" s="17" t="s">
        <v>420</v>
      </c>
      <c r="F61" s="17" t="s">
        <v>1464</v>
      </c>
      <c r="G61" s="17" t="s">
        <v>1644</v>
      </c>
      <c r="H61" s="19" t="s">
        <v>1645</v>
      </c>
      <c r="I61" s="17" t="s">
        <v>500</v>
      </c>
      <c r="J61" s="17"/>
      <c r="K61" s="17" t="s">
        <v>1455</v>
      </c>
      <c r="L61" s="19" t="s">
        <v>1456</v>
      </c>
      <c r="M61" s="17">
        <v>62</v>
      </c>
    </row>
    <row r="62" spans="1:13">
      <c r="A62" s="17" t="s">
        <v>1646</v>
      </c>
      <c r="B62" s="17" t="s">
        <v>391</v>
      </c>
      <c r="C62" s="17" t="s">
        <v>1450</v>
      </c>
      <c r="D62" s="17" t="s">
        <v>1538</v>
      </c>
      <c r="E62" s="17"/>
      <c r="F62" s="17"/>
      <c r="G62" s="6" t="s">
        <v>1647</v>
      </c>
      <c r="H62" s="19" t="s">
        <v>1648</v>
      </c>
      <c r="I62" s="17" t="s">
        <v>502</v>
      </c>
      <c r="J62" s="17"/>
      <c r="K62" s="17" t="s">
        <v>1560</v>
      </c>
      <c r="L62" s="19" t="s">
        <v>1507</v>
      </c>
      <c r="M62" s="17">
        <v>63</v>
      </c>
    </row>
    <row r="63" spans="1:13">
      <c r="A63" s="17" t="s">
        <v>1649</v>
      </c>
      <c r="B63" s="17" t="s">
        <v>391</v>
      </c>
      <c r="C63" s="17" t="s">
        <v>1450</v>
      </c>
      <c r="D63" s="17" t="s">
        <v>1548</v>
      </c>
      <c r="E63" s="17"/>
      <c r="F63" s="17"/>
      <c r="G63" s="6" t="s">
        <v>1650</v>
      </c>
      <c r="H63" s="19" t="s">
        <v>1651</v>
      </c>
      <c r="I63" s="17" t="s">
        <v>503</v>
      </c>
      <c r="J63" s="17"/>
      <c r="K63" s="17" t="s">
        <v>1487</v>
      </c>
      <c r="L63" s="19" t="s">
        <v>1507</v>
      </c>
      <c r="M63" s="17">
        <v>64</v>
      </c>
    </row>
    <row r="64" spans="1:13">
      <c r="A64" s="17" t="s">
        <v>1652</v>
      </c>
      <c r="B64" s="17" t="s">
        <v>391</v>
      </c>
      <c r="C64" s="17" t="s">
        <v>1450</v>
      </c>
      <c r="D64" s="17" t="s">
        <v>1451</v>
      </c>
      <c r="E64" s="17" t="s">
        <v>390</v>
      </c>
      <c r="F64" s="17" t="s">
        <v>1003</v>
      </c>
      <c r="G64" s="6" t="s">
        <v>1653</v>
      </c>
      <c r="H64" s="19" t="s">
        <v>1654</v>
      </c>
      <c r="I64" s="17" t="s">
        <v>502</v>
      </c>
      <c r="J64" s="17"/>
      <c r="K64" s="17" t="s">
        <v>1455</v>
      </c>
      <c r="L64" s="19" t="s">
        <v>1456</v>
      </c>
      <c r="M64" s="17">
        <v>66</v>
      </c>
    </row>
    <row r="65" spans="1:13">
      <c r="A65" s="17" t="s">
        <v>1655</v>
      </c>
      <c r="B65" s="17" t="s">
        <v>391</v>
      </c>
      <c r="C65" s="17" t="s">
        <v>1450</v>
      </c>
      <c r="D65" s="17" t="s">
        <v>1451</v>
      </c>
      <c r="E65" s="22" t="s">
        <v>1984</v>
      </c>
      <c r="F65" s="22" t="s">
        <v>1985</v>
      </c>
      <c r="G65" s="6" t="s">
        <v>1656</v>
      </c>
      <c r="H65" s="19" t="s">
        <v>1657</v>
      </c>
      <c r="I65" s="17" t="s">
        <v>502</v>
      </c>
      <c r="J65" s="17"/>
      <c r="K65" s="17" t="s">
        <v>1455</v>
      </c>
      <c r="L65" s="19" t="s">
        <v>1573</v>
      </c>
      <c r="M65" s="17">
        <v>67</v>
      </c>
    </row>
    <row r="66" spans="1:13">
      <c r="A66" s="17" t="s">
        <v>1658</v>
      </c>
      <c r="B66" s="17" t="s">
        <v>391</v>
      </c>
      <c r="C66" s="17" t="s">
        <v>1450</v>
      </c>
      <c r="D66" s="17" t="s">
        <v>1451</v>
      </c>
      <c r="E66" s="17" t="s">
        <v>390</v>
      </c>
      <c r="F66" s="17" t="s">
        <v>1464</v>
      </c>
      <c r="G66" s="6" t="s">
        <v>1659</v>
      </c>
      <c r="H66" s="19" t="s">
        <v>1660</v>
      </c>
      <c r="I66" s="17"/>
      <c r="J66" s="17"/>
      <c r="K66" s="17" t="s">
        <v>1455</v>
      </c>
      <c r="L66" s="19" t="s">
        <v>1456</v>
      </c>
      <c r="M66" s="17">
        <v>68</v>
      </c>
    </row>
    <row r="67" spans="1:13">
      <c r="A67" s="17" t="s">
        <v>1661</v>
      </c>
      <c r="B67" s="17" t="s">
        <v>391</v>
      </c>
      <c r="C67" s="17" t="s">
        <v>1450</v>
      </c>
      <c r="D67" s="17" t="s">
        <v>1451</v>
      </c>
      <c r="E67" s="17" t="s">
        <v>397</v>
      </c>
      <c r="F67" s="17" t="s">
        <v>1003</v>
      </c>
      <c r="G67" s="6" t="s">
        <v>1662</v>
      </c>
      <c r="H67" s="19" t="s">
        <v>1663</v>
      </c>
      <c r="I67" s="17" t="s">
        <v>502</v>
      </c>
      <c r="J67" s="17"/>
      <c r="K67" s="17" t="s">
        <v>1470</v>
      </c>
      <c r="L67" s="19" t="s">
        <v>1456</v>
      </c>
      <c r="M67" s="17">
        <v>72</v>
      </c>
    </row>
    <row r="68" spans="1:13">
      <c r="A68" s="17" t="s">
        <v>1664</v>
      </c>
      <c r="B68" s="17" t="s">
        <v>391</v>
      </c>
      <c r="C68" s="17" t="s">
        <v>1450</v>
      </c>
      <c r="D68" s="17" t="s">
        <v>1451</v>
      </c>
      <c r="E68" s="17" t="s">
        <v>397</v>
      </c>
      <c r="F68" s="17" t="s">
        <v>1464</v>
      </c>
      <c r="G68" s="6" t="s">
        <v>1665</v>
      </c>
      <c r="H68" s="19" t="s">
        <v>1666</v>
      </c>
      <c r="I68" s="17" t="s">
        <v>502</v>
      </c>
      <c r="J68" s="17"/>
      <c r="K68" s="17" t="s">
        <v>1536</v>
      </c>
      <c r="L68" s="19" t="s">
        <v>1456</v>
      </c>
      <c r="M68" s="17">
        <v>73</v>
      </c>
    </row>
    <row r="69" spans="1:13">
      <c r="A69" s="17" t="s">
        <v>1667</v>
      </c>
      <c r="B69" s="17" t="s">
        <v>391</v>
      </c>
      <c r="C69" s="17" t="s">
        <v>1450</v>
      </c>
      <c r="D69" s="17" t="s">
        <v>1451</v>
      </c>
      <c r="E69" s="17" t="s">
        <v>397</v>
      </c>
      <c r="F69" s="17" t="s">
        <v>1464</v>
      </c>
      <c r="G69" s="6" t="s">
        <v>1668</v>
      </c>
      <c r="H69" s="19" t="s">
        <v>1669</v>
      </c>
      <c r="I69" s="17"/>
      <c r="J69" s="17"/>
      <c r="K69" s="17" t="s">
        <v>1470</v>
      </c>
      <c r="L69" s="19" t="s">
        <v>1456</v>
      </c>
      <c r="M69" s="17">
        <v>74</v>
      </c>
    </row>
    <row r="70" spans="1:13">
      <c r="A70" s="17" t="s">
        <v>1670</v>
      </c>
      <c r="B70" s="17" t="s">
        <v>391</v>
      </c>
      <c r="C70" s="17" t="s">
        <v>1450</v>
      </c>
      <c r="D70" s="17" t="s">
        <v>1451</v>
      </c>
      <c r="E70" s="17" t="s">
        <v>401</v>
      </c>
      <c r="F70" s="17" t="s">
        <v>1464</v>
      </c>
      <c r="G70" s="17" t="s">
        <v>1671</v>
      </c>
      <c r="H70" s="19" t="s">
        <v>1672</v>
      </c>
      <c r="I70" s="17" t="s">
        <v>501</v>
      </c>
      <c r="J70" s="17"/>
      <c r="K70" s="17" t="s">
        <v>1491</v>
      </c>
      <c r="L70" s="19" t="s">
        <v>1456</v>
      </c>
      <c r="M70" s="17">
        <v>78</v>
      </c>
    </row>
    <row r="71" spans="1:13">
      <c r="A71" s="17" t="s">
        <v>1673</v>
      </c>
      <c r="B71" s="17" t="s">
        <v>391</v>
      </c>
      <c r="C71" s="17" t="s">
        <v>1450</v>
      </c>
      <c r="D71" s="17" t="s">
        <v>1451</v>
      </c>
      <c r="E71" s="17" t="s">
        <v>405</v>
      </c>
      <c r="F71" s="17" t="s">
        <v>1452</v>
      </c>
      <c r="G71" s="6" t="s">
        <v>1674</v>
      </c>
      <c r="H71" s="19" t="s">
        <v>1675</v>
      </c>
      <c r="I71" s="17" t="s">
        <v>501</v>
      </c>
      <c r="J71" s="17"/>
      <c r="K71" s="17" t="s">
        <v>1455</v>
      </c>
      <c r="L71" s="19" t="s">
        <v>1573</v>
      </c>
      <c r="M71" s="17">
        <v>79</v>
      </c>
    </row>
    <row r="72" spans="1:13">
      <c r="A72" s="17" t="s">
        <v>1676</v>
      </c>
      <c r="B72" s="17" t="s">
        <v>391</v>
      </c>
      <c r="C72" s="17" t="s">
        <v>1450</v>
      </c>
      <c r="D72" s="17" t="s">
        <v>1451</v>
      </c>
      <c r="E72" s="17" t="s">
        <v>405</v>
      </c>
      <c r="F72" s="17" t="s">
        <v>1452</v>
      </c>
      <c r="G72" s="17" t="s">
        <v>1677</v>
      </c>
      <c r="H72" s="19" t="s">
        <v>1678</v>
      </c>
      <c r="I72" s="17" t="s">
        <v>501</v>
      </c>
      <c r="J72" s="17"/>
      <c r="K72" s="17" t="s">
        <v>1455</v>
      </c>
      <c r="L72" s="19" t="s">
        <v>1573</v>
      </c>
      <c r="M72" s="17">
        <v>80</v>
      </c>
    </row>
    <row r="73" spans="1:13">
      <c r="A73" s="17" t="s">
        <v>1679</v>
      </c>
      <c r="B73" s="17" t="s">
        <v>391</v>
      </c>
      <c r="C73" s="17" t="s">
        <v>1450</v>
      </c>
      <c r="D73" s="17" t="s">
        <v>1451</v>
      </c>
      <c r="E73" s="17" t="s">
        <v>405</v>
      </c>
      <c r="F73" s="17" t="s">
        <v>1003</v>
      </c>
      <c r="G73" s="6" t="s">
        <v>1680</v>
      </c>
      <c r="H73" s="19" t="s">
        <v>1681</v>
      </c>
      <c r="I73" s="17" t="s">
        <v>501</v>
      </c>
      <c r="J73" s="17"/>
      <c r="K73" s="17" t="s">
        <v>1455</v>
      </c>
      <c r="L73" s="19" t="s">
        <v>1456</v>
      </c>
      <c r="M73" s="17">
        <v>81</v>
      </c>
    </row>
    <row r="74" spans="1:13">
      <c r="A74" s="17" t="s">
        <v>1682</v>
      </c>
      <c r="B74" s="17" t="s">
        <v>391</v>
      </c>
      <c r="C74" s="17" t="s">
        <v>1450</v>
      </c>
      <c r="D74" s="17" t="s">
        <v>1451</v>
      </c>
      <c r="E74" s="17" t="s">
        <v>405</v>
      </c>
      <c r="F74" s="17" t="s">
        <v>1003</v>
      </c>
      <c r="G74" s="6" t="s">
        <v>1683</v>
      </c>
      <c r="H74" s="19" t="s">
        <v>1684</v>
      </c>
      <c r="I74" s="17"/>
      <c r="J74" s="17"/>
      <c r="K74" s="17" t="s">
        <v>1491</v>
      </c>
      <c r="L74" s="19" t="s">
        <v>1456</v>
      </c>
      <c r="M74" s="17">
        <v>82</v>
      </c>
    </row>
    <row r="75" spans="1:13">
      <c r="A75" s="17" t="s">
        <v>1685</v>
      </c>
      <c r="B75" s="17" t="s">
        <v>391</v>
      </c>
      <c r="C75" s="17" t="s">
        <v>1450</v>
      </c>
      <c r="D75" s="17" t="s">
        <v>1451</v>
      </c>
      <c r="E75" s="17" t="s">
        <v>405</v>
      </c>
      <c r="F75" s="17" t="s">
        <v>1464</v>
      </c>
      <c r="G75" s="6" t="s">
        <v>1686</v>
      </c>
      <c r="H75" s="19" t="s">
        <v>1687</v>
      </c>
      <c r="I75" s="17" t="s">
        <v>501</v>
      </c>
      <c r="J75" s="17"/>
      <c r="K75" s="17" t="s">
        <v>1491</v>
      </c>
      <c r="L75" s="19" t="s">
        <v>1507</v>
      </c>
      <c r="M75" s="17">
        <v>84</v>
      </c>
    </row>
    <row r="76" spans="1:13">
      <c r="A76" s="17" t="s">
        <v>1688</v>
      </c>
      <c r="B76" s="17" t="s">
        <v>391</v>
      </c>
      <c r="C76" s="17" t="s">
        <v>1450</v>
      </c>
      <c r="D76" s="17" t="s">
        <v>1451</v>
      </c>
      <c r="E76" s="17" t="s">
        <v>409</v>
      </c>
      <c r="F76" s="17" t="s">
        <v>1003</v>
      </c>
      <c r="G76" s="6" t="s">
        <v>1689</v>
      </c>
      <c r="H76" s="19" t="s">
        <v>1690</v>
      </c>
      <c r="I76" s="17"/>
      <c r="J76" s="17"/>
      <c r="K76" s="17" t="s">
        <v>1511</v>
      </c>
      <c r="L76" s="19" t="s">
        <v>1456</v>
      </c>
      <c r="M76" s="17">
        <v>85</v>
      </c>
    </row>
    <row r="77" spans="1:13">
      <c r="A77" s="17" t="s">
        <v>1691</v>
      </c>
      <c r="B77" s="17" t="s">
        <v>391</v>
      </c>
      <c r="C77" s="17" t="s">
        <v>1450</v>
      </c>
      <c r="D77" s="17" t="s">
        <v>1451</v>
      </c>
      <c r="E77" s="17" t="s">
        <v>412</v>
      </c>
      <c r="F77" s="17" t="s">
        <v>1452</v>
      </c>
      <c r="G77" s="17" t="s">
        <v>1692</v>
      </c>
      <c r="H77" s="19" t="s">
        <v>1693</v>
      </c>
      <c r="I77" s="17" t="s">
        <v>501</v>
      </c>
      <c r="J77" s="17"/>
      <c r="K77" s="17" t="s">
        <v>1694</v>
      </c>
      <c r="L77" s="19" t="s">
        <v>1456</v>
      </c>
      <c r="M77" s="17">
        <v>87</v>
      </c>
    </row>
    <row r="78" spans="1:13">
      <c r="A78" s="17" t="s">
        <v>1695</v>
      </c>
      <c r="B78" s="17" t="s">
        <v>391</v>
      </c>
      <c r="C78" s="17" t="s">
        <v>1450</v>
      </c>
      <c r="D78" s="17" t="s">
        <v>1451</v>
      </c>
      <c r="E78" s="17" t="s">
        <v>412</v>
      </c>
      <c r="F78" s="17" t="s">
        <v>1003</v>
      </c>
      <c r="G78" s="6" t="s">
        <v>1696</v>
      </c>
      <c r="H78" s="19" t="s">
        <v>1697</v>
      </c>
      <c r="I78" s="17" t="s">
        <v>501</v>
      </c>
      <c r="J78" s="17"/>
      <c r="K78" s="17" t="s">
        <v>1694</v>
      </c>
      <c r="L78" s="19" t="s">
        <v>1573</v>
      </c>
      <c r="M78" s="17">
        <v>88</v>
      </c>
    </row>
    <row r="79" spans="1:13">
      <c r="A79" s="17" t="s">
        <v>1698</v>
      </c>
      <c r="B79" s="17" t="s">
        <v>391</v>
      </c>
      <c r="C79" s="17" t="s">
        <v>1450</v>
      </c>
      <c r="D79" s="17" t="s">
        <v>1451</v>
      </c>
      <c r="E79" s="17" t="s">
        <v>412</v>
      </c>
      <c r="F79" s="17" t="s">
        <v>1464</v>
      </c>
      <c r="G79" s="6" t="s">
        <v>1699</v>
      </c>
      <c r="H79" s="19" t="s">
        <v>1700</v>
      </c>
      <c r="I79" s="17" t="s">
        <v>501</v>
      </c>
      <c r="J79" s="17"/>
      <c r="K79" s="17" t="s">
        <v>1511</v>
      </c>
      <c r="L79" s="19" t="s">
        <v>1507</v>
      </c>
      <c r="M79" s="17">
        <v>90</v>
      </c>
    </row>
    <row r="80" spans="1:13">
      <c r="A80" s="17" t="s">
        <v>1701</v>
      </c>
      <c r="B80" s="17" t="s">
        <v>391</v>
      </c>
      <c r="C80" s="17" t="s">
        <v>1450</v>
      </c>
      <c r="D80" s="17" t="s">
        <v>1451</v>
      </c>
      <c r="E80" s="17" t="s">
        <v>416</v>
      </c>
      <c r="F80" s="17" t="s">
        <v>1452</v>
      </c>
      <c r="G80" s="6" t="s">
        <v>1702</v>
      </c>
      <c r="H80" s="19" t="s">
        <v>1703</v>
      </c>
      <c r="I80" s="17" t="s">
        <v>502</v>
      </c>
      <c r="J80" s="17"/>
      <c r="K80" s="17" t="s">
        <v>1470</v>
      </c>
      <c r="L80" s="19" t="s">
        <v>1456</v>
      </c>
      <c r="M80" s="17">
        <v>91</v>
      </c>
    </row>
    <row r="81" spans="1:13">
      <c r="A81" s="17" t="s">
        <v>1704</v>
      </c>
      <c r="B81" s="17" t="s">
        <v>391</v>
      </c>
      <c r="C81" s="17" t="s">
        <v>1450</v>
      </c>
      <c r="D81" s="17" t="s">
        <v>1451</v>
      </c>
      <c r="E81" s="17" t="s">
        <v>416</v>
      </c>
      <c r="F81" s="17" t="s">
        <v>1003</v>
      </c>
      <c r="G81" s="6" t="s">
        <v>1705</v>
      </c>
      <c r="H81" s="19" t="s">
        <v>1706</v>
      </c>
      <c r="I81" s="17" t="s">
        <v>504</v>
      </c>
      <c r="J81" s="17"/>
      <c r="K81" s="17" t="s">
        <v>1470</v>
      </c>
      <c r="L81" s="19" t="s">
        <v>1456</v>
      </c>
      <c r="M81" s="17">
        <v>93</v>
      </c>
    </row>
    <row r="82" spans="1:13">
      <c r="A82" s="17" t="s">
        <v>1707</v>
      </c>
      <c r="B82" s="17" t="s">
        <v>391</v>
      </c>
      <c r="C82" s="17" t="s">
        <v>1450</v>
      </c>
      <c r="D82" s="17" t="s">
        <v>1451</v>
      </c>
      <c r="E82" s="17" t="s">
        <v>416</v>
      </c>
      <c r="F82" s="17" t="s">
        <v>1003</v>
      </c>
      <c r="G82" s="6" t="s">
        <v>1708</v>
      </c>
      <c r="H82" s="19" t="s">
        <v>1709</v>
      </c>
      <c r="I82" s="17" t="s">
        <v>502</v>
      </c>
      <c r="J82" s="17"/>
      <c r="K82" s="17" t="s">
        <v>1470</v>
      </c>
      <c r="L82" s="19" t="s">
        <v>1573</v>
      </c>
      <c r="M82" s="17">
        <v>94</v>
      </c>
    </row>
    <row r="83" spans="1:13">
      <c r="A83" s="17" t="s">
        <v>1710</v>
      </c>
      <c r="B83" s="17" t="s">
        <v>391</v>
      </c>
      <c r="C83" s="17" t="s">
        <v>1450</v>
      </c>
      <c r="D83" s="17" t="s">
        <v>1451</v>
      </c>
      <c r="E83" s="17" t="s">
        <v>416</v>
      </c>
      <c r="F83" s="17" t="s">
        <v>1464</v>
      </c>
      <c r="G83" s="6" t="s">
        <v>1711</v>
      </c>
      <c r="H83" s="19" t="s">
        <v>1712</v>
      </c>
      <c r="I83" s="17"/>
      <c r="J83" s="17"/>
      <c r="K83" s="17" t="s">
        <v>1470</v>
      </c>
      <c r="L83" s="19" t="s">
        <v>1456</v>
      </c>
      <c r="M83" s="17">
        <v>95</v>
      </c>
    </row>
    <row r="84" spans="1:13">
      <c r="A84" s="17" t="s">
        <v>1713</v>
      </c>
      <c r="B84" s="17" t="s">
        <v>391</v>
      </c>
      <c r="C84" s="17" t="s">
        <v>1450</v>
      </c>
      <c r="D84" s="17" t="s">
        <v>1451</v>
      </c>
      <c r="E84" s="17" t="s">
        <v>420</v>
      </c>
      <c r="F84" s="17" t="s">
        <v>1452</v>
      </c>
      <c r="G84" s="6" t="s">
        <v>1714</v>
      </c>
      <c r="H84" s="19" t="s">
        <v>1715</v>
      </c>
      <c r="I84" s="17"/>
      <c r="J84" s="17"/>
      <c r="K84" s="17" t="s">
        <v>1491</v>
      </c>
      <c r="L84" s="19" t="s">
        <v>1573</v>
      </c>
      <c r="M84" s="17">
        <v>97</v>
      </c>
    </row>
    <row r="85" spans="1:13">
      <c r="A85" s="17" t="s">
        <v>1716</v>
      </c>
      <c r="B85" s="17" t="s">
        <v>391</v>
      </c>
      <c r="C85" s="17" t="s">
        <v>1450</v>
      </c>
      <c r="D85" s="17" t="s">
        <v>1451</v>
      </c>
      <c r="E85" s="17" t="s">
        <v>390</v>
      </c>
      <c r="F85" s="17" t="s">
        <v>1452</v>
      </c>
      <c r="G85" s="6" t="s">
        <v>1717</v>
      </c>
      <c r="H85" s="19" t="s">
        <v>1718</v>
      </c>
      <c r="I85" s="17"/>
      <c r="J85" s="17"/>
      <c r="K85" s="17" t="s">
        <v>1455</v>
      </c>
      <c r="L85" s="19" t="s">
        <v>1573</v>
      </c>
      <c r="M85" s="17">
        <v>98</v>
      </c>
    </row>
    <row r="86" spans="1:13">
      <c r="A86" s="17" t="s">
        <v>1719</v>
      </c>
      <c r="B86" s="17" t="s">
        <v>391</v>
      </c>
      <c r="C86" s="17" t="s">
        <v>1450</v>
      </c>
      <c r="D86" s="17" t="s">
        <v>1451</v>
      </c>
      <c r="E86" s="17" t="s">
        <v>390</v>
      </c>
      <c r="F86" s="17" t="s">
        <v>1464</v>
      </c>
      <c r="G86" s="6" t="s">
        <v>1720</v>
      </c>
      <c r="H86" s="19" t="s">
        <v>1721</v>
      </c>
      <c r="I86" s="17"/>
      <c r="J86" s="17"/>
      <c r="K86" s="17" t="s">
        <v>1455</v>
      </c>
      <c r="L86" s="19" t="s">
        <v>1456</v>
      </c>
      <c r="M86" s="17">
        <v>103</v>
      </c>
    </row>
    <row r="87" spans="1:13">
      <c r="A87" s="17" t="s">
        <v>1722</v>
      </c>
      <c r="B87" s="17" t="s">
        <v>391</v>
      </c>
      <c r="C87" s="17" t="s">
        <v>1450</v>
      </c>
      <c r="D87" s="17" t="s">
        <v>1451</v>
      </c>
      <c r="E87" s="17" t="s">
        <v>397</v>
      </c>
      <c r="F87" s="17" t="s">
        <v>1003</v>
      </c>
      <c r="G87" s="17" t="s">
        <v>1723</v>
      </c>
      <c r="H87" s="19" t="s">
        <v>1724</v>
      </c>
      <c r="I87" s="17" t="s">
        <v>502</v>
      </c>
      <c r="J87" s="17"/>
      <c r="K87" s="17" t="s">
        <v>1470</v>
      </c>
      <c r="L87" s="19" t="s">
        <v>1456</v>
      </c>
      <c r="M87" s="17">
        <v>106</v>
      </c>
    </row>
    <row r="88" spans="1:13">
      <c r="A88" s="17" t="s">
        <v>1725</v>
      </c>
      <c r="B88" s="17" t="s">
        <v>391</v>
      </c>
      <c r="C88" s="17" t="s">
        <v>1450</v>
      </c>
      <c r="D88" s="17" t="s">
        <v>1451</v>
      </c>
      <c r="E88" s="17" t="s">
        <v>397</v>
      </c>
      <c r="F88" s="17" t="s">
        <v>1464</v>
      </c>
      <c r="G88" s="6" t="s">
        <v>1726</v>
      </c>
      <c r="H88" s="19" t="s">
        <v>1727</v>
      </c>
      <c r="I88" s="17"/>
      <c r="J88" s="17"/>
      <c r="K88" s="17" t="s">
        <v>1483</v>
      </c>
      <c r="L88" s="19" t="s">
        <v>1573</v>
      </c>
      <c r="M88" s="17">
        <v>108</v>
      </c>
    </row>
    <row r="89" spans="1:13">
      <c r="A89" s="17" t="s">
        <v>1728</v>
      </c>
      <c r="B89" s="17" t="s">
        <v>391</v>
      </c>
      <c r="C89" s="17" t="s">
        <v>1450</v>
      </c>
      <c r="D89" s="17" t="s">
        <v>1451</v>
      </c>
      <c r="E89" s="17" t="s">
        <v>401</v>
      </c>
      <c r="F89" s="17" t="s">
        <v>1003</v>
      </c>
      <c r="G89" s="6" t="s">
        <v>1729</v>
      </c>
      <c r="H89" s="19" t="s">
        <v>1730</v>
      </c>
      <c r="I89" s="17" t="s">
        <v>503</v>
      </c>
      <c r="J89" s="17"/>
      <c r="K89" s="17" t="s">
        <v>1483</v>
      </c>
      <c r="L89" s="19" t="s">
        <v>1731</v>
      </c>
      <c r="M89" s="17">
        <v>112</v>
      </c>
    </row>
    <row r="90" spans="1:13">
      <c r="A90" s="17" t="s">
        <v>1732</v>
      </c>
      <c r="B90" s="17" t="s">
        <v>391</v>
      </c>
      <c r="C90" s="17" t="s">
        <v>1450</v>
      </c>
      <c r="D90" s="17" t="s">
        <v>1451</v>
      </c>
      <c r="E90" s="17" t="s">
        <v>401</v>
      </c>
      <c r="F90" s="17" t="s">
        <v>1464</v>
      </c>
      <c r="G90" s="6" t="s">
        <v>1733</v>
      </c>
      <c r="H90" s="19" t="s">
        <v>1734</v>
      </c>
      <c r="I90" s="17" t="s">
        <v>500</v>
      </c>
      <c r="J90" s="17"/>
      <c r="K90" s="17" t="s">
        <v>1487</v>
      </c>
      <c r="L90" s="19" t="s">
        <v>1573</v>
      </c>
      <c r="M90" s="17">
        <v>113</v>
      </c>
    </row>
    <row r="91" spans="1:13">
      <c r="A91" s="17" t="s">
        <v>1735</v>
      </c>
      <c r="B91" s="17" t="s">
        <v>391</v>
      </c>
      <c r="C91" s="17" t="s">
        <v>1450</v>
      </c>
      <c r="D91" s="17" t="s">
        <v>1451</v>
      </c>
      <c r="E91" s="17" t="s">
        <v>401</v>
      </c>
      <c r="F91" s="17" t="s">
        <v>1464</v>
      </c>
      <c r="G91" s="6" t="s">
        <v>1736</v>
      </c>
      <c r="H91" s="19" t="s">
        <v>1737</v>
      </c>
      <c r="I91" s="17" t="s">
        <v>500</v>
      </c>
      <c r="J91" s="17"/>
      <c r="K91" s="17" t="s">
        <v>1491</v>
      </c>
      <c r="L91" s="19" t="s">
        <v>1456</v>
      </c>
      <c r="M91" s="17">
        <v>114</v>
      </c>
    </row>
    <row r="92" spans="1:13">
      <c r="A92" s="17" t="s">
        <v>1738</v>
      </c>
      <c r="B92" s="17" t="s">
        <v>391</v>
      </c>
      <c r="C92" s="17" t="s">
        <v>1450</v>
      </c>
      <c r="D92" s="17" t="s">
        <v>1451</v>
      </c>
      <c r="E92" s="17" t="s">
        <v>405</v>
      </c>
      <c r="F92" s="17" t="s">
        <v>1452</v>
      </c>
      <c r="G92" s="6" t="s">
        <v>1739</v>
      </c>
      <c r="H92" s="19" t="s">
        <v>1740</v>
      </c>
      <c r="I92" s="17"/>
      <c r="J92" s="17"/>
      <c r="K92" s="17" t="s">
        <v>1455</v>
      </c>
      <c r="L92" s="19" t="s">
        <v>1573</v>
      </c>
      <c r="M92" s="17">
        <v>115</v>
      </c>
    </row>
    <row r="93" spans="1:13">
      <c r="A93" s="17" t="s">
        <v>1741</v>
      </c>
      <c r="B93" s="17" t="s">
        <v>391</v>
      </c>
      <c r="C93" s="17" t="s">
        <v>1450</v>
      </c>
      <c r="D93" s="17" t="s">
        <v>1451</v>
      </c>
      <c r="E93" s="17" t="s">
        <v>405</v>
      </c>
      <c r="F93" s="17" t="s">
        <v>1452</v>
      </c>
      <c r="G93" s="17" t="s">
        <v>1742</v>
      </c>
      <c r="H93" s="19" t="s">
        <v>1743</v>
      </c>
      <c r="I93" s="17"/>
      <c r="J93" s="17"/>
      <c r="K93" s="17" t="s">
        <v>1455</v>
      </c>
      <c r="L93" s="19" t="s">
        <v>1456</v>
      </c>
      <c r="M93" s="17">
        <v>116</v>
      </c>
    </row>
    <row r="94" spans="1:13">
      <c r="A94" s="17" t="s">
        <v>1744</v>
      </c>
      <c r="B94" s="17" t="s">
        <v>391</v>
      </c>
      <c r="C94" s="17" t="s">
        <v>1450</v>
      </c>
      <c r="D94" s="17" t="s">
        <v>1451</v>
      </c>
      <c r="E94" s="17" t="s">
        <v>405</v>
      </c>
      <c r="F94" s="17" t="s">
        <v>1464</v>
      </c>
      <c r="G94" s="6" t="s">
        <v>1745</v>
      </c>
      <c r="H94" s="19" t="s">
        <v>1746</v>
      </c>
      <c r="I94" s="17" t="s">
        <v>500</v>
      </c>
      <c r="J94" s="17"/>
      <c r="K94" s="17" t="s">
        <v>1491</v>
      </c>
      <c r="L94" s="19" t="s">
        <v>1456</v>
      </c>
      <c r="M94" s="17">
        <v>119</v>
      </c>
    </row>
    <row r="95" spans="1:13">
      <c r="A95" s="17" t="s">
        <v>1747</v>
      </c>
      <c r="B95" s="17" t="s">
        <v>391</v>
      </c>
      <c r="C95" s="17" t="s">
        <v>1450</v>
      </c>
      <c r="D95" s="17" t="s">
        <v>1451</v>
      </c>
      <c r="E95" s="17" t="s">
        <v>405</v>
      </c>
      <c r="F95" s="17" t="s">
        <v>1464</v>
      </c>
      <c r="G95" s="6" t="s">
        <v>1748</v>
      </c>
      <c r="H95" s="19" t="s">
        <v>1749</v>
      </c>
      <c r="I95" s="17" t="s">
        <v>500</v>
      </c>
      <c r="J95" s="17"/>
      <c r="K95" s="17" t="s">
        <v>1487</v>
      </c>
      <c r="L95" s="19" t="s">
        <v>1456</v>
      </c>
      <c r="M95" s="17">
        <v>120</v>
      </c>
    </row>
    <row r="96" spans="1:13">
      <c r="A96" s="17" t="s">
        <v>1750</v>
      </c>
      <c r="B96" s="17" t="s">
        <v>391</v>
      </c>
      <c r="C96" s="17" t="s">
        <v>1450</v>
      </c>
      <c r="D96" s="17" t="s">
        <v>1451</v>
      </c>
      <c r="E96" s="17" t="s">
        <v>409</v>
      </c>
      <c r="F96" s="17" t="s">
        <v>1452</v>
      </c>
      <c r="G96" s="6" t="s">
        <v>1751</v>
      </c>
      <c r="H96" s="19" t="s">
        <v>1752</v>
      </c>
      <c r="I96" s="17"/>
      <c r="J96" s="17"/>
      <c r="K96" s="17" t="s">
        <v>1511</v>
      </c>
      <c r="L96" s="19" t="s">
        <v>1573</v>
      </c>
      <c r="M96" s="17">
        <v>122</v>
      </c>
    </row>
    <row r="97" spans="1:13">
      <c r="A97" s="17" t="s">
        <v>1753</v>
      </c>
      <c r="B97" s="17" t="s">
        <v>391</v>
      </c>
      <c r="C97" s="22" t="s">
        <v>2654</v>
      </c>
      <c r="D97" s="17" t="s">
        <v>1451</v>
      </c>
      <c r="E97" s="17" t="s">
        <v>409</v>
      </c>
      <c r="F97" s="17" t="s">
        <v>1003</v>
      </c>
      <c r="G97" s="6" t="s">
        <v>1754</v>
      </c>
      <c r="H97" s="19" t="s">
        <v>1755</v>
      </c>
      <c r="I97" s="17"/>
      <c r="J97" s="17"/>
      <c r="K97" s="17" t="s">
        <v>1511</v>
      </c>
      <c r="L97" s="23" t="s">
        <v>2655</v>
      </c>
      <c r="M97" s="17">
        <v>123</v>
      </c>
    </row>
    <row r="98" spans="1:13">
      <c r="A98" s="17" t="s">
        <v>1756</v>
      </c>
      <c r="B98" s="17" t="s">
        <v>391</v>
      </c>
      <c r="C98" s="17" t="s">
        <v>1450</v>
      </c>
      <c r="D98" s="17" t="s">
        <v>1451</v>
      </c>
      <c r="E98" s="17" t="s">
        <v>412</v>
      </c>
      <c r="F98" s="17" t="s">
        <v>1452</v>
      </c>
      <c r="G98" s="6" t="s">
        <v>1757</v>
      </c>
      <c r="H98" s="19" t="s">
        <v>1758</v>
      </c>
      <c r="I98" s="17" t="s">
        <v>501</v>
      </c>
      <c r="J98" s="17"/>
      <c r="K98" s="17" t="s">
        <v>1694</v>
      </c>
      <c r="L98" s="19" t="s">
        <v>1731</v>
      </c>
      <c r="M98" s="17">
        <v>125</v>
      </c>
    </row>
    <row r="99" spans="1:13">
      <c r="A99" s="17" t="s">
        <v>1759</v>
      </c>
      <c r="B99" s="17" t="s">
        <v>391</v>
      </c>
      <c r="C99" s="17" t="s">
        <v>1450</v>
      </c>
      <c r="D99" s="17" t="s">
        <v>1451</v>
      </c>
      <c r="E99" s="17" t="s">
        <v>416</v>
      </c>
      <c r="F99" s="17" t="s">
        <v>1452</v>
      </c>
      <c r="G99" s="17" t="s">
        <v>1760</v>
      </c>
      <c r="H99" s="19" t="s">
        <v>1761</v>
      </c>
      <c r="I99" s="17" t="s">
        <v>502</v>
      </c>
      <c r="J99" s="17"/>
      <c r="K99" s="17" t="s">
        <v>1470</v>
      </c>
      <c r="L99" s="19" t="s">
        <v>1573</v>
      </c>
      <c r="M99" s="17">
        <v>127</v>
      </c>
    </row>
    <row r="100" spans="1:13">
      <c r="A100" s="17" t="s">
        <v>1762</v>
      </c>
      <c r="B100" s="17" t="s">
        <v>391</v>
      </c>
      <c r="C100" s="17" t="s">
        <v>1450</v>
      </c>
      <c r="D100" s="17" t="s">
        <v>1451</v>
      </c>
      <c r="E100" s="17" t="s">
        <v>416</v>
      </c>
      <c r="F100" s="17" t="s">
        <v>1464</v>
      </c>
      <c r="G100" s="17" t="s">
        <v>1763</v>
      </c>
      <c r="H100" s="19" t="s">
        <v>1764</v>
      </c>
      <c r="I100" s="17" t="s">
        <v>502</v>
      </c>
      <c r="J100" s="17"/>
      <c r="K100" s="17" t="s">
        <v>1470</v>
      </c>
      <c r="L100" s="19" t="s">
        <v>1456</v>
      </c>
      <c r="M100" s="17">
        <v>131</v>
      </c>
    </row>
    <row r="101" spans="1:13">
      <c r="A101" s="17" t="s">
        <v>1765</v>
      </c>
      <c r="B101" s="17" t="s">
        <v>391</v>
      </c>
      <c r="C101" s="17" t="s">
        <v>1450</v>
      </c>
      <c r="D101" s="17" t="s">
        <v>1451</v>
      </c>
      <c r="E101" s="17" t="s">
        <v>420</v>
      </c>
      <c r="F101" s="17" t="s">
        <v>1003</v>
      </c>
      <c r="G101" s="6" t="s">
        <v>1766</v>
      </c>
      <c r="H101" s="19" t="s">
        <v>1767</v>
      </c>
      <c r="I101" s="17"/>
      <c r="J101" s="17"/>
      <c r="K101" s="17" t="s">
        <v>1455</v>
      </c>
      <c r="L101" s="19" t="s">
        <v>1456</v>
      </c>
      <c r="M101" s="17">
        <v>134</v>
      </c>
    </row>
    <row r="102" spans="1:13">
      <c r="A102" s="17" t="s">
        <v>1768</v>
      </c>
      <c r="B102" s="17" t="s">
        <v>391</v>
      </c>
      <c r="C102" s="17" t="s">
        <v>1450</v>
      </c>
      <c r="D102" s="17" t="s">
        <v>1451</v>
      </c>
      <c r="E102" s="17" t="s">
        <v>420</v>
      </c>
      <c r="F102" s="17" t="s">
        <v>1003</v>
      </c>
      <c r="G102" s="6" t="s">
        <v>1769</v>
      </c>
      <c r="H102" s="19" t="s">
        <v>1770</v>
      </c>
      <c r="I102" s="17" t="s">
        <v>501</v>
      </c>
      <c r="J102" s="17"/>
      <c r="K102" s="17" t="s">
        <v>1455</v>
      </c>
      <c r="L102" s="19" t="s">
        <v>1456</v>
      </c>
      <c r="M102" s="17">
        <v>135</v>
      </c>
    </row>
    <row r="103" spans="1:13">
      <c r="A103" s="17" t="s">
        <v>1771</v>
      </c>
      <c r="B103" s="17" t="s">
        <v>391</v>
      </c>
      <c r="C103" s="17" t="s">
        <v>1450</v>
      </c>
      <c r="D103" s="17" t="s">
        <v>1538</v>
      </c>
      <c r="E103" s="17"/>
      <c r="F103" s="17"/>
      <c r="G103" s="6" t="s">
        <v>1772</v>
      </c>
      <c r="H103" s="19" t="s">
        <v>1773</v>
      </c>
      <c r="I103" s="17" t="s">
        <v>502</v>
      </c>
      <c r="J103" s="17"/>
      <c r="K103" s="17" t="s">
        <v>1455</v>
      </c>
      <c r="L103" s="19" t="s">
        <v>1507</v>
      </c>
      <c r="M103" s="17">
        <v>137</v>
      </c>
    </row>
    <row r="104" spans="1:13">
      <c r="A104" s="17" t="s">
        <v>1774</v>
      </c>
      <c r="B104" s="17" t="s">
        <v>391</v>
      </c>
      <c r="C104" s="17" t="s">
        <v>1450</v>
      </c>
      <c r="D104" s="17" t="s">
        <v>1538</v>
      </c>
      <c r="E104" s="17"/>
      <c r="F104" s="17"/>
      <c r="G104" s="6" t="s">
        <v>1775</v>
      </c>
      <c r="H104" s="19" t="s">
        <v>1776</v>
      </c>
      <c r="I104" s="17" t="s">
        <v>502</v>
      </c>
      <c r="J104" s="17"/>
      <c r="K104" s="17" t="s">
        <v>1455</v>
      </c>
      <c r="L104" s="19" t="s">
        <v>1507</v>
      </c>
      <c r="M104" s="17">
        <v>138</v>
      </c>
    </row>
    <row r="105" spans="1:13">
      <c r="A105" s="17" t="s">
        <v>1777</v>
      </c>
      <c r="B105" s="17" t="s">
        <v>391</v>
      </c>
      <c r="C105" s="17" t="s">
        <v>1450</v>
      </c>
      <c r="D105" s="17" t="s">
        <v>1548</v>
      </c>
      <c r="E105" s="17"/>
      <c r="F105" s="17"/>
      <c r="G105" s="6" t="s">
        <v>1778</v>
      </c>
      <c r="H105" s="19" t="s">
        <v>1779</v>
      </c>
      <c r="I105" s="17" t="s">
        <v>502</v>
      </c>
      <c r="J105" s="17"/>
      <c r="K105" s="17" t="s">
        <v>1470</v>
      </c>
      <c r="L105" s="19" t="s">
        <v>1507</v>
      </c>
      <c r="M105" s="17">
        <v>139</v>
      </c>
    </row>
    <row r="106" spans="1:13">
      <c r="A106" s="17" t="s">
        <v>1780</v>
      </c>
      <c r="B106" s="17" t="s">
        <v>391</v>
      </c>
      <c r="C106" s="17" t="s">
        <v>1450</v>
      </c>
      <c r="D106" s="17" t="s">
        <v>1548</v>
      </c>
      <c r="E106" s="17"/>
      <c r="F106" s="17"/>
      <c r="G106" s="6" t="s">
        <v>1781</v>
      </c>
      <c r="H106" s="19" t="s">
        <v>1782</v>
      </c>
      <c r="I106" s="17" t="s">
        <v>501</v>
      </c>
      <c r="J106" s="17"/>
      <c r="K106" s="17" t="s">
        <v>1487</v>
      </c>
      <c r="L106" s="19" t="s">
        <v>1456</v>
      </c>
      <c r="M106" s="17">
        <v>140</v>
      </c>
    </row>
    <row r="107" spans="1:13">
      <c r="A107" s="17" t="s">
        <v>1783</v>
      </c>
      <c r="B107" s="17" t="s">
        <v>391</v>
      </c>
      <c r="C107" s="17" t="s">
        <v>1450</v>
      </c>
      <c r="D107" s="17" t="s">
        <v>1451</v>
      </c>
      <c r="E107" s="17" t="s">
        <v>409</v>
      </c>
      <c r="F107" s="17" t="s">
        <v>1464</v>
      </c>
      <c r="G107" s="6" t="s">
        <v>1784</v>
      </c>
      <c r="H107" s="19" t="s">
        <v>1785</v>
      </c>
      <c r="I107" s="17" t="s">
        <v>500</v>
      </c>
      <c r="J107" s="17"/>
      <c r="K107" s="17" t="s">
        <v>1511</v>
      </c>
      <c r="L107" s="19" t="s">
        <v>1573</v>
      </c>
      <c r="M107" s="17">
        <v>141</v>
      </c>
    </row>
    <row r="108" spans="1:13">
      <c r="A108" s="17" t="s">
        <v>1786</v>
      </c>
      <c r="B108" s="17" t="s">
        <v>391</v>
      </c>
      <c r="C108" s="17" t="s">
        <v>1450</v>
      </c>
      <c r="D108" s="17" t="s">
        <v>1451</v>
      </c>
      <c r="E108" s="17" t="s">
        <v>409</v>
      </c>
      <c r="F108" s="17" t="s">
        <v>1464</v>
      </c>
      <c r="G108" s="6" t="s">
        <v>1787</v>
      </c>
      <c r="H108" s="19" t="s">
        <v>1788</v>
      </c>
      <c r="I108" s="17"/>
      <c r="J108" s="17"/>
      <c r="K108" s="17" t="s">
        <v>1511</v>
      </c>
      <c r="L108" s="19" t="s">
        <v>1573</v>
      </c>
      <c r="M108" s="17">
        <v>142</v>
      </c>
    </row>
    <row r="109" spans="1:13">
      <c r="A109" s="17" t="s">
        <v>1789</v>
      </c>
      <c r="B109" s="17" t="s">
        <v>391</v>
      </c>
      <c r="C109" s="17" t="s">
        <v>1450</v>
      </c>
      <c r="D109" s="17" t="s">
        <v>1451</v>
      </c>
      <c r="E109" s="17" t="s">
        <v>416</v>
      </c>
      <c r="F109" s="17" t="s">
        <v>1464</v>
      </c>
      <c r="G109" s="17" t="s">
        <v>1790</v>
      </c>
      <c r="H109" s="19" t="s">
        <v>1791</v>
      </c>
      <c r="I109" s="17" t="s">
        <v>502</v>
      </c>
      <c r="J109" s="17"/>
      <c r="K109" s="17" t="s">
        <v>1470</v>
      </c>
      <c r="L109" s="19" t="s">
        <v>1456</v>
      </c>
      <c r="M109" s="17">
        <v>143</v>
      </c>
    </row>
    <row r="110" spans="1:13">
      <c r="A110" s="17" t="s">
        <v>1792</v>
      </c>
      <c r="B110" s="17" t="s">
        <v>391</v>
      </c>
      <c r="C110" s="17" t="s">
        <v>1450</v>
      </c>
      <c r="D110" s="17" t="s">
        <v>1451</v>
      </c>
      <c r="E110" s="17" t="s">
        <v>416</v>
      </c>
      <c r="F110" s="17" t="s">
        <v>1464</v>
      </c>
      <c r="G110" s="17" t="s">
        <v>1793</v>
      </c>
      <c r="H110" s="19" t="s">
        <v>1794</v>
      </c>
      <c r="I110" s="17" t="s">
        <v>500</v>
      </c>
      <c r="J110" s="17"/>
      <c r="K110" s="17" t="s">
        <v>1470</v>
      </c>
      <c r="L110" s="19" t="s">
        <v>1456</v>
      </c>
      <c r="M110" s="17">
        <v>144</v>
      </c>
    </row>
    <row r="111" spans="1:13">
      <c r="A111" s="17" t="s">
        <v>1795</v>
      </c>
      <c r="B111" s="17" t="s">
        <v>391</v>
      </c>
      <c r="C111" s="17" t="s">
        <v>1450</v>
      </c>
      <c r="D111" s="17" t="s">
        <v>1451</v>
      </c>
      <c r="E111" s="17" t="s">
        <v>420</v>
      </c>
      <c r="F111" s="17" t="s">
        <v>1464</v>
      </c>
      <c r="G111" s="6" t="s">
        <v>1796</v>
      </c>
      <c r="H111" s="19" t="s">
        <v>1797</v>
      </c>
      <c r="I111" s="17" t="s">
        <v>504</v>
      </c>
      <c r="J111" s="17"/>
      <c r="K111" s="17" t="s">
        <v>1455</v>
      </c>
      <c r="L111" s="19" t="s">
        <v>1573</v>
      </c>
      <c r="M111" s="17">
        <v>145</v>
      </c>
    </row>
    <row r="112" spans="1:13">
      <c r="A112" s="17" t="s">
        <v>1798</v>
      </c>
      <c r="B112" s="17" t="s">
        <v>391</v>
      </c>
      <c r="C112" s="17" t="s">
        <v>1450</v>
      </c>
      <c r="D112" s="17" t="s">
        <v>1451</v>
      </c>
      <c r="E112" s="17" t="s">
        <v>390</v>
      </c>
      <c r="F112" s="17" t="s">
        <v>1452</v>
      </c>
      <c r="G112" s="6" t="s">
        <v>1799</v>
      </c>
      <c r="H112" s="19" t="s">
        <v>1800</v>
      </c>
      <c r="I112" s="17"/>
      <c r="J112" s="17"/>
      <c r="K112" s="17" t="s">
        <v>1483</v>
      </c>
      <c r="L112" s="19" t="s">
        <v>1456</v>
      </c>
      <c r="M112" s="17">
        <v>146</v>
      </c>
    </row>
    <row r="113" spans="1:13">
      <c r="A113" s="17" t="s">
        <v>1801</v>
      </c>
      <c r="B113" s="17" t="s">
        <v>391</v>
      </c>
      <c r="C113" s="17" t="s">
        <v>1450</v>
      </c>
      <c r="D113" s="17" t="s">
        <v>1451</v>
      </c>
      <c r="E113" s="17" t="s">
        <v>412</v>
      </c>
      <c r="F113" s="17" t="s">
        <v>1452</v>
      </c>
      <c r="G113" s="6" t="s">
        <v>1802</v>
      </c>
      <c r="H113" s="19" t="s">
        <v>1803</v>
      </c>
      <c r="I113" s="17" t="s">
        <v>501</v>
      </c>
      <c r="J113" s="17"/>
      <c r="K113" s="17" t="s">
        <v>1694</v>
      </c>
      <c r="L113" s="19" t="s">
        <v>1573</v>
      </c>
      <c r="M113" s="17">
        <v>147</v>
      </c>
    </row>
    <row r="114" spans="1:13">
      <c r="A114" s="17" t="s">
        <v>1804</v>
      </c>
      <c r="B114" s="17" t="s">
        <v>391</v>
      </c>
      <c r="C114" s="17" t="s">
        <v>1450</v>
      </c>
      <c r="D114" s="17" t="s">
        <v>1451</v>
      </c>
      <c r="E114" s="17" t="s">
        <v>397</v>
      </c>
      <c r="F114" s="17" t="s">
        <v>1452</v>
      </c>
      <c r="G114" s="17" t="s">
        <v>1805</v>
      </c>
      <c r="H114" s="19" t="s">
        <v>1806</v>
      </c>
      <c r="I114" s="17" t="s">
        <v>502</v>
      </c>
      <c r="J114" s="17"/>
      <c r="K114" s="17" t="s">
        <v>1470</v>
      </c>
      <c r="L114" s="19" t="s">
        <v>1456</v>
      </c>
      <c r="M114" s="17">
        <v>148</v>
      </c>
    </row>
    <row r="115" spans="1:13">
      <c r="A115" s="17" t="s">
        <v>1807</v>
      </c>
      <c r="B115" s="17" t="s">
        <v>391</v>
      </c>
      <c r="C115" s="17" t="s">
        <v>1450</v>
      </c>
      <c r="D115" s="17" t="s">
        <v>1451</v>
      </c>
      <c r="E115" s="17" t="s">
        <v>416</v>
      </c>
      <c r="F115" s="17" t="s">
        <v>1452</v>
      </c>
      <c r="G115" s="6" t="s">
        <v>1808</v>
      </c>
      <c r="H115" s="19" t="s">
        <v>1809</v>
      </c>
      <c r="I115" s="17" t="s">
        <v>502</v>
      </c>
      <c r="J115" s="17"/>
      <c r="K115" s="17" t="s">
        <v>1470</v>
      </c>
      <c r="L115" s="19" t="s">
        <v>1456</v>
      </c>
      <c r="M115" s="17">
        <v>149</v>
      </c>
    </row>
    <row r="116" spans="1:13">
      <c r="A116" s="17" t="s">
        <v>1810</v>
      </c>
      <c r="B116" s="17" t="s">
        <v>391</v>
      </c>
      <c r="C116" s="17" t="s">
        <v>1450</v>
      </c>
      <c r="D116" s="17" t="s">
        <v>1451</v>
      </c>
      <c r="E116" s="17" t="s">
        <v>397</v>
      </c>
      <c r="F116" s="17" t="s">
        <v>1452</v>
      </c>
      <c r="G116" s="17" t="s">
        <v>1811</v>
      </c>
      <c r="H116" s="19" t="s">
        <v>1812</v>
      </c>
      <c r="I116" s="17" t="s">
        <v>502</v>
      </c>
      <c r="J116" s="17"/>
      <c r="K116" s="17" t="s">
        <v>1470</v>
      </c>
      <c r="L116" s="19" t="s">
        <v>1573</v>
      </c>
      <c r="M116" s="17">
        <v>150</v>
      </c>
    </row>
    <row r="117" spans="1:13">
      <c r="A117" s="17" t="s">
        <v>1813</v>
      </c>
      <c r="B117" s="17" t="s">
        <v>391</v>
      </c>
      <c r="C117" s="17" t="s">
        <v>1450</v>
      </c>
      <c r="D117" s="17" t="s">
        <v>1451</v>
      </c>
      <c r="E117" s="17" t="s">
        <v>416</v>
      </c>
      <c r="F117" s="17" t="s">
        <v>1452</v>
      </c>
      <c r="G117" s="17" t="s">
        <v>1814</v>
      </c>
      <c r="H117" s="19" t="s">
        <v>1815</v>
      </c>
      <c r="I117" s="17" t="s">
        <v>502</v>
      </c>
      <c r="J117" s="17"/>
      <c r="K117" s="17" t="s">
        <v>1470</v>
      </c>
      <c r="L117" s="19" t="s">
        <v>1573</v>
      </c>
      <c r="M117" s="17">
        <v>151</v>
      </c>
    </row>
    <row r="118" spans="1:13">
      <c r="A118" s="17" t="s">
        <v>1816</v>
      </c>
      <c r="B118" s="17" t="s">
        <v>391</v>
      </c>
      <c r="C118" s="17" t="s">
        <v>1450</v>
      </c>
      <c r="D118" s="17" t="s">
        <v>1451</v>
      </c>
      <c r="E118" s="17" t="s">
        <v>405</v>
      </c>
      <c r="F118" s="17" t="s">
        <v>1003</v>
      </c>
      <c r="G118" s="17" t="s">
        <v>1817</v>
      </c>
      <c r="H118" s="19" t="s">
        <v>1818</v>
      </c>
      <c r="I118" s="17" t="s">
        <v>500</v>
      </c>
      <c r="J118" s="17"/>
      <c r="K118" s="17" t="s">
        <v>1487</v>
      </c>
      <c r="L118" s="19" t="s">
        <v>1456</v>
      </c>
      <c r="M118" s="17">
        <v>152</v>
      </c>
    </row>
    <row r="119" spans="1:13">
      <c r="A119" s="17" t="s">
        <v>1819</v>
      </c>
      <c r="B119" s="17" t="s">
        <v>391</v>
      </c>
      <c r="C119" s="17" t="s">
        <v>1450</v>
      </c>
      <c r="D119" s="17" t="s">
        <v>1451</v>
      </c>
      <c r="E119" s="17" t="s">
        <v>420</v>
      </c>
      <c r="F119" s="17" t="s">
        <v>1003</v>
      </c>
      <c r="G119" s="17" t="s">
        <v>1820</v>
      </c>
      <c r="H119" s="19" t="s">
        <v>1821</v>
      </c>
      <c r="I119" s="17" t="s">
        <v>504</v>
      </c>
      <c r="J119" s="17"/>
      <c r="K119" s="17" t="s">
        <v>1455</v>
      </c>
      <c r="L119" s="19" t="s">
        <v>1456</v>
      </c>
      <c r="M119" s="17">
        <v>153</v>
      </c>
    </row>
    <row r="120" spans="1:13">
      <c r="A120" s="17" t="s">
        <v>1822</v>
      </c>
      <c r="B120" s="17" t="s">
        <v>391</v>
      </c>
      <c r="C120" s="17" t="s">
        <v>1450</v>
      </c>
      <c r="D120" s="17" t="s">
        <v>1451</v>
      </c>
      <c r="E120" s="17" t="s">
        <v>397</v>
      </c>
      <c r="F120" s="17" t="s">
        <v>1003</v>
      </c>
      <c r="G120" s="6" t="s">
        <v>1823</v>
      </c>
      <c r="H120" s="19" t="s">
        <v>1824</v>
      </c>
      <c r="I120" s="17" t="s">
        <v>502</v>
      </c>
      <c r="J120" s="17"/>
      <c r="K120" s="17" t="s">
        <v>1470</v>
      </c>
      <c r="L120" s="19" t="s">
        <v>1573</v>
      </c>
      <c r="M120" s="17">
        <v>154</v>
      </c>
    </row>
    <row r="121" spans="1:13">
      <c r="A121" s="17" t="s">
        <v>1825</v>
      </c>
      <c r="B121" s="17" t="s">
        <v>391</v>
      </c>
      <c r="C121" s="17" t="s">
        <v>1450</v>
      </c>
      <c r="D121" s="17" t="s">
        <v>1451</v>
      </c>
      <c r="E121" s="17" t="s">
        <v>405</v>
      </c>
      <c r="F121" s="17" t="s">
        <v>1003</v>
      </c>
      <c r="G121" s="17" t="s">
        <v>1826</v>
      </c>
      <c r="H121" s="19" t="s">
        <v>1827</v>
      </c>
      <c r="I121" s="17" t="s">
        <v>501</v>
      </c>
      <c r="J121" s="17"/>
      <c r="K121" s="17" t="s">
        <v>1491</v>
      </c>
      <c r="L121" s="19" t="s">
        <v>1456</v>
      </c>
      <c r="M121" s="17">
        <v>155</v>
      </c>
    </row>
    <row r="122" spans="1:13">
      <c r="A122" s="17" t="s">
        <v>1828</v>
      </c>
      <c r="B122" s="17" t="s">
        <v>391</v>
      </c>
      <c r="C122" s="17" t="s">
        <v>1450</v>
      </c>
      <c r="D122" s="17" t="s">
        <v>1451</v>
      </c>
      <c r="E122" s="17" t="s">
        <v>412</v>
      </c>
      <c r="F122" s="17" t="s">
        <v>1003</v>
      </c>
      <c r="G122" s="6" t="s">
        <v>1829</v>
      </c>
      <c r="H122" s="19" t="s">
        <v>1830</v>
      </c>
      <c r="I122" s="17"/>
      <c r="J122" s="17"/>
      <c r="K122" s="17" t="s">
        <v>1511</v>
      </c>
      <c r="L122" s="19" t="s">
        <v>1507</v>
      </c>
      <c r="M122" s="17">
        <v>156</v>
      </c>
    </row>
    <row r="123" spans="1:13">
      <c r="A123" s="17" t="s">
        <v>1831</v>
      </c>
      <c r="B123" s="17" t="s">
        <v>391</v>
      </c>
      <c r="C123" s="17" t="s">
        <v>1450</v>
      </c>
      <c r="D123" s="17" t="s">
        <v>1451</v>
      </c>
      <c r="E123" s="17" t="s">
        <v>405</v>
      </c>
      <c r="F123" s="17" t="s">
        <v>1452</v>
      </c>
      <c r="G123" s="17" t="s">
        <v>1832</v>
      </c>
      <c r="H123" s="19" t="s">
        <v>1833</v>
      </c>
      <c r="I123" s="17" t="s">
        <v>501</v>
      </c>
      <c r="J123" s="17"/>
      <c r="K123" s="17" t="s">
        <v>1487</v>
      </c>
      <c r="L123" s="19" t="s">
        <v>1456</v>
      </c>
      <c r="M123" s="17">
        <v>157</v>
      </c>
    </row>
    <row r="124" spans="1:13">
      <c r="A124" s="17" t="s">
        <v>1834</v>
      </c>
      <c r="B124" s="17" t="s">
        <v>391</v>
      </c>
      <c r="C124" s="17" t="s">
        <v>1450</v>
      </c>
      <c r="D124" s="17" t="s">
        <v>1451</v>
      </c>
      <c r="E124" s="17" t="s">
        <v>420</v>
      </c>
      <c r="F124" s="17" t="s">
        <v>1452</v>
      </c>
      <c r="G124" s="6" t="s">
        <v>1835</v>
      </c>
      <c r="H124" s="19" t="s">
        <v>1836</v>
      </c>
      <c r="I124" s="17"/>
      <c r="J124" s="17"/>
      <c r="K124" s="17" t="s">
        <v>1483</v>
      </c>
      <c r="L124" s="19" t="s">
        <v>1573</v>
      </c>
      <c r="M124" s="17">
        <v>158</v>
      </c>
    </row>
    <row r="125" spans="1:13">
      <c r="A125" s="17" t="s">
        <v>1837</v>
      </c>
      <c r="B125" s="17" t="s">
        <v>391</v>
      </c>
      <c r="C125" s="17" t="s">
        <v>1450</v>
      </c>
      <c r="D125" s="17" t="s">
        <v>1451</v>
      </c>
      <c r="E125" s="17" t="s">
        <v>401</v>
      </c>
      <c r="F125" s="17" t="s">
        <v>1452</v>
      </c>
      <c r="G125" s="6" t="s">
        <v>1838</v>
      </c>
      <c r="H125" s="19" t="s">
        <v>1839</v>
      </c>
      <c r="I125" s="17" t="s">
        <v>503</v>
      </c>
      <c r="J125" s="17"/>
      <c r="K125" s="17" t="s">
        <v>1483</v>
      </c>
      <c r="L125" s="19" t="s">
        <v>1456</v>
      </c>
      <c r="M125" s="17">
        <v>159</v>
      </c>
    </row>
    <row r="126" spans="1:13">
      <c r="A126" s="17" t="s">
        <v>1840</v>
      </c>
      <c r="B126" s="17" t="s">
        <v>391</v>
      </c>
      <c r="C126" s="17" t="s">
        <v>1450</v>
      </c>
      <c r="D126" s="17" t="s">
        <v>1451</v>
      </c>
      <c r="E126" s="17" t="s">
        <v>401</v>
      </c>
      <c r="F126" s="17" t="s">
        <v>1452</v>
      </c>
      <c r="G126" s="17" t="s">
        <v>1841</v>
      </c>
      <c r="H126" s="19" t="s">
        <v>1842</v>
      </c>
      <c r="I126" s="17"/>
      <c r="J126" s="17"/>
      <c r="K126" s="17" t="s">
        <v>1483</v>
      </c>
      <c r="L126" s="19" t="s">
        <v>1456</v>
      </c>
      <c r="M126" s="17">
        <v>160</v>
      </c>
    </row>
    <row r="127" spans="1:13">
      <c r="A127" s="17" t="s">
        <v>1843</v>
      </c>
      <c r="B127" s="17" t="s">
        <v>391</v>
      </c>
      <c r="C127" s="17" t="s">
        <v>1450</v>
      </c>
      <c r="D127" s="17" t="s">
        <v>1451</v>
      </c>
      <c r="E127" s="17" t="s">
        <v>401</v>
      </c>
      <c r="F127" s="17" t="s">
        <v>1452</v>
      </c>
      <c r="G127" s="6" t="s">
        <v>1844</v>
      </c>
      <c r="H127" s="19" t="s">
        <v>1845</v>
      </c>
      <c r="I127" s="17" t="s">
        <v>503</v>
      </c>
      <c r="J127" s="17"/>
      <c r="K127" s="17" t="s">
        <v>1483</v>
      </c>
      <c r="L127" s="19" t="s">
        <v>1456</v>
      </c>
      <c r="M127" s="17">
        <v>161</v>
      </c>
    </row>
    <row r="128" spans="1:13">
      <c r="A128" s="17" t="s">
        <v>1846</v>
      </c>
      <c r="B128" s="17" t="s">
        <v>391</v>
      </c>
      <c r="C128" s="17" t="s">
        <v>1450</v>
      </c>
      <c r="D128" s="17" t="s">
        <v>1538</v>
      </c>
      <c r="E128" s="17"/>
      <c r="F128" s="17"/>
      <c r="G128" s="17" t="s">
        <v>1847</v>
      </c>
      <c r="H128" s="19" t="s">
        <v>1848</v>
      </c>
      <c r="I128" s="17" t="s">
        <v>502</v>
      </c>
      <c r="J128" s="17"/>
      <c r="K128" s="17" t="s">
        <v>1491</v>
      </c>
      <c r="L128" s="19" t="s">
        <v>1456</v>
      </c>
      <c r="M128" s="17">
        <v>162</v>
      </c>
    </row>
    <row r="129" spans="1:13">
      <c r="A129" s="17" t="s">
        <v>1849</v>
      </c>
      <c r="B129" s="17" t="s">
        <v>391</v>
      </c>
      <c r="C129" s="17" t="s">
        <v>1450</v>
      </c>
      <c r="D129" s="17" t="s">
        <v>1548</v>
      </c>
      <c r="E129" s="17"/>
      <c r="F129" s="17"/>
      <c r="G129" s="17" t="s">
        <v>1850</v>
      </c>
      <c r="H129" s="19" t="s">
        <v>1851</v>
      </c>
      <c r="I129" s="17"/>
      <c r="J129" s="17"/>
      <c r="K129" s="17" t="s">
        <v>1455</v>
      </c>
      <c r="L129" s="19" t="s">
        <v>1456</v>
      </c>
      <c r="M129" s="17">
        <v>163</v>
      </c>
    </row>
    <row r="130" spans="1:13">
      <c r="A130" s="17" t="s">
        <v>1852</v>
      </c>
      <c r="B130" s="17" t="s">
        <v>391</v>
      </c>
      <c r="C130" s="17" t="s">
        <v>1450</v>
      </c>
      <c r="D130" s="17" t="s">
        <v>1548</v>
      </c>
      <c r="E130" s="17"/>
      <c r="F130" s="17"/>
      <c r="G130" s="6" t="s">
        <v>1853</v>
      </c>
      <c r="H130" s="19" t="s">
        <v>1854</v>
      </c>
      <c r="I130" s="17"/>
      <c r="J130" s="17"/>
      <c r="K130" s="17" t="s">
        <v>1483</v>
      </c>
      <c r="L130" s="19" t="s">
        <v>1573</v>
      </c>
      <c r="M130" s="17">
        <v>164</v>
      </c>
    </row>
    <row r="131" spans="1:13" ht="25">
      <c r="A131" s="17" t="s">
        <v>1855</v>
      </c>
      <c r="B131" s="17" t="s">
        <v>391</v>
      </c>
      <c r="C131" s="17" t="s">
        <v>1450</v>
      </c>
      <c r="D131" s="17" t="s">
        <v>1451</v>
      </c>
      <c r="E131" s="17" t="s">
        <v>401</v>
      </c>
      <c r="F131" s="17" t="s">
        <v>1464</v>
      </c>
      <c r="G131" s="6" t="s">
        <v>1856</v>
      </c>
      <c r="H131" s="19" t="s">
        <v>1857</v>
      </c>
      <c r="I131" s="17"/>
      <c r="J131" s="17"/>
      <c r="K131" s="17" t="s">
        <v>1858</v>
      </c>
      <c r="L131" s="19" t="s">
        <v>1859</v>
      </c>
      <c r="M131" s="17">
        <v>173</v>
      </c>
    </row>
    <row r="132" spans="1:13" ht="25">
      <c r="A132" s="17" t="s">
        <v>1860</v>
      </c>
      <c r="B132" s="17" t="s">
        <v>391</v>
      </c>
      <c r="C132" s="17" t="s">
        <v>1450</v>
      </c>
      <c r="D132" s="17" t="s">
        <v>1451</v>
      </c>
      <c r="E132" s="17" t="s">
        <v>401</v>
      </c>
      <c r="F132" s="17" t="s">
        <v>1464</v>
      </c>
      <c r="G132" s="6" t="s">
        <v>1861</v>
      </c>
      <c r="H132" s="19" t="s">
        <v>1862</v>
      </c>
      <c r="I132" s="17"/>
      <c r="J132" s="17"/>
      <c r="K132" s="17" t="s">
        <v>1858</v>
      </c>
      <c r="L132" s="19" t="s">
        <v>1859</v>
      </c>
      <c r="M132" s="17">
        <v>174</v>
      </c>
    </row>
    <row r="133" spans="1:13" ht="25">
      <c r="A133" s="17" t="s">
        <v>1863</v>
      </c>
      <c r="B133" s="17" t="s">
        <v>391</v>
      </c>
      <c r="C133" s="17" t="s">
        <v>1450</v>
      </c>
      <c r="D133" s="17" t="s">
        <v>1451</v>
      </c>
      <c r="E133" s="17" t="s">
        <v>401</v>
      </c>
      <c r="F133" s="17" t="s">
        <v>1464</v>
      </c>
      <c r="G133" s="6" t="s">
        <v>1864</v>
      </c>
      <c r="H133" s="19" t="s">
        <v>1865</v>
      </c>
      <c r="I133" s="17"/>
      <c r="J133" s="17"/>
      <c r="K133" s="17" t="s">
        <v>1858</v>
      </c>
      <c r="L133" s="19" t="s">
        <v>1859</v>
      </c>
      <c r="M133" s="17">
        <v>175</v>
      </c>
    </row>
    <row r="134" spans="1:13" ht="25">
      <c r="A134" s="17" t="s">
        <v>1866</v>
      </c>
      <c r="B134" s="17" t="s">
        <v>391</v>
      </c>
      <c r="C134" s="17" t="s">
        <v>1450</v>
      </c>
      <c r="D134" s="17" t="s">
        <v>1451</v>
      </c>
      <c r="E134" s="17" t="s">
        <v>412</v>
      </c>
      <c r="F134" s="17" t="s">
        <v>1464</v>
      </c>
      <c r="G134" s="6" t="s">
        <v>1867</v>
      </c>
      <c r="H134" s="19" t="s">
        <v>1868</v>
      </c>
      <c r="I134" s="17"/>
      <c r="J134" s="17"/>
      <c r="K134" s="17" t="s">
        <v>1869</v>
      </c>
      <c r="L134" s="19" t="s">
        <v>1859</v>
      </c>
      <c r="M134" s="17">
        <v>176</v>
      </c>
    </row>
    <row r="135" spans="1:13" ht="25">
      <c r="A135" s="17" t="s">
        <v>1870</v>
      </c>
      <c r="B135" s="17" t="s">
        <v>391</v>
      </c>
      <c r="C135" s="17" t="s">
        <v>1450</v>
      </c>
      <c r="D135" s="17" t="s">
        <v>1451</v>
      </c>
      <c r="E135" s="17" t="s">
        <v>412</v>
      </c>
      <c r="F135" s="17" t="s">
        <v>1464</v>
      </c>
      <c r="G135" s="6" t="s">
        <v>1871</v>
      </c>
      <c r="H135" s="19" t="s">
        <v>1872</v>
      </c>
      <c r="I135" s="17"/>
      <c r="J135" s="17"/>
      <c r="K135" s="17" t="s">
        <v>1869</v>
      </c>
      <c r="L135" s="19" t="s">
        <v>1859</v>
      </c>
      <c r="M135" s="17">
        <v>177</v>
      </c>
    </row>
    <row r="136" spans="1:13">
      <c r="A136" s="17" t="s">
        <v>1873</v>
      </c>
      <c r="B136" s="17" t="s">
        <v>391</v>
      </c>
      <c r="C136" s="17" t="s">
        <v>1450</v>
      </c>
      <c r="D136" s="17" t="s">
        <v>1451</v>
      </c>
      <c r="E136" s="17" t="s">
        <v>390</v>
      </c>
      <c r="F136" s="17" t="s">
        <v>1452</v>
      </c>
      <c r="G136" s="6" t="s">
        <v>1874</v>
      </c>
      <c r="H136" s="19" t="s">
        <v>1875</v>
      </c>
      <c r="I136" s="17"/>
      <c r="J136" s="17"/>
      <c r="K136" s="17" t="s">
        <v>1455</v>
      </c>
      <c r="L136" s="19" t="s">
        <v>1876</v>
      </c>
      <c r="M136" s="17">
        <v>165</v>
      </c>
    </row>
    <row r="137" spans="1:13">
      <c r="A137" s="17" t="s">
        <v>1877</v>
      </c>
      <c r="B137" s="17" t="s">
        <v>391</v>
      </c>
      <c r="C137" s="17" t="s">
        <v>1450</v>
      </c>
      <c r="D137" s="17" t="s">
        <v>1451</v>
      </c>
      <c r="E137" s="17" t="s">
        <v>390</v>
      </c>
      <c r="F137" s="17" t="s">
        <v>1003</v>
      </c>
      <c r="G137" s="6" t="s">
        <v>1878</v>
      </c>
      <c r="H137" s="19" t="s">
        <v>1879</v>
      </c>
      <c r="I137" s="17"/>
      <c r="J137" s="17"/>
      <c r="K137" s="17" t="s">
        <v>1455</v>
      </c>
      <c r="L137" s="19" t="s">
        <v>1876</v>
      </c>
      <c r="M137" s="17">
        <v>166</v>
      </c>
    </row>
    <row r="138" spans="1:13">
      <c r="A138" s="17" t="s">
        <v>1880</v>
      </c>
      <c r="B138" s="17" t="s">
        <v>391</v>
      </c>
      <c r="C138" s="17" t="s">
        <v>1450</v>
      </c>
      <c r="D138" s="17" t="s">
        <v>1451</v>
      </c>
      <c r="E138" s="17" t="s">
        <v>397</v>
      </c>
      <c r="F138" s="17" t="s">
        <v>1452</v>
      </c>
      <c r="G138" s="6" t="s">
        <v>1881</v>
      </c>
      <c r="H138" s="19" t="s">
        <v>1882</v>
      </c>
      <c r="I138" s="17"/>
      <c r="J138" s="17"/>
      <c r="K138" s="17" t="s">
        <v>1883</v>
      </c>
      <c r="L138" s="19" t="s">
        <v>1876</v>
      </c>
      <c r="M138" s="17">
        <v>167</v>
      </c>
    </row>
    <row r="139" spans="1:13">
      <c r="A139" s="17" t="s">
        <v>1884</v>
      </c>
      <c r="B139" s="17" t="s">
        <v>391</v>
      </c>
      <c r="C139" s="17" t="s">
        <v>1450</v>
      </c>
      <c r="D139" s="17" t="s">
        <v>1451</v>
      </c>
      <c r="E139" s="17" t="s">
        <v>397</v>
      </c>
      <c r="F139" s="17" t="s">
        <v>1003</v>
      </c>
      <c r="G139" s="6" t="s">
        <v>1885</v>
      </c>
      <c r="H139" s="19" t="s">
        <v>1886</v>
      </c>
      <c r="I139" s="17"/>
      <c r="J139" s="17"/>
      <c r="K139" s="17" t="s">
        <v>1883</v>
      </c>
      <c r="L139" s="19" t="s">
        <v>1876</v>
      </c>
      <c r="M139" s="17">
        <v>168</v>
      </c>
    </row>
    <row r="140" spans="1:13">
      <c r="A140" s="17" t="s">
        <v>1887</v>
      </c>
      <c r="B140" s="17" t="s">
        <v>391</v>
      </c>
      <c r="C140" s="17" t="s">
        <v>1450</v>
      </c>
      <c r="D140" s="17" t="s">
        <v>1451</v>
      </c>
      <c r="E140" s="17" t="s">
        <v>416</v>
      </c>
      <c r="F140" s="17" t="s">
        <v>1452</v>
      </c>
      <c r="G140" s="6" t="s">
        <v>1888</v>
      </c>
      <c r="H140" s="19" t="s">
        <v>1889</v>
      </c>
      <c r="I140" s="17"/>
      <c r="J140" s="17"/>
      <c r="K140" s="17" t="s">
        <v>1883</v>
      </c>
      <c r="L140" s="19" t="s">
        <v>1876</v>
      </c>
      <c r="M140" s="17">
        <v>169</v>
      </c>
    </row>
    <row r="141" spans="1:13">
      <c r="A141" s="17" t="s">
        <v>1890</v>
      </c>
      <c r="B141" s="17" t="s">
        <v>391</v>
      </c>
      <c r="C141" s="17" t="s">
        <v>1450</v>
      </c>
      <c r="D141" s="17" t="s">
        <v>1451</v>
      </c>
      <c r="E141" s="17" t="s">
        <v>416</v>
      </c>
      <c r="F141" s="17" t="s">
        <v>1003</v>
      </c>
      <c r="G141" s="6" t="s">
        <v>1891</v>
      </c>
      <c r="H141" s="19" t="s">
        <v>1892</v>
      </c>
      <c r="I141" s="17"/>
      <c r="J141" s="17"/>
      <c r="K141" s="17" t="s">
        <v>1883</v>
      </c>
      <c r="L141" s="19" t="s">
        <v>1876</v>
      </c>
      <c r="M141" s="17">
        <v>170</v>
      </c>
    </row>
    <row r="142" spans="1:13">
      <c r="A142" s="17" t="s">
        <v>1893</v>
      </c>
      <c r="B142" s="17" t="s">
        <v>391</v>
      </c>
      <c r="C142" s="17" t="s">
        <v>1450</v>
      </c>
      <c r="D142" s="17" t="s">
        <v>1451</v>
      </c>
      <c r="E142" s="17" t="s">
        <v>401</v>
      </c>
      <c r="F142" s="17" t="s">
        <v>1452</v>
      </c>
      <c r="G142" s="6" t="s">
        <v>1894</v>
      </c>
      <c r="H142" s="19" t="s">
        <v>1895</v>
      </c>
      <c r="I142" s="17"/>
      <c r="J142" s="17"/>
      <c r="K142" s="17" t="s">
        <v>1896</v>
      </c>
      <c r="L142" s="19" t="s">
        <v>1876</v>
      </c>
      <c r="M142" s="17">
        <v>171</v>
      </c>
    </row>
    <row r="143" spans="1:13">
      <c r="A143" s="17" t="s">
        <v>1897</v>
      </c>
      <c r="B143" s="17" t="s">
        <v>391</v>
      </c>
      <c r="C143" s="17" t="s">
        <v>1450</v>
      </c>
      <c r="D143" s="17" t="s">
        <v>1548</v>
      </c>
      <c r="E143" s="17"/>
      <c r="F143" s="17"/>
      <c r="G143" s="6" t="s">
        <v>1898</v>
      </c>
      <c r="H143" s="19" t="s">
        <v>1899</v>
      </c>
      <c r="I143" s="17"/>
      <c r="J143" s="17"/>
      <c r="K143" s="17" t="s">
        <v>1455</v>
      </c>
      <c r="L143" s="19" t="s">
        <v>1876</v>
      </c>
      <c r="M143" s="17">
        <v>172</v>
      </c>
    </row>
    <row r="144" spans="1:13">
      <c r="A144" s="6" t="s">
        <v>1900</v>
      </c>
      <c r="B144" s="6" t="s">
        <v>391</v>
      </c>
      <c r="C144" s="6" t="s">
        <v>2585</v>
      </c>
      <c r="D144" s="6" t="s">
        <v>1451</v>
      </c>
      <c r="E144" s="6" t="s">
        <v>412</v>
      </c>
      <c r="F144" s="6" t="s">
        <v>1003</v>
      </c>
      <c r="G144" s="6" t="s">
        <v>2586</v>
      </c>
      <c r="H144" s="5" t="s">
        <v>2587</v>
      </c>
      <c r="I144" s="6" t="s">
        <v>501</v>
      </c>
      <c r="J144" s="6"/>
      <c r="K144" s="6" t="s">
        <v>1901</v>
      </c>
      <c r="L144" s="5" t="s">
        <v>2588</v>
      </c>
      <c r="M144" s="6">
        <v>173</v>
      </c>
    </row>
    <row r="145" spans="1:13">
      <c r="A145" s="6" t="s">
        <v>1902</v>
      </c>
      <c r="B145" s="6" t="s">
        <v>391</v>
      </c>
      <c r="C145" s="6" t="s">
        <v>2585</v>
      </c>
      <c r="D145" s="6" t="s">
        <v>1451</v>
      </c>
      <c r="E145" s="6" t="s">
        <v>412</v>
      </c>
      <c r="F145" s="6" t="s">
        <v>1464</v>
      </c>
      <c r="G145" s="6" t="s">
        <v>2589</v>
      </c>
      <c r="H145" s="5" t="s">
        <v>2590</v>
      </c>
      <c r="I145" s="6"/>
      <c r="J145" s="6"/>
      <c r="K145" s="6" t="s">
        <v>1903</v>
      </c>
      <c r="L145" s="5" t="s">
        <v>2588</v>
      </c>
      <c r="M145" s="6">
        <v>174</v>
      </c>
    </row>
    <row r="146" spans="1:13">
      <c r="A146" s="6" t="s">
        <v>1904</v>
      </c>
      <c r="B146" s="6" t="s">
        <v>391</v>
      </c>
      <c r="C146" s="6" t="s">
        <v>2585</v>
      </c>
      <c r="D146" s="6" t="s">
        <v>1451</v>
      </c>
      <c r="E146" s="6" t="s">
        <v>420</v>
      </c>
      <c r="F146" s="6" t="s">
        <v>1464</v>
      </c>
      <c r="G146" s="6" t="s">
        <v>2591</v>
      </c>
      <c r="H146" s="5" t="s">
        <v>2592</v>
      </c>
      <c r="I146" s="6"/>
      <c r="J146" s="6"/>
      <c r="K146" s="6" t="s">
        <v>1905</v>
      </c>
      <c r="L146" s="5" t="s">
        <v>2588</v>
      </c>
      <c r="M146" s="6">
        <v>175</v>
      </c>
    </row>
    <row r="147" spans="1:13">
      <c r="A147" s="6" t="s">
        <v>1906</v>
      </c>
      <c r="B147" s="6" t="s">
        <v>391</v>
      </c>
      <c r="C147" s="6" t="s">
        <v>2585</v>
      </c>
      <c r="D147" s="6" t="s">
        <v>1451</v>
      </c>
      <c r="E147" s="6" t="s">
        <v>420</v>
      </c>
      <c r="F147" s="6" t="s">
        <v>1464</v>
      </c>
      <c r="G147" s="6" t="s">
        <v>2593</v>
      </c>
      <c r="H147" s="5" t="s">
        <v>2594</v>
      </c>
      <c r="I147" s="6"/>
      <c r="J147" s="6"/>
      <c r="K147" s="6" t="s">
        <v>1042</v>
      </c>
      <c r="L147" s="5" t="s">
        <v>2588</v>
      </c>
      <c r="M147" s="6">
        <v>176</v>
      </c>
    </row>
    <row r="148" spans="1:13">
      <c r="A148" s="6" t="s">
        <v>1907</v>
      </c>
      <c r="B148" s="6" t="s">
        <v>391</v>
      </c>
      <c r="C148" s="6" t="s">
        <v>2585</v>
      </c>
      <c r="D148" s="6" t="s">
        <v>1451</v>
      </c>
      <c r="E148" s="6" t="s">
        <v>420</v>
      </c>
      <c r="F148" s="6" t="s">
        <v>1003</v>
      </c>
      <c r="G148" s="6" t="s">
        <v>2595</v>
      </c>
      <c r="H148" s="5" t="s">
        <v>2596</v>
      </c>
      <c r="I148" s="6"/>
      <c r="J148" s="6"/>
      <c r="K148" s="6" t="s">
        <v>1908</v>
      </c>
      <c r="L148" s="5" t="s">
        <v>2588</v>
      </c>
      <c r="M148" s="6">
        <v>177</v>
      </c>
    </row>
    <row r="149" spans="1:13">
      <c r="A149" s="6" t="s">
        <v>1909</v>
      </c>
      <c r="B149" s="6" t="s">
        <v>391</v>
      </c>
      <c r="C149" s="6" t="s">
        <v>2585</v>
      </c>
      <c r="D149" s="6" t="s">
        <v>1451</v>
      </c>
      <c r="E149" s="6" t="s">
        <v>405</v>
      </c>
      <c r="F149" s="6" t="s">
        <v>1003</v>
      </c>
      <c r="G149" s="6" t="s">
        <v>2597</v>
      </c>
      <c r="H149" s="5" t="s">
        <v>2598</v>
      </c>
      <c r="I149" s="6"/>
      <c r="J149" s="6"/>
      <c r="K149" s="6" t="s">
        <v>1910</v>
      </c>
      <c r="L149" s="5" t="s">
        <v>2588</v>
      </c>
      <c r="M149" s="6">
        <v>178</v>
      </c>
    </row>
    <row r="150" spans="1:13">
      <c r="A150" s="6" t="s">
        <v>1911</v>
      </c>
      <c r="B150" s="6" t="s">
        <v>391</v>
      </c>
      <c r="C150" s="6" t="s">
        <v>2585</v>
      </c>
      <c r="D150" s="6" t="s">
        <v>1451</v>
      </c>
      <c r="E150" s="6" t="s">
        <v>405</v>
      </c>
      <c r="F150" s="6" t="s">
        <v>1003</v>
      </c>
      <c r="G150" s="6" t="s">
        <v>2599</v>
      </c>
      <c r="H150" s="5" t="s">
        <v>2600</v>
      </c>
      <c r="I150" s="6"/>
      <c r="J150" s="6"/>
      <c r="K150" s="6" t="s">
        <v>1910</v>
      </c>
      <c r="L150" s="5" t="s">
        <v>2588</v>
      </c>
      <c r="M150" s="6">
        <v>179</v>
      </c>
    </row>
    <row r="151" spans="1:13">
      <c r="A151" s="6" t="s">
        <v>1912</v>
      </c>
      <c r="B151" s="6" t="s">
        <v>391</v>
      </c>
      <c r="C151" s="6" t="s">
        <v>2585</v>
      </c>
      <c r="D151" s="6" t="s">
        <v>1451</v>
      </c>
      <c r="E151" s="6" t="s">
        <v>416</v>
      </c>
      <c r="F151" s="6" t="s">
        <v>1003</v>
      </c>
      <c r="G151" s="6" t="s">
        <v>2601</v>
      </c>
      <c r="H151" s="5" t="s">
        <v>2602</v>
      </c>
      <c r="I151" s="6"/>
      <c r="J151" s="6"/>
      <c r="K151" s="6" t="s">
        <v>1913</v>
      </c>
      <c r="L151" s="5" t="s">
        <v>2588</v>
      </c>
      <c r="M151" s="6">
        <v>180</v>
      </c>
    </row>
    <row r="152" spans="1:13">
      <c r="A152" s="6" t="s">
        <v>1914</v>
      </c>
      <c r="B152" s="6" t="s">
        <v>391</v>
      </c>
      <c r="C152" s="6" t="s">
        <v>2585</v>
      </c>
      <c r="D152" s="6" t="s">
        <v>1451</v>
      </c>
      <c r="E152" s="6" t="s">
        <v>401</v>
      </c>
      <c r="F152" s="6" t="s">
        <v>1003</v>
      </c>
      <c r="G152" s="6" t="s">
        <v>2603</v>
      </c>
      <c r="H152" s="5" t="s">
        <v>2604</v>
      </c>
      <c r="I152" s="6"/>
      <c r="J152" s="6"/>
      <c r="K152" s="6" t="s">
        <v>1915</v>
      </c>
      <c r="L152" s="5" t="s">
        <v>2588</v>
      </c>
      <c r="M152" s="6">
        <v>181</v>
      </c>
    </row>
    <row r="153" spans="1:13">
      <c r="A153" s="6" t="s">
        <v>1916</v>
      </c>
      <c r="B153" s="6" t="s">
        <v>391</v>
      </c>
      <c r="C153" s="6" t="s">
        <v>2585</v>
      </c>
      <c r="D153" s="6" t="s">
        <v>1451</v>
      </c>
      <c r="E153" s="6" t="s">
        <v>409</v>
      </c>
      <c r="F153" s="6" t="s">
        <v>1452</v>
      </c>
      <c r="G153" s="6" t="s">
        <v>2605</v>
      </c>
      <c r="H153" s="5" t="s">
        <v>2606</v>
      </c>
      <c r="I153" s="6"/>
      <c r="J153" s="6"/>
      <c r="K153" s="6" t="s">
        <v>1903</v>
      </c>
      <c r="L153" s="5" t="s">
        <v>2588</v>
      </c>
      <c r="M153" s="6">
        <v>182</v>
      </c>
    </row>
    <row r="154" spans="1:13">
      <c r="A154" s="6" t="s">
        <v>1917</v>
      </c>
      <c r="B154" s="6" t="s">
        <v>391</v>
      </c>
      <c r="C154" s="6" t="s">
        <v>2585</v>
      </c>
      <c r="D154" s="6" t="s">
        <v>1451</v>
      </c>
      <c r="E154" s="6" t="s">
        <v>409</v>
      </c>
      <c r="F154" s="6" t="s">
        <v>1452</v>
      </c>
      <c r="G154" s="6" t="s">
        <v>2607</v>
      </c>
      <c r="H154" s="5" t="s">
        <v>2608</v>
      </c>
      <c r="I154" s="6"/>
      <c r="J154" s="6"/>
      <c r="K154" s="6" t="s">
        <v>1901</v>
      </c>
      <c r="L154" s="5" t="s">
        <v>2588</v>
      </c>
      <c r="M154" s="6">
        <v>183</v>
      </c>
    </row>
    <row r="155" spans="1:13">
      <c r="A155" s="6" t="s">
        <v>1918</v>
      </c>
      <c r="B155" s="6" t="s">
        <v>391</v>
      </c>
      <c r="C155" s="6" t="s">
        <v>2585</v>
      </c>
      <c r="D155" s="6" t="s">
        <v>1451</v>
      </c>
      <c r="E155" s="6" t="s">
        <v>409</v>
      </c>
      <c r="F155" s="6" t="s">
        <v>1003</v>
      </c>
      <c r="G155" s="6" t="s">
        <v>2609</v>
      </c>
      <c r="H155" s="5" t="s">
        <v>2610</v>
      </c>
      <c r="I155" s="6"/>
      <c r="J155" s="6"/>
      <c r="K155" s="6" t="s">
        <v>1903</v>
      </c>
      <c r="L155" s="5" t="s">
        <v>2588</v>
      </c>
      <c r="M155" s="6">
        <v>184</v>
      </c>
    </row>
    <row r="156" spans="1:13">
      <c r="A156" s="6" t="s">
        <v>1919</v>
      </c>
      <c r="B156" s="6" t="s">
        <v>391</v>
      </c>
      <c r="C156" s="6" t="s">
        <v>2585</v>
      </c>
      <c r="D156" s="6" t="s">
        <v>1451</v>
      </c>
      <c r="E156" s="6" t="s">
        <v>409</v>
      </c>
      <c r="F156" s="6" t="s">
        <v>1464</v>
      </c>
      <c r="G156" s="6" t="s">
        <v>2611</v>
      </c>
      <c r="H156" s="5" t="s">
        <v>2612</v>
      </c>
      <c r="I156" s="6" t="s">
        <v>503</v>
      </c>
      <c r="J156" s="6"/>
      <c r="K156" s="6" t="s">
        <v>1901</v>
      </c>
      <c r="L156" s="5" t="s">
        <v>2588</v>
      </c>
      <c r="M156" s="6">
        <v>185</v>
      </c>
    </row>
    <row r="157" spans="1:13">
      <c r="A157" s="6" t="s">
        <v>1920</v>
      </c>
      <c r="B157" s="6" t="s">
        <v>391</v>
      </c>
      <c r="C157" s="6" t="s">
        <v>2585</v>
      </c>
      <c r="D157" s="6" t="s">
        <v>1451</v>
      </c>
      <c r="E157" s="6" t="s">
        <v>412</v>
      </c>
      <c r="F157" s="6" t="s">
        <v>1003</v>
      </c>
      <c r="G157" s="6" t="s">
        <v>2613</v>
      </c>
      <c r="H157" s="5" t="s">
        <v>2614</v>
      </c>
      <c r="I157" s="6" t="s">
        <v>501</v>
      </c>
      <c r="J157" s="6"/>
      <c r="K157" s="6" t="s">
        <v>1901</v>
      </c>
      <c r="L157" s="5" t="s">
        <v>2588</v>
      </c>
      <c r="M157" s="6">
        <v>186</v>
      </c>
    </row>
    <row r="158" spans="1:13">
      <c r="A158" s="6" t="s">
        <v>1921</v>
      </c>
      <c r="B158" s="6" t="s">
        <v>391</v>
      </c>
      <c r="C158" s="6" t="s">
        <v>2585</v>
      </c>
      <c r="D158" s="6" t="s">
        <v>1451</v>
      </c>
      <c r="E158" s="6" t="s">
        <v>420</v>
      </c>
      <c r="F158" s="6" t="s">
        <v>1464</v>
      </c>
      <c r="G158" s="6" t="s">
        <v>2615</v>
      </c>
      <c r="H158" s="5" t="s">
        <v>2616</v>
      </c>
      <c r="I158" s="6"/>
      <c r="J158" s="6"/>
      <c r="K158" s="6" t="s">
        <v>1908</v>
      </c>
      <c r="L158" s="5" t="s">
        <v>2588</v>
      </c>
      <c r="M158" s="6">
        <v>187</v>
      </c>
    </row>
    <row r="159" spans="1:13">
      <c r="A159" s="6" t="s">
        <v>1922</v>
      </c>
      <c r="B159" s="6" t="s">
        <v>391</v>
      </c>
      <c r="C159" s="6" t="s">
        <v>2585</v>
      </c>
      <c r="D159" s="6" t="s">
        <v>1451</v>
      </c>
      <c r="E159" s="6" t="s">
        <v>420</v>
      </c>
      <c r="F159" s="6" t="s">
        <v>1003</v>
      </c>
      <c r="G159" s="6" t="s">
        <v>2617</v>
      </c>
      <c r="H159" s="5" t="s">
        <v>2618</v>
      </c>
      <c r="I159" s="6"/>
      <c r="J159" s="6"/>
      <c r="K159" s="6" t="s">
        <v>1923</v>
      </c>
      <c r="L159" s="5" t="s">
        <v>2588</v>
      </c>
      <c r="M159" s="6">
        <v>188</v>
      </c>
    </row>
    <row r="160" spans="1:13">
      <c r="A160" s="6" t="s">
        <v>1924</v>
      </c>
      <c r="B160" s="6" t="s">
        <v>391</v>
      </c>
      <c r="C160" s="6" t="s">
        <v>2585</v>
      </c>
      <c r="D160" s="6" t="s">
        <v>1451</v>
      </c>
      <c r="E160" s="6" t="s">
        <v>420</v>
      </c>
      <c r="F160" s="6" t="s">
        <v>1003</v>
      </c>
      <c r="G160" s="6" t="s">
        <v>2619</v>
      </c>
      <c r="H160" s="5" t="s">
        <v>2620</v>
      </c>
      <c r="I160" s="6"/>
      <c r="J160" s="6"/>
      <c r="K160" s="6" t="s">
        <v>1042</v>
      </c>
      <c r="L160" s="5" t="s">
        <v>2588</v>
      </c>
      <c r="M160" s="6">
        <v>189</v>
      </c>
    </row>
    <row r="161" spans="1:13">
      <c r="A161" s="6" t="s">
        <v>1925</v>
      </c>
      <c r="B161" s="6" t="s">
        <v>391</v>
      </c>
      <c r="C161" s="6" t="s">
        <v>2585</v>
      </c>
      <c r="D161" s="6" t="s">
        <v>1451</v>
      </c>
      <c r="E161" s="6" t="s">
        <v>420</v>
      </c>
      <c r="F161" s="6" t="s">
        <v>1464</v>
      </c>
      <c r="G161" s="6" t="s">
        <v>2621</v>
      </c>
      <c r="H161" s="5" t="s">
        <v>2622</v>
      </c>
      <c r="I161" s="6"/>
      <c r="J161" s="6"/>
      <c r="K161" s="6" t="s">
        <v>1042</v>
      </c>
      <c r="L161" s="5" t="s">
        <v>2588</v>
      </c>
      <c r="M161" s="6">
        <v>190</v>
      </c>
    </row>
    <row r="162" spans="1:13">
      <c r="A162" s="6" t="s">
        <v>1926</v>
      </c>
      <c r="B162" s="6" t="s">
        <v>391</v>
      </c>
      <c r="C162" s="6" t="s">
        <v>2585</v>
      </c>
      <c r="D162" s="6" t="s">
        <v>1451</v>
      </c>
      <c r="E162" s="6" t="s">
        <v>420</v>
      </c>
      <c r="F162" s="6" t="s">
        <v>1452</v>
      </c>
      <c r="G162" s="6" t="s">
        <v>2623</v>
      </c>
      <c r="H162" s="5" t="s">
        <v>2624</v>
      </c>
      <c r="I162" s="6"/>
      <c r="J162" s="6"/>
      <c r="K162" s="6" t="s">
        <v>1042</v>
      </c>
      <c r="L162" s="5" t="s">
        <v>2588</v>
      </c>
      <c r="M162" s="6">
        <v>191</v>
      </c>
    </row>
    <row r="163" spans="1:13">
      <c r="A163" s="6" t="s">
        <v>1927</v>
      </c>
      <c r="B163" s="6" t="s">
        <v>391</v>
      </c>
      <c r="C163" s="6" t="s">
        <v>2585</v>
      </c>
      <c r="D163" s="6" t="s">
        <v>1451</v>
      </c>
      <c r="E163" s="6" t="s">
        <v>416</v>
      </c>
      <c r="F163" s="6" t="s">
        <v>1003</v>
      </c>
      <c r="G163" s="6" t="s">
        <v>2625</v>
      </c>
      <c r="H163" s="5" t="s">
        <v>2626</v>
      </c>
      <c r="I163" s="6"/>
      <c r="J163" s="6"/>
      <c r="K163" s="6" t="s">
        <v>1455</v>
      </c>
      <c r="L163" s="5" t="s">
        <v>2588</v>
      </c>
      <c r="M163" s="6">
        <v>192</v>
      </c>
    </row>
    <row r="164" spans="1:13">
      <c r="A164" s="6" t="s">
        <v>1928</v>
      </c>
      <c r="B164" s="6" t="s">
        <v>391</v>
      </c>
      <c r="C164" s="6" t="s">
        <v>2585</v>
      </c>
      <c r="D164" s="6" t="s">
        <v>1451</v>
      </c>
      <c r="E164" s="6" t="s">
        <v>405</v>
      </c>
      <c r="F164" s="6" t="s">
        <v>1003</v>
      </c>
      <c r="G164" s="6" t="s">
        <v>2627</v>
      </c>
      <c r="H164" s="5" t="s">
        <v>2628</v>
      </c>
      <c r="I164" s="6"/>
      <c r="J164" s="6"/>
      <c r="K164" s="6" t="s">
        <v>1910</v>
      </c>
      <c r="L164" s="5" t="s">
        <v>2588</v>
      </c>
      <c r="M164" s="6">
        <v>193</v>
      </c>
    </row>
    <row r="165" spans="1:13">
      <c r="A165" s="6" t="s">
        <v>1929</v>
      </c>
      <c r="B165" s="6" t="s">
        <v>391</v>
      </c>
      <c r="C165" s="6" t="s">
        <v>2585</v>
      </c>
      <c r="D165" s="6" t="s">
        <v>1451</v>
      </c>
      <c r="E165" s="6" t="s">
        <v>405</v>
      </c>
      <c r="F165" s="6" t="s">
        <v>1452</v>
      </c>
      <c r="G165" s="6" t="s">
        <v>2629</v>
      </c>
      <c r="H165" s="5" t="s">
        <v>2630</v>
      </c>
      <c r="I165" s="6"/>
      <c r="J165" s="6"/>
      <c r="K165" s="6" t="s">
        <v>1910</v>
      </c>
      <c r="L165" s="5" t="s">
        <v>2588</v>
      </c>
      <c r="M165" s="6">
        <v>194</v>
      </c>
    </row>
    <row r="166" spans="1:13">
      <c r="A166" s="6" t="s">
        <v>1930</v>
      </c>
      <c r="B166" s="6" t="s">
        <v>391</v>
      </c>
      <c r="C166" s="6" t="s">
        <v>2585</v>
      </c>
      <c r="D166" s="6" t="s">
        <v>1451</v>
      </c>
      <c r="E166" s="6" t="s">
        <v>401</v>
      </c>
      <c r="F166" s="6" t="s">
        <v>1003</v>
      </c>
      <c r="G166" s="6" t="s">
        <v>2631</v>
      </c>
      <c r="H166" s="5" t="s">
        <v>2632</v>
      </c>
      <c r="I166" s="6"/>
      <c r="J166" s="6"/>
      <c r="K166" s="6" t="s">
        <v>1915</v>
      </c>
      <c r="L166" s="5" t="s">
        <v>2588</v>
      </c>
      <c r="M166" s="6">
        <v>196</v>
      </c>
    </row>
    <row r="167" spans="1:13">
      <c r="A167" s="6" t="s">
        <v>1931</v>
      </c>
      <c r="B167" s="6" t="s">
        <v>391</v>
      </c>
      <c r="C167" s="6" t="s">
        <v>2585</v>
      </c>
      <c r="D167" s="6" t="s">
        <v>1451</v>
      </c>
      <c r="E167" s="6" t="s">
        <v>397</v>
      </c>
      <c r="F167" s="6" t="s">
        <v>1003</v>
      </c>
      <c r="G167" s="6" t="s">
        <v>2633</v>
      </c>
      <c r="H167" s="5" t="s">
        <v>2634</v>
      </c>
      <c r="I167" s="6"/>
      <c r="J167" s="6"/>
      <c r="K167" s="6" t="s">
        <v>1042</v>
      </c>
      <c r="L167" s="5" t="s">
        <v>2588</v>
      </c>
      <c r="M167" s="6">
        <v>197</v>
      </c>
    </row>
    <row r="168" spans="1:13">
      <c r="A168" s="6" t="s">
        <v>1932</v>
      </c>
      <c r="B168" s="6" t="s">
        <v>391</v>
      </c>
      <c r="C168" s="6" t="s">
        <v>2585</v>
      </c>
      <c r="D168" s="6" t="s">
        <v>1451</v>
      </c>
      <c r="E168" s="6" t="s">
        <v>409</v>
      </c>
      <c r="F168" s="6" t="s">
        <v>1452</v>
      </c>
      <c r="G168" s="6" t="s">
        <v>2635</v>
      </c>
      <c r="H168" s="5" t="s">
        <v>2636</v>
      </c>
      <c r="I168" s="6"/>
      <c r="J168" s="6"/>
      <c r="K168" s="6" t="s">
        <v>1901</v>
      </c>
      <c r="L168" s="5" t="s">
        <v>2588</v>
      </c>
      <c r="M168" s="6">
        <v>198</v>
      </c>
    </row>
    <row r="169" spans="1:13">
      <c r="A169" s="6" t="s">
        <v>1933</v>
      </c>
      <c r="B169" s="6" t="s">
        <v>391</v>
      </c>
      <c r="C169" s="6" t="s">
        <v>2585</v>
      </c>
      <c r="D169" s="6" t="s">
        <v>1451</v>
      </c>
      <c r="E169" s="6" t="s">
        <v>409</v>
      </c>
      <c r="F169" s="6" t="s">
        <v>1003</v>
      </c>
      <c r="G169" s="6" t="s">
        <v>2637</v>
      </c>
      <c r="H169" s="5" t="s">
        <v>2638</v>
      </c>
      <c r="I169" s="6"/>
      <c r="J169" s="6"/>
      <c r="K169" s="6" t="s">
        <v>1903</v>
      </c>
      <c r="L169" s="5" t="s">
        <v>2588</v>
      </c>
      <c r="M169" s="6">
        <v>199</v>
      </c>
    </row>
    <row r="170" spans="1:13">
      <c r="A170" s="6" t="s">
        <v>1934</v>
      </c>
      <c r="B170" s="6" t="s">
        <v>391</v>
      </c>
      <c r="C170" s="6" t="s">
        <v>2585</v>
      </c>
      <c r="D170" s="6" t="s">
        <v>1451</v>
      </c>
      <c r="E170" s="6" t="s">
        <v>409</v>
      </c>
      <c r="F170" s="6" t="s">
        <v>1003</v>
      </c>
      <c r="G170" s="6" t="s">
        <v>2639</v>
      </c>
      <c r="H170" s="5" t="s">
        <v>2640</v>
      </c>
      <c r="I170" s="6" t="s">
        <v>501</v>
      </c>
      <c r="J170" s="6"/>
      <c r="K170" s="6" t="s">
        <v>1903</v>
      </c>
      <c r="L170" s="5" t="s">
        <v>2588</v>
      </c>
      <c r="M170" s="6">
        <v>200</v>
      </c>
    </row>
    <row r="171" spans="1:13">
      <c r="A171" s="6" t="s">
        <v>1935</v>
      </c>
      <c r="B171" s="6" t="s">
        <v>391</v>
      </c>
      <c r="C171" s="6" t="s">
        <v>2585</v>
      </c>
      <c r="D171" s="6" t="s">
        <v>1451</v>
      </c>
      <c r="E171" s="6" t="s">
        <v>416</v>
      </c>
      <c r="F171" s="6" t="s">
        <v>1464</v>
      </c>
      <c r="G171" s="6" t="s">
        <v>2641</v>
      </c>
      <c r="H171" s="5" t="s">
        <v>2642</v>
      </c>
      <c r="I171" s="6"/>
      <c r="J171" s="6"/>
      <c r="K171" s="6" t="s">
        <v>1455</v>
      </c>
      <c r="L171" s="5" t="s">
        <v>2588</v>
      </c>
      <c r="M171" s="6">
        <v>201</v>
      </c>
    </row>
    <row r="172" spans="1:13">
      <c r="A172" s="6" t="s">
        <v>1936</v>
      </c>
      <c r="B172" s="6" t="s">
        <v>391</v>
      </c>
      <c r="C172" s="6" t="s">
        <v>2585</v>
      </c>
      <c r="D172" s="6" t="s">
        <v>1451</v>
      </c>
      <c r="E172" s="6" t="s">
        <v>420</v>
      </c>
      <c r="F172" s="6" t="s">
        <v>1452</v>
      </c>
      <c r="G172" s="6" t="s">
        <v>2643</v>
      </c>
      <c r="H172" s="5" t="s">
        <v>2644</v>
      </c>
      <c r="I172" s="6"/>
      <c r="J172" s="6"/>
      <c r="K172" s="6" t="s">
        <v>1042</v>
      </c>
      <c r="L172" s="5" t="s">
        <v>2588</v>
      </c>
      <c r="M172" s="6">
        <v>202</v>
      </c>
    </row>
    <row r="173" spans="1:13">
      <c r="A173" s="22" t="s">
        <v>1987</v>
      </c>
      <c r="B173" s="22" t="s">
        <v>391</v>
      </c>
      <c r="C173" s="22" t="s">
        <v>2682</v>
      </c>
      <c r="D173" s="22" t="s">
        <v>1538</v>
      </c>
      <c r="E173" s="7"/>
      <c r="F173" s="7"/>
      <c r="G173" s="22" t="s">
        <v>2683</v>
      </c>
      <c r="H173" s="23" t="s">
        <v>2684</v>
      </c>
      <c r="I173" s="22" t="s">
        <v>502</v>
      </c>
      <c r="J173" s="7"/>
      <c r="K173" s="22" t="s">
        <v>1455</v>
      </c>
      <c r="L173" s="23" t="s">
        <v>2685</v>
      </c>
      <c r="M173" s="22">
        <v>203</v>
      </c>
    </row>
    <row r="174" spans="1:13" ht="26">
      <c r="A174" s="22" t="s">
        <v>1988</v>
      </c>
      <c r="B174" s="22" t="s">
        <v>391</v>
      </c>
      <c r="C174" s="22" t="s">
        <v>2682</v>
      </c>
      <c r="D174" s="22" t="s">
        <v>1538</v>
      </c>
      <c r="E174" s="7"/>
      <c r="F174" s="7"/>
      <c r="G174" s="22" t="s">
        <v>2686</v>
      </c>
      <c r="H174" s="23" t="s">
        <v>2687</v>
      </c>
      <c r="I174" s="22" t="s">
        <v>502</v>
      </c>
      <c r="J174" s="7"/>
      <c r="K174" s="22" t="s">
        <v>1455</v>
      </c>
      <c r="L174" s="23" t="s">
        <v>2685</v>
      </c>
      <c r="M174" s="22">
        <v>204</v>
      </c>
    </row>
    <row r="175" spans="1:13">
      <c r="A175" s="22" t="s">
        <v>1989</v>
      </c>
      <c r="B175" s="22" t="s">
        <v>391</v>
      </c>
      <c r="C175" s="22" t="s">
        <v>2682</v>
      </c>
      <c r="D175" s="22" t="s">
        <v>1538</v>
      </c>
      <c r="E175" s="7"/>
      <c r="F175" s="7"/>
      <c r="G175" s="22" t="s">
        <v>2688</v>
      </c>
      <c r="H175" s="23" t="s">
        <v>2689</v>
      </c>
      <c r="I175" s="22" t="s">
        <v>502</v>
      </c>
      <c r="J175" s="7"/>
      <c r="K175" s="22" t="s">
        <v>1455</v>
      </c>
      <c r="L175" s="23" t="s">
        <v>2685</v>
      </c>
      <c r="M175" s="22">
        <v>205</v>
      </c>
    </row>
    <row r="176" spans="1:13" ht="26">
      <c r="A176" s="22" t="s">
        <v>1991</v>
      </c>
      <c r="B176" s="22" t="s">
        <v>391</v>
      </c>
      <c r="C176" s="22" t="s">
        <v>2682</v>
      </c>
      <c r="D176" s="22" t="s">
        <v>1538</v>
      </c>
      <c r="E176" s="7"/>
      <c r="F176" s="7"/>
      <c r="G176" s="22" t="s">
        <v>2690</v>
      </c>
      <c r="H176" s="23" t="s">
        <v>2691</v>
      </c>
      <c r="I176" s="7"/>
      <c r="J176" s="7"/>
      <c r="K176" s="7"/>
      <c r="L176" s="23" t="s">
        <v>2692</v>
      </c>
      <c r="M176" s="22">
        <v>206</v>
      </c>
    </row>
    <row r="177" spans="1:13" ht="26">
      <c r="A177" s="22" t="s">
        <v>1992</v>
      </c>
      <c r="B177" s="22" t="s">
        <v>391</v>
      </c>
      <c r="C177" s="22" t="s">
        <v>2682</v>
      </c>
      <c r="D177" s="22" t="s">
        <v>1538</v>
      </c>
      <c r="E177" s="7"/>
      <c r="F177" s="7"/>
      <c r="G177" s="22" t="s">
        <v>2693</v>
      </c>
      <c r="H177" s="23" t="s">
        <v>2694</v>
      </c>
      <c r="I177" s="7"/>
      <c r="J177" s="7"/>
      <c r="K177" s="22" t="s">
        <v>1901</v>
      </c>
      <c r="L177" s="23" t="s">
        <v>2692</v>
      </c>
      <c r="M177" s="22">
        <v>207</v>
      </c>
    </row>
    <row r="178" spans="1:13" ht="26">
      <c r="A178" s="7" t="s">
        <v>2781</v>
      </c>
      <c r="B178" s="7" t="s">
        <v>391</v>
      </c>
      <c r="C178" s="7" t="s">
        <v>1450</v>
      </c>
      <c r="D178" s="7" t="s">
        <v>1451</v>
      </c>
      <c r="E178" s="7" t="s">
        <v>390</v>
      </c>
      <c r="F178" s="7" t="s">
        <v>1452</v>
      </c>
      <c r="G178" s="7" t="s">
        <v>2782</v>
      </c>
      <c r="H178" s="8" t="s">
        <v>2783</v>
      </c>
      <c r="I178" s="7"/>
      <c r="J178" s="7"/>
      <c r="K178" s="7" t="s">
        <v>1901</v>
      </c>
      <c r="L178" s="8" t="s">
        <v>2784</v>
      </c>
      <c r="M178" s="7" t="s">
        <v>2785</v>
      </c>
    </row>
    <row r="179" spans="1:13" ht="26">
      <c r="A179" s="7" t="s">
        <v>2786</v>
      </c>
      <c r="B179" s="7" t="s">
        <v>391</v>
      </c>
      <c r="C179" s="7" t="s">
        <v>1450</v>
      </c>
      <c r="D179" s="7" t="s">
        <v>1451</v>
      </c>
      <c r="E179" s="7" t="s">
        <v>390</v>
      </c>
      <c r="F179" s="7" t="s">
        <v>1452</v>
      </c>
      <c r="G179" s="7" t="s">
        <v>2787</v>
      </c>
      <c r="H179" s="8" t="s">
        <v>2788</v>
      </c>
      <c r="I179" s="7"/>
      <c r="J179" s="7"/>
      <c r="K179" s="7" t="s">
        <v>1901</v>
      </c>
      <c r="L179" s="8" t="s">
        <v>2789</v>
      </c>
      <c r="M179" s="7" t="s">
        <v>2790</v>
      </c>
    </row>
    <row r="180" spans="1:13" ht="39">
      <c r="A180" s="7" t="s">
        <v>2791</v>
      </c>
      <c r="B180" s="7" t="s">
        <v>391</v>
      </c>
      <c r="C180" s="7" t="s">
        <v>1450</v>
      </c>
      <c r="D180" s="7" t="s">
        <v>1451</v>
      </c>
      <c r="E180" s="7" t="s">
        <v>397</v>
      </c>
      <c r="F180" s="7" t="s">
        <v>1452</v>
      </c>
      <c r="G180" s="7" t="s">
        <v>2792</v>
      </c>
      <c r="H180" s="8" t="s">
        <v>2793</v>
      </c>
      <c r="I180" s="7"/>
      <c r="J180" s="7"/>
      <c r="K180" s="7" t="s">
        <v>2794</v>
      </c>
      <c r="L180" s="8" t="s">
        <v>2795</v>
      </c>
      <c r="M180" s="7" t="s">
        <v>2796</v>
      </c>
    </row>
    <row r="181" spans="1:13" ht="39">
      <c r="A181" s="7" t="s">
        <v>2797</v>
      </c>
      <c r="B181" s="7" t="s">
        <v>391</v>
      </c>
      <c r="C181" s="7" t="s">
        <v>1450</v>
      </c>
      <c r="D181" s="7" t="s">
        <v>1451</v>
      </c>
      <c r="E181" s="7" t="s">
        <v>397</v>
      </c>
      <c r="F181" s="7" t="s">
        <v>1003</v>
      </c>
      <c r="G181" s="7" t="s">
        <v>2798</v>
      </c>
      <c r="H181" s="8" t="s">
        <v>2799</v>
      </c>
      <c r="I181" s="7"/>
      <c r="J181" s="7"/>
      <c r="K181" s="7" t="s">
        <v>2794</v>
      </c>
      <c r="L181" s="8" t="s">
        <v>2800</v>
      </c>
      <c r="M181" s="7" t="s">
        <v>2801</v>
      </c>
    </row>
    <row r="182" spans="1:13" ht="39">
      <c r="A182" s="7" t="s">
        <v>2802</v>
      </c>
      <c r="B182" s="7" t="s">
        <v>391</v>
      </c>
      <c r="C182" s="7" t="s">
        <v>1450</v>
      </c>
      <c r="D182" s="7" t="s">
        <v>1451</v>
      </c>
      <c r="E182" s="7" t="s">
        <v>397</v>
      </c>
      <c r="F182" s="7" t="s">
        <v>1464</v>
      </c>
      <c r="G182" s="7" t="s">
        <v>2803</v>
      </c>
      <c r="H182" s="8" t="s">
        <v>2804</v>
      </c>
      <c r="I182" s="7" t="s">
        <v>502</v>
      </c>
      <c r="J182" s="7"/>
      <c r="K182" s="7" t="s">
        <v>2794</v>
      </c>
      <c r="L182" s="8" t="s">
        <v>2805</v>
      </c>
      <c r="M182" s="7" t="s">
        <v>2806</v>
      </c>
    </row>
    <row r="183" spans="1:13" ht="39">
      <c r="A183" s="7" t="s">
        <v>2807</v>
      </c>
      <c r="B183" s="7" t="s">
        <v>391</v>
      </c>
      <c r="C183" s="7" t="s">
        <v>1450</v>
      </c>
      <c r="D183" s="7" t="s">
        <v>1451</v>
      </c>
      <c r="E183" s="7" t="s">
        <v>401</v>
      </c>
      <c r="F183" s="7" t="s">
        <v>1452</v>
      </c>
      <c r="G183" s="7" t="s">
        <v>2808</v>
      </c>
      <c r="H183" s="8" t="s">
        <v>2809</v>
      </c>
      <c r="I183" s="7"/>
      <c r="J183" s="7"/>
      <c r="K183" s="7" t="s">
        <v>2810</v>
      </c>
      <c r="L183" s="8" t="s">
        <v>2811</v>
      </c>
      <c r="M183" s="7" t="s">
        <v>2812</v>
      </c>
    </row>
    <row r="184" spans="1:13" ht="39">
      <c r="A184" s="7" t="s">
        <v>2813</v>
      </c>
      <c r="B184" s="7" t="s">
        <v>391</v>
      </c>
      <c r="C184" s="7" t="s">
        <v>1450</v>
      </c>
      <c r="D184" s="7" t="s">
        <v>1451</v>
      </c>
      <c r="E184" s="7" t="s">
        <v>401</v>
      </c>
      <c r="F184" s="7" t="s">
        <v>1452</v>
      </c>
      <c r="G184" s="7" t="s">
        <v>2814</v>
      </c>
      <c r="H184" s="8" t="s">
        <v>2815</v>
      </c>
      <c r="I184" s="7"/>
      <c r="J184" s="7"/>
      <c r="K184" s="7" t="s">
        <v>2810</v>
      </c>
      <c r="L184" s="8" t="s">
        <v>2816</v>
      </c>
      <c r="M184" s="7" t="s">
        <v>2817</v>
      </c>
    </row>
    <row r="185" spans="1:13" ht="39">
      <c r="A185" s="7" t="s">
        <v>2818</v>
      </c>
      <c r="B185" s="7" t="s">
        <v>391</v>
      </c>
      <c r="C185" s="7" t="s">
        <v>1450</v>
      </c>
      <c r="D185" s="7" t="s">
        <v>1451</v>
      </c>
      <c r="E185" s="7" t="s">
        <v>405</v>
      </c>
      <c r="F185" s="7" t="s">
        <v>1452</v>
      </c>
      <c r="G185" s="7" t="s">
        <v>2819</v>
      </c>
      <c r="H185" s="8" t="s">
        <v>2820</v>
      </c>
      <c r="I185" s="7" t="s">
        <v>501</v>
      </c>
      <c r="J185" s="7"/>
      <c r="K185" s="7" t="s">
        <v>2821</v>
      </c>
      <c r="L185" s="8" t="s">
        <v>2822</v>
      </c>
      <c r="M185" s="7" t="s">
        <v>2823</v>
      </c>
    </row>
    <row r="186" spans="1:13" ht="39">
      <c r="A186" s="7" t="s">
        <v>2824</v>
      </c>
      <c r="B186" s="7" t="s">
        <v>391</v>
      </c>
      <c r="C186" s="7" t="s">
        <v>1450</v>
      </c>
      <c r="D186" s="7" t="s">
        <v>1451</v>
      </c>
      <c r="E186" s="7" t="s">
        <v>405</v>
      </c>
      <c r="F186" s="7" t="s">
        <v>1452</v>
      </c>
      <c r="G186" s="7" t="s">
        <v>2825</v>
      </c>
      <c r="H186" s="8" t="s">
        <v>2826</v>
      </c>
      <c r="I186" s="7"/>
      <c r="J186" s="7"/>
      <c r="K186" s="7" t="s">
        <v>2821</v>
      </c>
      <c r="L186" s="8" t="s">
        <v>2827</v>
      </c>
      <c r="M186" s="7" t="s">
        <v>2828</v>
      </c>
    </row>
    <row r="187" spans="1:13" ht="26">
      <c r="A187" s="7" t="s">
        <v>2829</v>
      </c>
      <c r="B187" s="7" t="s">
        <v>391</v>
      </c>
      <c r="C187" s="7" t="s">
        <v>1450</v>
      </c>
      <c r="D187" s="7" t="s">
        <v>1451</v>
      </c>
      <c r="E187" s="7" t="s">
        <v>409</v>
      </c>
      <c r="F187" s="7" t="s">
        <v>1452</v>
      </c>
      <c r="G187" s="7" t="s">
        <v>2830</v>
      </c>
      <c r="H187" s="8" t="s">
        <v>2831</v>
      </c>
      <c r="I187" s="7"/>
      <c r="J187" s="7"/>
      <c r="K187" s="7" t="s">
        <v>2832</v>
      </c>
      <c r="L187" s="8" t="s">
        <v>2833</v>
      </c>
      <c r="M187" s="7" t="s">
        <v>2834</v>
      </c>
    </row>
    <row r="188" spans="1:13" ht="39">
      <c r="A188" s="7" t="s">
        <v>2835</v>
      </c>
      <c r="B188" s="7" t="s">
        <v>391</v>
      </c>
      <c r="C188" s="7" t="s">
        <v>1450</v>
      </c>
      <c r="D188" s="7" t="s">
        <v>1451</v>
      </c>
      <c r="E188" s="7" t="s">
        <v>409</v>
      </c>
      <c r="F188" s="7" t="s">
        <v>1452</v>
      </c>
      <c r="G188" s="7" t="s">
        <v>2836</v>
      </c>
      <c r="H188" s="8" t="s">
        <v>2837</v>
      </c>
      <c r="I188" s="7"/>
      <c r="J188" s="7"/>
      <c r="K188" s="7" t="s">
        <v>2832</v>
      </c>
      <c r="L188" s="8" t="s">
        <v>2838</v>
      </c>
      <c r="M188" s="7" t="s">
        <v>2839</v>
      </c>
    </row>
    <row r="189" spans="1:13" ht="26">
      <c r="A189" s="7" t="s">
        <v>2840</v>
      </c>
      <c r="B189" s="7" t="s">
        <v>391</v>
      </c>
      <c r="C189" s="7" t="s">
        <v>1450</v>
      </c>
      <c r="D189" s="7" t="s">
        <v>1451</v>
      </c>
      <c r="E189" s="7" t="s">
        <v>412</v>
      </c>
      <c r="F189" s="7" t="s">
        <v>1452</v>
      </c>
      <c r="G189" s="7" t="s">
        <v>2841</v>
      </c>
      <c r="H189" s="8" t="s">
        <v>2842</v>
      </c>
      <c r="I189" s="7"/>
      <c r="J189" s="7"/>
      <c r="K189" s="7" t="s">
        <v>2843</v>
      </c>
      <c r="L189" s="8" t="s">
        <v>2844</v>
      </c>
      <c r="M189" s="7" t="s">
        <v>2845</v>
      </c>
    </row>
    <row r="190" spans="1:13" ht="26">
      <c r="A190" s="7" t="s">
        <v>2846</v>
      </c>
      <c r="B190" s="7" t="s">
        <v>391</v>
      </c>
      <c r="C190" s="7" t="s">
        <v>1450</v>
      </c>
      <c r="D190" s="7" t="s">
        <v>1451</v>
      </c>
      <c r="E190" s="7" t="s">
        <v>412</v>
      </c>
      <c r="F190" s="7" t="s">
        <v>1452</v>
      </c>
      <c r="G190" s="7" t="s">
        <v>2847</v>
      </c>
      <c r="H190" s="8" t="s">
        <v>2848</v>
      </c>
      <c r="I190" s="7" t="s">
        <v>501</v>
      </c>
      <c r="J190" s="7"/>
      <c r="K190" s="7" t="s">
        <v>2843</v>
      </c>
      <c r="L190" s="8" t="s">
        <v>2849</v>
      </c>
      <c r="M190" s="7" t="s">
        <v>2850</v>
      </c>
    </row>
    <row r="191" spans="1:13" ht="39">
      <c r="A191" s="7" t="s">
        <v>2851</v>
      </c>
      <c r="B191" s="7" t="s">
        <v>391</v>
      </c>
      <c r="C191" s="7" t="s">
        <v>1450</v>
      </c>
      <c r="D191" s="7" t="s">
        <v>1451</v>
      </c>
      <c r="E191" s="7" t="s">
        <v>416</v>
      </c>
      <c r="F191" s="7" t="s">
        <v>1452</v>
      </c>
      <c r="G191" s="7" t="s">
        <v>2852</v>
      </c>
      <c r="H191" s="8" t="s">
        <v>2853</v>
      </c>
      <c r="I191" s="7"/>
      <c r="J191" s="7"/>
      <c r="K191" s="7" t="s">
        <v>2794</v>
      </c>
      <c r="L191" s="8" t="s">
        <v>2854</v>
      </c>
      <c r="M191" s="7" t="s">
        <v>2855</v>
      </c>
    </row>
    <row r="192" spans="1:13" ht="39">
      <c r="A192" s="7" t="s">
        <v>2856</v>
      </c>
      <c r="B192" s="7" t="s">
        <v>391</v>
      </c>
      <c r="C192" s="7" t="s">
        <v>1450</v>
      </c>
      <c r="D192" s="7" t="s">
        <v>1451</v>
      </c>
      <c r="E192" s="7" t="s">
        <v>416</v>
      </c>
      <c r="F192" s="7" t="s">
        <v>1452</v>
      </c>
      <c r="G192" s="7" t="s">
        <v>2857</v>
      </c>
      <c r="H192" s="8" t="s">
        <v>2858</v>
      </c>
      <c r="I192" s="7" t="s">
        <v>502</v>
      </c>
      <c r="J192" s="7"/>
      <c r="K192" s="7" t="s">
        <v>2794</v>
      </c>
      <c r="L192" s="8" t="s">
        <v>2859</v>
      </c>
      <c r="M192" s="7" t="s">
        <v>2860</v>
      </c>
    </row>
    <row r="193" spans="1:13" ht="26">
      <c r="A193" s="7" t="s">
        <v>2861</v>
      </c>
      <c r="B193" s="7" t="s">
        <v>391</v>
      </c>
      <c r="C193" s="7" t="s">
        <v>1450</v>
      </c>
      <c r="D193" s="7" t="s">
        <v>1451</v>
      </c>
      <c r="E193" s="7" t="s">
        <v>420</v>
      </c>
      <c r="F193" s="7" t="s">
        <v>1452</v>
      </c>
      <c r="G193" s="7" t="s">
        <v>2862</v>
      </c>
      <c r="H193" s="8" t="s">
        <v>2863</v>
      </c>
      <c r="I193" s="7" t="s">
        <v>504</v>
      </c>
      <c r="J193" s="7"/>
      <c r="K193" s="7" t="s">
        <v>2864</v>
      </c>
      <c r="L193" s="8" t="s">
        <v>2865</v>
      </c>
      <c r="M193" s="7" t="s">
        <v>2866</v>
      </c>
    </row>
    <row r="194" spans="1:13" ht="26">
      <c r="A194" s="7" t="s">
        <v>2867</v>
      </c>
      <c r="B194" s="7" t="s">
        <v>391</v>
      </c>
      <c r="C194" s="7" t="s">
        <v>1450</v>
      </c>
      <c r="D194" s="7" t="s">
        <v>1451</v>
      </c>
      <c r="E194" s="7" t="s">
        <v>420</v>
      </c>
      <c r="F194" s="7" t="s">
        <v>1452</v>
      </c>
      <c r="G194" s="7" t="s">
        <v>2868</v>
      </c>
      <c r="H194" s="8" t="s">
        <v>2869</v>
      </c>
      <c r="I194" s="7" t="s">
        <v>504</v>
      </c>
      <c r="J194" s="7"/>
      <c r="K194" s="7" t="s">
        <v>2864</v>
      </c>
      <c r="L194" s="8" t="s">
        <v>2870</v>
      </c>
      <c r="M194" s="7" t="s">
        <v>2871</v>
      </c>
    </row>
    <row r="195" spans="1:13" ht="26">
      <c r="A195" s="7" t="s">
        <v>2872</v>
      </c>
      <c r="B195" s="7" t="s">
        <v>391</v>
      </c>
      <c r="C195" s="7" t="s">
        <v>1450</v>
      </c>
      <c r="D195" s="7" t="s">
        <v>1538</v>
      </c>
      <c r="E195" s="7"/>
      <c r="F195" s="7"/>
      <c r="G195" s="7" t="s">
        <v>2873</v>
      </c>
      <c r="H195" s="8" t="s">
        <v>2874</v>
      </c>
      <c r="I195" s="7"/>
      <c r="J195" s="7"/>
      <c r="K195" s="7" t="s">
        <v>1901</v>
      </c>
      <c r="L195" s="8" t="s">
        <v>2875</v>
      </c>
      <c r="M195" s="7" t="s">
        <v>2876</v>
      </c>
    </row>
    <row r="196" spans="1:13" ht="26">
      <c r="A196" s="7" t="s">
        <v>2877</v>
      </c>
      <c r="B196" s="7" t="s">
        <v>391</v>
      </c>
      <c r="C196" s="7" t="s">
        <v>1450</v>
      </c>
      <c r="D196" s="7" t="s">
        <v>1538</v>
      </c>
      <c r="E196" s="7"/>
      <c r="F196" s="7"/>
      <c r="G196" s="7" t="s">
        <v>2878</v>
      </c>
      <c r="H196" s="8" t="s">
        <v>2879</v>
      </c>
      <c r="I196" s="7"/>
      <c r="J196" s="7"/>
      <c r="K196" s="7" t="s">
        <v>1901</v>
      </c>
      <c r="L196" s="8" t="s">
        <v>2880</v>
      </c>
      <c r="M196" s="7" t="s">
        <v>2881</v>
      </c>
    </row>
    <row r="197" spans="1:13" ht="26">
      <c r="A197" s="7" t="s">
        <v>2882</v>
      </c>
      <c r="B197" s="7" t="s">
        <v>391</v>
      </c>
      <c r="C197" s="7" t="s">
        <v>1450</v>
      </c>
      <c r="D197" s="7" t="s">
        <v>1538</v>
      </c>
      <c r="E197" s="7"/>
      <c r="F197" s="7"/>
      <c r="G197" s="7" t="s">
        <v>2883</v>
      </c>
      <c r="H197" s="8" t="s">
        <v>2884</v>
      </c>
      <c r="I197" s="7" t="s">
        <v>502</v>
      </c>
      <c r="J197" s="7"/>
      <c r="K197" s="7" t="s">
        <v>1901</v>
      </c>
      <c r="L197" s="8" t="s">
        <v>2885</v>
      </c>
      <c r="M197" s="7" t="s">
        <v>2886</v>
      </c>
    </row>
    <row r="198" spans="1:13" ht="26">
      <c r="A198" s="7" t="s">
        <v>2887</v>
      </c>
      <c r="B198" s="7" t="s">
        <v>391</v>
      </c>
      <c r="C198" s="7" t="s">
        <v>1450</v>
      </c>
      <c r="D198" s="7" t="s">
        <v>1451</v>
      </c>
      <c r="E198" s="7" t="s">
        <v>390</v>
      </c>
      <c r="F198" s="7" t="s">
        <v>1464</v>
      </c>
      <c r="G198" s="7" t="s">
        <v>2888</v>
      </c>
      <c r="H198" s="8" t="s">
        <v>2889</v>
      </c>
      <c r="I198" s="7"/>
      <c r="J198" s="7"/>
      <c r="K198" s="7" t="s">
        <v>1901</v>
      </c>
      <c r="L198" s="8" t="s">
        <v>2890</v>
      </c>
      <c r="M198" s="7" t="s">
        <v>2891</v>
      </c>
    </row>
    <row r="199" spans="1:13" ht="26">
      <c r="A199" s="7" t="s">
        <v>2892</v>
      </c>
      <c r="B199" s="7" t="s">
        <v>391</v>
      </c>
      <c r="C199" s="7" t="s">
        <v>1450</v>
      </c>
      <c r="D199" s="7" t="s">
        <v>1451</v>
      </c>
      <c r="E199" s="7" t="s">
        <v>390</v>
      </c>
      <c r="F199" s="7" t="s">
        <v>1452</v>
      </c>
      <c r="G199" s="7" t="s">
        <v>2893</v>
      </c>
      <c r="H199" s="8" t="s">
        <v>2894</v>
      </c>
      <c r="I199" s="7"/>
      <c r="J199" s="7"/>
      <c r="K199" s="7" t="s">
        <v>1901</v>
      </c>
      <c r="L199" s="8" t="s">
        <v>2895</v>
      </c>
      <c r="M199" s="7" t="s">
        <v>2896</v>
      </c>
    </row>
    <row r="200" spans="1:13" ht="39">
      <c r="A200" s="7" t="s">
        <v>2897</v>
      </c>
      <c r="B200" s="7" t="s">
        <v>391</v>
      </c>
      <c r="C200" s="7" t="s">
        <v>1450</v>
      </c>
      <c r="D200" s="7" t="s">
        <v>1451</v>
      </c>
      <c r="E200" s="7" t="s">
        <v>397</v>
      </c>
      <c r="F200" s="7" t="s">
        <v>1452</v>
      </c>
      <c r="G200" s="7" t="s">
        <v>2898</v>
      </c>
      <c r="H200" s="8" t="s">
        <v>2899</v>
      </c>
      <c r="I200" s="7"/>
      <c r="J200" s="7"/>
      <c r="K200" s="7" t="s">
        <v>2794</v>
      </c>
      <c r="L200" s="8" t="s">
        <v>2900</v>
      </c>
      <c r="M200" s="7" t="s">
        <v>2901</v>
      </c>
    </row>
    <row r="201" spans="1:13" ht="39">
      <c r="A201" s="7" t="s">
        <v>2902</v>
      </c>
      <c r="B201" s="7" t="s">
        <v>391</v>
      </c>
      <c r="C201" s="7" t="s">
        <v>1450</v>
      </c>
      <c r="D201" s="7" t="s">
        <v>1451</v>
      </c>
      <c r="E201" s="7" t="s">
        <v>397</v>
      </c>
      <c r="F201" s="7" t="s">
        <v>1452</v>
      </c>
      <c r="G201" s="7" t="s">
        <v>2903</v>
      </c>
      <c r="H201" s="8" t="s">
        <v>2904</v>
      </c>
      <c r="I201" s="7" t="s">
        <v>502</v>
      </c>
      <c r="J201" s="7"/>
      <c r="K201" s="7" t="s">
        <v>2794</v>
      </c>
      <c r="L201" s="8" t="s">
        <v>2905</v>
      </c>
      <c r="M201" s="7" t="s">
        <v>2906</v>
      </c>
    </row>
    <row r="202" spans="1:13" ht="39">
      <c r="A202" s="7" t="s">
        <v>2907</v>
      </c>
      <c r="B202" s="7" t="s">
        <v>391</v>
      </c>
      <c r="C202" s="7" t="s">
        <v>1450</v>
      </c>
      <c r="D202" s="7" t="s">
        <v>1451</v>
      </c>
      <c r="E202" s="7" t="s">
        <v>401</v>
      </c>
      <c r="F202" s="7" t="s">
        <v>1452</v>
      </c>
      <c r="G202" s="7" t="s">
        <v>2908</v>
      </c>
      <c r="H202" s="8" t="s">
        <v>2909</v>
      </c>
      <c r="I202" s="7" t="s">
        <v>503</v>
      </c>
      <c r="J202" s="7"/>
      <c r="K202" s="7" t="s">
        <v>2810</v>
      </c>
      <c r="L202" s="8" t="s">
        <v>2910</v>
      </c>
      <c r="M202" s="7" t="s">
        <v>2911</v>
      </c>
    </row>
    <row r="203" spans="1:13" ht="39">
      <c r="A203" s="7" t="s">
        <v>2912</v>
      </c>
      <c r="B203" s="7" t="s">
        <v>391</v>
      </c>
      <c r="C203" s="7" t="s">
        <v>1450</v>
      </c>
      <c r="D203" s="7" t="s">
        <v>1451</v>
      </c>
      <c r="E203" s="7" t="s">
        <v>401</v>
      </c>
      <c r="F203" s="7" t="s">
        <v>1452</v>
      </c>
      <c r="G203" s="7" t="s">
        <v>2913</v>
      </c>
      <c r="H203" s="8" t="s">
        <v>2914</v>
      </c>
      <c r="I203" s="7"/>
      <c r="J203" s="7"/>
      <c r="K203" s="7" t="s">
        <v>2810</v>
      </c>
      <c r="L203" s="8" t="s">
        <v>2915</v>
      </c>
      <c r="M203" s="7" t="s">
        <v>2916</v>
      </c>
    </row>
    <row r="204" spans="1:13" ht="39">
      <c r="A204" s="7" t="s">
        <v>2917</v>
      </c>
      <c r="B204" s="7" t="s">
        <v>391</v>
      </c>
      <c r="C204" s="7" t="s">
        <v>1450</v>
      </c>
      <c r="D204" s="7" t="s">
        <v>1451</v>
      </c>
      <c r="E204" s="7" t="s">
        <v>405</v>
      </c>
      <c r="F204" s="7" t="s">
        <v>1452</v>
      </c>
      <c r="G204" s="7" t="s">
        <v>2918</v>
      </c>
      <c r="H204" s="8" t="s">
        <v>2919</v>
      </c>
      <c r="I204" s="7"/>
      <c r="J204" s="7"/>
      <c r="K204" s="7" t="s">
        <v>2821</v>
      </c>
      <c r="L204" s="8" t="s">
        <v>2920</v>
      </c>
      <c r="M204" s="7" t="s">
        <v>2921</v>
      </c>
    </row>
    <row r="205" spans="1:13" ht="39">
      <c r="A205" s="7" t="s">
        <v>2922</v>
      </c>
      <c r="B205" s="7" t="s">
        <v>391</v>
      </c>
      <c r="C205" s="7" t="s">
        <v>1450</v>
      </c>
      <c r="D205" s="7" t="s">
        <v>1451</v>
      </c>
      <c r="E205" s="7" t="s">
        <v>405</v>
      </c>
      <c r="F205" s="7" t="s">
        <v>1003</v>
      </c>
      <c r="G205" s="7" t="s">
        <v>2923</v>
      </c>
      <c r="H205" s="8" t="s">
        <v>2924</v>
      </c>
      <c r="I205" s="7"/>
      <c r="J205" s="7"/>
      <c r="K205" s="7" t="s">
        <v>2821</v>
      </c>
      <c r="L205" s="8" t="s">
        <v>2925</v>
      </c>
      <c r="M205" s="7" t="s">
        <v>2926</v>
      </c>
    </row>
    <row r="206" spans="1:13" ht="39">
      <c r="A206" s="7" t="s">
        <v>2927</v>
      </c>
      <c r="B206" s="7" t="s">
        <v>391</v>
      </c>
      <c r="C206" s="7" t="s">
        <v>1450</v>
      </c>
      <c r="D206" s="7" t="s">
        <v>1451</v>
      </c>
      <c r="E206" s="7" t="s">
        <v>409</v>
      </c>
      <c r="F206" s="7" t="s">
        <v>1464</v>
      </c>
      <c r="G206" s="7" t="s">
        <v>2928</v>
      </c>
      <c r="H206" s="8" t="s">
        <v>2929</v>
      </c>
      <c r="I206" s="7"/>
      <c r="J206" s="7"/>
      <c r="K206" s="7" t="s">
        <v>2832</v>
      </c>
      <c r="L206" s="8" t="s">
        <v>2930</v>
      </c>
      <c r="M206" s="7" t="s">
        <v>2931</v>
      </c>
    </row>
    <row r="207" spans="1:13" ht="26">
      <c r="A207" s="7" t="s">
        <v>2932</v>
      </c>
      <c r="B207" s="7" t="s">
        <v>391</v>
      </c>
      <c r="C207" s="7" t="s">
        <v>1450</v>
      </c>
      <c r="D207" s="7" t="s">
        <v>1451</v>
      </c>
      <c r="E207" s="7" t="s">
        <v>409</v>
      </c>
      <c r="F207" s="7" t="s">
        <v>1452</v>
      </c>
      <c r="G207" s="7" t="s">
        <v>2933</v>
      </c>
      <c r="H207" s="8" t="s">
        <v>2934</v>
      </c>
      <c r="I207" s="7"/>
      <c r="J207" s="7"/>
      <c r="K207" s="7" t="s">
        <v>2832</v>
      </c>
      <c r="L207" s="8" t="s">
        <v>2935</v>
      </c>
      <c r="M207" s="7" t="s">
        <v>2936</v>
      </c>
    </row>
    <row r="208" spans="1:13" ht="26">
      <c r="A208" s="7" t="s">
        <v>2937</v>
      </c>
      <c r="B208" s="7" t="s">
        <v>391</v>
      </c>
      <c r="C208" s="7" t="s">
        <v>1450</v>
      </c>
      <c r="D208" s="7" t="s">
        <v>1451</v>
      </c>
      <c r="E208" s="7" t="s">
        <v>412</v>
      </c>
      <c r="F208" s="7" t="s">
        <v>1452</v>
      </c>
      <c r="G208" s="7" t="s">
        <v>2938</v>
      </c>
      <c r="H208" s="8" t="s">
        <v>2939</v>
      </c>
      <c r="I208" s="7"/>
      <c r="J208" s="7"/>
      <c r="K208" s="7" t="s">
        <v>2843</v>
      </c>
      <c r="L208" s="8" t="s">
        <v>2940</v>
      </c>
      <c r="M208" s="7" t="s">
        <v>2941</v>
      </c>
    </row>
    <row r="209" spans="1:13" ht="26">
      <c r="A209" s="7" t="s">
        <v>2942</v>
      </c>
      <c r="B209" s="7" t="s">
        <v>391</v>
      </c>
      <c r="C209" s="7" t="s">
        <v>1450</v>
      </c>
      <c r="D209" s="7" t="s">
        <v>1451</v>
      </c>
      <c r="E209" s="7" t="s">
        <v>412</v>
      </c>
      <c r="F209" s="7" t="s">
        <v>1452</v>
      </c>
      <c r="G209" s="7" t="s">
        <v>2943</v>
      </c>
      <c r="H209" s="8" t="s">
        <v>2944</v>
      </c>
      <c r="I209" s="7"/>
      <c r="J209" s="7"/>
      <c r="K209" s="7" t="s">
        <v>2843</v>
      </c>
      <c r="L209" s="8" t="s">
        <v>2945</v>
      </c>
      <c r="M209" s="7" t="s">
        <v>2946</v>
      </c>
    </row>
    <row r="210" spans="1:13" ht="39">
      <c r="A210" s="7" t="s">
        <v>2947</v>
      </c>
      <c r="B210" s="7" t="s">
        <v>391</v>
      </c>
      <c r="C210" s="7" t="s">
        <v>1450</v>
      </c>
      <c r="D210" s="7" t="s">
        <v>1451</v>
      </c>
      <c r="E210" s="7" t="s">
        <v>416</v>
      </c>
      <c r="F210" s="7" t="s">
        <v>1464</v>
      </c>
      <c r="G210" s="7" t="s">
        <v>2948</v>
      </c>
      <c r="H210" s="8" t="s">
        <v>2949</v>
      </c>
      <c r="I210" s="7"/>
      <c r="J210" s="7"/>
      <c r="K210" s="7" t="s">
        <v>2794</v>
      </c>
      <c r="L210" s="8" t="s">
        <v>2950</v>
      </c>
      <c r="M210" s="7" t="s">
        <v>2951</v>
      </c>
    </row>
    <row r="211" spans="1:13" ht="39">
      <c r="A211" s="7" t="s">
        <v>2952</v>
      </c>
      <c r="B211" s="7" t="s">
        <v>391</v>
      </c>
      <c r="C211" s="7" t="s">
        <v>1450</v>
      </c>
      <c r="D211" s="7" t="s">
        <v>1451</v>
      </c>
      <c r="E211" s="7" t="s">
        <v>416</v>
      </c>
      <c r="F211" s="7" t="s">
        <v>1452</v>
      </c>
      <c r="G211" s="7" t="s">
        <v>2953</v>
      </c>
      <c r="H211" s="8" t="s">
        <v>2954</v>
      </c>
      <c r="I211" s="7"/>
      <c r="J211" s="7"/>
      <c r="K211" s="7" t="s">
        <v>2794</v>
      </c>
      <c r="L211" s="8" t="s">
        <v>2955</v>
      </c>
      <c r="M211" s="7" t="s">
        <v>2956</v>
      </c>
    </row>
    <row r="212" spans="1:13" ht="26">
      <c r="A212" s="7" t="s">
        <v>2957</v>
      </c>
      <c r="B212" s="7" t="s">
        <v>391</v>
      </c>
      <c r="C212" s="7" t="s">
        <v>1450</v>
      </c>
      <c r="D212" s="7" t="s">
        <v>1451</v>
      </c>
      <c r="E212" s="7" t="s">
        <v>420</v>
      </c>
      <c r="F212" s="7" t="s">
        <v>1464</v>
      </c>
      <c r="G212" s="7" t="s">
        <v>2958</v>
      </c>
      <c r="H212" s="8" t="s">
        <v>2959</v>
      </c>
      <c r="I212" s="7" t="s">
        <v>504</v>
      </c>
      <c r="J212" s="7"/>
      <c r="K212" s="7" t="s">
        <v>2864</v>
      </c>
      <c r="L212" s="8" t="s">
        <v>2960</v>
      </c>
      <c r="M212" s="7" t="s">
        <v>2961</v>
      </c>
    </row>
    <row r="213" spans="1:13" ht="26">
      <c r="A213" s="7" t="s">
        <v>2962</v>
      </c>
      <c r="B213" s="7" t="s">
        <v>391</v>
      </c>
      <c r="C213" s="7" t="s">
        <v>1450</v>
      </c>
      <c r="D213" s="7" t="s">
        <v>1451</v>
      </c>
      <c r="E213" s="7" t="s">
        <v>420</v>
      </c>
      <c r="F213" s="7" t="s">
        <v>1452</v>
      </c>
      <c r="G213" s="7" t="s">
        <v>2963</v>
      </c>
      <c r="H213" s="8" t="s">
        <v>2815</v>
      </c>
      <c r="I213" s="7"/>
      <c r="J213" s="7"/>
      <c r="K213" s="7" t="s">
        <v>2864</v>
      </c>
      <c r="L213" s="8" t="s">
        <v>2964</v>
      </c>
      <c r="M213" s="7" t="s">
        <v>2965</v>
      </c>
    </row>
    <row r="214" spans="1:13" ht="26">
      <c r="A214" s="7" t="s">
        <v>2966</v>
      </c>
      <c r="B214" s="7" t="s">
        <v>391</v>
      </c>
      <c r="C214" s="7" t="s">
        <v>1450</v>
      </c>
      <c r="D214" s="7" t="s">
        <v>1538</v>
      </c>
      <c r="E214" s="7"/>
      <c r="F214" s="7"/>
      <c r="G214" s="7" t="s">
        <v>2967</v>
      </c>
      <c r="H214" s="8" t="s">
        <v>2968</v>
      </c>
      <c r="I214" s="7" t="s">
        <v>502</v>
      </c>
      <c r="J214" s="7"/>
      <c r="K214" s="7" t="s">
        <v>1901</v>
      </c>
      <c r="L214" s="8" t="s">
        <v>2969</v>
      </c>
      <c r="M214" s="7" t="s">
        <v>2970</v>
      </c>
    </row>
    <row r="215" spans="1:13" ht="26">
      <c r="A215" s="7" t="s">
        <v>2971</v>
      </c>
      <c r="B215" s="7" t="s">
        <v>391</v>
      </c>
      <c r="C215" s="7" t="s">
        <v>1450</v>
      </c>
      <c r="D215" s="7" t="s">
        <v>1538</v>
      </c>
      <c r="E215" s="7"/>
      <c r="F215" s="7"/>
      <c r="G215" s="7" t="s">
        <v>2972</v>
      </c>
      <c r="H215" s="8" t="s">
        <v>2973</v>
      </c>
      <c r="I215" s="7"/>
      <c r="J215" s="7"/>
      <c r="K215" s="7" t="s">
        <v>1901</v>
      </c>
      <c r="L215" s="8" t="s">
        <v>2974</v>
      </c>
      <c r="M215" s="7" t="s">
        <v>2975</v>
      </c>
    </row>
    <row r="216" spans="1:13" ht="26">
      <c r="A216" s="7" t="s">
        <v>2976</v>
      </c>
      <c r="B216" s="7" t="s">
        <v>391</v>
      </c>
      <c r="C216" s="7" t="s">
        <v>1450</v>
      </c>
      <c r="D216" s="7" t="s">
        <v>1451</v>
      </c>
      <c r="E216" s="7" t="s">
        <v>390</v>
      </c>
      <c r="F216" s="7" t="s">
        <v>1452</v>
      </c>
      <c r="G216" s="7" t="s">
        <v>2977</v>
      </c>
      <c r="H216" s="8" t="s">
        <v>2978</v>
      </c>
      <c r="I216" s="7"/>
      <c r="J216" s="7"/>
      <c r="K216" s="7" t="s">
        <v>1901</v>
      </c>
      <c r="L216" s="8" t="s">
        <v>2979</v>
      </c>
      <c r="M216" s="7" t="s">
        <v>2980</v>
      </c>
    </row>
    <row r="217" spans="1:13" ht="26">
      <c r="A217" s="7" t="s">
        <v>2981</v>
      </c>
      <c r="B217" s="7" t="s">
        <v>391</v>
      </c>
      <c r="C217" s="7" t="s">
        <v>1450</v>
      </c>
      <c r="D217" s="7" t="s">
        <v>1451</v>
      </c>
      <c r="E217" s="7" t="s">
        <v>390</v>
      </c>
      <c r="F217" s="7" t="s">
        <v>1452</v>
      </c>
      <c r="G217" s="7" t="s">
        <v>2982</v>
      </c>
      <c r="H217" s="8" t="s">
        <v>2983</v>
      </c>
      <c r="I217" s="7"/>
      <c r="J217" s="7"/>
      <c r="K217" s="7" t="s">
        <v>1901</v>
      </c>
      <c r="L217" s="8" t="s">
        <v>2984</v>
      </c>
      <c r="M217" s="7" t="s">
        <v>2985</v>
      </c>
    </row>
    <row r="218" spans="1:13" ht="39">
      <c r="A218" s="7" t="s">
        <v>2986</v>
      </c>
      <c r="B218" s="7" t="s">
        <v>391</v>
      </c>
      <c r="C218" s="7" t="s">
        <v>1450</v>
      </c>
      <c r="D218" s="7" t="s">
        <v>1451</v>
      </c>
      <c r="E218" s="7" t="s">
        <v>397</v>
      </c>
      <c r="F218" s="7" t="s">
        <v>1452</v>
      </c>
      <c r="G218" s="7" t="s">
        <v>2987</v>
      </c>
      <c r="H218" s="8" t="s">
        <v>2988</v>
      </c>
      <c r="I218" s="7"/>
      <c r="J218" s="7"/>
      <c r="K218" s="7" t="s">
        <v>2794</v>
      </c>
      <c r="L218" s="8" t="s">
        <v>2989</v>
      </c>
      <c r="M218" s="7" t="s">
        <v>2990</v>
      </c>
    </row>
    <row r="219" spans="1:13" ht="39">
      <c r="A219" s="7" t="s">
        <v>2991</v>
      </c>
      <c r="B219" s="7" t="s">
        <v>391</v>
      </c>
      <c r="C219" s="7" t="s">
        <v>1450</v>
      </c>
      <c r="D219" s="7" t="s">
        <v>1451</v>
      </c>
      <c r="E219" s="7" t="s">
        <v>397</v>
      </c>
      <c r="F219" s="7" t="s">
        <v>1452</v>
      </c>
      <c r="G219" s="7" t="s">
        <v>2992</v>
      </c>
      <c r="H219" s="8" t="s">
        <v>2993</v>
      </c>
      <c r="I219" s="7"/>
      <c r="J219" s="7"/>
      <c r="K219" s="7" t="s">
        <v>2794</v>
      </c>
      <c r="L219" s="8" t="s">
        <v>2994</v>
      </c>
      <c r="M219" s="7" t="s">
        <v>2995</v>
      </c>
    </row>
    <row r="220" spans="1:13" ht="39">
      <c r="A220" s="7" t="s">
        <v>2996</v>
      </c>
      <c r="B220" s="7" t="s">
        <v>391</v>
      </c>
      <c r="C220" s="7" t="s">
        <v>1450</v>
      </c>
      <c r="D220" s="7" t="s">
        <v>1451</v>
      </c>
      <c r="E220" s="7" t="s">
        <v>397</v>
      </c>
      <c r="F220" s="7" t="s">
        <v>1464</v>
      </c>
      <c r="G220" s="7" t="s">
        <v>2997</v>
      </c>
      <c r="H220" s="8" t="s">
        <v>2998</v>
      </c>
      <c r="I220" s="7"/>
      <c r="J220" s="7"/>
      <c r="K220" s="7" t="s">
        <v>2794</v>
      </c>
      <c r="L220" s="8" t="s">
        <v>2999</v>
      </c>
      <c r="M220" s="7" t="s">
        <v>3000</v>
      </c>
    </row>
    <row r="221" spans="1:13" ht="39">
      <c r="A221" s="7" t="s">
        <v>3001</v>
      </c>
      <c r="B221" s="7" t="s">
        <v>391</v>
      </c>
      <c r="C221" s="7" t="s">
        <v>1450</v>
      </c>
      <c r="D221" s="7" t="s">
        <v>1451</v>
      </c>
      <c r="E221" s="7" t="s">
        <v>401</v>
      </c>
      <c r="F221" s="7" t="s">
        <v>1452</v>
      </c>
      <c r="G221" s="7" t="s">
        <v>3002</v>
      </c>
      <c r="H221" s="8" t="s">
        <v>3003</v>
      </c>
      <c r="I221" s="7"/>
      <c r="J221" s="7"/>
      <c r="K221" s="7" t="s">
        <v>2810</v>
      </c>
      <c r="L221" s="8" t="s">
        <v>3004</v>
      </c>
      <c r="M221" s="7" t="s">
        <v>3005</v>
      </c>
    </row>
    <row r="222" spans="1:13" ht="39">
      <c r="A222" s="7" t="s">
        <v>3006</v>
      </c>
      <c r="B222" s="7" t="s">
        <v>391</v>
      </c>
      <c r="C222" s="7" t="s">
        <v>1450</v>
      </c>
      <c r="D222" s="7" t="s">
        <v>1451</v>
      </c>
      <c r="E222" s="7" t="s">
        <v>401</v>
      </c>
      <c r="F222" s="7" t="s">
        <v>1003</v>
      </c>
      <c r="G222" s="7" t="s">
        <v>3007</v>
      </c>
      <c r="H222" s="8" t="s">
        <v>3008</v>
      </c>
      <c r="I222" s="7" t="s">
        <v>500</v>
      </c>
      <c r="J222" s="7"/>
      <c r="K222" s="7" t="s">
        <v>2810</v>
      </c>
      <c r="L222" s="8" t="s">
        <v>3009</v>
      </c>
      <c r="M222" s="7" t="s">
        <v>3010</v>
      </c>
    </row>
    <row r="223" spans="1:13" ht="39">
      <c r="A223" s="7" t="s">
        <v>3011</v>
      </c>
      <c r="B223" s="7" t="s">
        <v>391</v>
      </c>
      <c r="C223" s="7" t="s">
        <v>1450</v>
      </c>
      <c r="D223" s="7" t="s">
        <v>1451</v>
      </c>
      <c r="E223" s="7" t="s">
        <v>401</v>
      </c>
      <c r="F223" s="7" t="s">
        <v>1464</v>
      </c>
      <c r="G223" s="7" t="s">
        <v>3012</v>
      </c>
      <c r="H223" s="8" t="s">
        <v>3013</v>
      </c>
      <c r="I223" s="7" t="s">
        <v>500</v>
      </c>
      <c r="J223" s="7"/>
      <c r="K223" s="7" t="s">
        <v>2810</v>
      </c>
      <c r="L223" s="8" t="s">
        <v>3014</v>
      </c>
      <c r="M223" s="7" t="s">
        <v>3015</v>
      </c>
    </row>
    <row r="224" spans="1:13" ht="39">
      <c r="A224" s="7" t="s">
        <v>3016</v>
      </c>
      <c r="B224" s="7" t="s">
        <v>391</v>
      </c>
      <c r="C224" s="7" t="s">
        <v>1450</v>
      </c>
      <c r="D224" s="7" t="s">
        <v>1451</v>
      </c>
      <c r="E224" s="7" t="s">
        <v>405</v>
      </c>
      <c r="F224" s="7" t="s">
        <v>1452</v>
      </c>
      <c r="G224" s="7" t="s">
        <v>3017</v>
      </c>
      <c r="H224" s="8" t="s">
        <v>3018</v>
      </c>
      <c r="I224" s="7"/>
      <c r="J224" s="7"/>
      <c r="K224" s="7" t="s">
        <v>2821</v>
      </c>
      <c r="L224" s="8" t="s">
        <v>3019</v>
      </c>
      <c r="M224" s="7" t="s">
        <v>3020</v>
      </c>
    </row>
    <row r="225" spans="1:13" ht="39">
      <c r="A225" s="7" t="s">
        <v>3021</v>
      </c>
      <c r="B225" s="7" t="s">
        <v>391</v>
      </c>
      <c r="C225" s="7" t="s">
        <v>1450</v>
      </c>
      <c r="D225" s="7" t="s">
        <v>1451</v>
      </c>
      <c r="E225" s="7" t="s">
        <v>405</v>
      </c>
      <c r="F225" s="7" t="s">
        <v>1003</v>
      </c>
      <c r="G225" s="7" t="s">
        <v>3022</v>
      </c>
      <c r="H225" s="8" t="s">
        <v>3023</v>
      </c>
      <c r="I225" s="7"/>
      <c r="J225" s="7"/>
      <c r="K225" s="7" t="s">
        <v>2821</v>
      </c>
      <c r="L225" s="8" t="s">
        <v>3024</v>
      </c>
      <c r="M225" s="7" t="s">
        <v>3025</v>
      </c>
    </row>
    <row r="226" spans="1:13" ht="39">
      <c r="A226" s="7" t="s">
        <v>3026</v>
      </c>
      <c r="B226" s="7" t="s">
        <v>391</v>
      </c>
      <c r="C226" s="7" t="s">
        <v>1450</v>
      </c>
      <c r="D226" s="7" t="s">
        <v>1451</v>
      </c>
      <c r="E226" s="7" t="s">
        <v>405</v>
      </c>
      <c r="F226" s="7" t="s">
        <v>1464</v>
      </c>
      <c r="G226" s="7" t="s">
        <v>3027</v>
      </c>
      <c r="H226" s="8" t="s">
        <v>3028</v>
      </c>
      <c r="I226" s="7"/>
      <c r="J226" s="7"/>
      <c r="K226" s="7" t="s">
        <v>2821</v>
      </c>
      <c r="L226" s="8" t="s">
        <v>3029</v>
      </c>
      <c r="M226" s="7" t="s">
        <v>3030</v>
      </c>
    </row>
    <row r="227" spans="1:13" ht="39">
      <c r="A227" s="7" t="s">
        <v>3031</v>
      </c>
      <c r="B227" s="7" t="s">
        <v>391</v>
      </c>
      <c r="C227" s="7" t="s">
        <v>1450</v>
      </c>
      <c r="D227" s="7" t="s">
        <v>1451</v>
      </c>
      <c r="E227" s="7" t="s">
        <v>409</v>
      </c>
      <c r="F227" s="7" t="s">
        <v>1452</v>
      </c>
      <c r="G227" s="7" t="s">
        <v>3032</v>
      </c>
      <c r="H227" s="8" t="s">
        <v>3033</v>
      </c>
      <c r="I227" s="7"/>
      <c r="J227" s="7"/>
      <c r="K227" s="7" t="s">
        <v>2832</v>
      </c>
      <c r="L227" s="8" t="s">
        <v>3034</v>
      </c>
      <c r="M227" s="7" t="s">
        <v>3035</v>
      </c>
    </row>
    <row r="228" spans="1:13" ht="39">
      <c r="A228" s="7" t="s">
        <v>3036</v>
      </c>
      <c r="B228" s="7" t="s">
        <v>391</v>
      </c>
      <c r="C228" s="7" t="s">
        <v>1450</v>
      </c>
      <c r="D228" s="7" t="s">
        <v>1451</v>
      </c>
      <c r="E228" s="7" t="s">
        <v>409</v>
      </c>
      <c r="F228" s="7" t="s">
        <v>1003</v>
      </c>
      <c r="G228" s="7" t="s">
        <v>3037</v>
      </c>
      <c r="H228" s="8" t="s">
        <v>3038</v>
      </c>
      <c r="I228" s="7"/>
      <c r="J228" s="7"/>
      <c r="K228" s="7" t="s">
        <v>2832</v>
      </c>
      <c r="L228" s="8" t="s">
        <v>3039</v>
      </c>
      <c r="M228" s="7" t="s">
        <v>3040</v>
      </c>
    </row>
    <row r="229" spans="1:13" ht="39">
      <c r="A229" s="7" t="s">
        <v>3041</v>
      </c>
      <c r="B229" s="7" t="s">
        <v>391</v>
      </c>
      <c r="C229" s="7" t="s">
        <v>1450</v>
      </c>
      <c r="D229" s="7" t="s">
        <v>1451</v>
      </c>
      <c r="E229" s="7" t="s">
        <v>409</v>
      </c>
      <c r="F229" s="7" t="s">
        <v>1464</v>
      </c>
      <c r="G229" s="7" t="s">
        <v>3042</v>
      </c>
      <c r="H229" s="8" t="s">
        <v>3043</v>
      </c>
      <c r="I229" s="7"/>
      <c r="J229" s="7"/>
      <c r="K229" s="7" t="s">
        <v>2832</v>
      </c>
      <c r="L229" s="8" t="s">
        <v>3044</v>
      </c>
      <c r="M229" s="7" t="s">
        <v>3045</v>
      </c>
    </row>
    <row r="230" spans="1:13" ht="26">
      <c r="A230" s="7" t="s">
        <v>3046</v>
      </c>
      <c r="B230" s="7" t="s">
        <v>391</v>
      </c>
      <c r="C230" s="7" t="s">
        <v>1450</v>
      </c>
      <c r="D230" s="7" t="s">
        <v>1451</v>
      </c>
      <c r="E230" s="7" t="s">
        <v>412</v>
      </c>
      <c r="F230" s="7" t="s">
        <v>1452</v>
      </c>
      <c r="G230" s="7" t="s">
        <v>3047</v>
      </c>
      <c r="H230" s="8" t="s">
        <v>3048</v>
      </c>
      <c r="I230" s="7"/>
      <c r="J230" s="7"/>
      <c r="K230" s="7" t="s">
        <v>2843</v>
      </c>
      <c r="L230" s="8" t="s">
        <v>3049</v>
      </c>
      <c r="M230" s="7" t="s">
        <v>3050</v>
      </c>
    </row>
    <row r="231" spans="1:13" ht="26">
      <c r="A231" s="7" t="s">
        <v>3051</v>
      </c>
      <c r="B231" s="7" t="s">
        <v>391</v>
      </c>
      <c r="C231" s="7" t="s">
        <v>1450</v>
      </c>
      <c r="D231" s="7" t="s">
        <v>1451</v>
      </c>
      <c r="E231" s="7" t="s">
        <v>412</v>
      </c>
      <c r="F231" s="7" t="s">
        <v>1003</v>
      </c>
      <c r="G231" s="7" t="s">
        <v>3052</v>
      </c>
      <c r="H231" s="8" t="s">
        <v>3053</v>
      </c>
      <c r="I231" s="7"/>
      <c r="J231" s="7"/>
      <c r="K231" s="7" t="s">
        <v>2843</v>
      </c>
      <c r="L231" s="8" t="s">
        <v>3054</v>
      </c>
      <c r="M231" s="7" t="s">
        <v>3055</v>
      </c>
    </row>
    <row r="232" spans="1:13" ht="26">
      <c r="A232" s="7" t="s">
        <v>3056</v>
      </c>
      <c r="B232" s="7" t="s">
        <v>391</v>
      </c>
      <c r="C232" s="7" t="s">
        <v>1450</v>
      </c>
      <c r="D232" s="7" t="s">
        <v>1451</v>
      </c>
      <c r="E232" s="7" t="s">
        <v>412</v>
      </c>
      <c r="F232" s="7" t="s">
        <v>1464</v>
      </c>
      <c r="G232" s="7" t="s">
        <v>3057</v>
      </c>
      <c r="H232" s="8" t="s">
        <v>3058</v>
      </c>
      <c r="I232" s="7"/>
      <c r="J232" s="7"/>
      <c r="K232" s="7" t="s">
        <v>2843</v>
      </c>
      <c r="L232" s="8" t="s">
        <v>3059</v>
      </c>
      <c r="M232" s="7" t="s">
        <v>3060</v>
      </c>
    </row>
    <row r="233" spans="1:13" ht="39">
      <c r="A233" s="7" t="s">
        <v>3061</v>
      </c>
      <c r="B233" s="7" t="s">
        <v>391</v>
      </c>
      <c r="C233" s="7" t="s">
        <v>1450</v>
      </c>
      <c r="D233" s="7" t="s">
        <v>1451</v>
      </c>
      <c r="E233" s="7" t="s">
        <v>416</v>
      </c>
      <c r="F233" s="7" t="s">
        <v>1452</v>
      </c>
      <c r="G233" s="7" t="s">
        <v>3062</v>
      </c>
      <c r="H233" s="8" t="s">
        <v>3063</v>
      </c>
      <c r="I233" s="7"/>
      <c r="J233" s="7"/>
      <c r="K233" s="7" t="s">
        <v>2794</v>
      </c>
      <c r="L233" s="8" t="s">
        <v>3064</v>
      </c>
      <c r="M233" s="7" t="s">
        <v>3065</v>
      </c>
    </row>
    <row r="234" spans="1:13" ht="39">
      <c r="A234" s="7" t="s">
        <v>3066</v>
      </c>
      <c r="B234" s="7" t="s">
        <v>391</v>
      </c>
      <c r="C234" s="7" t="s">
        <v>1450</v>
      </c>
      <c r="D234" s="7" t="s">
        <v>1451</v>
      </c>
      <c r="E234" s="7" t="s">
        <v>416</v>
      </c>
      <c r="F234" s="7" t="s">
        <v>1003</v>
      </c>
      <c r="G234" s="7" t="s">
        <v>3067</v>
      </c>
      <c r="H234" s="8" t="s">
        <v>3068</v>
      </c>
      <c r="I234" s="7"/>
      <c r="J234" s="7"/>
      <c r="K234" s="7" t="s">
        <v>2794</v>
      </c>
      <c r="L234" s="8" t="s">
        <v>3069</v>
      </c>
      <c r="M234" s="7" t="s">
        <v>3070</v>
      </c>
    </row>
    <row r="235" spans="1:13" ht="39">
      <c r="A235" s="7" t="s">
        <v>3071</v>
      </c>
      <c r="B235" s="7" t="s">
        <v>391</v>
      </c>
      <c r="C235" s="7" t="s">
        <v>1450</v>
      </c>
      <c r="D235" s="7" t="s">
        <v>1451</v>
      </c>
      <c r="E235" s="7" t="s">
        <v>416</v>
      </c>
      <c r="F235" s="7" t="s">
        <v>1464</v>
      </c>
      <c r="G235" s="7" t="s">
        <v>3072</v>
      </c>
      <c r="H235" s="8" t="s">
        <v>3073</v>
      </c>
      <c r="I235" s="7"/>
      <c r="J235" s="7"/>
      <c r="K235" s="7" t="s">
        <v>2794</v>
      </c>
      <c r="L235" s="8" t="s">
        <v>3074</v>
      </c>
      <c r="M235" s="7" t="s">
        <v>3075</v>
      </c>
    </row>
    <row r="236" spans="1:13" ht="26">
      <c r="A236" s="7" t="s">
        <v>3076</v>
      </c>
      <c r="B236" s="7" t="s">
        <v>391</v>
      </c>
      <c r="C236" s="7" t="s">
        <v>1450</v>
      </c>
      <c r="D236" s="7" t="s">
        <v>1451</v>
      </c>
      <c r="E236" s="7" t="s">
        <v>420</v>
      </c>
      <c r="F236" s="7" t="s">
        <v>1452</v>
      </c>
      <c r="G236" s="7" t="s">
        <v>3077</v>
      </c>
      <c r="H236" s="8" t="s">
        <v>3078</v>
      </c>
      <c r="I236" s="7"/>
      <c r="J236" s="7"/>
      <c r="K236" s="7" t="s">
        <v>2864</v>
      </c>
      <c r="L236" s="8" t="s">
        <v>3079</v>
      </c>
      <c r="M236" s="7" t="s">
        <v>3080</v>
      </c>
    </row>
    <row r="237" spans="1:13" ht="26">
      <c r="A237" s="7" t="s">
        <v>3081</v>
      </c>
      <c r="B237" s="7" t="s">
        <v>391</v>
      </c>
      <c r="C237" s="7" t="s">
        <v>1450</v>
      </c>
      <c r="D237" s="7" t="s">
        <v>1451</v>
      </c>
      <c r="E237" s="7" t="s">
        <v>420</v>
      </c>
      <c r="F237" s="7" t="s">
        <v>1003</v>
      </c>
      <c r="G237" s="7" t="s">
        <v>3082</v>
      </c>
      <c r="H237" s="8" t="s">
        <v>3083</v>
      </c>
      <c r="I237" s="7" t="s">
        <v>504</v>
      </c>
      <c r="J237" s="7"/>
      <c r="K237" s="7" t="s">
        <v>2864</v>
      </c>
      <c r="L237" s="8" t="s">
        <v>3084</v>
      </c>
      <c r="M237" s="7" t="s">
        <v>3085</v>
      </c>
    </row>
    <row r="238" spans="1:13" ht="26">
      <c r="A238" s="7" t="s">
        <v>3086</v>
      </c>
      <c r="B238" s="7" t="s">
        <v>391</v>
      </c>
      <c r="C238" s="7" t="s">
        <v>1450</v>
      </c>
      <c r="D238" s="7" t="s">
        <v>1451</v>
      </c>
      <c r="E238" s="7" t="s">
        <v>420</v>
      </c>
      <c r="F238" s="7" t="s">
        <v>1464</v>
      </c>
      <c r="G238" s="7" t="s">
        <v>3087</v>
      </c>
      <c r="H238" s="8" t="s">
        <v>3088</v>
      </c>
      <c r="I238" s="7" t="s">
        <v>504</v>
      </c>
      <c r="J238" s="7"/>
      <c r="K238" s="7" t="s">
        <v>2864</v>
      </c>
      <c r="L238" s="8" t="s">
        <v>3089</v>
      </c>
      <c r="M238" s="7" t="s">
        <v>3090</v>
      </c>
    </row>
    <row r="239" spans="1:13" ht="26">
      <c r="A239" s="7" t="s">
        <v>3091</v>
      </c>
      <c r="B239" s="7" t="s">
        <v>391</v>
      </c>
      <c r="C239" s="7" t="s">
        <v>1450</v>
      </c>
      <c r="D239" s="7" t="s">
        <v>1538</v>
      </c>
      <c r="E239" s="7"/>
      <c r="F239" s="7"/>
      <c r="G239" s="7" t="s">
        <v>3092</v>
      </c>
      <c r="H239" s="8" t="s">
        <v>3093</v>
      </c>
      <c r="I239" s="7" t="s">
        <v>502</v>
      </c>
      <c r="J239" s="7"/>
      <c r="K239" s="7" t="s">
        <v>1901</v>
      </c>
      <c r="L239" s="8" t="s">
        <v>3094</v>
      </c>
      <c r="M239" s="7" t="s">
        <v>3095</v>
      </c>
    </row>
    <row r="240" spans="1:13" ht="26">
      <c r="A240" s="7" t="s">
        <v>3096</v>
      </c>
      <c r="B240" s="7" t="s">
        <v>391</v>
      </c>
      <c r="C240" s="7" t="s">
        <v>1450</v>
      </c>
      <c r="D240" s="7" t="s">
        <v>1538</v>
      </c>
      <c r="E240" s="7"/>
      <c r="F240" s="7"/>
      <c r="G240" s="7" t="s">
        <v>3097</v>
      </c>
      <c r="H240" s="8" t="s">
        <v>3098</v>
      </c>
      <c r="I240" s="7"/>
      <c r="J240" s="7"/>
      <c r="K240" s="7" t="s">
        <v>1901</v>
      </c>
      <c r="L240" s="8" t="s">
        <v>3099</v>
      </c>
      <c r="M240" s="7" t="s">
        <v>3100</v>
      </c>
    </row>
    <row r="241" spans="1:13" ht="26">
      <c r="A241" s="7" t="s">
        <v>3101</v>
      </c>
      <c r="B241" s="7" t="s">
        <v>391</v>
      </c>
      <c r="C241" s="7" t="s">
        <v>1450</v>
      </c>
      <c r="D241" s="7" t="s">
        <v>1451</v>
      </c>
      <c r="E241" s="7" t="s">
        <v>390</v>
      </c>
      <c r="F241" s="7" t="s">
        <v>1452</v>
      </c>
      <c r="G241" s="7" t="s">
        <v>3102</v>
      </c>
      <c r="H241" s="8" t="s">
        <v>3103</v>
      </c>
      <c r="I241" s="7"/>
      <c r="J241" s="7"/>
      <c r="K241" s="7" t="s">
        <v>1901</v>
      </c>
      <c r="L241" s="8" t="s">
        <v>3104</v>
      </c>
      <c r="M241" s="7" t="s">
        <v>3105</v>
      </c>
    </row>
    <row r="242" spans="1:13" ht="26">
      <c r="A242" s="7" t="s">
        <v>3106</v>
      </c>
      <c r="B242" s="7" t="s">
        <v>391</v>
      </c>
      <c r="C242" s="7" t="s">
        <v>1450</v>
      </c>
      <c r="D242" s="7" t="s">
        <v>1451</v>
      </c>
      <c r="E242" s="7" t="s">
        <v>390</v>
      </c>
      <c r="F242" s="7" t="s">
        <v>1452</v>
      </c>
      <c r="G242" s="7" t="s">
        <v>3107</v>
      </c>
      <c r="H242" s="8" t="s">
        <v>3108</v>
      </c>
      <c r="I242" s="7"/>
      <c r="J242" s="7"/>
      <c r="K242" s="7" t="s">
        <v>1901</v>
      </c>
      <c r="L242" s="8" t="s">
        <v>3109</v>
      </c>
      <c r="M242" s="7" t="s">
        <v>3110</v>
      </c>
    </row>
    <row r="243" spans="1:13" ht="26">
      <c r="A243" s="7" t="s">
        <v>3111</v>
      </c>
      <c r="B243" s="7" t="s">
        <v>391</v>
      </c>
      <c r="C243" s="7" t="s">
        <v>1450</v>
      </c>
      <c r="D243" s="7" t="s">
        <v>1451</v>
      </c>
      <c r="E243" s="7" t="s">
        <v>390</v>
      </c>
      <c r="F243" s="7" t="s">
        <v>1452</v>
      </c>
      <c r="G243" s="7" t="s">
        <v>3112</v>
      </c>
      <c r="H243" s="8" t="s">
        <v>3113</v>
      </c>
      <c r="I243" s="7"/>
      <c r="J243" s="7"/>
      <c r="K243" s="7" t="s">
        <v>1901</v>
      </c>
      <c r="L243" s="8" t="s">
        <v>3114</v>
      </c>
      <c r="M243" s="7" t="s">
        <v>3115</v>
      </c>
    </row>
    <row r="244" spans="1:13" ht="26">
      <c r="A244" s="7" t="s">
        <v>3116</v>
      </c>
      <c r="B244" s="7" t="s">
        <v>391</v>
      </c>
      <c r="C244" s="7" t="s">
        <v>1450</v>
      </c>
      <c r="D244" s="7" t="s">
        <v>1451</v>
      </c>
      <c r="E244" s="7" t="s">
        <v>390</v>
      </c>
      <c r="F244" s="7" t="s">
        <v>1452</v>
      </c>
      <c r="G244" s="7" t="s">
        <v>3117</v>
      </c>
      <c r="H244" s="8" t="s">
        <v>3118</v>
      </c>
      <c r="I244" s="7"/>
      <c r="J244" s="7"/>
      <c r="K244" s="7" t="s">
        <v>1901</v>
      </c>
      <c r="L244" s="8" t="s">
        <v>3119</v>
      </c>
      <c r="M244" s="7" t="s">
        <v>3120</v>
      </c>
    </row>
    <row r="245" spans="1:13" ht="26">
      <c r="A245" s="7" t="s">
        <v>3121</v>
      </c>
      <c r="B245" s="7" t="s">
        <v>391</v>
      </c>
      <c r="C245" s="7" t="s">
        <v>1450</v>
      </c>
      <c r="D245" s="7" t="s">
        <v>1451</v>
      </c>
      <c r="E245" s="7" t="s">
        <v>390</v>
      </c>
      <c r="F245" s="7" t="s">
        <v>1452</v>
      </c>
      <c r="G245" s="7" t="s">
        <v>3122</v>
      </c>
      <c r="H245" s="8" t="s">
        <v>3123</v>
      </c>
      <c r="I245" s="7"/>
      <c r="J245" s="7"/>
      <c r="K245" s="7" t="s">
        <v>1901</v>
      </c>
      <c r="L245" s="8" t="s">
        <v>3124</v>
      </c>
      <c r="M245" s="7" t="s">
        <v>3125</v>
      </c>
    </row>
    <row r="246" spans="1:13" ht="26">
      <c r="A246" s="7" t="s">
        <v>3126</v>
      </c>
      <c r="B246" s="7" t="s">
        <v>391</v>
      </c>
      <c r="C246" s="7" t="s">
        <v>1450</v>
      </c>
      <c r="D246" s="7" t="s">
        <v>1451</v>
      </c>
      <c r="E246" s="7" t="s">
        <v>390</v>
      </c>
      <c r="F246" s="7" t="s">
        <v>1452</v>
      </c>
      <c r="G246" s="7" t="s">
        <v>3127</v>
      </c>
      <c r="H246" s="8" t="s">
        <v>3128</v>
      </c>
      <c r="I246" s="7"/>
      <c r="J246" s="7"/>
      <c r="K246" s="7" t="s">
        <v>1901</v>
      </c>
      <c r="L246" s="8" t="s">
        <v>3129</v>
      </c>
      <c r="M246" s="7" t="s">
        <v>3130</v>
      </c>
    </row>
    <row r="247" spans="1:13" ht="39">
      <c r="A247" s="7" t="s">
        <v>3131</v>
      </c>
      <c r="B247" s="7" t="s">
        <v>391</v>
      </c>
      <c r="C247" s="7" t="s">
        <v>1450</v>
      </c>
      <c r="D247" s="7" t="s">
        <v>1451</v>
      </c>
      <c r="E247" s="7" t="s">
        <v>397</v>
      </c>
      <c r="F247" s="7" t="s">
        <v>1452</v>
      </c>
      <c r="G247" s="7" t="s">
        <v>3132</v>
      </c>
      <c r="H247" s="8" t="s">
        <v>3133</v>
      </c>
      <c r="I247" s="7"/>
      <c r="J247" s="7"/>
      <c r="K247" s="7" t="s">
        <v>2794</v>
      </c>
      <c r="L247" s="8" t="s">
        <v>3134</v>
      </c>
      <c r="M247" s="7" t="s">
        <v>3135</v>
      </c>
    </row>
    <row r="248" spans="1:13" ht="39">
      <c r="A248" s="7" t="s">
        <v>3136</v>
      </c>
      <c r="B248" s="7" t="s">
        <v>391</v>
      </c>
      <c r="C248" s="7" t="s">
        <v>1450</v>
      </c>
      <c r="D248" s="7" t="s">
        <v>1451</v>
      </c>
      <c r="E248" s="7" t="s">
        <v>397</v>
      </c>
      <c r="F248" s="7" t="s">
        <v>1452</v>
      </c>
      <c r="G248" s="7" t="s">
        <v>3137</v>
      </c>
      <c r="H248" s="8" t="s">
        <v>3138</v>
      </c>
      <c r="I248" s="7" t="s">
        <v>502</v>
      </c>
      <c r="J248" s="7"/>
      <c r="K248" s="7" t="s">
        <v>2794</v>
      </c>
      <c r="L248" s="8" t="s">
        <v>3139</v>
      </c>
      <c r="M248" s="7" t="s">
        <v>3140</v>
      </c>
    </row>
    <row r="249" spans="1:13" ht="39">
      <c r="A249" s="7" t="s">
        <v>3141</v>
      </c>
      <c r="B249" s="7" t="s">
        <v>391</v>
      </c>
      <c r="C249" s="7" t="s">
        <v>1450</v>
      </c>
      <c r="D249" s="7" t="s">
        <v>1451</v>
      </c>
      <c r="E249" s="7" t="s">
        <v>397</v>
      </c>
      <c r="F249" s="7" t="s">
        <v>1452</v>
      </c>
      <c r="G249" s="7" t="s">
        <v>3142</v>
      </c>
      <c r="H249" s="8" t="s">
        <v>3143</v>
      </c>
      <c r="I249" s="7"/>
      <c r="J249" s="7"/>
      <c r="K249" s="7" t="s">
        <v>2794</v>
      </c>
      <c r="L249" s="8" t="s">
        <v>3144</v>
      </c>
      <c r="M249" s="7" t="s">
        <v>3145</v>
      </c>
    </row>
    <row r="250" spans="1:13" ht="39">
      <c r="A250" s="7" t="s">
        <v>3146</v>
      </c>
      <c r="B250" s="7" t="s">
        <v>391</v>
      </c>
      <c r="C250" s="7" t="s">
        <v>1450</v>
      </c>
      <c r="D250" s="7" t="s">
        <v>1451</v>
      </c>
      <c r="E250" s="7" t="s">
        <v>397</v>
      </c>
      <c r="F250" s="7" t="s">
        <v>1452</v>
      </c>
      <c r="G250" s="7" t="s">
        <v>3147</v>
      </c>
      <c r="H250" s="8" t="s">
        <v>3148</v>
      </c>
      <c r="I250" s="7" t="s">
        <v>502</v>
      </c>
      <c r="J250" s="7"/>
      <c r="K250" s="7" t="s">
        <v>2794</v>
      </c>
      <c r="L250" s="8" t="s">
        <v>3149</v>
      </c>
      <c r="M250" s="7" t="s">
        <v>3150</v>
      </c>
    </row>
    <row r="251" spans="1:13" ht="39">
      <c r="A251" s="7" t="s">
        <v>3151</v>
      </c>
      <c r="B251" s="7" t="s">
        <v>391</v>
      </c>
      <c r="C251" s="7" t="s">
        <v>1450</v>
      </c>
      <c r="D251" s="7" t="s">
        <v>1451</v>
      </c>
      <c r="E251" s="7" t="s">
        <v>397</v>
      </c>
      <c r="F251" s="7" t="s">
        <v>1452</v>
      </c>
      <c r="G251" s="7" t="s">
        <v>3152</v>
      </c>
      <c r="H251" s="8" t="s">
        <v>3153</v>
      </c>
      <c r="I251" s="7"/>
      <c r="J251" s="7"/>
      <c r="K251" s="7" t="s">
        <v>2794</v>
      </c>
      <c r="L251" s="8" t="s">
        <v>3154</v>
      </c>
      <c r="M251" s="7" t="s">
        <v>3155</v>
      </c>
    </row>
    <row r="252" spans="1:13" ht="39">
      <c r="A252" s="7" t="s">
        <v>3156</v>
      </c>
      <c r="B252" s="7" t="s">
        <v>391</v>
      </c>
      <c r="C252" s="7" t="s">
        <v>1450</v>
      </c>
      <c r="D252" s="7" t="s">
        <v>1451</v>
      </c>
      <c r="E252" s="7" t="s">
        <v>397</v>
      </c>
      <c r="F252" s="7" t="s">
        <v>1452</v>
      </c>
      <c r="G252" s="7" t="s">
        <v>3157</v>
      </c>
      <c r="H252" s="8" t="s">
        <v>3158</v>
      </c>
      <c r="I252" s="7"/>
      <c r="J252" s="7"/>
      <c r="K252" s="7" t="s">
        <v>2794</v>
      </c>
      <c r="L252" s="8" t="s">
        <v>3159</v>
      </c>
      <c r="M252" s="7" t="s">
        <v>3160</v>
      </c>
    </row>
    <row r="253" spans="1:13" ht="39">
      <c r="A253" s="7" t="s">
        <v>3161</v>
      </c>
      <c r="B253" s="7" t="s">
        <v>391</v>
      </c>
      <c r="C253" s="7" t="s">
        <v>1450</v>
      </c>
      <c r="D253" s="7" t="s">
        <v>1451</v>
      </c>
      <c r="E253" s="7" t="s">
        <v>401</v>
      </c>
      <c r="F253" s="7" t="s">
        <v>1452</v>
      </c>
      <c r="G253" s="7" t="s">
        <v>3162</v>
      </c>
      <c r="H253" s="8" t="s">
        <v>3163</v>
      </c>
      <c r="I253" s="7"/>
      <c r="J253" s="7"/>
      <c r="K253" s="7" t="s">
        <v>2810</v>
      </c>
      <c r="L253" s="8" t="s">
        <v>3164</v>
      </c>
      <c r="M253" s="7" t="s">
        <v>3165</v>
      </c>
    </row>
    <row r="254" spans="1:13" ht="39">
      <c r="A254" s="7" t="s">
        <v>3166</v>
      </c>
      <c r="B254" s="7" t="s">
        <v>391</v>
      </c>
      <c r="C254" s="7" t="s">
        <v>1450</v>
      </c>
      <c r="D254" s="7" t="s">
        <v>1451</v>
      </c>
      <c r="E254" s="7" t="s">
        <v>401</v>
      </c>
      <c r="F254" s="7" t="s">
        <v>1452</v>
      </c>
      <c r="G254" s="7" t="s">
        <v>3167</v>
      </c>
      <c r="H254" s="8" t="s">
        <v>3168</v>
      </c>
      <c r="I254" s="7"/>
      <c r="J254" s="7"/>
      <c r="K254" s="7" t="s">
        <v>2810</v>
      </c>
      <c r="L254" s="8" t="s">
        <v>3169</v>
      </c>
      <c r="M254" s="7" t="s">
        <v>3170</v>
      </c>
    </row>
    <row r="255" spans="1:13" ht="39">
      <c r="A255" s="7" t="s">
        <v>3171</v>
      </c>
      <c r="B255" s="7" t="s">
        <v>391</v>
      </c>
      <c r="C255" s="7" t="s">
        <v>1450</v>
      </c>
      <c r="D255" s="7" t="s">
        <v>1451</v>
      </c>
      <c r="E255" s="7" t="s">
        <v>401</v>
      </c>
      <c r="F255" s="7" t="s">
        <v>1452</v>
      </c>
      <c r="G255" s="7" t="s">
        <v>3172</v>
      </c>
      <c r="H255" s="8" t="s">
        <v>3173</v>
      </c>
      <c r="I255" s="7"/>
      <c r="J255" s="7"/>
      <c r="K255" s="7" t="s">
        <v>2810</v>
      </c>
      <c r="L255" s="8" t="s">
        <v>3174</v>
      </c>
      <c r="M255" s="7" t="s">
        <v>3175</v>
      </c>
    </row>
    <row r="256" spans="1:13" ht="39">
      <c r="A256" s="7" t="s">
        <v>3176</v>
      </c>
      <c r="B256" s="7" t="s">
        <v>391</v>
      </c>
      <c r="C256" s="7" t="s">
        <v>1450</v>
      </c>
      <c r="D256" s="7" t="s">
        <v>1451</v>
      </c>
      <c r="E256" s="7" t="s">
        <v>401</v>
      </c>
      <c r="F256" s="7" t="s">
        <v>1452</v>
      </c>
      <c r="G256" s="7" t="s">
        <v>3177</v>
      </c>
      <c r="H256" s="8" t="s">
        <v>3178</v>
      </c>
      <c r="I256" s="7" t="s">
        <v>503</v>
      </c>
      <c r="J256" s="7"/>
      <c r="K256" s="7" t="s">
        <v>2810</v>
      </c>
      <c r="L256" s="8" t="s">
        <v>3179</v>
      </c>
      <c r="M256" s="7" t="s">
        <v>3180</v>
      </c>
    </row>
    <row r="257" spans="1:13" ht="39">
      <c r="A257" s="7" t="s">
        <v>3181</v>
      </c>
      <c r="B257" s="7" t="s">
        <v>391</v>
      </c>
      <c r="C257" s="7" t="s">
        <v>1450</v>
      </c>
      <c r="D257" s="7" t="s">
        <v>1451</v>
      </c>
      <c r="E257" s="7" t="s">
        <v>401</v>
      </c>
      <c r="F257" s="7" t="s">
        <v>1452</v>
      </c>
      <c r="G257" s="7" t="s">
        <v>3182</v>
      </c>
      <c r="H257" s="8" t="s">
        <v>3183</v>
      </c>
      <c r="I257" s="7" t="s">
        <v>503</v>
      </c>
      <c r="J257" s="7"/>
      <c r="K257" s="7" t="s">
        <v>2810</v>
      </c>
      <c r="L257" s="8" t="s">
        <v>3184</v>
      </c>
      <c r="M257" s="7" t="s">
        <v>3185</v>
      </c>
    </row>
    <row r="258" spans="1:13" ht="39">
      <c r="A258" s="7" t="s">
        <v>3186</v>
      </c>
      <c r="B258" s="7" t="s">
        <v>391</v>
      </c>
      <c r="C258" s="7" t="s">
        <v>1450</v>
      </c>
      <c r="D258" s="7" t="s">
        <v>1451</v>
      </c>
      <c r="E258" s="7" t="s">
        <v>401</v>
      </c>
      <c r="F258" s="7" t="s">
        <v>1452</v>
      </c>
      <c r="G258" s="7" t="s">
        <v>3187</v>
      </c>
      <c r="H258" s="8" t="s">
        <v>3188</v>
      </c>
      <c r="I258" s="7" t="s">
        <v>500</v>
      </c>
      <c r="J258" s="7"/>
      <c r="K258" s="7" t="s">
        <v>2810</v>
      </c>
      <c r="L258" s="8" t="s">
        <v>3189</v>
      </c>
      <c r="M258" s="7" t="s">
        <v>3190</v>
      </c>
    </row>
    <row r="259" spans="1:13" ht="39">
      <c r="A259" s="7" t="s">
        <v>3191</v>
      </c>
      <c r="B259" s="7" t="s">
        <v>391</v>
      </c>
      <c r="C259" s="7" t="s">
        <v>1450</v>
      </c>
      <c r="D259" s="7" t="s">
        <v>1451</v>
      </c>
      <c r="E259" s="7" t="s">
        <v>405</v>
      </c>
      <c r="F259" s="7" t="s">
        <v>1452</v>
      </c>
      <c r="G259" s="7" t="s">
        <v>3192</v>
      </c>
      <c r="H259" s="8" t="s">
        <v>3193</v>
      </c>
      <c r="I259" s="7"/>
      <c r="J259" s="7"/>
      <c r="K259" s="7" t="s">
        <v>2821</v>
      </c>
      <c r="L259" s="8" t="s">
        <v>3194</v>
      </c>
      <c r="M259" s="7" t="s">
        <v>3195</v>
      </c>
    </row>
    <row r="260" spans="1:13" ht="39">
      <c r="A260" s="7" t="s">
        <v>3196</v>
      </c>
      <c r="B260" s="7" t="s">
        <v>391</v>
      </c>
      <c r="C260" s="7" t="s">
        <v>1450</v>
      </c>
      <c r="D260" s="7" t="s">
        <v>1451</v>
      </c>
      <c r="E260" s="7" t="s">
        <v>405</v>
      </c>
      <c r="F260" s="7" t="s">
        <v>1452</v>
      </c>
      <c r="G260" s="7" t="s">
        <v>3197</v>
      </c>
      <c r="H260" s="8" t="s">
        <v>3198</v>
      </c>
      <c r="I260" s="7"/>
      <c r="J260" s="7"/>
      <c r="K260" s="7" t="s">
        <v>2821</v>
      </c>
      <c r="L260" s="8" t="s">
        <v>3199</v>
      </c>
      <c r="M260" s="7" t="s">
        <v>3200</v>
      </c>
    </row>
    <row r="261" spans="1:13" ht="39">
      <c r="A261" s="7" t="s">
        <v>3201</v>
      </c>
      <c r="B261" s="7" t="s">
        <v>391</v>
      </c>
      <c r="C261" s="7" t="s">
        <v>1450</v>
      </c>
      <c r="D261" s="7" t="s">
        <v>1451</v>
      </c>
      <c r="E261" s="7" t="s">
        <v>405</v>
      </c>
      <c r="F261" s="7" t="s">
        <v>1452</v>
      </c>
      <c r="G261" s="7" t="s">
        <v>3202</v>
      </c>
      <c r="H261" s="8" t="s">
        <v>3203</v>
      </c>
      <c r="I261" s="7" t="s">
        <v>501</v>
      </c>
      <c r="J261" s="7"/>
      <c r="K261" s="7" t="s">
        <v>2821</v>
      </c>
      <c r="L261" s="8" t="s">
        <v>3204</v>
      </c>
      <c r="M261" s="7" t="s">
        <v>3205</v>
      </c>
    </row>
    <row r="262" spans="1:13" ht="39">
      <c r="A262" s="7" t="s">
        <v>3206</v>
      </c>
      <c r="B262" s="7" t="s">
        <v>391</v>
      </c>
      <c r="C262" s="7" t="s">
        <v>1450</v>
      </c>
      <c r="D262" s="7" t="s">
        <v>1451</v>
      </c>
      <c r="E262" s="7" t="s">
        <v>405</v>
      </c>
      <c r="F262" s="7" t="s">
        <v>1452</v>
      </c>
      <c r="G262" s="7" t="s">
        <v>3207</v>
      </c>
      <c r="H262" s="8" t="s">
        <v>3208</v>
      </c>
      <c r="I262" s="7"/>
      <c r="J262" s="7"/>
      <c r="K262" s="7" t="s">
        <v>2821</v>
      </c>
      <c r="L262" s="8" t="s">
        <v>3209</v>
      </c>
      <c r="M262" s="7" t="s">
        <v>3210</v>
      </c>
    </row>
    <row r="263" spans="1:13" ht="39">
      <c r="A263" s="7" t="s">
        <v>3211</v>
      </c>
      <c r="B263" s="7" t="s">
        <v>391</v>
      </c>
      <c r="C263" s="7" t="s">
        <v>1450</v>
      </c>
      <c r="D263" s="7" t="s">
        <v>1451</v>
      </c>
      <c r="E263" s="7" t="s">
        <v>405</v>
      </c>
      <c r="F263" s="7" t="s">
        <v>1452</v>
      </c>
      <c r="G263" s="7" t="s">
        <v>3212</v>
      </c>
      <c r="H263" s="8" t="s">
        <v>3213</v>
      </c>
      <c r="I263" s="7"/>
      <c r="J263" s="7"/>
      <c r="K263" s="7" t="s">
        <v>2821</v>
      </c>
      <c r="L263" s="8" t="s">
        <v>3214</v>
      </c>
      <c r="M263" s="7" t="s">
        <v>3215</v>
      </c>
    </row>
    <row r="264" spans="1:13" ht="39">
      <c r="A264" s="7" t="s">
        <v>3216</v>
      </c>
      <c r="B264" s="7" t="s">
        <v>391</v>
      </c>
      <c r="C264" s="7" t="s">
        <v>1450</v>
      </c>
      <c r="D264" s="7" t="s">
        <v>1451</v>
      </c>
      <c r="E264" s="7" t="s">
        <v>405</v>
      </c>
      <c r="F264" s="7" t="s">
        <v>1452</v>
      </c>
      <c r="G264" s="7" t="s">
        <v>3217</v>
      </c>
      <c r="H264" s="8" t="s">
        <v>3218</v>
      </c>
      <c r="I264" s="7"/>
      <c r="J264" s="7"/>
      <c r="K264" s="7" t="s">
        <v>2821</v>
      </c>
      <c r="L264" s="8" t="s">
        <v>3219</v>
      </c>
      <c r="M264" s="7" t="s">
        <v>3220</v>
      </c>
    </row>
    <row r="265" spans="1:13" ht="26">
      <c r="A265" s="7" t="s">
        <v>3221</v>
      </c>
      <c r="B265" s="7" t="s">
        <v>391</v>
      </c>
      <c r="C265" s="7" t="s">
        <v>1450</v>
      </c>
      <c r="D265" s="7" t="s">
        <v>1451</v>
      </c>
      <c r="E265" s="7" t="s">
        <v>409</v>
      </c>
      <c r="F265" s="7" t="s">
        <v>1452</v>
      </c>
      <c r="G265" s="7" t="s">
        <v>3222</v>
      </c>
      <c r="H265" s="8" t="s">
        <v>3223</v>
      </c>
      <c r="I265" s="7"/>
      <c r="J265" s="7"/>
      <c r="K265" s="7" t="s">
        <v>2832</v>
      </c>
      <c r="L265" s="8" t="s">
        <v>3224</v>
      </c>
      <c r="M265" s="7" t="s">
        <v>3225</v>
      </c>
    </row>
    <row r="266" spans="1:13" ht="26">
      <c r="A266" s="7" t="s">
        <v>3226</v>
      </c>
      <c r="B266" s="7" t="s">
        <v>391</v>
      </c>
      <c r="C266" s="7" t="s">
        <v>1450</v>
      </c>
      <c r="D266" s="7" t="s">
        <v>1451</v>
      </c>
      <c r="E266" s="7" t="s">
        <v>409</v>
      </c>
      <c r="F266" s="7" t="s">
        <v>1452</v>
      </c>
      <c r="G266" s="7" t="s">
        <v>3227</v>
      </c>
      <c r="H266" s="8" t="s">
        <v>3228</v>
      </c>
      <c r="I266" s="7"/>
      <c r="J266" s="7"/>
      <c r="K266" s="7" t="s">
        <v>2832</v>
      </c>
      <c r="L266" s="8" t="s">
        <v>3229</v>
      </c>
      <c r="M266" s="7" t="s">
        <v>3230</v>
      </c>
    </row>
    <row r="267" spans="1:13" ht="26">
      <c r="A267" s="7" t="s">
        <v>3231</v>
      </c>
      <c r="B267" s="7" t="s">
        <v>391</v>
      </c>
      <c r="C267" s="7" t="s">
        <v>1450</v>
      </c>
      <c r="D267" s="7" t="s">
        <v>1451</v>
      </c>
      <c r="E267" s="7" t="s">
        <v>409</v>
      </c>
      <c r="F267" s="7" t="s">
        <v>1452</v>
      </c>
      <c r="G267" s="7" t="s">
        <v>3232</v>
      </c>
      <c r="H267" s="8" t="s">
        <v>3233</v>
      </c>
      <c r="I267" s="7"/>
      <c r="J267" s="7"/>
      <c r="K267" s="7" t="s">
        <v>2832</v>
      </c>
      <c r="L267" s="8" t="s">
        <v>3234</v>
      </c>
      <c r="M267" s="7" t="s">
        <v>3235</v>
      </c>
    </row>
    <row r="268" spans="1:13" ht="26">
      <c r="A268" s="7" t="s">
        <v>3236</v>
      </c>
      <c r="B268" s="7" t="s">
        <v>391</v>
      </c>
      <c r="C268" s="7" t="s">
        <v>1450</v>
      </c>
      <c r="D268" s="7" t="s">
        <v>1451</v>
      </c>
      <c r="E268" s="7" t="s">
        <v>409</v>
      </c>
      <c r="F268" s="7" t="s">
        <v>1452</v>
      </c>
      <c r="G268" s="7" t="s">
        <v>3237</v>
      </c>
      <c r="H268" s="8" t="s">
        <v>3238</v>
      </c>
      <c r="I268" s="7"/>
      <c r="J268" s="7"/>
      <c r="K268" s="7" t="s">
        <v>2832</v>
      </c>
      <c r="L268" s="8" t="s">
        <v>3239</v>
      </c>
      <c r="M268" s="7" t="s">
        <v>3240</v>
      </c>
    </row>
    <row r="269" spans="1:13" ht="39">
      <c r="A269" s="7" t="s">
        <v>3241</v>
      </c>
      <c r="B269" s="7" t="s">
        <v>391</v>
      </c>
      <c r="C269" s="7" t="s">
        <v>1450</v>
      </c>
      <c r="D269" s="7" t="s">
        <v>1451</v>
      </c>
      <c r="E269" s="7" t="s">
        <v>409</v>
      </c>
      <c r="F269" s="7" t="s">
        <v>1452</v>
      </c>
      <c r="G269" s="7" t="s">
        <v>3242</v>
      </c>
      <c r="H269" s="8" t="s">
        <v>3243</v>
      </c>
      <c r="I269" s="7" t="s">
        <v>503</v>
      </c>
      <c r="J269" s="7"/>
      <c r="K269" s="7" t="s">
        <v>2832</v>
      </c>
      <c r="L269" s="8" t="s">
        <v>3244</v>
      </c>
      <c r="M269" s="7" t="s">
        <v>3245</v>
      </c>
    </row>
    <row r="270" spans="1:13" ht="39">
      <c r="A270" s="7" t="s">
        <v>3246</v>
      </c>
      <c r="B270" s="7" t="s">
        <v>391</v>
      </c>
      <c r="C270" s="7" t="s">
        <v>1450</v>
      </c>
      <c r="D270" s="7" t="s">
        <v>1451</v>
      </c>
      <c r="E270" s="7" t="s">
        <v>409</v>
      </c>
      <c r="F270" s="7" t="s">
        <v>1452</v>
      </c>
      <c r="G270" s="7" t="s">
        <v>3927</v>
      </c>
      <c r="H270" s="8" t="s">
        <v>3247</v>
      </c>
      <c r="I270" s="7" t="s">
        <v>500</v>
      </c>
      <c r="J270" s="7"/>
      <c r="K270" s="7" t="s">
        <v>2832</v>
      </c>
      <c r="L270" s="8" t="s">
        <v>3248</v>
      </c>
      <c r="M270" s="7" t="s">
        <v>3249</v>
      </c>
    </row>
    <row r="271" spans="1:13" ht="26">
      <c r="A271" s="7" t="s">
        <v>3250</v>
      </c>
      <c r="B271" s="7" t="s">
        <v>391</v>
      </c>
      <c r="C271" s="7" t="s">
        <v>1450</v>
      </c>
      <c r="D271" s="7" t="s">
        <v>1451</v>
      </c>
      <c r="E271" s="7" t="s">
        <v>412</v>
      </c>
      <c r="F271" s="7" t="s">
        <v>1452</v>
      </c>
      <c r="G271" s="7" t="s">
        <v>3251</v>
      </c>
      <c r="H271" s="8" t="s">
        <v>3252</v>
      </c>
      <c r="I271" s="7"/>
      <c r="J271" s="7"/>
      <c r="K271" s="7" t="s">
        <v>2843</v>
      </c>
      <c r="L271" s="8" t="s">
        <v>3253</v>
      </c>
      <c r="M271" s="7" t="s">
        <v>3254</v>
      </c>
    </row>
    <row r="272" spans="1:13" ht="26">
      <c r="A272" s="7" t="s">
        <v>3255</v>
      </c>
      <c r="B272" s="7" t="s">
        <v>391</v>
      </c>
      <c r="C272" s="7" t="s">
        <v>1450</v>
      </c>
      <c r="D272" s="7" t="s">
        <v>1451</v>
      </c>
      <c r="E272" s="7" t="s">
        <v>412</v>
      </c>
      <c r="F272" s="7" t="s">
        <v>1452</v>
      </c>
      <c r="G272" s="7" t="s">
        <v>3256</v>
      </c>
      <c r="H272" s="8" t="s">
        <v>3257</v>
      </c>
      <c r="I272" s="7" t="s">
        <v>503</v>
      </c>
      <c r="J272" s="7"/>
      <c r="K272" s="7" t="s">
        <v>2843</v>
      </c>
      <c r="L272" s="8" t="s">
        <v>3258</v>
      </c>
      <c r="M272" s="7" t="s">
        <v>3259</v>
      </c>
    </row>
    <row r="273" spans="1:13" ht="26">
      <c r="A273" s="7" t="s">
        <v>3260</v>
      </c>
      <c r="B273" s="7" t="s">
        <v>391</v>
      </c>
      <c r="C273" s="7" t="s">
        <v>1450</v>
      </c>
      <c r="D273" s="7" t="s">
        <v>1451</v>
      </c>
      <c r="E273" s="7" t="s">
        <v>412</v>
      </c>
      <c r="F273" s="7" t="s">
        <v>1452</v>
      </c>
      <c r="G273" s="7" t="s">
        <v>3261</v>
      </c>
      <c r="H273" s="8" t="s">
        <v>3262</v>
      </c>
      <c r="I273" s="7"/>
      <c r="J273" s="7"/>
      <c r="K273" s="7" t="s">
        <v>2843</v>
      </c>
      <c r="L273" s="8" t="s">
        <v>3263</v>
      </c>
      <c r="M273" s="7" t="s">
        <v>3264</v>
      </c>
    </row>
    <row r="274" spans="1:13" ht="26">
      <c r="A274" s="7" t="s">
        <v>3265</v>
      </c>
      <c r="B274" s="7" t="s">
        <v>391</v>
      </c>
      <c r="C274" s="7" t="s">
        <v>1450</v>
      </c>
      <c r="D274" s="7" t="s">
        <v>1451</v>
      </c>
      <c r="E274" s="7" t="s">
        <v>412</v>
      </c>
      <c r="F274" s="7" t="s">
        <v>1452</v>
      </c>
      <c r="G274" s="7" t="s">
        <v>3266</v>
      </c>
      <c r="H274" s="8" t="s">
        <v>3267</v>
      </c>
      <c r="I274" s="7"/>
      <c r="J274" s="7"/>
      <c r="K274" s="7" t="s">
        <v>2843</v>
      </c>
      <c r="L274" s="8" t="s">
        <v>3268</v>
      </c>
      <c r="M274" s="7" t="s">
        <v>3269</v>
      </c>
    </row>
    <row r="275" spans="1:13" ht="26">
      <c r="A275" s="7" t="s">
        <v>3270</v>
      </c>
      <c r="B275" s="7" t="s">
        <v>391</v>
      </c>
      <c r="C275" s="7" t="s">
        <v>1450</v>
      </c>
      <c r="D275" s="7" t="s">
        <v>1451</v>
      </c>
      <c r="E275" s="7" t="s">
        <v>412</v>
      </c>
      <c r="F275" s="7" t="s">
        <v>1452</v>
      </c>
      <c r="G275" s="7" t="s">
        <v>3271</v>
      </c>
      <c r="H275" s="8" t="s">
        <v>3272</v>
      </c>
      <c r="I275" s="7"/>
      <c r="J275" s="7"/>
      <c r="K275" s="7" t="s">
        <v>2843</v>
      </c>
      <c r="L275" s="8" t="s">
        <v>3273</v>
      </c>
      <c r="M275" s="7" t="s">
        <v>3274</v>
      </c>
    </row>
    <row r="276" spans="1:13" ht="26">
      <c r="A276" s="7" t="s">
        <v>3275</v>
      </c>
      <c r="B276" s="7" t="s">
        <v>391</v>
      </c>
      <c r="C276" s="7" t="s">
        <v>1450</v>
      </c>
      <c r="D276" s="7" t="s">
        <v>1451</v>
      </c>
      <c r="E276" s="7" t="s">
        <v>412</v>
      </c>
      <c r="F276" s="7" t="s">
        <v>1452</v>
      </c>
      <c r="G276" s="7" t="s">
        <v>3276</v>
      </c>
      <c r="H276" s="8" t="s">
        <v>3277</v>
      </c>
      <c r="I276" s="7"/>
      <c r="J276" s="7"/>
      <c r="K276" s="7" t="s">
        <v>2843</v>
      </c>
      <c r="L276" s="8" t="s">
        <v>3278</v>
      </c>
      <c r="M276" s="7" t="s">
        <v>3279</v>
      </c>
    </row>
    <row r="277" spans="1:13" ht="39">
      <c r="A277" s="7" t="s">
        <v>3280</v>
      </c>
      <c r="B277" s="7" t="s">
        <v>391</v>
      </c>
      <c r="C277" s="7" t="s">
        <v>1450</v>
      </c>
      <c r="D277" s="7" t="s">
        <v>1451</v>
      </c>
      <c r="E277" s="7" t="s">
        <v>416</v>
      </c>
      <c r="F277" s="7" t="s">
        <v>1452</v>
      </c>
      <c r="G277" s="7" t="s">
        <v>3281</v>
      </c>
      <c r="H277" s="8" t="s">
        <v>3282</v>
      </c>
      <c r="I277" s="7"/>
      <c r="J277" s="7"/>
      <c r="K277" s="7" t="s">
        <v>2794</v>
      </c>
      <c r="L277" s="8" t="s">
        <v>3283</v>
      </c>
      <c r="M277" s="7" t="s">
        <v>3284</v>
      </c>
    </row>
    <row r="278" spans="1:13" ht="39">
      <c r="A278" s="7" t="s">
        <v>3285</v>
      </c>
      <c r="B278" s="7" t="s">
        <v>391</v>
      </c>
      <c r="C278" s="7" t="s">
        <v>1450</v>
      </c>
      <c r="D278" s="7" t="s">
        <v>1451</v>
      </c>
      <c r="E278" s="7" t="s">
        <v>416</v>
      </c>
      <c r="F278" s="7" t="s">
        <v>1452</v>
      </c>
      <c r="G278" s="7" t="s">
        <v>3286</v>
      </c>
      <c r="H278" s="8" t="s">
        <v>3287</v>
      </c>
      <c r="I278" s="7" t="s">
        <v>502</v>
      </c>
      <c r="J278" s="7"/>
      <c r="K278" s="7" t="s">
        <v>2794</v>
      </c>
      <c r="L278" s="8" t="s">
        <v>3288</v>
      </c>
      <c r="M278" s="7" t="s">
        <v>3289</v>
      </c>
    </row>
    <row r="279" spans="1:13" ht="39">
      <c r="A279" s="7" t="s">
        <v>3290</v>
      </c>
      <c r="B279" s="7" t="s">
        <v>391</v>
      </c>
      <c r="C279" s="7" t="s">
        <v>1450</v>
      </c>
      <c r="D279" s="7" t="s">
        <v>1451</v>
      </c>
      <c r="E279" s="7" t="s">
        <v>416</v>
      </c>
      <c r="F279" s="7" t="s">
        <v>1452</v>
      </c>
      <c r="G279" s="7" t="s">
        <v>3291</v>
      </c>
      <c r="H279" s="8" t="s">
        <v>3292</v>
      </c>
      <c r="I279" s="7" t="s">
        <v>502</v>
      </c>
      <c r="J279" s="7"/>
      <c r="K279" s="7" t="s">
        <v>2794</v>
      </c>
      <c r="L279" s="8" t="s">
        <v>3293</v>
      </c>
      <c r="M279" s="7" t="s">
        <v>3294</v>
      </c>
    </row>
    <row r="280" spans="1:13" ht="39">
      <c r="A280" s="7" t="s">
        <v>3295</v>
      </c>
      <c r="B280" s="7" t="s">
        <v>391</v>
      </c>
      <c r="C280" s="7" t="s">
        <v>1450</v>
      </c>
      <c r="D280" s="7" t="s">
        <v>1451</v>
      </c>
      <c r="E280" s="7" t="s">
        <v>416</v>
      </c>
      <c r="F280" s="7" t="s">
        <v>1452</v>
      </c>
      <c r="G280" s="7" t="s">
        <v>3296</v>
      </c>
      <c r="H280" s="8" t="s">
        <v>3297</v>
      </c>
      <c r="I280" s="7" t="s">
        <v>502</v>
      </c>
      <c r="J280" s="7"/>
      <c r="K280" s="7" t="s">
        <v>2794</v>
      </c>
      <c r="L280" s="8" t="s">
        <v>3298</v>
      </c>
      <c r="M280" s="7" t="s">
        <v>3299</v>
      </c>
    </row>
    <row r="281" spans="1:13" ht="39">
      <c r="A281" s="7" t="s">
        <v>3300</v>
      </c>
      <c r="B281" s="7" t="s">
        <v>391</v>
      </c>
      <c r="C281" s="7" t="s">
        <v>1450</v>
      </c>
      <c r="D281" s="7" t="s">
        <v>1451</v>
      </c>
      <c r="E281" s="7" t="s">
        <v>416</v>
      </c>
      <c r="F281" s="7" t="s">
        <v>1452</v>
      </c>
      <c r="G281" s="7" t="s">
        <v>3301</v>
      </c>
      <c r="H281" s="8" t="s">
        <v>3302</v>
      </c>
      <c r="I281" s="7"/>
      <c r="J281" s="7"/>
      <c r="K281" s="7" t="s">
        <v>2794</v>
      </c>
      <c r="L281" s="8" t="s">
        <v>3303</v>
      </c>
      <c r="M281" s="7" t="s">
        <v>3304</v>
      </c>
    </row>
    <row r="282" spans="1:13" ht="39">
      <c r="A282" s="7" t="s">
        <v>3305</v>
      </c>
      <c r="B282" s="7" t="s">
        <v>391</v>
      </c>
      <c r="C282" s="7" t="s">
        <v>1450</v>
      </c>
      <c r="D282" s="7" t="s">
        <v>1451</v>
      </c>
      <c r="E282" s="7" t="s">
        <v>416</v>
      </c>
      <c r="F282" s="7" t="s">
        <v>1452</v>
      </c>
      <c r="G282" s="7" t="s">
        <v>3306</v>
      </c>
      <c r="H282" s="8" t="s">
        <v>3307</v>
      </c>
      <c r="I282" s="7" t="s">
        <v>502</v>
      </c>
      <c r="J282" s="7"/>
      <c r="K282" s="7" t="s">
        <v>2794</v>
      </c>
      <c r="L282" s="8" t="s">
        <v>3308</v>
      </c>
      <c r="M282" s="7" t="s">
        <v>3309</v>
      </c>
    </row>
    <row r="283" spans="1:13" ht="26">
      <c r="A283" s="7" t="s">
        <v>3310</v>
      </c>
      <c r="B283" s="7" t="s">
        <v>391</v>
      </c>
      <c r="C283" s="7" t="s">
        <v>1450</v>
      </c>
      <c r="D283" s="7" t="s">
        <v>1451</v>
      </c>
      <c r="E283" s="7" t="s">
        <v>420</v>
      </c>
      <c r="F283" s="7" t="s">
        <v>1452</v>
      </c>
      <c r="G283" s="7" t="s">
        <v>3311</v>
      </c>
      <c r="H283" s="8" t="s">
        <v>3312</v>
      </c>
      <c r="I283" s="7" t="s">
        <v>504</v>
      </c>
      <c r="J283" s="7"/>
      <c r="K283" s="7" t="s">
        <v>2864</v>
      </c>
      <c r="L283" s="8" t="s">
        <v>3313</v>
      </c>
      <c r="M283" s="7" t="s">
        <v>3314</v>
      </c>
    </row>
    <row r="284" spans="1:13" ht="26">
      <c r="A284" s="7" t="s">
        <v>3315</v>
      </c>
      <c r="B284" s="7" t="s">
        <v>391</v>
      </c>
      <c r="C284" s="7" t="s">
        <v>1450</v>
      </c>
      <c r="D284" s="7" t="s">
        <v>1451</v>
      </c>
      <c r="E284" s="7" t="s">
        <v>420</v>
      </c>
      <c r="F284" s="7" t="s">
        <v>1452</v>
      </c>
      <c r="G284" s="7" t="s">
        <v>3316</v>
      </c>
      <c r="H284" s="8" t="s">
        <v>3317</v>
      </c>
      <c r="I284" s="7" t="s">
        <v>504</v>
      </c>
      <c r="J284" s="7"/>
      <c r="K284" s="7" t="s">
        <v>2864</v>
      </c>
      <c r="L284" s="8" t="s">
        <v>3318</v>
      </c>
      <c r="M284" s="7" t="s">
        <v>3319</v>
      </c>
    </row>
    <row r="285" spans="1:13" ht="26">
      <c r="A285" s="7" t="s">
        <v>3320</v>
      </c>
      <c r="B285" s="7" t="s">
        <v>391</v>
      </c>
      <c r="C285" s="7" t="s">
        <v>1450</v>
      </c>
      <c r="D285" s="7" t="s">
        <v>1451</v>
      </c>
      <c r="E285" s="7" t="s">
        <v>420</v>
      </c>
      <c r="F285" s="7" t="s">
        <v>1452</v>
      </c>
      <c r="G285" s="7" t="s">
        <v>3321</v>
      </c>
      <c r="H285" s="8" t="s">
        <v>3322</v>
      </c>
      <c r="I285" s="7"/>
      <c r="J285" s="7"/>
      <c r="K285" s="7" t="s">
        <v>2864</v>
      </c>
      <c r="L285" s="8" t="s">
        <v>3323</v>
      </c>
      <c r="M285" s="7" t="s">
        <v>3324</v>
      </c>
    </row>
    <row r="286" spans="1:13" ht="26">
      <c r="A286" s="7" t="s">
        <v>3325</v>
      </c>
      <c r="B286" s="7" t="s">
        <v>391</v>
      </c>
      <c r="C286" s="7" t="s">
        <v>1450</v>
      </c>
      <c r="D286" s="7" t="s">
        <v>1451</v>
      </c>
      <c r="E286" s="7" t="s">
        <v>420</v>
      </c>
      <c r="F286" s="7" t="s">
        <v>1452</v>
      </c>
      <c r="G286" s="7" t="s">
        <v>3326</v>
      </c>
      <c r="H286" s="8" t="s">
        <v>3327</v>
      </c>
      <c r="I286" s="7" t="s">
        <v>501</v>
      </c>
      <c r="J286" s="7"/>
      <c r="K286" s="7" t="s">
        <v>2864</v>
      </c>
      <c r="L286" s="8" t="s">
        <v>3328</v>
      </c>
      <c r="M286" s="7" t="s">
        <v>3329</v>
      </c>
    </row>
    <row r="287" spans="1:13" ht="26">
      <c r="A287" s="7" t="s">
        <v>3330</v>
      </c>
      <c r="B287" s="7" t="s">
        <v>391</v>
      </c>
      <c r="C287" s="7" t="s">
        <v>1450</v>
      </c>
      <c r="D287" s="7" t="s">
        <v>1451</v>
      </c>
      <c r="E287" s="7" t="s">
        <v>420</v>
      </c>
      <c r="F287" s="7" t="s">
        <v>1452</v>
      </c>
      <c r="G287" s="7" t="s">
        <v>3331</v>
      </c>
      <c r="H287" s="8" t="s">
        <v>3332</v>
      </c>
      <c r="I287" s="7"/>
      <c r="J287" s="7"/>
      <c r="K287" s="7" t="s">
        <v>2864</v>
      </c>
      <c r="L287" s="8" t="s">
        <v>3333</v>
      </c>
      <c r="M287" s="7" t="s">
        <v>3334</v>
      </c>
    </row>
    <row r="288" spans="1:13" ht="26">
      <c r="A288" s="7" t="s">
        <v>3335</v>
      </c>
      <c r="B288" s="7" t="s">
        <v>391</v>
      </c>
      <c r="C288" s="7" t="s">
        <v>1450</v>
      </c>
      <c r="D288" s="7" t="s">
        <v>1451</v>
      </c>
      <c r="E288" s="7" t="s">
        <v>420</v>
      </c>
      <c r="F288" s="7" t="s">
        <v>1452</v>
      </c>
      <c r="G288" s="7" t="s">
        <v>3336</v>
      </c>
      <c r="H288" s="8" t="s">
        <v>3337</v>
      </c>
      <c r="I288" s="7" t="s">
        <v>504</v>
      </c>
      <c r="J288" s="7"/>
      <c r="K288" s="7" t="s">
        <v>2864</v>
      </c>
      <c r="L288" s="8" t="s">
        <v>3338</v>
      </c>
      <c r="M288" s="7" t="s">
        <v>3339</v>
      </c>
    </row>
    <row r="289" spans="1:13" ht="26">
      <c r="A289" s="7" t="s">
        <v>3340</v>
      </c>
      <c r="B289" s="7" t="s">
        <v>391</v>
      </c>
      <c r="C289" s="7" t="s">
        <v>1450</v>
      </c>
      <c r="D289" s="7" t="s">
        <v>1451</v>
      </c>
      <c r="E289" s="7" t="s">
        <v>420</v>
      </c>
      <c r="F289" s="7" t="s">
        <v>1452</v>
      </c>
      <c r="G289" s="7" t="s">
        <v>3341</v>
      </c>
      <c r="H289" s="8" t="s">
        <v>3342</v>
      </c>
      <c r="I289" s="7" t="s">
        <v>504</v>
      </c>
      <c r="J289" s="7"/>
      <c r="K289" s="7" t="s">
        <v>2864</v>
      </c>
      <c r="L289" s="8" t="s">
        <v>3343</v>
      </c>
      <c r="M289" s="7" t="s">
        <v>3344</v>
      </c>
    </row>
    <row r="290" spans="1:13" ht="26">
      <c r="A290" s="7" t="s">
        <v>3345</v>
      </c>
      <c r="B290" s="7" t="s">
        <v>391</v>
      </c>
      <c r="C290" s="7" t="s">
        <v>1450</v>
      </c>
      <c r="D290" s="7" t="s">
        <v>1451</v>
      </c>
      <c r="E290" s="7" t="s">
        <v>420</v>
      </c>
      <c r="F290" s="7" t="s">
        <v>1452</v>
      </c>
      <c r="G290" s="7" t="s">
        <v>3346</v>
      </c>
      <c r="H290" s="8" t="s">
        <v>3347</v>
      </c>
      <c r="I290" s="7" t="s">
        <v>504</v>
      </c>
      <c r="J290" s="7"/>
      <c r="K290" s="7" t="s">
        <v>2864</v>
      </c>
      <c r="L290" s="8" t="s">
        <v>3348</v>
      </c>
      <c r="M290" s="7" t="s">
        <v>3349</v>
      </c>
    </row>
    <row r="291" spans="1:13" ht="39">
      <c r="A291" s="7" t="s">
        <v>3350</v>
      </c>
      <c r="B291" s="7" t="s">
        <v>391</v>
      </c>
      <c r="C291" s="7" t="s">
        <v>1450</v>
      </c>
      <c r="D291" s="7" t="s">
        <v>1451</v>
      </c>
      <c r="E291" s="7" t="s">
        <v>405</v>
      </c>
      <c r="F291" s="7" t="s">
        <v>1452</v>
      </c>
      <c r="G291" s="7" t="s">
        <v>3351</v>
      </c>
      <c r="H291" s="8" t="s">
        <v>3352</v>
      </c>
      <c r="I291" s="7"/>
      <c r="J291" s="7"/>
      <c r="K291" s="7" t="s">
        <v>2821</v>
      </c>
      <c r="L291" s="8" t="s">
        <v>3353</v>
      </c>
      <c r="M291" s="7" t="s">
        <v>3354</v>
      </c>
    </row>
    <row r="292" spans="1:13" ht="39">
      <c r="A292" s="7" t="s">
        <v>3355</v>
      </c>
      <c r="B292" s="7" t="s">
        <v>391</v>
      </c>
      <c r="C292" s="7" t="s">
        <v>1450</v>
      </c>
      <c r="D292" s="7" t="s">
        <v>1451</v>
      </c>
      <c r="E292" s="7" t="s">
        <v>401</v>
      </c>
      <c r="F292" s="7" t="s">
        <v>1452</v>
      </c>
      <c r="G292" s="7" t="s">
        <v>3356</v>
      </c>
      <c r="H292" s="8" t="s">
        <v>3357</v>
      </c>
      <c r="I292" s="7"/>
      <c r="J292" s="7"/>
      <c r="K292" s="7" t="s">
        <v>2810</v>
      </c>
      <c r="L292" s="8" t="s">
        <v>3358</v>
      </c>
      <c r="M292" s="7" t="s">
        <v>3359</v>
      </c>
    </row>
    <row r="293" spans="1:13" ht="39">
      <c r="A293" s="7" t="s">
        <v>3360</v>
      </c>
      <c r="B293" s="7" t="s">
        <v>391</v>
      </c>
      <c r="C293" s="7" t="s">
        <v>1450</v>
      </c>
      <c r="D293" s="7" t="s">
        <v>1451</v>
      </c>
      <c r="E293" s="7" t="s">
        <v>401</v>
      </c>
      <c r="F293" s="7" t="s">
        <v>1452</v>
      </c>
      <c r="G293" s="7" t="s">
        <v>3361</v>
      </c>
      <c r="H293" s="8" t="s">
        <v>3362</v>
      </c>
      <c r="I293" s="7"/>
      <c r="J293" s="7"/>
      <c r="K293" s="7" t="s">
        <v>2810</v>
      </c>
      <c r="L293" s="8" t="s">
        <v>3363</v>
      </c>
      <c r="M293" s="7" t="s">
        <v>3364</v>
      </c>
    </row>
    <row r="294" spans="1:13" ht="39">
      <c r="A294" s="7" t="s">
        <v>3365</v>
      </c>
      <c r="B294" s="7" t="s">
        <v>391</v>
      </c>
      <c r="C294" s="7" t="s">
        <v>1450</v>
      </c>
      <c r="D294" s="7" t="s">
        <v>1451</v>
      </c>
      <c r="E294" s="7" t="s">
        <v>397</v>
      </c>
      <c r="F294" s="7" t="s">
        <v>1452</v>
      </c>
      <c r="G294" s="7" t="s">
        <v>3366</v>
      </c>
      <c r="H294" s="8" t="s">
        <v>3367</v>
      </c>
      <c r="I294" s="7"/>
      <c r="J294" s="7"/>
      <c r="K294" s="7" t="s">
        <v>2794</v>
      </c>
      <c r="L294" s="8" t="s">
        <v>3368</v>
      </c>
      <c r="M294" s="7" t="s">
        <v>3369</v>
      </c>
    </row>
    <row r="295" spans="1:13" ht="26">
      <c r="A295" s="7" t="s">
        <v>3370</v>
      </c>
      <c r="B295" s="7" t="s">
        <v>391</v>
      </c>
      <c r="C295" s="7" t="s">
        <v>1450</v>
      </c>
      <c r="D295" s="7" t="s">
        <v>1548</v>
      </c>
      <c r="E295" s="7"/>
      <c r="F295" s="7"/>
      <c r="G295" s="7" t="s">
        <v>3371</v>
      </c>
      <c r="H295" s="8" t="s">
        <v>3372</v>
      </c>
      <c r="I295" s="7" t="s">
        <v>500</v>
      </c>
      <c r="J295" s="7"/>
      <c r="K295" s="7" t="s">
        <v>1901</v>
      </c>
      <c r="L295" s="8" t="s">
        <v>3373</v>
      </c>
      <c r="M295" s="7" t="s">
        <v>3374</v>
      </c>
    </row>
    <row r="296" spans="1:13" ht="26">
      <c r="A296" s="7" t="s">
        <v>3375</v>
      </c>
      <c r="B296" s="7" t="s">
        <v>391</v>
      </c>
      <c r="C296" s="7" t="s">
        <v>1450</v>
      </c>
      <c r="D296" s="7" t="s">
        <v>1451</v>
      </c>
      <c r="E296" s="7" t="s">
        <v>390</v>
      </c>
      <c r="F296" s="7" t="s">
        <v>1452</v>
      </c>
      <c r="G296" s="7" t="s">
        <v>3376</v>
      </c>
      <c r="H296" s="8" t="s">
        <v>3377</v>
      </c>
      <c r="I296" s="7"/>
      <c r="J296" s="7"/>
      <c r="K296" s="7" t="s">
        <v>1901</v>
      </c>
      <c r="L296" s="8" t="s">
        <v>3378</v>
      </c>
      <c r="M296" s="7" t="s">
        <v>3379</v>
      </c>
    </row>
    <row r="297" spans="1:13" ht="26">
      <c r="A297" s="7" t="s">
        <v>3380</v>
      </c>
      <c r="B297" s="7" t="s">
        <v>391</v>
      </c>
      <c r="C297" s="7" t="s">
        <v>1450</v>
      </c>
      <c r="D297" s="7" t="s">
        <v>1451</v>
      </c>
      <c r="E297" s="7" t="s">
        <v>390</v>
      </c>
      <c r="F297" s="7" t="s">
        <v>1452</v>
      </c>
      <c r="G297" s="7" t="s">
        <v>3381</v>
      </c>
      <c r="H297" s="8" t="s">
        <v>3382</v>
      </c>
      <c r="I297" s="7"/>
      <c r="J297" s="7"/>
      <c r="K297" s="7" t="s">
        <v>1901</v>
      </c>
      <c r="L297" s="8" t="s">
        <v>3383</v>
      </c>
      <c r="M297" s="7" t="s">
        <v>3384</v>
      </c>
    </row>
    <row r="298" spans="1:13" ht="39">
      <c r="A298" s="7" t="s">
        <v>3385</v>
      </c>
      <c r="B298" s="7" t="s">
        <v>391</v>
      </c>
      <c r="C298" s="7" t="s">
        <v>1450</v>
      </c>
      <c r="D298" s="7" t="s">
        <v>1451</v>
      </c>
      <c r="E298" s="7" t="s">
        <v>397</v>
      </c>
      <c r="F298" s="7" t="s">
        <v>1452</v>
      </c>
      <c r="G298" s="7" t="s">
        <v>3386</v>
      </c>
      <c r="H298" s="8" t="s">
        <v>3387</v>
      </c>
      <c r="I298" s="7" t="s">
        <v>502</v>
      </c>
      <c r="J298" s="7"/>
      <c r="K298" s="7" t="s">
        <v>2794</v>
      </c>
      <c r="L298" s="8" t="s">
        <v>3388</v>
      </c>
      <c r="M298" s="7" t="s">
        <v>3389</v>
      </c>
    </row>
    <row r="299" spans="1:13" ht="39">
      <c r="A299" s="7" t="s">
        <v>3390</v>
      </c>
      <c r="B299" s="7" t="s">
        <v>391</v>
      </c>
      <c r="C299" s="7" t="s">
        <v>1450</v>
      </c>
      <c r="D299" s="7" t="s">
        <v>1451</v>
      </c>
      <c r="E299" s="7" t="s">
        <v>397</v>
      </c>
      <c r="F299" s="7" t="s">
        <v>1452</v>
      </c>
      <c r="G299" s="7" t="s">
        <v>3391</v>
      </c>
      <c r="H299" s="8" t="s">
        <v>3392</v>
      </c>
      <c r="I299" s="7" t="s">
        <v>502</v>
      </c>
      <c r="J299" s="7"/>
      <c r="K299" s="7" t="s">
        <v>2794</v>
      </c>
      <c r="L299" s="8" t="s">
        <v>3393</v>
      </c>
      <c r="M299" s="7" t="s">
        <v>3394</v>
      </c>
    </row>
    <row r="300" spans="1:13" ht="39">
      <c r="A300" s="7" t="s">
        <v>3395</v>
      </c>
      <c r="B300" s="7" t="s">
        <v>391</v>
      </c>
      <c r="C300" s="7" t="s">
        <v>1450</v>
      </c>
      <c r="D300" s="7" t="s">
        <v>1451</v>
      </c>
      <c r="E300" s="7" t="s">
        <v>397</v>
      </c>
      <c r="F300" s="7" t="s">
        <v>1452</v>
      </c>
      <c r="G300" s="7" t="s">
        <v>3396</v>
      </c>
      <c r="H300" s="8" t="s">
        <v>3397</v>
      </c>
      <c r="I300" s="7" t="s">
        <v>502</v>
      </c>
      <c r="J300" s="7"/>
      <c r="K300" s="7" t="s">
        <v>2794</v>
      </c>
      <c r="L300" s="8" t="s">
        <v>3398</v>
      </c>
      <c r="M300" s="7" t="s">
        <v>3399</v>
      </c>
    </row>
    <row r="301" spans="1:13" ht="39">
      <c r="A301" s="7" t="s">
        <v>3400</v>
      </c>
      <c r="B301" s="7" t="s">
        <v>391</v>
      </c>
      <c r="C301" s="7" t="s">
        <v>1450</v>
      </c>
      <c r="D301" s="7" t="s">
        <v>1451</v>
      </c>
      <c r="E301" s="7" t="s">
        <v>416</v>
      </c>
      <c r="F301" s="7" t="s">
        <v>1452</v>
      </c>
      <c r="G301" s="7" t="s">
        <v>3401</v>
      </c>
      <c r="H301" s="8" t="s">
        <v>3402</v>
      </c>
      <c r="I301" s="7" t="s">
        <v>502</v>
      </c>
      <c r="J301" s="7"/>
      <c r="K301" s="7" t="s">
        <v>2794</v>
      </c>
      <c r="L301" s="8" t="s">
        <v>3403</v>
      </c>
      <c r="M301" s="7" t="s">
        <v>3404</v>
      </c>
    </row>
    <row r="302" spans="1:13" ht="39">
      <c r="A302" s="7" t="s">
        <v>3405</v>
      </c>
      <c r="B302" s="7" t="s">
        <v>391</v>
      </c>
      <c r="C302" s="7" t="s">
        <v>1450</v>
      </c>
      <c r="D302" s="7" t="s">
        <v>1451</v>
      </c>
      <c r="E302" s="7" t="s">
        <v>416</v>
      </c>
      <c r="F302" s="7" t="s">
        <v>1452</v>
      </c>
      <c r="G302" s="7" t="s">
        <v>3406</v>
      </c>
      <c r="H302" s="8" t="s">
        <v>3407</v>
      </c>
      <c r="I302" s="7"/>
      <c r="J302" s="7"/>
      <c r="K302" s="7" t="s">
        <v>2794</v>
      </c>
      <c r="L302" s="8" t="s">
        <v>3408</v>
      </c>
      <c r="M302" s="7" t="s">
        <v>3409</v>
      </c>
    </row>
    <row r="303" spans="1:13" ht="39">
      <c r="A303" s="7" t="s">
        <v>3410</v>
      </c>
      <c r="B303" s="7" t="s">
        <v>391</v>
      </c>
      <c r="C303" s="7" t="s">
        <v>1450</v>
      </c>
      <c r="D303" s="7" t="s">
        <v>1451</v>
      </c>
      <c r="E303" s="7" t="s">
        <v>416</v>
      </c>
      <c r="F303" s="7" t="s">
        <v>1452</v>
      </c>
      <c r="G303" s="7" t="s">
        <v>3411</v>
      </c>
      <c r="H303" s="8" t="s">
        <v>3412</v>
      </c>
      <c r="I303" s="7"/>
      <c r="J303" s="7"/>
      <c r="K303" s="7" t="s">
        <v>2794</v>
      </c>
      <c r="L303" s="8" t="s">
        <v>3413</v>
      </c>
      <c r="M303" s="7" t="s">
        <v>3414</v>
      </c>
    </row>
    <row r="304" spans="1:13" ht="39">
      <c r="A304" s="7" t="s">
        <v>3415</v>
      </c>
      <c r="B304" s="7" t="s">
        <v>391</v>
      </c>
      <c r="C304" s="7" t="s">
        <v>1450</v>
      </c>
      <c r="D304" s="7" t="s">
        <v>1451</v>
      </c>
      <c r="E304" s="7" t="s">
        <v>401</v>
      </c>
      <c r="F304" s="7" t="s">
        <v>1452</v>
      </c>
      <c r="G304" s="7" t="s">
        <v>3416</v>
      </c>
      <c r="H304" s="8" t="s">
        <v>3417</v>
      </c>
      <c r="I304" s="7" t="s">
        <v>503</v>
      </c>
      <c r="J304" s="7"/>
      <c r="K304" s="7" t="s">
        <v>2810</v>
      </c>
      <c r="L304" s="8" t="s">
        <v>3418</v>
      </c>
      <c r="M304" s="7" t="s">
        <v>3419</v>
      </c>
    </row>
    <row r="305" spans="1:13" ht="39">
      <c r="A305" s="7" t="s">
        <v>3420</v>
      </c>
      <c r="B305" s="7" t="s">
        <v>391</v>
      </c>
      <c r="C305" s="7" t="s">
        <v>1450</v>
      </c>
      <c r="D305" s="7" t="s">
        <v>1451</v>
      </c>
      <c r="E305" s="7" t="s">
        <v>401</v>
      </c>
      <c r="F305" s="7" t="s">
        <v>1452</v>
      </c>
      <c r="G305" s="7" t="s">
        <v>3421</v>
      </c>
      <c r="H305" s="8" t="s">
        <v>3422</v>
      </c>
      <c r="I305" s="7"/>
      <c r="J305" s="7"/>
      <c r="K305" s="7" t="s">
        <v>2810</v>
      </c>
      <c r="L305" s="8" t="s">
        <v>3423</v>
      </c>
      <c r="M305" s="7" t="s">
        <v>3424</v>
      </c>
    </row>
    <row r="306" spans="1:13" ht="39">
      <c r="A306" s="7" t="s">
        <v>3425</v>
      </c>
      <c r="B306" s="7" t="s">
        <v>391</v>
      </c>
      <c r="C306" s="7" t="s">
        <v>1450</v>
      </c>
      <c r="D306" s="7" t="s">
        <v>1451</v>
      </c>
      <c r="E306" s="7" t="s">
        <v>401</v>
      </c>
      <c r="F306" s="7" t="s">
        <v>1452</v>
      </c>
      <c r="G306" s="7" t="s">
        <v>3426</v>
      </c>
      <c r="H306" s="8" t="s">
        <v>3427</v>
      </c>
      <c r="I306" s="7" t="s">
        <v>501</v>
      </c>
      <c r="J306" s="7"/>
      <c r="K306" s="7" t="s">
        <v>2810</v>
      </c>
      <c r="L306" s="8" t="s">
        <v>3428</v>
      </c>
      <c r="M306" s="7" t="s">
        <v>3429</v>
      </c>
    </row>
    <row r="307" spans="1:13" ht="39">
      <c r="A307" s="7" t="s">
        <v>3430</v>
      </c>
      <c r="B307" s="7" t="s">
        <v>391</v>
      </c>
      <c r="C307" s="7" t="s">
        <v>1450</v>
      </c>
      <c r="D307" s="7" t="s">
        <v>1451</v>
      </c>
      <c r="E307" s="7" t="s">
        <v>405</v>
      </c>
      <c r="F307" s="7" t="s">
        <v>1452</v>
      </c>
      <c r="G307" s="7" t="s">
        <v>3431</v>
      </c>
      <c r="H307" s="8" t="s">
        <v>3432</v>
      </c>
      <c r="I307" s="7" t="s">
        <v>501</v>
      </c>
      <c r="J307" s="7"/>
      <c r="K307" s="7" t="s">
        <v>2821</v>
      </c>
      <c r="L307" s="8" t="s">
        <v>3433</v>
      </c>
      <c r="M307" s="7" t="s">
        <v>3434</v>
      </c>
    </row>
    <row r="308" spans="1:13" ht="39">
      <c r="A308" s="7" t="s">
        <v>3435</v>
      </c>
      <c r="B308" s="7" t="s">
        <v>391</v>
      </c>
      <c r="C308" s="7" t="s">
        <v>1450</v>
      </c>
      <c r="D308" s="7" t="s">
        <v>1451</v>
      </c>
      <c r="E308" s="7" t="s">
        <v>405</v>
      </c>
      <c r="F308" s="7" t="s">
        <v>1452</v>
      </c>
      <c r="G308" s="7" t="s">
        <v>3436</v>
      </c>
      <c r="H308" s="8" t="s">
        <v>3437</v>
      </c>
      <c r="I308" s="7"/>
      <c r="J308" s="7"/>
      <c r="K308" s="7" t="s">
        <v>2821</v>
      </c>
      <c r="L308" s="8" t="s">
        <v>3438</v>
      </c>
      <c r="M308" s="7" t="s">
        <v>3439</v>
      </c>
    </row>
    <row r="309" spans="1:13" ht="26">
      <c r="A309" s="7" t="s">
        <v>3440</v>
      </c>
      <c r="B309" s="7" t="s">
        <v>391</v>
      </c>
      <c r="C309" s="7" t="s">
        <v>1450</v>
      </c>
      <c r="D309" s="7" t="s">
        <v>1451</v>
      </c>
      <c r="E309" s="7" t="s">
        <v>420</v>
      </c>
      <c r="F309" s="7" t="s">
        <v>1452</v>
      </c>
      <c r="G309" s="7" t="s">
        <v>3441</v>
      </c>
      <c r="H309" s="8" t="s">
        <v>3442</v>
      </c>
      <c r="I309" s="7" t="s">
        <v>504</v>
      </c>
      <c r="J309" s="7"/>
      <c r="K309" s="7" t="s">
        <v>2864</v>
      </c>
      <c r="L309" s="8" t="s">
        <v>3443</v>
      </c>
      <c r="M309" s="7" t="s">
        <v>3444</v>
      </c>
    </row>
    <row r="310" spans="1:13" ht="26">
      <c r="A310" s="7" t="s">
        <v>3445</v>
      </c>
      <c r="B310" s="7" t="s">
        <v>391</v>
      </c>
      <c r="C310" s="7" t="s">
        <v>1450</v>
      </c>
      <c r="D310" s="7" t="s">
        <v>1451</v>
      </c>
      <c r="E310" s="7" t="s">
        <v>420</v>
      </c>
      <c r="F310" s="7" t="s">
        <v>1452</v>
      </c>
      <c r="G310" s="7" t="s">
        <v>3446</v>
      </c>
      <c r="H310" s="8" t="s">
        <v>3447</v>
      </c>
      <c r="I310" s="7" t="s">
        <v>504</v>
      </c>
      <c r="J310" s="7"/>
      <c r="K310" s="7" t="s">
        <v>2864</v>
      </c>
      <c r="L310" s="8" t="s">
        <v>3448</v>
      </c>
      <c r="M310" s="7" t="s">
        <v>3449</v>
      </c>
    </row>
    <row r="311" spans="1:13" ht="39">
      <c r="A311" s="7" t="s">
        <v>3450</v>
      </c>
      <c r="B311" s="7" t="s">
        <v>391</v>
      </c>
      <c r="C311" s="7" t="s">
        <v>1450</v>
      </c>
      <c r="D311" s="7" t="s">
        <v>1451</v>
      </c>
      <c r="E311" s="7" t="s">
        <v>409</v>
      </c>
      <c r="F311" s="7" t="s">
        <v>1452</v>
      </c>
      <c r="G311" s="7" t="s">
        <v>3451</v>
      </c>
      <c r="H311" s="8" t="s">
        <v>3452</v>
      </c>
      <c r="I311" s="7" t="s">
        <v>503</v>
      </c>
      <c r="J311" s="7"/>
      <c r="K311" s="7" t="s">
        <v>2832</v>
      </c>
      <c r="L311" s="8" t="s">
        <v>3453</v>
      </c>
      <c r="M311" s="7" t="s">
        <v>3454</v>
      </c>
    </row>
    <row r="312" spans="1:13" ht="39">
      <c r="A312" s="7" t="s">
        <v>3455</v>
      </c>
      <c r="B312" s="7" t="s">
        <v>391</v>
      </c>
      <c r="C312" s="7" t="s">
        <v>1450</v>
      </c>
      <c r="D312" s="7" t="s">
        <v>1451</v>
      </c>
      <c r="E312" s="7" t="s">
        <v>409</v>
      </c>
      <c r="F312" s="7" t="s">
        <v>1452</v>
      </c>
      <c r="G312" s="7" t="s">
        <v>3456</v>
      </c>
      <c r="H312" s="8" t="s">
        <v>3457</v>
      </c>
      <c r="I312" s="7"/>
      <c r="J312" s="7"/>
      <c r="K312" s="7" t="s">
        <v>2832</v>
      </c>
      <c r="L312" s="8" t="s">
        <v>3458</v>
      </c>
      <c r="M312" s="7" t="s">
        <v>3459</v>
      </c>
    </row>
    <row r="313" spans="1:13" ht="26">
      <c r="A313" s="7" t="s">
        <v>3460</v>
      </c>
      <c r="B313" s="7" t="s">
        <v>391</v>
      </c>
      <c r="C313" s="7" t="s">
        <v>1450</v>
      </c>
      <c r="D313" s="7" t="s">
        <v>1451</v>
      </c>
      <c r="E313" s="7" t="s">
        <v>412</v>
      </c>
      <c r="F313" s="7" t="s">
        <v>1452</v>
      </c>
      <c r="G313" s="7" t="s">
        <v>3461</v>
      </c>
      <c r="H313" s="8" t="s">
        <v>3462</v>
      </c>
      <c r="I313" s="7"/>
      <c r="J313" s="7"/>
      <c r="K313" s="7" t="s">
        <v>2843</v>
      </c>
      <c r="L313" s="8" t="s">
        <v>3463</v>
      </c>
      <c r="M313" s="7" t="s">
        <v>3464</v>
      </c>
    </row>
    <row r="314" spans="1:13" ht="26">
      <c r="A314" s="7" t="s">
        <v>3465</v>
      </c>
      <c r="B314" s="7" t="s">
        <v>391</v>
      </c>
      <c r="C314" s="7" t="s">
        <v>1450</v>
      </c>
      <c r="D314" s="7" t="s">
        <v>1451</v>
      </c>
      <c r="E314" s="7" t="s">
        <v>412</v>
      </c>
      <c r="F314" s="7" t="s">
        <v>1452</v>
      </c>
      <c r="G314" s="7" t="s">
        <v>3466</v>
      </c>
      <c r="H314" s="8" t="s">
        <v>3467</v>
      </c>
      <c r="I314" s="7" t="s">
        <v>501</v>
      </c>
      <c r="J314" s="7"/>
      <c r="K314" s="7" t="s">
        <v>2843</v>
      </c>
      <c r="L314" s="8" t="s">
        <v>3468</v>
      </c>
      <c r="M314" s="7" t="s">
        <v>3469</v>
      </c>
    </row>
    <row r="315" spans="1:13" ht="26">
      <c r="A315" s="7" t="s">
        <v>3470</v>
      </c>
      <c r="B315" s="7" t="s">
        <v>391</v>
      </c>
      <c r="C315" s="7" t="s">
        <v>1450</v>
      </c>
      <c r="D315" s="7" t="s">
        <v>1451</v>
      </c>
      <c r="E315" s="7" t="s">
        <v>412</v>
      </c>
      <c r="F315" s="7" t="s">
        <v>1452</v>
      </c>
      <c r="G315" s="7" t="s">
        <v>3471</v>
      </c>
      <c r="H315" s="8" t="s">
        <v>3472</v>
      </c>
      <c r="I315" s="7"/>
      <c r="J315" s="7"/>
      <c r="K315" s="7" t="s">
        <v>2843</v>
      </c>
      <c r="L315" s="8" t="s">
        <v>3473</v>
      </c>
      <c r="M315" s="7" t="s">
        <v>3474</v>
      </c>
    </row>
    <row r="316" spans="1:13" ht="39">
      <c r="A316" s="7" t="s">
        <v>3475</v>
      </c>
      <c r="B316" s="7" t="s">
        <v>391</v>
      </c>
      <c r="C316" s="7" t="s">
        <v>1450</v>
      </c>
      <c r="D316" s="7" t="s">
        <v>1451</v>
      </c>
      <c r="E316" s="7" t="s">
        <v>390</v>
      </c>
      <c r="F316" s="7" t="s">
        <v>1452</v>
      </c>
      <c r="G316" s="7" t="s">
        <v>3476</v>
      </c>
      <c r="H316" s="8" t="s">
        <v>3477</v>
      </c>
      <c r="I316" s="7"/>
      <c r="J316" s="7"/>
      <c r="K316" s="7" t="s">
        <v>3478</v>
      </c>
      <c r="L316" s="8" t="s">
        <v>3479</v>
      </c>
      <c r="M316" s="7" t="s">
        <v>3480</v>
      </c>
    </row>
    <row r="317" spans="1:13" ht="39">
      <c r="A317" s="7" t="s">
        <v>3481</v>
      </c>
      <c r="B317" s="7" t="s">
        <v>391</v>
      </c>
      <c r="C317" s="7" t="s">
        <v>1450</v>
      </c>
      <c r="D317" s="7" t="s">
        <v>1451</v>
      </c>
      <c r="E317" s="7" t="s">
        <v>390</v>
      </c>
      <c r="F317" s="7" t="s">
        <v>1452</v>
      </c>
      <c r="G317" s="7" t="s">
        <v>3482</v>
      </c>
      <c r="H317" s="8" t="s">
        <v>3483</v>
      </c>
      <c r="I317" s="7"/>
      <c r="J317" s="7"/>
      <c r="K317" s="7" t="s">
        <v>3478</v>
      </c>
      <c r="L317" s="8" t="s">
        <v>3484</v>
      </c>
      <c r="M317" s="7" t="s">
        <v>3485</v>
      </c>
    </row>
    <row r="318" spans="1:13" ht="39">
      <c r="A318" s="7" t="s">
        <v>3486</v>
      </c>
      <c r="B318" s="7" t="s">
        <v>391</v>
      </c>
      <c r="C318" s="7" t="s">
        <v>1450</v>
      </c>
      <c r="D318" s="7" t="s">
        <v>1451</v>
      </c>
      <c r="E318" s="7" t="s">
        <v>390</v>
      </c>
      <c r="F318" s="7" t="s">
        <v>1452</v>
      </c>
      <c r="G318" s="7" t="s">
        <v>3487</v>
      </c>
      <c r="H318" s="8" t="s">
        <v>3488</v>
      </c>
      <c r="I318" s="7"/>
      <c r="J318" s="7"/>
      <c r="K318" s="7" t="s">
        <v>3478</v>
      </c>
      <c r="L318" s="8" t="s">
        <v>3489</v>
      </c>
      <c r="M318" s="7" t="s">
        <v>3490</v>
      </c>
    </row>
    <row r="319" spans="1:13" ht="39">
      <c r="A319" s="7" t="s">
        <v>3491</v>
      </c>
      <c r="B319" s="7" t="s">
        <v>391</v>
      </c>
      <c r="C319" s="7" t="s">
        <v>1450</v>
      </c>
      <c r="D319" s="7" t="s">
        <v>1451</v>
      </c>
      <c r="E319" s="7" t="s">
        <v>390</v>
      </c>
      <c r="F319" s="7" t="s">
        <v>1452</v>
      </c>
      <c r="G319" s="7" t="s">
        <v>3492</v>
      </c>
      <c r="H319" s="8" t="s">
        <v>3493</v>
      </c>
      <c r="I319" s="7"/>
      <c r="J319" s="7"/>
      <c r="K319" s="7" t="s">
        <v>3478</v>
      </c>
      <c r="L319" s="8" t="s">
        <v>3494</v>
      </c>
      <c r="M319" s="7" t="s">
        <v>3495</v>
      </c>
    </row>
    <row r="320" spans="1:13" ht="39">
      <c r="A320" s="7" t="s">
        <v>3496</v>
      </c>
      <c r="B320" s="7" t="s">
        <v>391</v>
      </c>
      <c r="C320" s="7" t="s">
        <v>1450</v>
      </c>
      <c r="D320" s="7" t="s">
        <v>1451</v>
      </c>
      <c r="E320" s="7" t="s">
        <v>390</v>
      </c>
      <c r="F320" s="7" t="s">
        <v>1452</v>
      </c>
      <c r="G320" s="7" t="s">
        <v>3497</v>
      </c>
      <c r="H320" s="8" t="s">
        <v>3498</v>
      </c>
      <c r="I320" s="7"/>
      <c r="J320" s="7"/>
      <c r="K320" s="7" t="s">
        <v>3478</v>
      </c>
      <c r="L320" s="8" t="s">
        <v>3499</v>
      </c>
      <c r="M320" s="7" t="s">
        <v>3500</v>
      </c>
    </row>
    <row r="321" spans="1:13" ht="39">
      <c r="A321" s="7" t="s">
        <v>3501</v>
      </c>
      <c r="B321" s="7" t="s">
        <v>391</v>
      </c>
      <c r="C321" s="7" t="s">
        <v>1450</v>
      </c>
      <c r="D321" s="7" t="s">
        <v>1451</v>
      </c>
      <c r="E321" s="7" t="s">
        <v>397</v>
      </c>
      <c r="F321" s="7" t="s">
        <v>1452</v>
      </c>
      <c r="G321" s="7" t="s">
        <v>3502</v>
      </c>
      <c r="H321" s="8" t="s">
        <v>3503</v>
      </c>
      <c r="I321" s="7"/>
      <c r="J321" s="7"/>
      <c r="K321" s="7" t="s">
        <v>2794</v>
      </c>
      <c r="L321" s="8" t="s">
        <v>3504</v>
      </c>
      <c r="M321" s="7" t="s">
        <v>3505</v>
      </c>
    </row>
    <row r="322" spans="1:13" ht="39">
      <c r="A322" s="7" t="s">
        <v>3506</v>
      </c>
      <c r="B322" s="7" t="s">
        <v>391</v>
      </c>
      <c r="C322" s="7" t="s">
        <v>1450</v>
      </c>
      <c r="D322" s="7" t="s">
        <v>1451</v>
      </c>
      <c r="E322" s="7" t="s">
        <v>397</v>
      </c>
      <c r="F322" s="7" t="s">
        <v>1452</v>
      </c>
      <c r="G322" s="7" t="s">
        <v>3507</v>
      </c>
      <c r="H322" s="8" t="s">
        <v>3508</v>
      </c>
      <c r="I322" s="7"/>
      <c r="J322" s="7"/>
      <c r="K322" s="7" t="s">
        <v>2794</v>
      </c>
      <c r="L322" s="8" t="s">
        <v>3509</v>
      </c>
      <c r="M322" s="7" t="s">
        <v>3510</v>
      </c>
    </row>
    <row r="323" spans="1:13" ht="39">
      <c r="A323" s="7" t="s">
        <v>3511</v>
      </c>
      <c r="B323" s="7" t="s">
        <v>391</v>
      </c>
      <c r="C323" s="7" t="s">
        <v>1450</v>
      </c>
      <c r="D323" s="7" t="s">
        <v>1451</v>
      </c>
      <c r="E323" s="7" t="s">
        <v>397</v>
      </c>
      <c r="F323" s="7" t="s">
        <v>1452</v>
      </c>
      <c r="G323" s="7" t="s">
        <v>3512</v>
      </c>
      <c r="H323" s="8" t="s">
        <v>3513</v>
      </c>
      <c r="I323" s="7"/>
      <c r="J323" s="7"/>
      <c r="K323" s="7" t="s">
        <v>2794</v>
      </c>
      <c r="L323" s="8" t="s">
        <v>3514</v>
      </c>
      <c r="M323" s="7" t="s">
        <v>3515</v>
      </c>
    </row>
    <row r="324" spans="1:13" ht="39">
      <c r="A324" s="7" t="s">
        <v>3516</v>
      </c>
      <c r="B324" s="7" t="s">
        <v>391</v>
      </c>
      <c r="C324" s="7" t="s">
        <v>1450</v>
      </c>
      <c r="D324" s="7" t="s">
        <v>1451</v>
      </c>
      <c r="E324" s="7" t="s">
        <v>397</v>
      </c>
      <c r="F324" s="7" t="s">
        <v>1452</v>
      </c>
      <c r="G324" s="7" t="s">
        <v>3517</v>
      </c>
      <c r="H324" s="8" t="s">
        <v>3518</v>
      </c>
      <c r="I324" s="7"/>
      <c r="J324" s="7"/>
      <c r="K324" s="7" t="s">
        <v>2794</v>
      </c>
      <c r="L324" s="8" t="s">
        <v>3519</v>
      </c>
      <c r="M324" s="7" t="s">
        <v>3520</v>
      </c>
    </row>
    <row r="325" spans="1:13" ht="39">
      <c r="A325" s="7" t="s">
        <v>3521</v>
      </c>
      <c r="B325" s="7" t="s">
        <v>391</v>
      </c>
      <c r="C325" s="7" t="s">
        <v>1450</v>
      </c>
      <c r="D325" s="7" t="s">
        <v>1451</v>
      </c>
      <c r="E325" s="7" t="s">
        <v>397</v>
      </c>
      <c r="F325" s="7" t="s">
        <v>1452</v>
      </c>
      <c r="G325" s="7" t="s">
        <v>3522</v>
      </c>
      <c r="H325" s="8" t="s">
        <v>3523</v>
      </c>
      <c r="I325" s="7" t="s">
        <v>501</v>
      </c>
      <c r="J325" s="7"/>
      <c r="K325" s="7" t="s">
        <v>2794</v>
      </c>
      <c r="L325" s="8" t="s">
        <v>3524</v>
      </c>
      <c r="M325" s="7" t="s">
        <v>3525</v>
      </c>
    </row>
    <row r="326" spans="1:13" ht="39">
      <c r="A326" s="7" t="s">
        <v>3526</v>
      </c>
      <c r="B326" s="7" t="s">
        <v>391</v>
      </c>
      <c r="C326" s="7" t="s">
        <v>1450</v>
      </c>
      <c r="D326" s="7" t="s">
        <v>1451</v>
      </c>
      <c r="E326" s="7" t="s">
        <v>416</v>
      </c>
      <c r="F326" s="7" t="s">
        <v>1452</v>
      </c>
      <c r="G326" s="7" t="s">
        <v>3527</v>
      </c>
      <c r="H326" s="8" t="s">
        <v>3528</v>
      </c>
      <c r="I326" s="7" t="s">
        <v>502</v>
      </c>
      <c r="J326" s="7"/>
      <c r="K326" s="7" t="s">
        <v>2794</v>
      </c>
      <c r="L326" s="8" t="s">
        <v>3529</v>
      </c>
      <c r="M326" s="7" t="s">
        <v>3530</v>
      </c>
    </row>
    <row r="327" spans="1:13" ht="39">
      <c r="A327" s="7" t="s">
        <v>3531</v>
      </c>
      <c r="B327" s="7" t="s">
        <v>391</v>
      </c>
      <c r="C327" s="7" t="s">
        <v>1450</v>
      </c>
      <c r="D327" s="7" t="s">
        <v>1451</v>
      </c>
      <c r="E327" s="7" t="s">
        <v>416</v>
      </c>
      <c r="F327" s="7" t="s">
        <v>1452</v>
      </c>
      <c r="G327" s="7" t="s">
        <v>3532</v>
      </c>
      <c r="H327" s="8" t="s">
        <v>3533</v>
      </c>
      <c r="I327" s="7" t="s">
        <v>502</v>
      </c>
      <c r="J327" s="7"/>
      <c r="K327" s="7" t="s">
        <v>2794</v>
      </c>
      <c r="L327" s="8" t="s">
        <v>3534</v>
      </c>
      <c r="M327" s="7" t="s">
        <v>3535</v>
      </c>
    </row>
    <row r="328" spans="1:13" ht="39">
      <c r="A328" s="7" t="s">
        <v>3536</v>
      </c>
      <c r="B328" s="7" t="s">
        <v>391</v>
      </c>
      <c r="C328" s="7" t="s">
        <v>1450</v>
      </c>
      <c r="D328" s="7" t="s">
        <v>1451</v>
      </c>
      <c r="E328" s="7" t="s">
        <v>416</v>
      </c>
      <c r="F328" s="7" t="s">
        <v>1452</v>
      </c>
      <c r="G328" s="7" t="s">
        <v>3537</v>
      </c>
      <c r="H328" s="8" t="s">
        <v>3538</v>
      </c>
      <c r="I328" s="7" t="s">
        <v>502</v>
      </c>
      <c r="J328" s="7"/>
      <c r="K328" s="7" t="s">
        <v>2794</v>
      </c>
      <c r="L328" s="8" t="s">
        <v>3539</v>
      </c>
      <c r="M328" s="7" t="s">
        <v>3540</v>
      </c>
    </row>
    <row r="329" spans="1:13" ht="39">
      <c r="A329" s="7" t="s">
        <v>3541</v>
      </c>
      <c r="B329" s="7" t="s">
        <v>391</v>
      </c>
      <c r="C329" s="7" t="s">
        <v>1450</v>
      </c>
      <c r="D329" s="7" t="s">
        <v>1451</v>
      </c>
      <c r="E329" s="7" t="s">
        <v>416</v>
      </c>
      <c r="F329" s="7" t="s">
        <v>1452</v>
      </c>
      <c r="G329" s="7" t="s">
        <v>3542</v>
      </c>
      <c r="H329" s="8" t="s">
        <v>3543</v>
      </c>
      <c r="I329" s="7" t="s">
        <v>502</v>
      </c>
      <c r="J329" s="7"/>
      <c r="K329" s="7" t="s">
        <v>2794</v>
      </c>
      <c r="L329" s="8" t="s">
        <v>3544</v>
      </c>
      <c r="M329" s="7" t="s">
        <v>3545</v>
      </c>
    </row>
    <row r="330" spans="1:13" ht="39">
      <c r="A330" s="7" t="s">
        <v>3546</v>
      </c>
      <c r="B330" s="7" t="s">
        <v>391</v>
      </c>
      <c r="C330" s="7" t="s">
        <v>1450</v>
      </c>
      <c r="D330" s="7" t="s">
        <v>1451</v>
      </c>
      <c r="E330" s="7" t="s">
        <v>416</v>
      </c>
      <c r="F330" s="7" t="s">
        <v>1452</v>
      </c>
      <c r="G330" s="7" t="s">
        <v>3547</v>
      </c>
      <c r="H330" s="8" t="s">
        <v>3548</v>
      </c>
      <c r="I330" s="7" t="s">
        <v>502</v>
      </c>
      <c r="J330" s="7"/>
      <c r="K330" s="7" t="s">
        <v>2794</v>
      </c>
      <c r="L330" s="8" t="s">
        <v>3549</v>
      </c>
      <c r="M330" s="7" t="s">
        <v>3550</v>
      </c>
    </row>
    <row r="331" spans="1:13" ht="39">
      <c r="A331" s="7" t="s">
        <v>3551</v>
      </c>
      <c r="B331" s="7" t="s">
        <v>391</v>
      </c>
      <c r="C331" s="7" t="s">
        <v>1450</v>
      </c>
      <c r="D331" s="7" t="s">
        <v>1451</v>
      </c>
      <c r="E331" s="7" t="s">
        <v>416</v>
      </c>
      <c r="F331" s="7" t="s">
        <v>1452</v>
      </c>
      <c r="G331" s="7" t="s">
        <v>3552</v>
      </c>
      <c r="H331" s="8" t="s">
        <v>3553</v>
      </c>
      <c r="I331" s="7" t="s">
        <v>502</v>
      </c>
      <c r="J331" s="7"/>
      <c r="K331" s="7" t="s">
        <v>2794</v>
      </c>
      <c r="L331" s="8" t="s">
        <v>3554</v>
      </c>
      <c r="M331" s="7" t="s">
        <v>3555</v>
      </c>
    </row>
    <row r="332" spans="1:13" ht="26">
      <c r="A332" s="7" t="s">
        <v>3556</v>
      </c>
      <c r="B332" s="7" t="s">
        <v>391</v>
      </c>
      <c r="C332" s="7" t="s">
        <v>1450</v>
      </c>
      <c r="D332" s="7" t="s">
        <v>1451</v>
      </c>
      <c r="E332" s="7" t="s">
        <v>420</v>
      </c>
      <c r="F332" s="7" t="s">
        <v>1452</v>
      </c>
      <c r="G332" s="7" t="s">
        <v>3557</v>
      </c>
      <c r="H332" s="8" t="s">
        <v>3558</v>
      </c>
      <c r="I332" s="7"/>
      <c r="J332" s="7"/>
      <c r="K332" s="7" t="s">
        <v>2864</v>
      </c>
      <c r="L332" s="8" t="s">
        <v>3559</v>
      </c>
      <c r="M332" s="7" t="s">
        <v>3560</v>
      </c>
    </row>
    <row r="333" spans="1:13" ht="39">
      <c r="A333" s="7" t="s">
        <v>3561</v>
      </c>
      <c r="B333" s="7" t="s">
        <v>391</v>
      </c>
      <c r="C333" s="7" t="s">
        <v>1450</v>
      </c>
      <c r="D333" s="7" t="s">
        <v>1451</v>
      </c>
      <c r="E333" s="7" t="s">
        <v>405</v>
      </c>
      <c r="F333" s="7" t="s">
        <v>1452</v>
      </c>
      <c r="G333" s="7" t="s">
        <v>3562</v>
      </c>
      <c r="H333" s="8" t="s">
        <v>3563</v>
      </c>
      <c r="I333" s="7"/>
      <c r="J333" s="7"/>
      <c r="K333" s="7" t="s">
        <v>2821</v>
      </c>
      <c r="L333" s="8" t="s">
        <v>3564</v>
      </c>
      <c r="M333" s="7" t="s">
        <v>3565</v>
      </c>
    </row>
    <row r="334" spans="1:13" ht="26">
      <c r="A334" s="7" t="s">
        <v>3566</v>
      </c>
      <c r="B334" s="7" t="s">
        <v>391</v>
      </c>
      <c r="C334" s="7" t="s">
        <v>1450</v>
      </c>
      <c r="D334" s="7" t="s">
        <v>1451</v>
      </c>
      <c r="E334" s="7" t="s">
        <v>420</v>
      </c>
      <c r="F334" s="7" t="s">
        <v>1452</v>
      </c>
      <c r="G334" s="7" t="s">
        <v>3567</v>
      </c>
      <c r="H334" s="8" t="s">
        <v>3568</v>
      </c>
      <c r="I334" s="7" t="s">
        <v>504</v>
      </c>
      <c r="J334" s="7"/>
      <c r="K334" s="7" t="s">
        <v>2864</v>
      </c>
      <c r="L334" s="8" t="s">
        <v>3569</v>
      </c>
      <c r="M334" s="7" t="s">
        <v>3570</v>
      </c>
    </row>
    <row r="335" spans="1:13" ht="26">
      <c r="A335" s="7" t="s">
        <v>3571</v>
      </c>
      <c r="B335" s="7" t="s">
        <v>391</v>
      </c>
      <c r="C335" s="7" t="s">
        <v>1450</v>
      </c>
      <c r="D335" s="7" t="s">
        <v>1451</v>
      </c>
      <c r="E335" s="7" t="s">
        <v>420</v>
      </c>
      <c r="F335" s="7" t="s">
        <v>1452</v>
      </c>
      <c r="G335" s="7" t="s">
        <v>3572</v>
      </c>
      <c r="H335" s="8" t="s">
        <v>3573</v>
      </c>
      <c r="I335" s="7" t="s">
        <v>504</v>
      </c>
      <c r="J335" s="7"/>
      <c r="K335" s="7" t="s">
        <v>2864</v>
      </c>
      <c r="L335" s="8" t="s">
        <v>3574</v>
      </c>
      <c r="M335" s="7" t="s">
        <v>3575</v>
      </c>
    </row>
    <row r="336" spans="1:13" ht="26">
      <c r="A336" s="7" t="s">
        <v>3576</v>
      </c>
      <c r="B336" s="7" t="s">
        <v>391</v>
      </c>
      <c r="C336" s="7" t="s">
        <v>1450</v>
      </c>
      <c r="D336" s="7" t="s">
        <v>1451</v>
      </c>
      <c r="E336" s="7" t="s">
        <v>420</v>
      </c>
      <c r="F336" s="7" t="s">
        <v>1452</v>
      </c>
      <c r="G336" s="7" t="s">
        <v>3577</v>
      </c>
      <c r="H336" s="8" t="s">
        <v>3578</v>
      </c>
      <c r="I336" s="7" t="s">
        <v>504</v>
      </c>
      <c r="J336" s="7"/>
      <c r="K336" s="7" t="s">
        <v>2864</v>
      </c>
      <c r="L336" s="8" t="s">
        <v>3579</v>
      </c>
      <c r="M336" s="7" t="s">
        <v>3580</v>
      </c>
    </row>
    <row r="337" spans="1:13" ht="26">
      <c r="A337" s="7" t="s">
        <v>3581</v>
      </c>
      <c r="B337" s="7" t="s">
        <v>391</v>
      </c>
      <c r="C337" s="7" t="s">
        <v>1450</v>
      </c>
      <c r="D337" s="7" t="s">
        <v>1451</v>
      </c>
      <c r="E337" s="7" t="s">
        <v>420</v>
      </c>
      <c r="F337" s="7" t="s">
        <v>1452</v>
      </c>
      <c r="G337" s="7" t="s">
        <v>3582</v>
      </c>
      <c r="H337" s="8" t="s">
        <v>3583</v>
      </c>
      <c r="I337" s="7" t="s">
        <v>504</v>
      </c>
      <c r="J337" s="7"/>
      <c r="K337" s="7" t="s">
        <v>2864</v>
      </c>
      <c r="L337" s="8" t="s">
        <v>3584</v>
      </c>
      <c r="M337" s="7" t="s">
        <v>3585</v>
      </c>
    </row>
    <row r="338" spans="1:13" ht="26">
      <c r="A338" s="7" t="s">
        <v>3586</v>
      </c>
      <c r="B338" s="7" t="s">
        <v>391</v>
      </c>
      <c r="C338" s="7" t="s">
        <v>1450</v>
      </c>
      <c r="D338" s="7" t="s">
        <v>1451</v>
      </c>
      <c r="E338" s="7" t="s">
        <v>420</v>
      </c>
      <c r="F338" s="7" t="s">
        <v>1452</v>
      </c>
      <c r="G338" s="7" t="s">
        <v>3587</v>
      </c>
      <c r="H338" s="8" t="s">
        <v>3588</v>
      </c>
      <c r="I338" s="7"/>
      <c r="J338" s="7"/>
      <c r="K338" s="7" t="s">
        <v>2864</v>
      </c>
      <c r="L338" s="8" t="s">
        <v>3589</v>
      </c>
      <c r="M338" s="7" t="s">
        <v>3590</v>
      </c>
    </row>
    <row r="339" spans="1:13" ht="26">
      <c r="A339" s="7" t="s">
        <v>3591</v>
      </c>
      <c r="B339" s="7" t="s">
        <v>391</v>
      </c>
      <c r="C339" s="7" t="s">
        <v>1450</v>
      </c>
      <c r="D339" s="7" t="s">
        <v>1451</v>
      </c>
      <c r="E339" s="7" t="s">
        <v>420</v>
      </c>
      <c r="F339" s="7" t="s">
        <v>1452</v>
      </c>
      <c r="G339" s="7" t="s">
        <v>3592</v>
      </c>
      <c r="H339" s="8" t="s">
        <v>3593</v>
      </c>
      <c r="I339" s="7"/>
      <c r="J339" s="7"/>
      <c r="K339" s="7" t="s">
        <v>2864</v>
      </c>
      <c r="L339" s="8" t="s">
        <v>3594</v>
      </c>
      <c r="M339" s="7" t="s">
        <v>3595</v>
      </c>
    </row>
    <row r="340" spans="1:13" ht="39">
      <c r="A340" s="7" t="s">
        <v>3596</v>
      </c>
      <c r="B340" s="7" t="s">
        <v>391</v>
      </c>
      <c r="C340" s="7" t="s">
        <v>1450</v>
      </c>
      <c r="D340" s="7" t="s">
        <v>1451</v>
      </c>
      <c r="E340" s="7" t="s">
        <v>416</v>
      </c>
      <c r="F340" s="7" t="s">
        <v>1452</v>
      </c>
      <c r="G340" s="7" t="s">
        <v>3597</v>
      </c>
      <c r="H340" s="8" t="s">
        <v>3598</v>
      </c>
      <c r="I340" s="7" t="s">
        <v>502</v>
      </c>
      <c r="J340" s="7"/>
      <c r="K340" s="7" t="s">
        <v>2794</v>
      </c>
      <c r="L340" s="8" t="s">
        <v>3599</v>
      </c>
      <c r="M340" s="7" t="s">
        <v>3600</v>
      </c>
    </row>
    <row r="341" spans="1:13" ht="39">
      <c r="A341" s="7" t="s">
        <v>3601</v>
      </c>
      <c r="B341" s="7" t="s">
        <v>391</v>
      </c>
      <c r="C341" s="7" t="s">
        <v>1450</v>
      </c>
      <c r="D341" s="7" t="s">
        <v>1451</v>
      </c>
      <c r="E341" s="7" t="s">
        <v>416</v>
      </c>
      <c r="F341" s="7" t="s">
        <v>1452</v>
      </c>
      <c r="G341" s="7" t="s">
        <v>3602</v>
      </c>
      <c r="H341" s="8" t="s">
        <v>3603</v>
      </c>
      <c r="I341" s="7" t="s">
        <v>502</v>
      </c>
      <c r="J341" s="7"/>
      <c r="K341" s="7" t="s">
        <v>2794</v>
      </c>
      <c r="L341" s="8" t="s">
        <v>3604</v>
      </c>
      <c r="M341" s="7" t="s">
        <v>3605</v>
      </c>
    </row>
    <row r="342" spans="1:13" ht="39">
      <c r="A342" s="7" t="s">
        <v>3606</v>
      </c>
      <c r="B342" s="7" t="s">
        <v>391</v>
      </c>
      <c r="C342" s="7" t="s">
        <v>1450</v>
      </c>
      <c r="D342" s="7" t="s">
        <v>1451</v>
      </c>
      <c r="E342" s="7" t="s">
        <v>416</v>
      </c>
      <c r="F342" s="7" t="s">
        <v>1452</v>
      </c>
      <c r="G342" s="7" t="s">
        <v>3607</v>
      </c>
      <c r="H342" s="8" t="s">
        <v>3608</v>
      </c>
      <c r="I342" s="7" t="s">
        <v>502</v>
      </c>
      <c r="J342" s="7"/>
      <c r="K342" s="7" t="s">
        <v>2794</v>
      </c>
      <c r="L342" s="8" t="s">
        <v>3609</v>
      </c>
      <c r="M342" s="7" t="s">
        <v>3610</v>
      </c>
    </row>
    <row r="343" spans="1:13" ht="39">
      <c r="A343" s="7" t="s">
        <v>3611</v>
      </c>
      <c r="B343" s="7" t="s">
        <v>391</v>
      </c>
      <c r="C343" s="7" t="s">
        <v>1450</v>
      </c>
      <c r="D343" s="7" t="s">
        <v>1451</v>
      </c>
      <c r="E343" s="7" t="s">
        <v>416</v>
      </c>
      <c r="F343" s="7" t="s">
        <v>1452</v>
      </c>
      <c r="G343" s="7" t="s">
        <v>3612</v>
      </c>
      <c r="H343" s="8" t="s">
        <v>3613</v>
      </c>
      <c r="I343" s="7" t="s">
        <v>502</v>
      </c>
      <c r="J343" s="7"/>
      <c r="K343" s="7" t="s">
        <v>2794</v>
      </c>
      <c r="L343" s="8" t="s">
        <v>3614</v>
      </c>
      <c r="M343" s="7" t="s">
        <v>3615</v>
      </c>
    </row>
    <row r="344" spans="1:13" ht="39">
      <c r="A344" s="7" t="s">
        <v>3616</v>
      </c>
      <c r="B344" s="7" t="s">
        <v>391</v>
      </c>
      <c r="C344" s="7" t="s">
        <v>1450</v>
      </c>
      <c r="D344" s="7" t="s">
        <v>1451</v>
      </c>
      <c r="E344" s="7" t="s">
        <v>416</v>
      </c>
      <c r="F344" s="7" t="s">
        <v>1452</v>
      </c>
      <c r="G344" s="7" t="s">
        <v>3617</v>
      </c>
      <c r="H344" s="8" t="s">
        <v>3618</v>
      </c>
      <c r="I344" s="7" t="s">
        <v>502</v>
      </c>
      <c r="J344" s="7"/>
      <c r="K344" s="7" t="s">
        <v>2794</v>
      </c>
      <c r="L344" s="8" t="s">
        <v>3619</v>
      </c>
      <c r="M344" s="7" t="s">
        <v>3620</v>
      </c>
    </row>
    <row r="345" spans="1:13" ht="39">
      <c r="A345" s="7" t="s">
        <v>3621</v>
      </c>
      <c r="B345" s="7" t="s">
        <v>391</v>
      </c>
      <c r="C345" s="7" t="s">
        <v>1450</v>
      </c>
      <c r="D345" s="7" t="s">
        <v>1451</v>
      </c>
      <c r="E345" s="7" t="s">
        <v>397</v>
      </c>
      <c r="F345" s="7" t="s">
        <v>1452</v>
      </c>
      <c r="G345" s="7" t="s">
        <v>3622</v>
      </c>
      <c r="H345" s="8" t="s">
        <v>3623</v>
      </c>
      <c r="I345" s="7"/>
      <c r="J345" s="7"/>
      <c r="K345" s="7" t="s">
        <v>2794</v>
      </c>
      <c r="L345" s="8" t="s">
        <v>3624</v>
      </c>
      <c r="M345" s="7" t="s">
        <v>3625</v>
      </c>
    </row>
    <row r="346" spans="1:13" ht="39">
      <c r="A346" s="7" t="s">
        <v>3626</v>
      </c>
      <c r="B346" s="7" t="s">
        <v>391</v>
      </c>
      <c r="C346" s="7" t="s">
        <v>1450</v>
      </c>
      <c r="D346" s="7" t="s">
        <v>1451</v>
      </c>
      <c r="E346" s="7" t="s">
        <v>397</v>
      </c>
      <c r="F346" s="7" t="s">
        <v>1452</v>
      </c>
      <c r="G346" s="7" t="s">
        <v>3627</v>
      </c>
      <c r="H346" s="8" t="s">
        <v>3628</v>
      </c>
      <c r="I346" s="7"/>
      <c r="J346" s="7"/>
      <c r="K346" s="7" t="s">
        <v>2794</v>
      </c>
      <c r="L346" s="8" t="s">
        <v>3629</v>
      </c>
      <c r="M346" s="7" t="s">
        <v>3630</v>
      </c>
    </row>
    <row r="347" spans="1:13" ht="39">
      <c r="A347" s="7" t="s">
        <v>3631</v>
      </c>
      <c r="B347" s="7" t="s">
        <v>391</v>
      </c>
      <c r="C347" s="7" t="s">
        <v>1450</v>
      </c>
      <c r="D347" s="7" t="s">
        <v>1451</v>
      </c>
      <c r="E347" s="7" t="s">
        <v>397</v>
      </c>
      <c r="F347" s="7" t="s">
        <v>1452</v>
      </c>
      <c r="G347" s="7" t="s">
        <v>3632</v>
      </c>
      <c r="H347" s="8" t="s">
        <v>3633</v>
      </c>
      <c r="I347" s="7"/>
      <c r="J347" s="7"/>
      <c r="K347" s="7" t="s">
        <v>2794</v>
      </c>
      <c r="L347" s="8" t="s">
        <v>3634</v>
      </c>
      <c r="M347" s="7" t="s">
        <v>3635</v>
      </c>
    </row>
    <row r="348" spans="1:13" ht="39">
      <c r="A348" s="7" t="s">
        <v>3636</v>
      </c>
      <c r="B348" s="7" t="s">
        <v>391</v>
      </c>
      <c r="C348" s="7" t="s">
        <v>1450</v>
      </c>
      <c r="D348" s="7" t="s">
        <v>1451</v>
      </c>
      <c r="E348" s="7" t="s">
        <v>397</v>
      </c>
      <c r="F348" s="7" t="s">
        <v>1452</v>
      </c>
      <c r="G348" s="7" t="s">
        <v>3637</v>
      </c>
      <c r="H348" s="8" t="s">
        <v>3638</v>
      </c>
      <c r="I348" s="7"/>
      <c r="J348" s="7"/>
      <c r="K348" s="7" t="s">
        <v>2794</v>
      </c>
      <c r="L348" s="8" t="s">
        <v>3639</v>
      </c>
      <c r="M348" s="7" t="s">
        <v>3640</v>
      </c>
    </row>
    <row r="349" spans="1:13" ht="39">
      <c r="A349" s="7" t="s">
        <v>3641</v>
      </c>
      <c r="B349" s="7" t="s">
        <v>391</v>
      </c>
      <c r="C349" s="7" t="s">
        <v>1450</v>
      </c>
      <c r="D349" s="7" t="s">
        <v>1451</v>
      </c>
      <c r="E349" s="7" t="s">
        <v>397</v>
      </c>
      <c r="F349" s="7" t="s">
        <v>1452</v>
      </c>
      <c r="G349" s="7" t="s">
        <v>3642</v>
      </c>
      <c r="H349" s="8" t="s">
        <v>3643</v>
      </c>
      <c r="I349" s="7"/>
      <c r="J349" s="7"/>
      <c r="K349" s="7" t="s">
        <v>2794</v>
      </c>
      <c r="L349" s="8" t="s">
        <v>3644</v>
      </c>
      <c r="M349" s="7" t="s">
        <v>3645</v>
      </c>
    </row>
    <row r="350" spans="1:13" ht="39">
      <c r="A350" s="7" t="s">
        <v>3646</v>
      </c>
      <c r="B350" s="7" t="s">
        <v>391</v>
      </c>
      <c r="C350" s="7" t="s">
        <v>1450</v>
      </c>
      <c r="D350" s="7" t="s">
        <v>1451</v>
      </c>
      <c r="E350" s="7" t="s">
        <v>397</v>
      </c>
      <c r="F350" s="7" t="s">
        <v>1452</v>
      </c>
      <c r="G350" s="7" t="s">
        <v>3647</v>
      </c>
      <c r="H350" s="8" t="s">
        <v>3648</v>
      </c>
      <c r="I350" s="7"/>
      <c r="J350" s="7"/>
      <c r="K350" s="7" t="s">
        <v>2794</v>
      </c>
      <c r="L350" s="8" t="s">
        <v>3649</v>
      </c>
      <c r="M350" s="7" t="s">
        <v>3650</v>
      </c>
    </row>
    <row r="351" spans="1:13" ht="39">
      <c r="A351" s="7" t="s">
        <v>3651</v>
      </c>
      <c r="B351" s="7" t="s">
        <v>391</v>
      </c>
      <c r="C351" s="7" t="s">
        <v>1450</v>
      </c>
      <c r="D351" s="7" t="s">
        <v>1451</v>
      </c>
      <c r="E351" s="7" t="s">
        <v>405</v>
      </c>
      <c r="F351" s="7" t="s">
        <v>1452</v>
      </c>
      <c r="G351" s="7" t="s">
        <v>3652</v>
      </c>
      <c r="H351" s="8" t="s">
        <v>3653</v>
      </c>
      <c r="I351" s="7"/>
      <c r="J351" s="7"/>
      <c r="K351" s="7" t="s">
        <v>2821</v>
      </c>
      <c r="L351" s="8" t="s">
        <v>3654</v>
      </c>
      <c r="M351" s="7" t="s">
        <v>3655</v>
      </c>
    </row>
    <row r="352" spans="1:13" ht="39">
      <c r="A352" s="7" t="s">
        <v>3656</v>
      </c>
      <c r="B352" s="7" t="s">
        <v>391</v>
      </c>
      <c r="C352" s="7" t="s">
        <v>1450</v>
      </c>
      <c r="D352" s="7" t="s">
        <v>1451</v>
      </c>
      <c r="E352" s="7" t="s">
        <v>405</v>
      </c>
      <c r="F352" s="7" t="s">
        <v>1452</v>
      </c>
      <c r="G352" s="7" t="s">
        <v>3657</v>
      </c>
      <c r="H352" s="8" t="s">
        <v>3658</v>
      </c>
      <c r="I352" s="7"/>
      <c r="J352" s="7"/>
      <c r="K352" s="7" t="s">
        <v>2821</v>
      </c>
      <c r="L352" s="8" t="s">
        <v>3659</v>
      </c>
      <c r="M352" s="7" t="s">
        <v>3660</v>
      </c>
    </row>
    <row r="353" spans="1:13" ht="26">
      <c r="A353" s="7" t="s">
        <v>3661</v>
      </c>
      <c r="B353" s="7" t="s">
        <v>391</v>
      </c>
      <c r="C353" s="7" t="s">
        <v>1450</v>
      </c>
      <c r="D353" s="7" t="s">
        <v>1451</v>
      </c>
      <c r="E353" s="7" t="s">
        <v>390</v>
      </c>
      <c r="F353" s="7" t="s">
        <v>1452</v>
      </c>
      <c r="G353" s="7" t="s">
        <v>3662</v>
      </c>
      <c r="H353" s="8" t="s">
        <v>3663</v>
      </c>
      <c r="I353" s="7"/>
      <c r="J353" s="7"/>
      <c r="K353" s="7" t="s">
        <v>1901</v>
      </c>
      <c r="L353" s="8" t="s">
        <v>3664</v>
      </c>
      <c r="M353" s="7" t="s">
        <v>3665</v>
      </c>
    </row>
    <row r="354" spans="1:13" ht="26">
      <c r="A354" s="7" t="s">
        <v>3666</v>
      </c>
      <c r="B354" s="7" t="s">
        <v>391</v>
      </c>
      <c r="C354" s="7" t="s">
        <v>1450</v>
      </c>
      <c r="D354" s="7" t="s">
        <v>1451</v>
      </c>
      <c r="E354" s="7" t="s">
        <v>420</v>
      </c>
      <c r="F354" s="7" t="s">
        <v>1452</v>
      </c>
      <c r="G354" s="7" t="s">
        <v>3667</v>
      </c>
      <c r="H354" s="8" t="s">
        <v>3668</v>
      </c>
      <c r="I354" s="7" t="s">
        <v>504</v>
      </c>
      <c r="J354" s="7"/>
      <c r="K354" s="7" t="s">
        <v>2864</v>
      </c>
      <c r="L354" s="8" t="s">
        <v>3669</v>
      </c>
      <c r="M354" s="7" t="s">
        <v>3670</v>
      </c>
    </row>
    <row r="355" spans="1:13" ht="26">
      <c r="A355" s="7" t="s">
        <v>3671</v>
      </c>
      <c r="B355" s="7" t="s">
        <v>391</v>
      </c>
      <c r="C355" s="7" t="s">
        <v>1450</v>
      </c>
      <c r="D355" s="7" t="s">
        <v>1451</v>
      </c>
      <c r="E355" s="7" t="s">
        <v>420</v>
      </c>
      <c r="F355" s="7" t="s">
        <v>1452</v>
      </c>
      <c r="G355" s="7" t="s">
        <v>3672</v>
      </c>
      <c r="H355" s="8" t="s">
        <v>3673</v>
      </c>
      <c r="I355" s="7"/>
      <c r="J355" s="7"/>
      <c r="K355" s="7" t="s">
        <v>2864</v>
      </c>
      <c r="L355" s="8" t="s">
        <v>3674</v>
      </c>
      <c r="M355" s="7" t="s">
        <v>3675</v>
      </c>
    </row>
    <row r="356" spans="1:13" ht="26">
      <c r="A356" s="7" t="s">
        <v>3676</v>
      </c>
      <c r="B356" s="7" t="s">
        <v>391</v>
      </c>
      <c r="C356" s="7" t="s">
        <v>1450</v>
      </c>
      <c r="D356" s="7" t="s">
        <v>1451</v>
      </c>
      <c r="E356" s="7" t="s">
        <v>420</v>
      </c>
      <c r="F356" s="7" t="s">
        <v>1452</v>
      </c>
      <c r="G356" s="7" t="s">
        <v>3677</v>
      </c>
      <c r="H356" s="8" t="s">
        <v>3678</v>
      </c>
      <c r="I356" s="7"/>
      <c r="J356" s="7"/>
      <c r="K356" s="7" t="s">
        <v>2864</v>
      </c>
      <c r="L356" s="8" t="s">
        <v>3679</v>
      </c>
      <c r="M356" s="7" t="s">
        <v>3680</v>
      </c>
    </row>
    <row r="357" spans="1:13" ht="26">
      <c r="A357" s="7" t="s">
        <v>3681</v>
      </c>
      <c r="B357" s="7" t="s">
        <v>391</v>
      </c>
      <c r="C357" s="7" t="s">
        <v>1450</v>
      </c>
      <c r="D357" s="7" t="s">
        <v>1451</v>
      </c>
      <c r="E357" s="7" t="s">
        <v>420</v>
      </c>
      <c r="F357" s="7" t="s">
        <v>1452</v>
      </c>
      <c r="G357" s="7" t="s">
        <v>3682</v>
      </c>
      <c r="H357" s="8" t="s">
        <v>3683</v>
      </c>
      <c r="I357" s="7" t="s">
        <v>504</v>
      </c>
      <c r="J357" s="7"/>
      <c r="K357" s="7" t="s">
        <v>2864</v>
      </c>
      <c r="L357" s="8" t="s">
        <v>3684</v>
      </c>
      <c r="M357" s="7" t="s">
        <v>3685</v>
      </c>
    </row>
    <row r="358" spans="1:13" ht="26">
      <c r="A358" s="7" t="s">
        <v>3686</v>
      </c>
      <c r="B358" s="7" t="s">
        <v>391</v>
      </c>
      <c r="C358" s="7" t="s">
        <v>1450</v>
      </c>
      <c r="D358" s="7" t="s">
        <v>1451</v>
      </c>
      <c r="E358" s="7" t="s">
        <v>420</v>
      </c>
      <c r="F358" s="7" t="s">
        <v>1452</v>
      </c>
      <c r="G358" s="7" t="s">
        <v>3687</v>
      </c>
      <c r="H358" s="8" t="s">
        <v>3688</v>
      </c>
      <c r="I358" s="7"/>
      <c r="J358" s="7"/>
      <c r="K358" s="7" t="s">
        <v>2864</v>
      </c>
      <c r="L358" s="8" t="s">
        <v>3689</v>
      </c>
      <c r="M358" s="7" t="s">
        <v>3690</v>
      </c>
    </row>
    <row r="359" spans="1:13" ht="39">
      <c r="A359" s="7" t="s">
        <v>3691</v>
      </c>
      <c r="B359" s="7" t="s">
        <v>391</v>
      </c>
      <c r="C359" s="7" t="s">
        <v>1450</v>
      </c>
      <c r="D359" s="7" t="s">
        <v>1451</v>
      </c>
      <c r="E359" s="7" t="s">
        <v>416</v>
      </c>
      <c r="F359" s="7" t="s">
        <v>1452</v>
      </c>
      <c r="G359" s="7" t="s">
        <v>3692</v>
      </c>
      <c r="H359" s="8" t="s">
        <v>3693</v>
      </c>
      <c r="I359" s="7" t="s">
        <v>502</v>
      </c>
      <c r="J359" s="7"/>
      <c r="K359" s="7" t="s">
        <v>2794</v>
      </c>
      <c r="L359" s="8" t="s">
        <v>3694</v>
      </c>
      <c r="M359" s="7" t="s">
        <v>3695</v>
      </c>
    </row>
    <row r="360" spans="1:13" ht="39">
      <c r="A360" s="7" t="s">
        <v>3696</v>
      </c>
      <c r="B360" s="7" t="s">
        <v>391</v>
      </c>
      <c r="C360" s="7" t="s">
        <v>1450</v>
      </c>
      <c r="D360" s="7" t="s">
        <v>1451</v>
      </c>
      <c r="E360" s="7" t="s">
        <v>416</v>
      </c>
      <c r="F360" s="7" t="s">
        <v>1452</v>
      </c>
      <c r="G360" s="7" t="s">
        <v>3697</v>
      </c>
      <c r="H360" s="8" t="s">
        <v>3698</v>
      </c>
      <c r="I360" s="7" t="s">
        <v>502</v>
      </c>
      <c r="J360" s="7"/>
      <c r="K360" s="7" t="s">
        <v>2794</v>
      </c>
      <c r="L360" s="8" t="s">
        <v>3699</v>
      </c>
      <c r="M360" s="7" t="s">
        <v>3700</v>
      </c>
    </row>
    <row r="361" spans="1:13" ht="39">
      <c r="A361" s="7" t="s">
        <v>3701</v>
      </c>
      <c r="B361" s="7" t="s">
        <v>391</v>
      </c>
      <c r="C361" s="7" t="s">
        <v>1450</v>
      </c>
      <c r="D361" s="7" t="s">
        <v>1451</v>
      </c>
      <c r="E361" s="7" t="s">
        <v>416</v>
      </c>
      <c r="F361" s="7" t="s">
        <v>1452</v>
      </c>
      <c r="G361" s="7" t="s">
        <v>3702</v>
      </c>
      <c r="H361" s="8" t="s">
        <v>3703</v>
      </c>
      <c r="I361" s="7" t="s">
        <v>502</v>
      </c>
      <c r="J361" s="7"/>
      <c r="K361" s="7" t="s">
        <v>2794</v>
      </c>
      <c r="L361" s="8" t="s">
        <v>3704</v>
      </c>
      <c r="M361" s="7" t="s">
        <v>3705</v>
      </c>
    </row>
    <row r="362" spans="1:13" ht="39">
      <c r="A362" s="7" t="s">
        <v>3706</v>
      </c>
      <c r="B362" s="7" t="s">
        <v>391</v>
      </c>
      <c r="C362" s="7" t="s">
        <v>1450</v>
      </c>
      <c r="D362" s="7" t="s">
        <v>1451</v>
      </c>
      <c r="E362" s="7" t="s">
        <v>397</v>
      </c>
      <c r="F362" s="7" t="s">
        <v>1452</v>
      </c>
      <c r="G362" s="7" t="s">
        <v>3707</v>
      </c>
      <c r="H362" s="8" t="s">
        <v>3708</v>
      </c>
      <c r="I362" s="7"/>
      <c r="J362" s="7"/>
      <c r="K362" s="7" t="s">
        <v>2794</v>
      </c>
      <c r="L362" s="8" t="s">
        <v>3709</v>
      </c>
      <c r="M362" s="7" t="s">
        <v>3710</v>
      </c>
    </row>
    <row r="363" spans="1:13" ht="39">
      <c r="A363" s="7" t="s">
        <v>3711</v>
      </c>
      <c r="B363" s="7" t="s">
        <v>391</v>
      </c>
      <c r="C363" s="7" t="s">
        <v>1450</v>
      </c>
      <c r="D363" s="7" t="s">
        <v>1451</v>
      </c>
      <c r="E363" s="7" t="s">
        <v>397</v>
      </c>
      <c r="F363" s="7" t="s">
        <v>1452</v>
      </c>
      <c r="G363" s="7" t="s">
        <v>3712</v>
      </c>
      <c r="H363" s="8" t="s">
        <v>3713</v>
      </c>
      <c r="I363" s="7"/>
      <c r="J363" s="7"/>
      <c r="K363" s="7" t="s">
        <v>2794</v>
      </c>
      <c r="L363" s="8" t="s">
        <v>3714</v>
      </c>
      <c r="M363" s="7" t="s">
        <v>3715</v>
      </c>
    </row>
    <row r="364" spans="1:13" ht="39">
      <c r="A364" s="7" t="s">
        <v>3716</v>
      </c>
      <c r="B364" s="7" t="s">
        <v>391</v>
      </c>
      <c r="C364" s="7" t="s">
        <v>1450</v>
      </c>
      <c r="D364" s="7" t="s">
        <v>1451</v>
      </c>
      <c r="E364" s="7" t="s">
        <v>397</v>
      </c>
      <c r="F364" s="7" t="s">
        <v>1452</v>
      </c>
      <c r="G364" s="7" t="s">
        <v>3717</v>
      </c>
      <c r="H364" s="8" t="s">
        <v>3718</v>
      </c>
      <c r="I364" s="7"/>
      <c r="J364" s="7"/>
      <c r="K364" s="7" t="s">
        <v>2794</v>
      </c>
      <c r="L364" s="8" t="s">
        <v>3719</v>
      </c>
      <c r="M364" s="7" t="s">
        <v>3720</v>
      </c>
    </row>
    <row r="365" spans="1:13" ht="39">
      <c r="A365" s="7" t="s">
        <v>3721</v>
      </c>
      <c r="B365" s="7" t="s">
        <v>391</v>
      </c>
      <c r="C365" s="7" t="s">
        <v>1450</v>
      </c>
      <c r="D365" s="7" t="s">
        <v>1451</v>
      </c>
      <c r="E365" s="7" t="s">
        <v>397</v>
      </c>
      <c r="F365" s="7" t="s">
        <v>1452</v>
      </c>
      <c r="G365" s="7" t="s">
        <v>3722</v>
      </c>
      <c r="H365" s="8" t="s">
        <v>3723</v>
      </c>
      <c r="I365" s="7" t="s">
        <v>501</v>
      </c>
      <c r="J365" s="7"/>
      <c r="K365" s="7" t="s">
        <v>2794</v>
      </c>
      <c r="L365" s="8" t="s">
        <v>3724</v>
      </c>
      <c r="M365" s="7" t="s">
        <v>3725</v>
      </c>
    </row>
    <row r="366" spans="1:13" ht="39">
      <c r="A366" s="7" t="s">
        <v>3726</v>
      </c>
      <c r="B366" s="7" t="s">
        <v>391</v>
      </c>
      <c r="C366" s="7" t="s">
        <v>1450</v>
      </c>
      <c r="D366" s="7" t="s">
        <v>1451</v>
      </c>
      <c r="E366" s="7" t="s">
        <v>397</v>
      </c>
      <c r="F366" s="7" t="s">
        <v>1452</v>
      </c>
      <c r="G366" s="7" t="s">
        <v>3727</v>
      </c>
      <c r="H366" s="8" t="s">
        <v>3728</v>
      </c>
      <c r="I366" s="7"/>
      <c r="J366" s="7"/>
      <c r="K366" s="7" t="s">
        <v>2794</v>
      </c>
      <c r="L366" s="8" t="s">
        <v>3729</v>
      </c>
      <c r="M366" s="7" t="s">
        <v>3730</v>
      </c>
    </row>
    <row r="367" spans="1:13" ht="39">
      <c r="A367" s="7" t="s">
        <v>3731</v>
      </c>
      <c r="B367" s="7" t="s">
        <v>391</v>
      </c>
      <c r="C367" s="7" t="s">
        <v>1450</v>
      </c>
      <c r="D367" s="7" t="s">
        <v>1451</v>
      </c>
      <c r="E367" s="7" t="s">
        <v>397</v>
      </c>
      <c r="F367" s="7" t="s">
        <v>1452</v>
      </c>
      <c r="G367" s="7" t="s">
        <v>3732</v>
      </c>
      <c r="H367" s="8" t="s">
        <v>3733</v>
      </c>
      <c r="I367" s="7"/>
      <c r="J367" s="7"/>
      <c r="K367" s="7" t="s">
        <v>2794</v>
      </c>
      <c r="L367" s="8" t="s">
        <v>3734</v>
      </c>
      <c r="M367" s="7" t="s">
        <v>3735</v>
      </c>
    </row>
    <row r="368" spans="1:13" ht="39">
      <c r="A368" s="7" t="s">
        <v>3736</v>
      </c>
      <c r="B368" s="7" t="s">
        <v>391</v>
      </c>
      <c r="C368" s="7" t="s">
        <v>1450</v>
      </c>
      <c r="D368" s="7" t="s">
        <v>1451</v>
      </c>
      <c r="E368" s="7" t="s">
        <v>397</v>
      </c>
      <c r="F368" s="7" t="s">
        <v>1452</v>
      </c>
      <c r="G368" s="7" t="s">
        <v>3737</v>
      </c>
      <c r="H368" s="8" t="s">
        <v>3738</v>
      </c>
      <c r="I368" s="7"/>
      <c r="J368" s="7"/>
      <c r="K368" s="7" t="s">
        <v>2794</v>
      </c>
      <c r="L368" s="8" t="s">
        <v>3739</v>
      </c>
      <c r="M368" s="7" t="s">
        <v>3740</v>
      </c>
    </row>
    <row r="369" spans="1:13" ht="39">
      <c r="A369" s="7" t="s">
        <v>3741</v>
      </c>
      <c r="B369" s="7" t="s">
        <v>391</v>
      </c>
      <c r="C369" s="7" t="s">
        <v>1450</v>
      </c>
      <c r="D369" s="7" t="s">
        <v>1451</v>
      </c>
      <c r="E369" s="7" t="s">
        <v>397</v>
      </c>
      <c r="F369" s="7" t="s">
        <v>1452</v>
      </c>
      <c r="G369" s="7" t="s">
        <v>3742</v>
      </c>
      <c r="H369" s="8" t="s">
        <v>3743</v>
      </c>
      <c r="I369" s="7"/>
      <c r="J369" s="7"/>
      <c r="K369" s="7" t="s">
        <v>2794</v>
      </c>
      <c r="L369" s="8" t="s">
        <v>3744</v>
      </c>
      <c r="M369" s="7" t="s">
        <v>3745</v>
      </c>
    </row>
    <row r="370" spans="1:13" ht="39">
      <c r="A370" s="7" t="s">
        <v>3746</v>
      </c>
      <c r="B370" s="7" t="s">
        <v>391</v>
      </c>
      <c r="C370" s="7" t="s">
        <v>1450</v>
      </c>
      <c r="D370" s="7" t="s">
        <v>1451</v>
      </c>
      <c r="E370" s="7" t="s">
        <v>397</v>
      </c>
      <c r="F370" s="7" t="s">
        <v>1452</v>
      </c>
      <c r="G370" s="7" t="s">
        <v>3747</v>
      </c>
      <c r="H370" s="8" t="s">
        <v>3748</v>
      </c>
      <c r="I370" s="7"/>
      <c r="J370" s="7"/>
      <c r="K370" s="7" t="s">
        <v>2794</v>
      </c>
      <c r="L370" s="8" t="s">
        <v>3749</v>
      </c>
      <c r="M370" s="7" t="s">
        <v>3750</v>
      </c>
    </row>
    <row r="371" spans="1:13" ht="39">
      <c r="A371" s="7" t="s">
        <v>3751</v>
      </c>
      <c r="B371" s="7" t="s">
        <v>391</v>
      </c>
      <c r="C371" s="7" t="s">
        <v>1450</v>
      </c>
      <c r="D371" s="7" t="s">
        <v>1451</v>
      </c>
      <c r="E371" s="7" t="s">
        <v>405</v>
      </c>
      <c r="F371" s="7" t="s">
        <v>1452</v>
      </c>
      <c r="G371" s="7" t="s">
        <v>3752</v>
      </c>
      <c r="H371" s="8" t="s">
        <v>3753</v>
      </c>
      <c r="I371" s="7"/>
      <c r="J371" s="7"/>
      <c r="K371" s="7" t="s">
        <v>2821</v>
      </c>
      <c r="L371" s="8" t="s">
        <v>3754</v>
      </c>
      <c r="M371" s="7" t="s">
        <v>3755</v>
      </c>
    </row>
    <row r="372" spans="1:13" ht="39">
      <c r="A372" s="7" t="s">
        <v>3756</v>
      </c>
      <c r="B372" s="7" t="s">
        <v>391</v>
      </c>
      <c r="C372" s="7" t="s">
        <v>1450</v>
      </c>
      <c r="D372" s="7" t="s">
        <v>1451</v>
      </c>
      <c r="E372" s="7" t="s">
        <v>405</v>
      </c>
      <c r="F372" s="7" t="s">
        <v>1452</v>
      </c>
      <c r="G372" s="7" t="s">
        <v>3757</v>
      </c>
      <c r="H372" s="8" t="s">
        <v>3758</v>
      </c>
      <c r="I372" s="7"/>
      <c r="J372" s="7"/>
      <c r="K372" s="7" t="s">
        <v>2821</v>
      </c>
      <c r="L372" s="8" t="s">
        <v>3759</v>
      </c>
      <c r="M372" s="7" t="s">
        <v>3760</v>
      </c>
    </row>
    <row r="373" spans="1:13" ht="39">
      <c r="A373" s="7" t="s">
        <v>3761</v>
      </c>
      <c r="B373" s="7" t="s">
        <v>391</v>
      </c>
      <c r="C373" s="7" t="s">
        <v>1450</v>
      </c>
      <c r="D373" s="7" t="s">
        <v>1451</v>
      </c>
      <c r="E373" s="7" t="s">
        <v>405</v>
      </c>
      <c r="F373" s="7" t="s">
        <v>1452</v>
      </c>
      <c r="G373" s="7" t="s">
        <v>3762</v>
      </c>
      <c r="H373" s="8" t="s">
        <v>3763</v>
      </c>
      <c r="I373" s="7"/>
      <c r="J373" s="7"/>
      <c r="K373" s="7" t="s">
        <v>2821</v>
      </c>
      <c r="L373" s="8" t="s">
        <v>3764</v>
      </c>
      <c r="M373" s="7" t="s">
        <v>3765</v>
      </c>
    </row>
    <row r="374" spans="1:13" ht="26">
      <c r="A374" s="7" t="s">
        <v>3766</v>
      </c>
      <c r="B374" s="7" t="s">
        <v>391</v>
      </c>
      <c r="C374" s="7" t="s">
        <v>1450</v>
      </c>
      <c r="D374" s="7" t="s">
        <v>1451</v>
      </c>
      <c r="E374" s="7" t="s">
        <v>390</v>
      </c>
      <c r="F374" s="7" t="s">
        <v>1452</v>
      </c>
      <c r="G374" s="7" t="s">
        <v>3767</v>
      </c>
      <c r="H374" s="8" t="s">
        <v>3768</v>
      </c>
      <c r="I374" s="7"/>
      <c r="J374" s="7"/>
      <c r="K374" s="7" t="s">
        <v>1901</v>
      </c>
      <c r="L374" s="8" t="s">
        <v>3769</v>
      </c>
      <c r="M374" s="7" t="s">
        <v>3770</v>
      </c>
    </row>
    <row r="375" spans="1:13" ht="39">
      <c r="A375" s="7" t="s">
        <v>3771</v>
      </c>
      <c r="B375" s="7" t="s">
        <v>391</v>
      </c>
      <c r="C375" s="7" t="s">
        <v>1450</v>
      </c>
      <c r="D375" s="7" t="s">
        <v>1451</v>
      </c>
      <c r="E375" s="7" t="s">
        <v>390</v>
      </c>
      <c r="F375" s="7" t="s">
        <v>1452</v>
      </c>
      <c r="G375" s="7" t="s">
        <v>3772</v>
      </c>
      <c r="H375" s="8" t="s">
        <v>3773</v>
      </c>
      <c r="I375" s="7"/>
      <c r="J375" s="7"/>
      <c r="K375" s="7" t="s">
        <v>3478</v>
      </c>
      <c r="L375" s="8" t="s">
        <v>3774</v>
      </c>
      <c r="M375" s="7" t="s">
        <v>3775</v>
      </c>
    </row>
    <row r="376" spans="1:13" ht="39">
      <c r="A376" s="7" t="s">
        <v>3776</v>
      </c>
      <c r="B376" s="7" t="s">
        <v>391</v>
      </c>
      <c r="C376" s="7" t="s">
        <v>1450</v>
      </c>
      <c r="D376" s="7" t="s">
        <v>1451</v>
      </c>
      <c r="E376" s="7" t="s">
        <v>390</v>
      </c>
      <c r="F376" s="7" t="s">
        <v>1452</v>
      </c>
      <c r="G376" s="7" t="s">
        <v>3777</v>
      </c>
      <c r="H376" s="8" t="s">
        <v>3778</v>
      </c>
      <c r="I376" s="7"/>
      <c r="J376" s="7"/>
      <c r="K376" s="7" t="s">
        <v>3478</v>
      </c>
      <c r="L376" s="8" t="s">
        <v>3779</v>
      </c>
      <c r="M376" s="7" t="s">
        <v>3780</v>
      </c>
    </row>
    <row r="377" spans="1:13" ht="39">
      <c r="A377" s="7" t="s">
        <v>3781</v>
      </c>
      <c r="B377" s="7" t="s">
        <v>391</v>
      </c>
      <c r="C377" s="7" t="s">
        <v>1450</v>
      </c>
      <c r="D377" s="7" t="s">
        <v>1451</v>
      </c>
      <c r="E377" s="7" t="s">
        <v>390</v>
      </c>
      <c r="F377" s="7" t="s">
        <v>1452</v>
      </c>
      <c r="G377" s="7" t="s">
        <v>3782</v>
      </c>
      <c r="H377" s="8" t="s">
        <v>3783</v>
      </c>
      <c r="I377" s="7"/>
      <c r="J377" s="7"/>
      <c r="K377" s="7" t="s">
        <v>3478</v>
      </c>
      <c r="L377" s="8" t="s">
        <v>3784</v>
      </c>
      <c r="M377" s="7" t="s">
        <v>3785</v>
      </c>
    </row>
    <row r="378" spans="1:13" ht="39">
      <c r="A378" s="7" t="s">
        <v>3786</v>
      </c>
      <c r="B378" s="7" t="s">
        <v>391</v>
      </c>
      <c r="C378" s="7" t="s">
        <v>1450</v>
      </c>
      <c r="D378" s="7" t="s">
        <v>1451</v>
      </c>
      <c r="E378" s="7" t="s">
        <v>390</v>
      </c>
      <c r="F378" s="7" t="s">
        <v>1452</v>
      </c>
      <c r="G378" s="7" t="s">
        <v>3787</v>
      </c>
      <c r="H378" s="8" t="s">
        <v>3788</v>
      </c>
      <c r="I378" s="7"/>
      <c r="J378" s="7"/>
      <c r="K378" s="7" t="s">
        <v>3478</v>
      </c>
      <c r="L378" s="8" t="s">
        <v>3789</v>
      </c>
      <c r="M378" s="7" t="s">
        <v>3790</v>
      </c>
    </row>
    <row r="379" spans="1:13" ht="39">
      <c r="A379" s="7" t="s">
        <v>3791</v>
      </c>
      <c r="B379" s="7" t="s">
        <v>391</v>
      </c>
      <c r="C379" s="7" t="s">
        <v>1450</v>
      </c>
      <c r="D379" s="7" t="s">
        <v>1451</v>
      </c>
      <c r="E379" s="7" t="s">
        <v>397</v>
      </c>
      <c r="F379" s="7" t="s">
        <v>1452</v>
      </c>
      <c r="G379" s="7" t="s">
        <v>3792</v>
      </c>
      <c r="H379" s="8" t="s">
        <v>3793</v>
      </c>
      <c r="I379" s="7"/>
      <c r="J379" s="7"/>
      <c r="K379" s="7" t="s">
        <v>2794</v>
      </c>
      <c r="L379" s="8" t="s">
        <v>3794</v>
      </c>
      <c r="M379" s="7" t="s">
        <v>3795</v>
      </c>
    </row>
    <row r="380" spans="1:13" ht="39">
      <c r="A380" s="7" t="s">
        <v>3796</v>
      </c>
      <c r="B380" s="7" t="s">
        <v>391</v>
      </c>
      <c r="C380" s="7" t="s">
        <v>1450</v>
      </c>
      <c r="D380" s="7" t="s">
        <v>1451</v>
      </c>
      <c r="E380" s="7" t="s">
        <v>397</v>
      </c>
      <c r="F380" s="7" t="s">
        <v>1452</v>
      </c>
      <c r="G380" s="7" t="s">
        <v>3797</v>
      </c>
      <c r="H380" s="8" t="s">
        <v>3798</v>
      </c>
      <c r="I380" s="7" t="s">
        <v>501</v>
      </c>
      <c r="J380" s="7"/>
      <c r="K380" s="7" t="s">
        <v>2794</v>
      </c>
      <c r="L380" s="8" t="s">
        <v>3799</v>
      </c>
      <c r="M380" s="7" t="s">
        <v>3800</v>
      </c>
    </row>
    <row r="381" spans="1:13" ht="39">
      <c r="A381" s="7" t="s">
        <v>3801</v>
      </c>
      <c r="B381" s="7" t="s">
        <v>391</v>
      </c>
      <c r="C381" s="7" t="s">
        <v>1450</v>
      </c>
      <c r="D381" s="7" t="s">
        <v>1451</v>
      </c>
      <c r="E381" s="7" t="s">
        <v>397</v>
      </c>
      <c r="F381" s="7" t="s">
        <v>1452</v>
      </c>
      <c r="G381" s="7" t="s">
        <v>3802</v>
      </c>
      <c r="H381" s="8" t="s">
        <v>3803</v>
      </c>
      <c r="I381" s="7"/>
      <c r="J381" s="7"/>
      <c r="K381" s="7" t="s">
        <v>2794</v>
      </c>
      <c r="L381" s="8" t="s">
        <v>3804</v>
      </c>
      <c r="M381" s="7" t="s">
        <v>3805</v>
      </c>
    </row>
    <row r="382" spans="1:13" ht="39">
      <c r="A382" s="7" t="s">
        <v>3806</v>
      </c>
      <c r="B382" s="7" t="s">
        <v>391</v>
      </c>
      <c r="C382" s="7" t="s">
        <v>1450</v>
      </c>
      <c r="D382" s="7" t="s">
        <v>1451</v>
      </c>
      <c r="E382" s="7" t="s">
        <v>416</v>
      </c>
      <c r="F382" s="7" t="s">
        <v>1452</v>
      </c>
      <c r="G382" s="7" t="s">
        <v>3807</v>
      </c>
      <c r="H382" s="8" t="s">
        <v>3808</v>
      </c>
      <c r="I382" s="7" t="s">
        <v>502</v>
      </c>
      <c r="J382" s="7"/>
      <c r="K382" s="7" t="s">
        <v>2794</v>
      </c>
      <c r="L382" s="8" t="s">
        <v>3809</v>
      </c>
      <c r="M382" s="7" t="s">
        <v>3810</v>
      </c>
    </row>
    <row r="383" spans="1:13" ht="39">
      <c r="A383" s="7" t="s">
        <v>3811</v>
      </c>
      <c r="B383" s="7" t="s">
        <v>391</v>
      </c>
      <c r="C383" s="7" t="s">
        <v>1450</v>
      </c>
      <c r="D383" s="7" t="s">
        <v>1451</v>
      </c>
      <c r="E383" s="7" t="s">
        <v>416</v>
      </c>
      <c r="F383" s="7" t="s">
        <v>1452</v>
      </c>
      <c r="G383" s="7" t="s">
        <v>3812</v>
      </c>
      <c r="H383" s="8" t="s">
        <v>3813</v>
      </c>
      <c r="I383" s="7" t="s">
        <v>502</v>
      </c>
      <c r="J383" s="7"/>
      <c r="K383" s="7" t="s">
        <v>2794</v>
      </c>
      <c r="L383" s="8" t="s">
        <v>3814</v>
      </c>
      <c r="M383" s="7" t="s">
        <v>3815</v>
      </c>
    </row>
    <row r="384" spans="1:13" ht="39">
      <c r="A384" s="7" t="s">
        <v>3816</v>
      </c>
      <c r="B384" s="7" t="s">
        <v>391</v>
      </c>
      <c r="C384" s="7" t="s">
        <v>1450</v>
      </c>
      <c r="D384" s="7" t="s">
        <v>1451</v>
      </c>
      <c r="E384" s="7" t="s">
        <v>416</v>
      </c>
      <c r="F384" s="7" t="s">
        <v>1452</v>
      </c>
      <c r="G384" s="7" t="s">
        <v>3817</v>
      </c>
      <c r="H384" s="8" t="s">
        <v>3818</v>
      </c>
      <c r="I384" s="7" t="s">
        <v>502</v>
      </c>
      <c r="J384" s="7"/>
      <c r="K384" s="7" t="s">
        <v>2794</v>
      </c>
      <c r="L384" s="8" t="s">
        <v>3819</v>
      </c>
      <c r="M384" s="7" t="s">
        <v>3820</v>
      </c>
    </row>
    <row r="385" spans="1:13" ht="26">
      <c r="A385" s="7" t="s">
        <v>3821</v>
      </c>
      <c r="B385" s="7" t="s">
        <v>391</v>
      </c>
      <c r="C385" s="7" t="s">
        <v>1450</v>
      </c>
      <c r="D385" s="7" t="s">
        <v>1451</v>
      </c>
      <c r="E385" s="7" t="s">
        <v>420</v>
      </c>
      <c r="F385" s="7" t="s">
        <v>1452</v>
      </c>
      <c r="G385" s="7" t="s">
        <v>3822</v>
      </c>
      <c r="H385" s="8" t="s">
        <v>3823</v>
      </c>
      <c r="I385" s="7"/>
      <c r="J385" s="7"/>
      <c r="K385" s="7" t="s">
        <v>2864</v>
      </c>
      <c r="L385" s="8" t="s">
        <v>3824</v>
      </c>
      <c r="M385" s="7" t="s">
        <v>3825</v>
      </c>
    </row>
    <row r="386" spans="1:13" ht="26">
      <c r="A386" s="7" t="s">
        <v>3826</v>
      </c>
      <c r="B386" s="7" t="s">
        <v>391</v>
      </c>
      <c r="C386" s="7" t="s">
        <v>1450</v>
      </c>
      <c r="D386" s="7" t="s">
        <v>1451</v>
      </c>
      <c r="E386" s="7" t="s">
        <v>420</v>
      </c>
      <c r="F386" s="7" t="s">
        <v>1452</v>
      </c>
      <c r="G386" s="7" t="s">
        <v>3827</v>
      </c>
      <c r="H386" s="8" t="s">
        <v>3828</v>
      </c>
      <c r="I386" s="7"/>
      <c r="J386" s="7"/>
      <c r="K386" s="7" t="s">
        <v>2864</v>
      </c>
      <c r="L386" s="8" t="s">
        <v>3829</v>
      </c>
      <c r="M386" s="7" t="s">
        <v>3830</v>
      </c>
    </row>
    <row r="387" spans="1:13" ht="39">
      <c r="A387" s="7" t="s">
        <v>3831</v>
      </c>
      <c r="B387" s="7" t="s">
        <v>391</v>
      </c>
      <c r="C387" s="7" t="s">
        <v>1450</v>
      </c>
      <c r="D387" s="7" t="s">
        <v>1451</v>
      </c>
      <c r="E387" s="7" t="s">
        <v>405</v>
      </c>
      <c r="F387" s="7" t="s">
        <v>1452</v>
      </c>
      <c r="G387" s="7" t="s">
        <v>3832</v>
      </c>
      <c r="H387" s="8" t="s">
        <v>3833</v>
      </c>
      <c r="I387" s="7"/>
      <c r="J387" s="7"/>
      <c r="K387" s="7" t="s">
        <v>2821</v>
      </c>
      <c r="L387" s="8" t="s">
        <v>3834</v>
      </c>
      <c r="M387" s="7" t="s">
        <v>3835</v>
      </c>
    </row>
    <row r="388" spans="1:13" ht="39">
      <c r="A388" s="7" t="s">
        <v>3836</v>
      </c>
      <c r="B388" s="7" t="s">
        <v>391</v>
      </c>
      <c r="C388" s="7" t="s">
        <v>1450</v>
      </c>
      <c r="D388" s="7" t="s">
        <v>1451</v>
      </c>
      <c r="E388" s="7" t="s">
        <v>405</v>
      </c>
      <c r="F388" s="7" t="s">
        <v>1452</v>
      </c>
      <c r="G388" s="7" t="s">
        <v>3837</v>
      </c>
      <c r="H388" s="8" t="s">
        <v>3838</v>
      </c>
      <c r="I388" s="7"/>
      <c r="J388" s="7"/>
      <c r="K388" s="7" t="s">
        <v>2821</v>
      </c>
      <c r="L388" s="8" t="s">
        <v>3839</v>
      </c>
      <c r="M388" s="7" t="s">
        <v>3840</v>
      </c>
    </row>
    <row r="389" spans="1:13" ht="39">
      <c r="A389" s="7" t="s">
        <v>3841</v>
      </c>
      <c r="B389" s="7" t="s">
        <v>391</v>
      </c>
      <c r="C389" s="7" t="s">
        <v>1450</v>
      </c>
      <c r="D389" s="7" t="s">
        <v>1451</v>
      </c>
      <c r="E389" s="7" t="s">
        <v>390</v>
      </c>
      <c r="F389" s="7" t="s">
        <v>1452</v>
      </c>
      <c r="G389" s="7" t="s">
        <v>3842</v>
      </c>
      <c r="H389" s="8" t="s">
        <v>3843</v>
      </c>
      <c r="I389" s="7"/>
      <c r="J389" s="7"/>
      <c r="K389" s="7" t="s">
        <v>3478</v>
      </c>
      <c r="L389" s="8" t="s">
        <v>3844</v>
      </c>
      <c r="M389" s="7" t="s">
        <v>3845</v>
      </c>
    </row>
    <row r="390" spans="1:13" ht="39">
      <c r="A390" s="7" t="s">
        <v>3846</v>
      </c>
      <c r="B390" s="7" t="s">
        <v>391</v>
      </c>
      <c r="C390" s="7" t="s">
        <v>1450</v>
      </c>
      <c r="D390" s="7" t="s">
        <v>1451</v>
      </c>
      <c r="E390" s="7" t="s">
        <v>390</v>
      </c>
      <c r="F390" s="7" t="s">
        <v>1452</v>
      </c>
      <c r="G390" s="7" t="s">
        <v>3847</v>
      </c>
      <c r="H390" s="8" t="s">
        <v>3848</v>
      </c>
      <c r="I390" s="7"/>
      <c r="J390" s="7"/>
      <c r="K390" s="7" t="s">
        <v>3478</v>
      </c>
      <c r="L390" s="8" t="s">
        <v>3849</v>
      </c>
      <c r="M390" s="7" t="s">
        <v>3850</v>
      </c>
    </row>
    <row r="391" spans="1:13" ht="39">
      <c r="A391" s="7" t="s">
        <v>3851</v>
      </c>
      <c r="B391" s="7" t="s">
        <v>391</v>
      </c>
      <c r="C391" s="7" t="s">
        <v>1450</v>
      </c>
      <c r="D391" s="7" t="s">
        <v>1451</v>
      </c>
      <c r="E391" s="7" t="s">
        <v>397</v>
      </c>
      <c r="F391" s="7" t="s">
        <v>1452</v>
      </c>
      <c r="G391" s="7" t="s">
        <v>3852</v>
      </c>
      <c r="H391" s="8" t="s">
        <v>3853</v>
      </c>
      <c r="I391" s="7"/>
      <c r="J391" s="7"/>
      <c r="K391" s="7" t="s">
        <v>2794</v>
      </c>
      <c r="L391" s="8" t="s">
        <v>3854</v>
      </c>
      <c r="M391" s="7" t="s">
        <v>3855</v>
      </c>
    </row>
    <row r="392" spans="1:13" ht="39">
      <c r="A392" s="7" t="s">
        <v>3856</v>
      </c>
      <c r="B392" s="7" t="s">
        <v>391</v>
      </c>
      <c r="C392" s="7" t="s">
        <v>1450</v>
      </c>
      <c r="D392" s="7" t="s">
        <v>1451</v>
      </c>
      <c r="E392" s="7" t="s">
        <v>397</v>
      </c>
      <c r="F392" s="7" t="s">
        <v>1452</v>
      </c>
      <c r="G392" s="7" t="s">
        <v>3857</v>
      </c>
      <c r="H392" s="8" t="s">
        <v>3858</v>
      </c>
      <c r="I392" s="7"/>
      <c r="J392" s="7"/>
      <c r="K392" s="7" t="s">
        <v>2794</v>
      </c>
      <c r="L392" s="8" t="s">
        <v>3859</v>
      </c>
      <c r="M392" s="7" t="s">
        <v>3860</v>
      </c>
    </row>
    <row r="393" spans="1:13" ht="39">
      <c r="A393" s="7" t="s">
        <v>3861</v>
      </c>
      <c r="B393" s="7" t="s">
        <v>391</v>
      </c>
      <c r="C393" s="7" t="s">
        <v>1450</v>
      </c>
      <c r="D393" s="7" t="s">
        <v>1451</v>
      </c>
      <c r="E393" s="7" t="s">
        <v>397</v>
      </c>
      <c r="F393" s="7" t="s">
        <v>1452</v>
      </c>
      <c r="G393" s="7" t="s">
        <v>3862</v>
      </c>
      <c r="H393" s="8" t="s">
        <v>3863</v>
      </c>
      <c r="I393" s="7"/>
      <c r="J393" s="7"/>
      <c r="K393" s="7" t="s">
        <v>2794</v>
      </c>
      <c r="L393" s="8" t="s">
        <v>3864</v>
      </c>
      <c r="M393" s="7" t="s">
        <v>3865</v>
      </c>
    </row>
    <row r="394" spans="1:13" ht="39">
      <c r="A394" s="7" t="s">
        <v>3866</v>
      </c>
      <c r="B394" s="7" t="s">
        <v>391</v>
      </c>
      <c r="C394" s="7" t="s">
        <v>1450</v>
      </c>
      <c r="D394" s="7" t="s">
        <v>1451</v>
      </c>
      <c r="E394" s="7" t="s">
        <v>416</v>
      </c>
      <c r="F394" s="7" t="s">
        <v>1452</v>
      </c>
      <c r="G394" s="7" t="s">
        <v>3867</v>
      </c>
      <c r="H394" s="8" t="s">
        <v>3868</v>
      </c>
      <c r="I394" s="7" t="s">
        <v>502</v>
      </c>
      <c r="J394" s="7"/>
      <c r="K394" s="7" t="s">
        <v>2794</v>
      </c>
      <c r="L394" s="8" t="s">
        <v>3869</v>
      </c>
      <c r="M394" s="7" t="s">
        <v>3870</v>
      </c>
    </row>
    <row r="395" spans="1:13" ht="39">
      <c r="A395" s="7" t="s">
        <v>3871</v>
      </c>
      <c r="B395" s="7" t="s">
        <v>391</v>
      </c>
      <c r="C395" s="7" t="s">
        <v>1450</v>
      </c>
      <c r="D395" s="7" t="s">
        <v>1451</v>
      </c>
      <c r="E395" s="7" t="s">
        <v>416</v>
      </c>
      <c r="F395" s="7" t="s">
        <v>1452</v>
      </c>
      <c r="G395" s="7" t="s">
        <v>3872</v>
      </c>
      <c r="H395" s="8" t="s">
        <v>3873</v>
      </c>
      <c r="I395" s="7" t="s">
        <v>502</v>
      </c>
      <c r="J395" s="7"/>
      <c r="K395" s="7" t="s">
        <v>2794</v>
      </c>
      <c r="L395" s="8" t="s">
        <v>3874</v>
      </c>
      <c r="M395" s="7" t="s">
        <v>3875</v>
      </c>
    </row>
    <row r="396" spans="1:13" ht="39">
      <c r="A396" s="7" t="s">
        <v>3876</v>
      </c>
      <c r="B396" s="7" t="s">
        <v>391</v>
      </c>
      <c r="C396" s="7" t="s">
        <v>1450</v>
      </c>
      <c r="D396" s="7" t="s">
        <v>1451</v>
      </c>
      <c r="E396" s="7" t="s">
        <v>416</v>
      </c>
      <c r="F396" s="7" t="s">
        <v>1452</v>
      </c>
      <c r="G396" s="7" t="s">
        <v>3877</v>
      </c>
      <c r="H396" s="8" t="s">
        <v>3818</v>
      </c>
      <c r="I396" s="7" t="s">
        <v>502</v>
      </c>
      <c r="J396" s="7"/>
      <c r="K396" s="7" t="s">
        <v>2794</v>
      </c>
      <c r="L396" s="8" t="s">
        <v>3878</v>
      </c>
      <c r="M396" s="7" t="s">
        <v>3879</v>
      </c>
    </row>
    <row r="397" spans="1:13" ht="39">
      <c r="A397" s="7" t="s">
        <v>3880</v>
      </c>
      <c r="B397" s="7" t="s">
        <v>391</v>
      </c>
      <c r="C397" s="7" t="s">
        <v>1450</v>
      </c>
      <c r="D397" s="7" t="s">
        <v>1451</v>
      </c>
      <c r="E397" s="7" t="s">
        <v>397</v>
      </c>
      <c r="F397" s="7" t="s">
        <v>1452</v>
      </c>
      <c r="G397" s="7" t="s">
        <v>3881</v>
      </c>
      <c r="H397" s="8" t="s">
        <v>3882</v>
      </c>
      <c r="I397" s="7" t="s">
        <v>501</v>
      </c>
      <c r="J397" s="7"/>
      <c r="K397" s="7" t="s">
        <v>2794</v>
      </c>
      <c r="L397" s="8" t="s">
        <v>3883</v>
      </c>
      <c r="M397" s="7" t="s">
        <v>3884</v>
      </c>
    </row>
    <row r="398" spans="1:13" ht="39">
      <c r="A398" s="7" t="s">
        <v>3885</v>
      </c>
      <c r="B398" s="7" t="s">
        <v>391</v>
      </c>
      <c r="C398" s="7" t="s">
        <v>1450</v>
      </c>
      <c r="D398" s="7" t="s">
        <v>1451</v>
      </c>
      <c r="E398" s="7" t="s">
        <v>397</v>
      </c>
      <c r="F398" s="7" t="s">
        <v>1452</v>
      </c>
      <c r="G398" s="7" t="s">
        <v>3886</v>
      </c>
      <c r="H398" s="8" t="s">
        <v>3887</v>
      </c>
      <c r="I398" s="7" t="s">
        <v>501</v>
      </c>
      <c r="J398" s="7"/>
      <c r="K398" s="7" t="s">
        <v>2794</v>
      </c>
      <c r="L398" s="8" t="s">
        <v>3888</v>
      </c>
      <c r="M398" s="7" t="s">
        <v>3889</v>
      </c>
    </row>
    <row r="399" spans="1:13" ht="39">
      <c r="A399" s="7" t="s">
        <v>3890</v>
      </c>
      <c r="B399" s="7" t="s">
        <v>391</v>
      </c>
      <c r="C399" s="7" t="s">
        <v>1450</v>
      </c>
      <c r="D399" s="7" t="s">
        <v>1451</v>
      </c>
      <c r="E399" s="7" t="s">
        <v>397</v>
      </c>
      <c r="F399" s="7" t="s">
        <v>1452</v>
      </c>
      <c r="G399" s="7" t="s">
        <v>3891</v>
      </c>
      <c r="H399" s="8" t="s">
        <v>3892</v>
      </c>
      <c r="I399" s="7" t="s">
        <v>501</v>
      </c>
      <c r="J399" s="7"/>
      <c r="K399" s="7" t="s">
        <v>2794</v>
      </c>
      <c r="L399" s="8" t="s">
        <v>3893</v>
      </c>
      <c r="M399" s="7" t="s">
        <v>3894</v>
      </c>
    </row>
    <row r="400" spans="1:13" ht="39">
      <c r="A400" s="7" t="s">
        <v>3895</v>
      </c>
      <c r="B400" s="7" t="s">
        <v>391</v>
      </c>
      <c r="C400" s="7" t="s">
        <v>1450</v>
      </c>
      <c r="D400" s="7" t="s">
        <v>1451</v>
      </c>
      <c r="E400" s="7" t="s">
        <v>397</v>
      </c>
      <c r="F400" s="7" t="s">
        <v>1452</v>
      </c>
      <c r="G400" s="7" t="s">
        <v>3896</v>
      </c>
      <c r="H400" s="8" t="s">
        <v>3897</v>
      </c>
      <c r="I400" s="7" t="s">
        <v>501</v>
      </c>
      <c r="J400" s="7"/>
      <c r="K400" s="7" t="s">
        <v>2794</v>
      </c>
      <c r="L400" s="8" t="s">
        <v>3898</v>
      </c>
      <c r="M400" s="7" t="s">
        <v>3899</v>
      </c>
    </row>
    <row r="401" spans="1:13" ht="39">
      <c r="A401" s="7" t="s">
        <v>3900</v>
      </c>
      <c r="B401" s="7" t="s">
        <v>391</v>
      </c>
      <c r="C401" s="7" t="s">
        <v>1450</v>
      </c>
      <c r="D401" s="7" t="s">
        <v>1451</v>
      </c>
      <c r="E401" s="7" t="s">
        <v>397</v>
      </c>
      <c r="F401" s="7" t="s">
        <v>1452</v>
      </c>
      <c r="G401" s="7" t="s">
        <v>3901</v>
      </c>
      <c r="H401" s="8" t="s">
        <v>3902</v>
      </c>
      <c r="I401" s="7" t="s">
        <v>501</v>
      </c>
      <c r="J401" s="7"/>
      <c r="K401" s="7" t="s">
        <v>2794</v>
      </c>
      <c r="L401" s="8" t="s">
        <v>3903</v>
      </c>
      <c r="M401" s="7" t="s">
        <v>3904</v>
      </c>
    </row>
    <row r="402" spans="1:13" ht="39">
      <c r="A402" s="7" t="s">
        <v>3905</v>
      </c>
      <c r="B402" s="7" t="s">
        <v>391</v>
      </c>
      <c r="C402" s="7" t="s">
        <v>1450</v>
      </c>
      <c r="D402" s="7" t="s">
        <v>1451</v>
      </c>
      <c r="E402" s="7" t="s">
        <v>397</v>
      </c>
      <c r="F402" s="7" t="s">
        <v>1452</v>
      </c>
      <c r="G402" s="7" t="s">
        <v>3906</v>
      </c>
      <c r="H402" s="8" t="s">
        <v>3907</v>
      </c>
      <c r="I402" s="7" t="s">
        <v>501</v>
      </c>
      <c r="J402" s="7"/>
      <c r="K402" s="7" t="s">
        <v>2794</v>
      </c>
      <c r="L402" s="8" t="s">
        <v>3908</v>
      </c>
      <c r="M402" s="7" t="s">
        <v>3909</v>
      </c>
    </row>
    <row r="403" spans="1:13" ht="39">
      <c r="A403" s="7" t="s">
        <v>3910</v>
      </c>
      <c r="B403" s="7" t="s">
        <v>391</v>
      </c>
      <c r="C403" s="7" t="s">
        <v>1450</v>
      </c>
      <c r="D403" s="7" t="s">
        <v>1451</v>
      </c>
      <c r="E403" s="7" t="s">
        <v>397</v>
      </c>
      <c r="F403" s="7" t="s">
        <v>1452</v>
      </c>
      <c r="G403" s="7" t="s">
        <v>3911</v>
      </c>
      <c r="H403" s="8" t="s">
        <v>3912</v>
      </c>
      <c r="I403" s="7" t="s">
        <v>501</v>
      </c>
      <c r="J403" s="7"/>
      <c r="K403" s="7" t="s">
        <v>2794</v>
      </c>
      <c r="L403" s="8" t="s">
        <v>3913</v>
      </c>
      <c r="M403" s="7" t="s">
        <v>3914</v>
      </c>
    </row>
    <row r="404" spans="1:13" ht="39">
      <c r="A404" s="7" t="s">
        <v>3915</v>
      </c>
      <c r="B404" s="7" t="s">
        <v>391</v>
      </c>
      <c r="C404" s="7" t="s">
        <v>1450</v>
      </c>
      <c r="D404" s="7" t="s">
        <v>1451</v>
      </c>
      <c r="E404" s="7" t="s">
        <v>397</v>
      </c>
      <c r="F404" s="7" t="s">
        <v>1452</v>
      </c>
      <c r="G404" s="7" t="s">
        <v>3916</v>
      </c>
      <c r="H404" s="8" t="s">
        <v>3917</v>
      </c>
      <c r="I404" s="7" t="s">
        <v>501</v>
      </c>
      <c r="J404" s="7"/>
      <c r="K404" s="7" t="s">
        <v>2794</v>
      </c>
      <c r="L404" s="8" t="s">
        <v>3918</v>
      </c>
      <c r="M404" s="7" t="s">
        <v>3919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145" activePane="bottomLeft" state="frozen"/>
      <selection pane="bottomLeft" activeCell="A178" sqref="A178:XFD404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133</v>
      </c>
      <c r="B1" s="9" t="s">
        <v>134</v>
      </c>
      <c r="C1" s="9" t="s">
        <v>151</v>
      </c>
      <c r="D1" s="9" t="s">
        <v>153</v>
      </c>
      <c r="E1" s="9" t="s">
        <v>155</v>
      </c>
      <c r="F1" s="9" t="s">
        <v>157</v>
      </c>
      <c r="G1" s="9" t="s">
        <v>159</v>
      </c>
      <c r="H1" s="9" t="s">
        <v>161</v>
      </c>
      <c r="I1" s="9" t="s">
        <v>163</v>
      </c>
      <c r="J1" s="9" t="s">
        <v>164</v>
      </c>
      <c r="K1" s="9" t="s">
        <v>122</v>
      </c>
    </row>
    <row r="2" spans="1:11">
      <c r="A2" s="17" t="s">
        <v>1449</v>
      </c>
      <c r="B2" s="17" t="s">
        <v>391</v>
      </c>
      <c r="C2" s="17" t="s">
        <v>1937</v>
      </c>
      <c r="D2" s="17" t="s">
        <v>1938</v>
      </c>
      <c r="E2" s="17" t="s">
        <v>158</v>
      </c>
      <c r="F2" s="17" t="s">
        <v>158</v>
      </c>
      <c r="G2" s="17" t="b">
        <v>0</v>
      </c>
      <c r="H2" s="17" t="s">
        <v>162</v>
      </c>
      <c r="I2" s="17"/>
      <c r="J2" s="17"/>
      <c r="K2" s="17">
        <v>2</v>
      </c>
    </row>
    <row r="3" spans="1:11">
      <c r="A3" s="17" t="s">
        <v>1457</v>
      </c>
      <c r="B3" s="17" t="s">
        <v>391</v>
      </c>
      <c r="C3" s="17" t="s">
        <v>1937</v>
      </c>
      <c r="D3" s="17" t="s">
        <v>1938</v>
      </c>
      <c r="E3" s="17" t="s">
        <v>158</v>
      </c>
      <c r="F3" s="17" t="s">
        <v>158</v>
      </c>
      <c r="G3" s="17" t="b">
        <v>0</v>
      </c>
      <c r="H3" s="17" t="s">
        <v>162</v>
      </c>
      <c r="I3" s="17"/>
      <c r="J3" s="17"/>
      <c r="K3" s="17">
        <v>3</v>
      </c>
    </row>
    <row r="4" spans="1:11">
      <c r="A4" s="17" t="s">
        <v>1460</v>
      </c>
      <c r="B4" s="17" t="s">
        <v>391</v>
      </c>
      <c r="C4" s="17"/>
      <c r="D4" s="17" t="s">
        <v>158</v>
      </c>
      <c r="E4" s="17" t="s">
        <v>158</v>
      </c>
      <c r="F4" s="17" t="s">
        <v>158</v>
      </c>
      <c r="G4" s="17" t="b">
        <v>0</v>
      </c>
      <c r="H4" s="17" t="s">
        <v>162</v>
      </c>
      <c r="I4" s="17"/>
      <c r="J4" s="17"/>
      <c r="K4" s="17">
        <v>4</v>
      </c>
    </row>
    <row r="5" spans="1:11">
      <c r="A5" s="17" t="s">
        <v>1463</v>
      </c>
      <c r="B5" s="17" t="s">
        <v>391</v>
      </c>
      <c r="C5" s="17"/>
      <c r="D5" s="17" t="s">
        <v>158</v>
      </c>
      <c r="E5" s="17" t="s">
        <v>158</v>
      </c>
      <c r="F5" s="17" t="s">
        <v>158</v>
      </c>
      <c r="G5" s="17" t="b">
        <v>0</v>
      </c>
      <c r="H5" s="17" t="s">
        <v>162</v>
      </c>
      <c r="I5" s="17"/>
      <c r="J5" s="17"/>
      <c r="K5" s="17">
        <v>5</v>
      </c>
    </row>
    <row r="6" spans="1:11">
      <c r="A6" s="17" t="s">
        <v>1467</v>
      </c>
      <c r="B6" s="17" t="s">
        <v>391</v>
      </c>
      <c r="C6" s="17"/>
      <c r="D6" s="17" t="s">
        <v>158</v>
      </c>
      <c r="E6" s="17" t="s">
        <v>158</v>
      </c>
      <c r="F6" s="17" t="s">
        <v>158</v>
      </c>
      <c r="G6" s="17" t="b">
        <v>0</v>
      </c>
      <c r="H6" s="17" t="s">
        <v>162</v>
      </c>
      <c r="I6" s="17"/>
      <c r="J6" s="17"/>
      <c r="K6" s="17">
        <v>6</v>
      </c>
    </row>
    <row r="7" spans="1:11">
      <c r="A7" s="17" t="s">
        <v>1471</v>
      </c>
      <c r="B7" s="17" t="s">
        <v>391</v>
      </c>
      <c r="C7" s="17"/>
      <c r="D7" s="17" t="s">
        <v>158</v>
      </c>
      <c r="E7" s="17" t="s">
        <v>158</v>
      </c>
      <c r="F7" s="17" t="s">
        <v>158</v>
      </c>
      <c r="G7" s="17" t="b">
        <v>0</v>
      </c>
      <c r="H7" s="17" t="s">
        <v>162</v>
      </c>
      <c r="I7" s="17"/>
      <c r="J7" s="17"/>
      <c r="K7" s="17">
        <v>7</v>
      </c>
    </row>
    <row r="8" spans="1:11">
      <c r="A8" s="17" t="s">
        <v>1474</v>
      </c>
      <c r="B8" s="17" t="s">
        <v>391</v>
      </c>
      <c r="C8" s="17" t="s">
        <v>1939</v>
      </c>
      <c r="D8" s="31" t="s">
        <v>2657</v>
      </c>
      <c r="E8" s="17" t="s">
        <v>158</v>
      </c>
      <c r="F8" s="17" t="s">
        <v>158</v>
      </c>
      <c r="G8" s="17" t="b">
        <v>0</v>
      </c>
      <c r="H8" s="17" t="s">
        <v>162</v>
      </c>
      <c r="I8" s="17"/>
      <c r="J8" s="17"/>
      <c r="K8" s="17">
        <v>8</v>
      </c>
    </row>
    <row r="9" spans="1:11">
      <c r="A9" s="17" t="s">
        <v>1477</v>
      </c>
      <c r="B9" s="17" t="s">
        <v>391</v>
      </c>
      <c r="C9" s="17"/>
      <c r="D9" s="17" t="s">
        <v>158</v>
      </c>
      <c r="E9" s="17" t="s">
        <v>158</v>
      </c>
      <c r="F9" s="17" t="s">
        <v>158</v>
      </c>
      <c r="G9" s="17" t="b">
        <v>0</v>
      </c>
      <c r="H9" s="17" t="s">
        <v>162</v>
      </c>
      <c r="I9" s="17"/>
      <c r="J9" s="17"/>
      <c r="K9" s="17">
        <v>9</v>
      </c>
    </row>
    <row r="10" spans="1:11">
      <c r="A10" s="17" t="s">
        <v>1480</v>
      </c>
      <c r="B10" s="17" t="s">
        <v>391</v>
      </c>
      <c r="C10" s="17"/>
      <c r="D10" s="17" t="s">
        <v>158</v>
      </c>
      <c r="E10" s="17" t="s">
        <v>158</v>
      </c>
      <c r="F10" s="17" t="s">
        <v>158</v>
      </c>
      <c r="G10" s="17" t="b">
        <v>0</v>
      </c>
      <c r="H10" s="17" t="s">
        <v>162</v>
      </c>
      <c r="I10" s="17"/>
      <c r="J10" s="17"/>
      <c r="K10" s="17">
        <v>10</v>
      </c>
    </row>
    <row r="11" spans="1:11">
      <c r="A11" s="17" t="s">
        <v>1484</v>
      </c>
      <c r="B11" s="17" t="s">
        <v>391</v>
      </c>
      <c r="C11" s="17"/>
      <c r="D11" s="17" t="s">
        <v>158</v>
      </c>
      <c r="E11" s="17" t="s">
        <v>158</v>
      </c>
      <c r="F11" s="17" t="s">
        <v>158</v>
      </c>
      <c r="G11" s="17" t="b">
        <v>0</v>
      </c>
      <c r="H11" s="17" t="s">
        <v>162</v>
      </c>
      <c r="I11" s="17"/>
      <c r="J11" s="17"/>
      <c r="K11" s="17">
        <v>11</v>
      </c>
    </row>
    <row r="12" spans="1:11">
      <c r="A12" s="17" t="s">
        <v>1488</v>
      </c>
      <c r="B12" s="17" t="s">
        <v>391</v>
      </c>
      <c r="C12" s="17" t="s">
        <v>1939</v>
      </c>
      <c r="D12" s="31" t="s">
        <v>2657</v>
      </c>
      <c r="E12" s="17" t="s">
        <v>158</v>
      </c>
      <c r="F12" s="17" t="s">
        <v>158</v>
      </c>
      <c r="G12" s="17" t="b">
        <v>0</v>
      </c>
      <c r="H12" s="17" t="s">
        <v>162</v>
      </c>
      <c r="I12" s="17"/>
      <c r="J12" s="17"/>
      <c r="K12" s="17">
        <v>12</v>
      </c>
    </row>
    <row r="13" spans="1:11">
      <c r="A13" s="17" t="s">
        <v>1492</v>
      </c>
      <c r="B13" s="17" t="s">
        <v>391</v>
      </c>
      <c r="C13" s="17"/>
      <c r="D13" s="17" t="s">
        <v>158</v>
      </c>
      <c r="E13" s="17" t="s">
        <v>158</v>
      </c>
      <c r="F13" s="17" t="s">
        <v>158</v>
      </c>
      <c r="G13" s="17" t="b">
        <v>0</v>
      </c>
      <c r="H13" s="17" t="s">
        <v>162</v>
      </c>
      <c r="I13" s="17"/>
      <c r="J13" s="17"/>
      <c r="K13" s="17">
        <v>13</v>
      </c>
    </row>
    <row r="14" spans="1:11">
      <c r="A14" s="17" t="s">
        <v>1495</v>
      </c>
      <c r="B14" s="17" t="s">
        <v>391</v>
      </c>
      <c r="C14" s="17"/>
      <c r="D14" s="17" t="s">
        <v>158</v>
      </c>
      <c r="E14" s="17" t="s">
        <v>158</v>
      </c>
      <c r="F14" s="17" t="s">
        <v>158</v>
      </c>
      <c r="G14" s="17" t="b">
        <v>0</v>
      </c>
      <c r="H14" s="17" t="s">
        <v>162</v>
      </c>
      <c r="I14" s="17"/>
      <c r="J14" s="17"/>
      <c r="K14" s="17">
        <v>14</v>
      </c>
    </row>
    <row r="15" spans="1:11">
      <c r="A15" s="17" t="s">
        <v>1498</v>
      </c>
      <c r="B15" s="17" t="s">
        <v>391</v>
      </c>
      <c r="C15" s="17"/>
      <c r="D15" s="17" t="s">
        <v>158</v>
      </c>
      <c r="E15" s="17" t="s">
        <v>158</v>
      </c>
      <c r="F15" s="17" t="s">
        <v>158</v>
      </c>
      <c r="G15" s="17" t="b">
        <v>0</v>
      </c>
      <c r="H15" s="17" t="s">
        <v>162</v>
      </c>
      <c r="I15" s="17"/>
      <c r="J15" s="17"/>
      <c r="K15" s="17">
        <v>15</v>
      </c>
    </row>
    <row r="16" spans="1:11">
      <c r="A16" s="17" t="s">
        <v>1501</v>
      </c>
      <c r="B16" s="17" t="s">
        <v>391</v>
      </c>
      <c r="C16" s="17"/>
      <c r="D16" s="17" t="s">
        <v>158</v>
      </c>
      <c r="E16" s="17" t="s">
        <v>158</v>
      </c>
      <c r="F16" s="17" t="s">
        <v>158</v>
      </c>
      <c r="G16" s="17" t="b">
        <v>0</v>
      </c>
      <c r="H16" s="17" t="s">
        <v>162</v>
      </c>
      <c r="I16" s="17"/>
      <c r="J16" s="17"/>
      <c r="K16" s="17">
        <v>16</v>
      </c>
    </row>
    <row r="17" spans="1:11">
      <c r="A17" s="17" t="s">
        <v>1504</v>
      </c>
      <c r="B17" s="17" t="s">
        <v>391</v>
      </c>
      <c r="C17" s="17"/>
      <c r="D17" s="17" t="s">
        <v>158</v>
      </c>
      <c r="E17" s="17" t="s">
        <v>158</v>
      </c>
      <c r="F17" s="17" t="s">
        <v>158</v>
      </c>
      <c r="G17" s="17" t="b">
        <v>0</v>
      </c>
      <c r="H17" s="17" t="s">
        <v>162</v>
      </c>
      <c r="I17" s="17"/>
      <c r="J17" s="17"/>
      <c r="K17" s="17">
        <v>17</v>
      </c>
    </row>
    <row r="18" spans="1:11">
      <c r="A18" s="17" t="s">
        <v>1508</v>
      </c>
      <c r="B18" s="17" t="s">
        <v>391</v>
      </c>
      <c r="C18" s="17"/>
      <c r="D18" s="17" t="s">
        <v>158</v>
      </c>
      <c r="E18" s="17" t="s">
        <v>158</v>
      </c>
      <c r="F18" s="17" t="s">
        <v>158</v>
      </c>
      <c r="G18" s="17" t="b">
        <v>0</v>
      </c>
      <c r="H18" s="17" t="s">
        <v>162</v>
      </c>
      <c r="I18" s="17"/>
      <c r="J18" s="17"/>
      <c r="K18" s="17">
        <v>18</v>
      </c>
    </row>
    <row r="19" spans="1:11">
      <c r="A19" s="17" t="s">
        <v>1512</v>
      </c>
      <c r="B19" s="17" t="s">
        <v>391</v>
      </c>
      <c r="C19" s="17"/>
      <c r="D19" s="17" t="s">
        <v>158</v>
      </c>
      <c r="E19" s="17" t="s">
        <v>158</v>
      </c>
      <c r="F19" s="17" t="s">
        <v>158</v>
      </c>
      <c r="G19" s="17" t="b">
        <v>0</v>
      </c>
      <c r="H19" s="17" t="s">
        <v>162</v>
      </c>
      <c r="I19" s="17"/>
      <c r="J19" s="17"/>
      <c r="K19" s="17">
        <v>19</v>
      </c>
    </row>
    <row r="20" spans="1:11">
      <c r="A20" s="17" t="s">
        <v>1515</v>
      </c>
      <c r="B20" s="17" t="s">
        <v>391</v>
      </c>
      <c r="C20" s="17"/>
      <c r="D20" s="17" t="s">
        <v>158</v>
      </c>
      <c r="E20" s="17" t="s">
        <v>158</v>
      </c>
      <c r="F20" s="17" t="s">
        <v>158</v>
      </c>
      <c r="G20" s="17" t="b">
        <v>0</v>
      </c>
      <c r="H20" s="17" t="s">
        <v>162</v>
      </c>
      <c r="I20" s="17"/>
      <c r="J20" s="17"/>
      <c r="K20" s="17">
        <v>20</v>
      </c>
    </row>
    <row r="21" spans="1:11">
      <c r="A21" s="17" t="s">
        <v>1518</v>
      </c>
      <c r="B21" s="17" t="s">
        <v>391</v>
      </c>
      <c r="C21" s="17"/>
      <c r="D21" s="17" t="s">
        <v>158</v>
      </c>
      <c r="E21" s="17" t="s">
        <v>158</v>
      </c>
      <c r="F21" s="17" t="s">
        <v>158</v>
      </c>
      <c r="G21" s="17" t="b">
        <v>0</v>
      </c>
      <c r="H21" s="17" t="s">
        <v>162</v>
      </c>
      <c r="I21" s="17"/>
      <c r="J21" s="17"/>
      <c r="K21" s="17">
        <v>21</v>
      </c>
    </row>
    <row r="22" spans="1:11">
      <c r="A22" s="17" t="s">
        <v>1521</v>
      </c>
      <c r="B22" s="17" t="s">
        <v>391</v>
      </c>
      <c r="C22" s="17"/>
      <c r="D22" s="17" t="s">
        <v>158</v>
      </c>
      <c r="E22" s="17" t="s">
        <v>158</v>
      </c>
      <c r="F22" s="17" t="s">
        <v>158</v>
      </c>
      <c r="G22" s="17" t="b">
        <v>0</v>
      </c>
      <c r="H22" s="17" t="s">
        <v>162</v>
      </c>
      <c r="I22" s="17"/>
      <c r="J22" s="17"/>
      <c r="K22" s="17">
        <v>22</v>
      </c>
    </row>
    <row r="23" spans="1:11">
      <c r="A23" s="17" t="s">
        <v>1524</v>
      </c>
      <c r="B23" s="17" t="s">
        <v>391</v>
      </c>
      <c r="C23" s="17"/>
      <c r="D23" s="17" t="s">
        <v>158</v>
      </c>
      <c r="E23" s="17" t="s">
        <v>158</v>
      </c>
      <c r="F23" s="17" t="s">
        <v>158</v>
      </c>
      <c r="G23" s="17" t="b">
        <v>0</v>
      </c>
      <c r="H23" s="17" t="s">
        <v>162</v>
      </c>
      <c r="I23" s="17"/>
      <c r="J23" s="17"/>
      <c r="K23" s="17">
        <v>23</v>
      </c>
    </row>
    <row r="24" spans="1:11">
      <c r="A24" s="17" t="s">
        <v>1527</v>
      </c>
      <c r="B24" s="17" t="s">
        <v>391</v>
      </c>
      <c r="C24" s="17"/>
      <c r="D24" s="17" t="s">
        <v>158</v>
      </c>
      <c r="E24" s="17" t="s">
        <v>158</v>
      </c>
      <c r="F24" s="17" t="s">
        <v>158</v>
      </c>
      <c r="G24" s="17" t="b">
        <v>0</v>
      </c>
      <c r="H24" s="17" t="s">
        <v>162</v>
      </c>
      <c r="I24" s="17"/>
      <c r="J24" s="17"/>
      <c r="K24" s="17">
        <v>24</v>
      </c>
    </row>
    <row r="25" spans="1:11">
      <c r="A25" s="17" t="s">
        <v>1530</v>
      </c>
      <c r="B25" s="17" t="s">
        <v>391</v>
      </c>
      <c r="C25" s="17"/>
      <c r="D25" s="17" t="s">
        <v>158</v>
      </c>
      <c r="E25" s="17" t="s">
        <v>158</v>
      </c>
      <c r="F25" s="17" t="s">
        <v>158</v>
      </c>
      <c r="G25" s="17" t="b">
        <v>0</v>
      </c>
      <c r="H25" s="17" t="s">
        <v>162</v>
      </c>
      <c r="I25" s="17"/>
      <c r="J25" s="17"/>
      <c r="K25" s="17">
        <v>25</v>
      </c>
    </row>
    <row r="26" spans="1:11">
      <c r="A26" s="17" t="s">
        <v>1533</v>
      </c>
      <c r="B26" s="17" t="s">
        <v>391</v>
      </c>
      <c r="C26" s="17"/>
      <c r="D26" s="17" t="s">
        <v>158</v>
      </c>
      <c r="E26" s="17" t="s">
        <v>158</v>
      </c>
      <c r="F26" s="17" t="s">
        <v>158</v>
      </c>
      <c r="G26" s="17" t="b">
        <v>0</v>
      </c>
      <c r="H26" s="17" t="s">
        <v>162</v>
      </c>
      <c r="I26" s="17"/>
      <c r="J26" s="17"/>
      <c r="K26" s="17">
        <v>26</v>
      </c>
    </row>
    <row r="27" spans="1:11">
      <c r="A27" s="17" t="s">
        <v>1537</v>
      </c>
      <c r="B27" s="17" t="s">
        <v>391</v>
      </c>
      <c r="C27" s="17" t="s">
        <v>1939</v>
      </c>
      <c r="D27" s="17" t="s">
        <v>1940</v>
      </c>
      <c r="E27" s="17" t="s">
        <v>158</v>
      </c>
      <c r="F27" s="17" t="s">
        <v>158</v>
      </c>
      <c r="G27" s="22" t="b">
        <v>1</v>
      </c>
      <c r="H27" s="17" t="s">
        <v>162</v>
      </c>
      <c r="I27" s="17"/>
      <c r="J27" s="17"/>
      <c r="K27" s="17">
        <v>27</v>
      </c>
    </row>
    <row r="28" spans="1:11">
      <c r="A28" s="17" t="s">
        <v>1541</v>
      </c>
      <c r="B28" s="17" t="s">
        <v>391</v>
      </c>
      <c r="C28" s="17"/>
      <c r="D28" s="17" t="s">
        <v>158</v>
      </c>
      <c r="E28" s="17" t="s">
        <v>158</v>
      </c>
      <c r="F28" s="17" t="s">
        <v>158</v>
      </c>
      <c r="G28" s="17" t="b">
        <v>0</v>
      </c>
      <c r="H28" s="17" t="s">
        <v>162</v>
      </c>
      <c r="I28" s="17"/>
      <c r="J28" s="17"/>
      <c r="K28" s="17">
        <v>28</v>
      </c>
    </row>
    <row r="29" spans="1:11">
      <c r="A29" s="17" t="s">
        <v>1544</v>
      </c>
      <c r="B29" s="17" t="s">
        <v>391</v>
      </c>
      <c r="C29" s="17" t="s">
        <v>1941</v>
      </c>
      <c r="D29" s="17" t="s">
        <v>1942</v>
      </c>
      <c r="E29" s="17" t="s">
        <v>158</v>
      </c>
      <c r="F29" s="17" t="s">
        <v>158</v>
      </c>
      <c r="G29" s="17" t="b">
        <v>0</v>
      </c>
      <c r="H29" s="17" t="s">
        <v>162</v>
      </c>
      <c r="I29" s="17"/>
      <c r="J29" s="17"/>
      <c r="K29" s="17">
        <v>29</v>
      </c>
    </row>
    <row r="30" spans="1:11">
      <c r="A30" s="17" t="s">
        <v>1547</v>
      </c>
      <c r="B30" s="17" t="s">
        <v>391</v>
      </c>
      <c r="C30" s="17"/>
      <c r="D30" s="17" t="s">
        <v>158</v>
      </c>
      <c r="E30" s="17" t="s">
        <v>158</v>
      </c>
      <c r="F30" s="17" t="s">
        <v>158</v>
      </c>
      <c r="G30" s="17" t="b">
        <v>0</v>
      </c>
      <c r="H30" s="17" t="s">
        <v>162</v>
      </c>
      <c r="I30" s="17"/>
      <c r="J30" s="17"/>
      <c r="K30" s="17">
        <v>30</v>
      </c>
    </row>
    <row r="31" spans="1:11">
      <c r="A31" s="17" t="s">
        <v>1551</v>
      </c>
      <c r="B31" s="17" t="s">
        <v>391</v>
      </c>
      <c r="C31" s="17" t="s">
        <v>1939</v>
      </c>
      <c r="D31" s="31" t="s">
        <v>2657</v>
      </c>
      <c r="E31" s="17" t="s">
        <v>158</v>
      </c>
      <c r="F31" s="17" t="s">
        <v>158</v>
      </c>
      <c r="G31" s="17" t="b">
        <v>0</v>
      </c>
      <c r="H31" s="17" t="s">
        <v>162</v>
      </c>
      <c r="I31" s="17"/>
      <c r="J31" s="17"/>
      <c r="K31" s="17">
        <v>31</v>
      </c>
    </row>
    <row r="32" spans="1:11">
      <c r="A32" s="17" t="s">
        <v>1554</v>
      </c>
      <c r="B32" s="17" t="s">
        <v>391</v>
      </c>
      <c r="C32" s="17" t="s">
        <v>1937</v>
      </c>
      <c r="D32" s="17" t="s">
        <v>1938</v>
      </c>
      <c r="E32" s="17" t="s">
        <v>158</v>
      </c>
      <c r="F32" s="17" t="s">
        <v>158</v>
      </c>
      <c r="G32" s="17" t="b">
        <v>0</v>
      </c>
      <c r="H32" s="17" t="s">
        <v>162</v>
      </c>
      <c r="I32" s="17"/>
      <c r="J32" s="17"/>
      <c r="K32" s="17">
        <v>32</v>
      </c>
    </row>
    <row r="33" spans="1:11">
      <c r="A33" s="17" t="s">
        <v>1557</v>
      </c>
      <c r="B33" s="17" t="s">
        <v>391</v>
      </c>
      <c r="C33" s="17" t="s">
        <v>1937</v>
      </c>
      <c r="D33" s="17" t="s">
        <v>1938</v>
      </c>
      <c r="E33" s="17" t="s">
        <v>158</v>
      </c>
      <c r="F33" s="17" t="s">
        <v>158</v>
      </c>
      <c r="G33" s="17" t="b">
        <v>0</v>
      </c>
      <c r="H33" s="17" t="s">
        <v>162</v>
      </c>
      <c r="I33" s="17"/>
      <c r="J33" s="17"/>
      <c r="K33" s="17">
        <v>33</v>
      </c>
    </row>
    <row r="34" spans="1:11">
      <c r="A34" s="17" t="s">
        <v>1561</v>
      </c>
      <c r="B34" s="17" t="s">
        <v>391</v>
      </c>
      <c r="C34" s="17" t="s">
        <v>1943</v>
      </c>
      <c r="D34" s="17" t="s">
        <v>158</v>
      </c>
      <c r="E34" s="17" t="s">
        <v>158</v>
      </c>
      <c r="F34" s="17" t="s">
        <v>158</v>
      </c>
      <c r="G34" s="17" t="b">
        <v>0</v>
      </c>
      <c r="H34" s="17" t="s">
        <v>162</v>
      </c>
      <c r="I34" s="17"/>
      <c r="J34" s="17"/>
      <c r="K34" s="17">
        <v>34</v>
      </c>
    </row>
    <row r="35" spans="1:11">
      <c r="A35" s="17" t="s">
        <v>1564</v>
      </c>
      <c r="B35" s="17" t="s">
        <v>391</v>
      </c>
      <c r="C35" s="17" t="s">
        <v>1943</v>
      </c>
      <c r="D35" s="17" t="s">
        <v>158</v>
      </c>
      <c r="E35" s="17" t="s">
        <v>158</v>
      </c>
      <c r="F35" s="17" t="s">
        <v>158</v>
      </c>
      <c r="G35" s="17" t="b">
        <v>0</v>
      </c>
      <c r="H35" s="17" t="s">
        <v>162</v>
      </c>
      <c r="I35" s="17"/>
      <c r="J35" s="17"/>
      <c r="K35" s="17">
        <v>35</v>
      </c>
    </row>
    <row r="36" spans="1:11">
      <c r="A36" s="17" t="s">
        <v>1567</v>
      </c>
      <c r="B36" s="17" t="s">
        <v>391</v>
      </c>
      <c r="C36" s="17" t="s">
        <v>1943</v>
      </c>
      <c r="D36" s="17" t="s">
        <v>158</v>
      </c>
      <c r="E36" s="17" t="s">
        <v>158</v>
      </c>
      <c r="F36" s="17" t="s">
        <v>158</v>
      </c>
      <c r="G36" s="17" t="b">
        <v>0</v>
      </c>
      <c r="H36" s="17" t="s">
        <v>162</v>
      </c>
      <c r="I36" s="17"/>
      <c r="J36" s="17"/>
      <c r="K36" s="17">
        <v>37</v>
      </c>
    </row>
    <row r="37" spans="1:11">
      <c r="A37" s="17" t="s">
        <v>1570</v>
      </c>
      <c r="B37" s="17" t="s">
        <v>391</v>
      </c>
      <c r="C37" s="17" t="s">
        <v>1943</v>
      </c>
      <c r="D37" s="17" t="s">
        <v>158</v>
      </c>
      <c r="E37" s="17" t="s">
        <v>158</v>
      </c>
      <c r="F37" s="17" t="s">
        <v>158</v>
      </c>
      <c r="G37" s="17" t="b">
        <v>0</v>
      </c>
      <c r="H37" s="17" t="s">
        <v>162</v>
      </c>
      <c r="I37" s="17"/>
      <c r="J37" s="17"/>
      <c r="K37" s="17">
        <v>38</v>
      </c>
    </row>
    <row r="38" spans="1:11">
      <c r="A38" s="17" t="s">
        <v>1574</v>
      </c>
      <c r="B38" s="17" t="s">
        <v>391</v>
      </c>
      <c r="C38" s="17" t="s">
        <v>1943</v>
      </c>
      <c r="D38" s="17" t="s">
        <v>158</v>
      </c>
      <c r="E38" s="17" t="s">
        <v>158</v>
      </c>
      <c r="F38" s="17" t="s">
        <v>158</v>
      </c>
      <c r="G38" s="17" t="b">
        <v>0</v>
      </c>
      <c r="H38" s="17" t="s">
        <v>162</v>
      </c>
      <c r="I38" s="17"/>
      <c r="J38" s="17"/>
      <c r="K38" s="17">
        <v>39</v>
      </c>
    </row>
    <row r="39" spans="1:11">
      <c r="A39" s="17" t="s">
        <v>1577</v>
      </c>
      <c r="B39" s="17" t="s">
        <v>391</v>
      </c>
      <c r="C39" s="17" t="s">
        <v>1943</v>
      </c>
      <c r="D39" s="17" t="s">
        <v>158</v>
      </c>
      <c r="E39" s="17" t="s">
        <v>158</v>
      </c>
      <c r="F39" s="17" t="s">
        <v>158</v>
      </c>
      <c r="G39" s="17" t="b">
        <v>0</v>
      </c>
      <c r="H39" s="17" t="s">
        <v>162</v>
      </c>
      <c r="I39" s="17"/>
      <c r="J39" s="17"/>
      <c r="K39" s="17">
        <v>40</v>
      </c>
    </row>
    <row r="40" spans="1:11">
      <c r="A40" s="17" t="s">
        <v>1580</v>
      </c>
      <c r="B40" s="17" t="s">
        <v>391</v>
      </c>
      <c r="C40" s="17" t="s">
        <v>1943</v>
      </c>
      <c r="D40" s="17" t="s">
        <v>158</v>
      </c>
      <c r="E40" s="17" t="s">
        <v>158</v>
      </c>
      <c r="F40" s="17" t="s">
        <v>158</v>
      </c>
      <c r="G40" s="17" t="b">
        <v>0</v>
      </c>
      <c r="H40" s="17" t="s">
        <v>162</v>
      </c>
      <c r="I40" s="17"/>
      <c r="J40" s="17"/>
      <c r="K40" s="17">
        <v>41</v>
      </c>
    </row>
    <row r="41" spans="1:11">
      <c r="A41" s="17" t="s">
        <v>1583</v>
      </c>
      <c r="B41" s="17" t="s">
        <v>391</v>
      </c>
      <c r="C41" s="17" t="s">
        <v>1943</v>
      </c>
      <c r="D41" s="17" t="s">
        <v>158</v>
      </c>
      <c r="E41" s="17" t="s">
        <v>158</v>
      </c>
      <c r="F41" s="17" t="s">
        <v>158</v>
      </c>
      <c r="G41" s="17" t="b">
        <v>0</v>
      </c>
      <c r="H41" s="17" t="s">
        <v>162</v>
      </c>
      <c r="I41" s="17"/>
      <c r="J41" s="17"/>
      <c r="K41" s="17">
        <v>42</v>
      </c>
    </row>
    <row r="42" spans="1:11">
      <c r="A42" s="17" t="s">
        <v>1586</v>
      </c>
      <c r="B42" s="17" t="s">
        <v>391</v>
      </c>
      <c r="C42" s="17" t="s">
        <v>1943</v>
      </c>
      <c r="D42" s="17" t="s">
        <v>158</v>
      </c>
      <c r="E42" s="17" t="s">
        <v>158</v>
      </c>
      <c r="F42" s="17" t="s">
        <v>158</v>
      </c>
      <c r="G42" s="17" t="b">
        <v>0</v>
      </c>
      <c r="H42" s="17" t="s">
        <v>162</v>
      </c>
      <c r="I42" s="17"/>
      <c r="J42" s="17"/>
      <c r="K42" s="17">
        <v>43</v>
      </c>
    </row>
    <row r="43" spans="1:11">
      <c r="A43" s="17" t="s">
        <v>1589</v>
      </c>
      <c r="B43" s="17" t="s">
        <v>391</v>
      </c>
      <c r="C43" s="17" t="s">
        <v>1943</v>
      </c>
      <c r="D43" s="17" t="s">
        <v>158</v>
      </c>
      <c r="E43" s="17" t="s">
        <v>158</v>
      </c>
      <c r="F43" s="17" t="s">
        <v>158</v>
      </c>
      <c r="G43" s="17" t="b">
        <v>0</v>
      </c>
      <c r="H43" s="17" t="s">
        <v>162</v>
      </c>
      <c r="I43" s="17"/>
      <c r="J43" s="17"/>
      <c r="K43" s="17">
        <v>44</v>
      </c>
    </row>
    <row r="44" spans="1:11">
      <c r="A44" s="17" t="s">
        <v>1592</v>
      </c>
      <c r="B44" s="17" t="s">
        <v>391</v>
      </c>
      <c r="C44" s="17" t="s">
        <v>1943</v>
      </c>
      <c r="D44" s="17" t="s">
        <v>158</v>
      </c>
      <c r="E44" s="17" t="s">
        <v>158</v>
      </c>
      <c r="F44" s="17" t="s">
        <v>158</v>
      </c>
      <c r="G44" s="17" t="b">
        <v>0</v>
      </c>
      <c r="H44" s="17" t="s">
        <v>162</v>
      </c>
      <c r="I44" s="17"/>
      <c r="J44" s="17"/>
      <c r="K44" s="17">
        <v>45</v>
      </c>
    </row>
    <row r="45" spans="1:11">
      <c r="A45" s="17" t="s">
        <v>1595</v>
      </c>
      <c r="B45" s="17" t="s">
        <v>391</v>
      </c>
      <c r="C45" s="17" t="s">
        <v>1943</v>
      </c>
      <c r="D45" s="17" t="s">
        <v>158</v>
      </c>
      <c r="E45" s="17" t="s">
        <v>158</v>
      </c>
      <c r="F45" s="17" t="s">
        <v>158</v>
      </c>
      <c r="G45" s="17" t="b">
        <v>0</v>
      </c>
      <c r="H45" s="17" t="s">
        <v>162</v>
      </c>
      <c r="I45" s="17"/>
      <c r="J45" s="17"/>
      <c r="K45" s="17">
        <v>46</v>
      </c>
    </row>
    <row r="46" spans="1:11">
      <c r="A46" s="17" t="s">
        <v>1598</v>
      </c>
      <c r="B46" s="17" t="s">
        <v>391</v>
      </c>
      <c r="C46" s="17" t="s">
        <v>1943</v>
      </c>
      <c r="D46" s="17" t="s">
        <v>158</v>
      </c>
      <c r="E46" s="17" t="s">
        <v>158</v>
      </c>
      <c r="F46" s="17" t="s">
        <v>158</v>
      </c>
      <c r="G46" s="17" t="b">
        <v>0</v>
      </c>
      <c r="H46" s="17" t="s">
        <v>162</v>
      </c>
      <c r="I46" s="17"/>
      <c r="J46" s="17"/>
      <c r="K46" s="17">
        <v>47</v>
      </c>
    </row>
    <row r="47" spans="1:11">
      <c r="A47" s="17" t="s">
        <v>1601</v>
      </c>
      <c r="B47" s="17" t="s">
        <v>391</v>
      </c>
      <c r="C47" s="17" t="s">
        <v>1943</v>
      </c>
      <c r="D47" s="17" t="s">
        <v>158</v>
      </c>
      <c r="E47" s="17" t="s">
        <v>158</v>
      </c>
      <c r="F47" s="17" t="s">
        <v>158</v>
      </c>
      <c r="G47" s="17" t="b">
        <v>0</v>
      </c>
      <c r="H47" s="17" t="s">
        <v>162</v>
      </c>
      <c r="I47" s="17"/>
      <c r="J47" s="17"/>
      <c r="K47" s="17">
        <v>48</v>
      </c>
    </row>
    <row r="48" spans="1:11">
      <c r="A48" s="17" t="s">
        <v>1604</v>
      </c>
      <c r="B48" s="17" t="s">
        <v>391</v>
      </c>
      <c r="C48" s="17" t="s">
        <v>1943</v>
      </c>
      <c r="D48" s="17" t="s">
        <v>158</v>
      </c>
      <c r="E48" s="17" t="s">
        <v>158</v>
      </c>
      <c r="F48" s="17" t="s">
        <v>158</v>
      </c>
      <c r="G48" s="17" t="b">
        <v>0</v>
      </c>
      <c r="H48" s="17" t="s">
        <v>162</v>
      </c>
      <c r="I48" s="17"/>
      <c r="J48" s="17"/>
      <c r="K48" s="17">
        <v>49</v>
      </c>
    </row>
    <row r="49" spans="1:11">
      <c r="A49" s="17" t="s">
        <v>1607</v>
      </c>
      <c r="B49" s="17" t="s">
        <v>391</v>
      </c>
      <c r="C49" s="17" t="s">
        <v>1943</v>
      </c>
      <c r="D49" s="17" t="s">
        <v>158</v>
      </c>
      <c r="E49" s="17" t="s">
        <v>158</v>
      </c>
      <c r="F49" s="17" t="s">
        <v>158</v>
      </c>
      <c r="G49" s="17" t="b">
        <v>0</v>
      </c>
      <c r="H49" s="17" t="s">
        <v>162</v>
      </c>
      <c r="I49" s="17"/>
      <c r="J49" s="17"/>
      <c r="K49" s="17">
        <v>50</v>
      </c>
    </row>
    <row r="50" spans="1:11">
      <c r="A50" s="17" t="s">
        <v>1610</v>
      </c>
      <c r="B50" s="17" t="s">
        <v>391</v>
      </c>
      <c r="C50" s="17" t="s">
        <v>1943</v>
      </c>
      <c r="D50" s="17" t="s">
        <v>158</v>
      </c>
      <c r="E50" s="17" t="s">
        <v>158</v>
      </c>
      <c r="F50" s="17" t="s">
        <v>158</v>
      </c>
      <c r="G50" s="17" t="b">
        <v>0</v>
      </c>
      <c r="H50" s="17" t="s">
        <v>162</v>
      </c>
      <c r="I50" s="17"/>
      <c r="J50" s="17"/>
      <c r="K50" s="17">
        <v>51</v>
      </c>
    </row>
    <row r="51" spans="1:11">
      <c r="A51" s="17" t="s">
        <v>1613</v>
      </c>
      <c r="B51" s="17" t="s">
        <v>391</v>
      </c>
      <c r="C51" s="17" t="s">
        <v>1943</v>
      </c>
      <c r="D51" s="17" t="s">
        <v>158</v>
      </c>
      <c r="E51" s="17" t="s">
        <v>158</v>
      </c>
      <c r="F51" s="17" t="s">
        <v>158</v>
      </c>
      <c r="G51" s="17" t="b">
        <v>0</v>
      </c>
      <c r="H51" s="17" t="s">
        <v>162</v>
      </c>
      <c r="I51" s="17"/>
      <c r="J51" s="17"/>
      <c r="K51" s="17">
        <v>52</v>
      </c>
    </row>
    <row r="52" spans="1:11">
      <c r="A52" s="17" t="s">
        <v>1616</v>
      </c>
      <c r="B52" s="17" t="s">
        <v>391</v>
      </c>
      <c r="C52" s="17" t="s">
        <v>1937</v>
      </c>
      <c r="D52" s="17" t="s">
        <v>1938</v>
      </c>
      <c r="E52" s="17" t="s">
        <v>158</v>
      </c>
      <c r="F52" s="17" t="s">
        <v>158</v>
      </c>
      <c r="G52" s="17" t="b">
        <v>0</v>
      </c>
      <c r="H52" s="17" t="s">
        <v>162</v>
      </c>
      <c r="I52" s="17"/>
      <c r="J52" s="17"/>
      <c r="K52" s="17">
        <v>53</v>
      </c>
    </row>
    <row r="53" spans="1:11">
      <c r="A53" s="17" t="s">
        <v>1619</v>
      </c>
      <c r="B53" s="17" t="s">
        <v>391</v>
      </c>
      <c r="C53" s="17" t="s">
        <v>1943</v>
      </c>
      <c r="D53" s="17" t="s">
        <v>158</v>
      </c>
      <c r="E53" s="17" t="s">
        <v>158</v>
      </c>
      <c r="F53" s="17" t="s">
        <v>158</v>
      </c>
      <c r="G53" s="17" t="b">
        <v>0</v>
      </c>
      <c r="H53" s="17" t="s">
        <v>162</v>
      </c>
      <c r="I53" s="17"/>
      <c r="J53" s="17"/>
      <c r="K53" s="17">
        <v>54</v>
      </c>
    </row>
    <row r="54" spans="1:11">
      <c r="A54" s="17" t="s">
        <v>1622</v>
      </c>
      <c r="B54" s="17" t="s">
        <v>391</v>
      </c>
      <c r="C54" s="17" t="s">
        <v>1943</v>
      </c>
      <c r="D54" s="17" t="s">
        <v>158</v>
      </c>
      <c r="E54" s="17" t="s">
        <v>158</v>
      </c>
      <c r="F54" s="17" t="s">
        <v>158</v>
      </c>
      <c r="G54" s="17" t="b">
        <v>0</v>
      </c>
      <c r="H54" s="17" t="s">
        <v>162</v>
      </c>
      <c r="I54" s="17"/>
      <c r="J54" s="17"/>
      <c r="K54" s="17">
        <v>55</v>
      </c>
    </row>
    <row r="55" spans="1:11">
      <c r="A55" s="17" t="s">
        <v>1625</v>
      </c>
      <c r="B55" s="17" t="s">
        <v>391</v>
      </c>
      <c r="C55" s="17" t="s">
        <v>1943</v>
      </c>
      <c r="D55" s="17" t="s">
        <v>158</v>
      </c>
      <c r="E55" s="17" t="s">
        <v>158</v>
      </c>
      <c r="F55" s="17" t="s">
        <v>158</v>
      </c>
      <c r="G55" s="17" t="b">
        <v>0</v>
      </c>
      <c r="H55" s="17" t="s">
        <v>162</v>
      </c>
      <c r="I55" s="17"/>
      <c r="J55" s="17"/>
      <c r="K55" s="17">
        <v>56</v>
      </c>
    </row>
    <row r="56" spans="1:11">
      <c r="A56" s="17" t="s">
        <v>1628</v>
      </c>
      <c r="B56" s="17" t="s">
        <v>391</v>
      </c>
      <c r="C56" s="17" t="s">
        <v>1943</v>
      </c>
      <c r="D56" s="17" t="s">
        <v>158</v>
      </c>
      <c r="E56" s="17" t="s">
        <v>158</v>
      </c>
      <c r="F56" s="17" t="s">
        <v>158</v>
      </c>
      <c r="G56" s="17" t="b">
        <v>0</v>
      </c>
      <c r="H56" s="17" t="s">
        <v>162</v>
      </c>
      <c r="I56" s="17"/>
      <c r="J56" s="17"/>
      <c r="K56" s="17">
        <v>57</v>
      </c>
    </row>
    <row r="57" spans="1:11">
      <c r="A57" s="17" t="s">
        <v>1631</v>
      </c>
      <c r="B57" s="17" t="s">
        <v>391</v>
      </c>
      <c r="C57" s="17" t="s">
        <v>1943</v>
      </c>
      <c r="D57" s="17" t="s">
        <v>158</v>
      </c>
      <c r="E57" s="17" t="s">
        <v>158</v>
      </c>
      <c r="F57" s="17" t="s">
        <v>158</v>
      </c>
      <c r="G57" s="17" t="b">
        <v>0</v>
      </c>
      <c r="H57" s="17" t="s">
        <v>162</v>
      </c>
      <c r="I57" s="17"/>
      <c r="J57" s="17"/>
      <c r="K57" s="17">
        <v>58</v>
      </c>
    </row>
    <row r="58" spans="1:11">
      <c r="A58" s="17" t="s">
        <v>1634</v>
      </c>
      <c r="B58" s="17" t="s">
        <v>391</v>
      </c>
      <c r="C58" s="17" t="s">
        <v>1943</v>
      </c>
      <c r="D58" s="17" t="s">
        <v>158</v>
      </c>
      <c r="E58" s="17" t="s">
        <v>158</v>
      </c>
      <c r="F58" s="17" t="s">
        <v>158</v>
      </c>
      <c r="G58" s="17" t="b">
        <v>0</v>
      </c>
      <c r="H58" s="17" t="s">
        <v>162</v>
      </c>
      <c r="I58" s="17"/>
      <c r="J58" s="17"/>
      <c r="K58" s="17">
        <v>59</v>
      </c>
    </row>
    <row r="59" spans="1:11">
      <c r="A59" s="17" t="s">
        <v>1637</v>
      </c>
      <c r="B59" s="17" t="s">
        <v>391</v>
      </c>
      <c r="C59" s="17" t="s">
        <v>1943</v>
      </c>
      <c r="D59" s="17" t="s">
        <v>158</v>
      </c>
      <c r="E59" s="17" t="s">
        <v>158</v>
      </c>
      <c r="F59" s="17" t="s">
        <v>158</v>
      </c>
      <c r="G59" s="17" t="b">
        <v>0</v>
      </c>
      <c r="H59" s="17" t="s">
        <v>162</v>
      </c>
      <c r="I59" s="17"/>
      <c r="J59" s="17"/>
      <c r="K59" s="17">
        <v>60</v>
      </c>
    </row>
    <row r="60" spans="1:11">
      <c r="A60" s="17" t="s">
        <v>1640</v>
      </c>
      <c r="B60" s="17" t="s">
        <v>391</v>
      </c>
      <c r="C60" s="17" t="s">
        <v>1943</v>
      </c>
      <c r="D60" s="17" t="s">
        <v>158</v>
      </c>
      <c r="E60" s="17" t="s">
        <v>158</v>
      </c>
      <c r="F60" s="17" t="s">
        <v>158</v>
      </c>
      <c r="G60" s="17" t="b">
        <v>0</v>
      </c>
      <c r="H60" s="17" t="s">
        <v>162</v>
      </c>
      <c r="I60" s="17"/>
      <c r="J60" s="17"/>
      <c r="K60" s="17">
        <v>61</v>
      </c>
    </row>
    <row r="61" spans="1:11">
      <c r="A61" s="17" t="s">
        <v>1643</v>
      </c>
      <c r="B61" s="17" t="s">
        <v>391</v>
      </c>
      <c r="C61" s="17" t="s">
        <v>1943</v>
      </c>
      <c r="D61" s="17" t="s">
        <v>158</v>
      </c>
      <c r="E61" s="17" t="s">
        <v>158</v>
      </c>
      <c r="F61" s="17" t="s">
        <v>158</v>
      </c>
      <c r="G61" s="17" t="b">
        <v>0</v>
      </c>
      <c r="H61" s="17" t="s">
        <v>162</v>
      </c>
      <c r="I61" s="17"/>
      <c r="J61" s="17"/>
      <c r="K61" s="17">
        <v>62</v>
      </c>
    </row>
    <row r="62" spans="1:11">
      <c r="A62" s="17" t="s">
        <v>1646</v>
      </c>
      <c r="B62" s="17" t="s">
        <v>391</v>
      </c>
      <c r="C62" s="17" t="s">
        <v>1941</v>
      </c>
      <c r="D62" s="17" t="s">
        <v>1942</v>
      </c>
      <c r="E62" s="17" t="s">
        <v>158</v>
      </c>
      <c r="F62" s="17" t="s">
        <v>158</v>
      </c>
      <c r="G62" s="17" t="b">
        <v>0</v>
      </c>
      <c r="H62" s="17" t="s">
        <v>162</v>
      </c>
      <c r="I62" s="17"/>
      <c r="J62" s="17"/>
      <c r="K62" s="17">
        <v>63</v>
      </c>
    </row>
    <row r="63" spans="1:11">
      <c r="A63" s="17" t="s">
        <v>1649</v>
      </c>
      <c r="B63" s="17" t="s">
        <v>391</v>
      </c>
      <c r="C63" s="17" t="s">
        <v>1943</v>
      </c>
      <c r="D63" s="17" t="s">
        <v>158</v>
      </c>
      <c r="E63" s="17" t="s">
        <v>158</v>
      </c>
      <c r="F63" s="17" t="s">
        <v>158</v>
      </c>
      <c r="G63" s="17" t="b">
        <v>0</v>
      </c>
      <c r="H63" s="17" t="s">
        <v>162</v>
      </c>
      <c r="I63" s="17"/>
      <c r="J63" s="17"/>
      <c r="K63" s="17">
        <v>64</v>
      </c>
    </row>
    <row r="64" spans="1:11">
      <c r="A64" s="17" t="s">
        <v>1652</v>
      </c>
      <c r="B64" s="17" t="s">
        <v>391</v>
      </c>
      <c r="C64" s="17" t="s">
        <v>1939</v>
      </c>
      <c r="D64" s="31" t="s">
        <v>2657</v>
      </c>
      <c r="E64" s="17" t="s">
        <v>158</v>
      </c>
      <c r="F64" s="17" t="s">
        <v>158</v>
      </c>
      <c r="G64" s="17" t="b">
        <v>0</v>
      </c>
      <c r="H64" s="17" t="s">
        <v>162</v>
      </c>
      <c r="I64" s="17"/>
      <c r="J64" s="17"/>
      <c r="K64" s="17">
        <v>66</v>
      </c>
    </row>
    <row r="65" spans="1:11">
      <c r="A65" s="17" t="s">
        <v>1655</v>
      </c>
      <c r="B65" s="17" t="s">
        <v>391</v>
      </c>
      <c r="C65" s="17" t="s">
        <v>1945</v>
      </c>
      <c r="D65" s="17" t="s">
        <v>1938</v>
      </c>
      <c r="E65" s="17" t="s">
        <v>1946</v>
      </c>
      <c r="F65" s="17" t="s">
        <v>158</v>
      </c>
      <c r="G65" s="17" t="b">
        <v>0</v>
      </c>
      <c r="H65" s="17" t="s">
        <v>162</v>
      </c>
      <c r="I65" s="17"/>
      <c r="J65" s="17"/>
      <c r="K65" s="17">
        <v>67</v>
      </c>
    </row>
    <row r="66" spans="1:11">
      <c r="A66" s="17" t="s">
        <v>1658</v>
      </c>
      <c r="B66" s="17" t="s">
        <v>391</v>
      </c>
      <c r="C66" s="17" t="s">
        <v>1943</v>
      </c>
      <c r="D66" s="17" t="s">
        <v>158</v>
      </c>
      <c r="E66" s="17" t="s">
        <v>158</v>
      </c>
      <c r="F66" s="17" t="s">
        <v>158</v>
      </c>
      <c r="G66" s="17" t="b">
        <v>0</v>
      </c>
      <c r="H66" s="17" t="s">
        <v>162</v>
      </c>
      <c r="I66" s="17"/>
      <c r="J66" s="17"/>
      <c r="K66" s="17">
        <v>68</v>
      </c>
    </row>
    <row r="67" spans="1:11">
      <c r="A67" s="17" t="s">
        <v>1661</v>
      </c>
      <c r="B67" s="17" t="s">
        <v>391</v>
      </c>
      <c r="C67" s="17" t="s">
        <v>1943</v>
      </c>
      <c r="D67" s="17" t="s">
        <v>158</v>
      </c>
      <c r="E67" s="17" t="s">
        <v>158</v>
      </c>
      <c r="F67" s="17" t="s">
        <v>158</v>
      </c>
      <c r="G67" s="17" t="b">
        <v>0</v>
      </c>
      <c r="H67" s="17" t="s">
        <v>162</v>
      </c>
      <c r="I67" s="17"/>
      <c r="J67" s="17"/>
      <c r="K67" s="17">
        <v>72</v>
      </c>
    </row>
    <row r="68" spans="1:11">
      <c r="A68" s="17" t="s">
        <v>1664</v>
      </c>
      <c r="B68" s="17" t="s">
        <v>391</v>
      </c>
      <c r="C68" s="17" t="s">
        <v>1943</v>
      </c>
      <c r="D68" s="17" t="s">
        <v>158</v>
      </c>
      <c r="E68" s="17" t="s">
        <v>158</v>
      </c>
      <c r="F68" s="17" t="s">
        <v>158</v>
      </c>
      <c r="G68" s="17" t="b">
        <v>0</v>
      </c>
      <c r="H68" s="17" t="s">
        <v>162</v>
      </c>
      <c r="I68" s="17"/>
      <c r="J68" s="17"/>
      <c r="K68" s="17">
        <v>73</v>
      </c>
    </row>
    <row r="69" spans="1:11">
      <c r="A69" s="17" t="s">
        <v>1667</v>
      </c>
      <c r="B69" s="17" t="s">
        <v>391</v>
      </c>
      <c r="C69" s="17" t="s">
        <v>1939</v>
      </c>
      <c r="D69" s="31" t="s">
        <v>2657</v>
      </c>
      <c r="E69" s="17" t="s">
        <v>158</v>
      </c>
      <c r="F69" s="17" t="s">
        <v>158</v>
      </c>
      <c r="G69" s="17" t="b">
        <v>0</v>
      </c>
      <c r="H69" s="17" t="s">
        <v>162</v>
      </c>
      <c r="I69" s="17"/>
      <c r="J69" s="17"/>
      <c r="K69" s="17">
        <v>74</v>
      </c>
    </row>
    <row r="70" spans="1:11">
      <c r="A70" s="17" t="s">
        <v>1670</v>
      </c>
      <c r="B70" s="17" t="s">
        <v>391</v>
      </c>
      <c r="C70" s="17" t="s">
        <v>1943</v>
      </c>
      <c r="D70" s="17" t="s">
        <v>158</v>
      </c>
      <c r="E70" s="17" t="s">
        <v>158</v>
      </c>
      <c r="F70" s="17" t="s">
        <v>158</v>
      </c>
      <c r="G70" s="17" t="b">
        <v>0</v>
      </c>
      <c r="H70" s="17" t="s">
        <v>162</v>
      </c>
      <c r="I70" s="17"/>
      <c r="J70" s="17"/>
      <c r="K70" s="17">
        <v>78</v>
      </c>
    </row>
    <row r="71" spans="1:11">
      <c r="A71" s="17" t="s">
        <v>1673</v>
      </c>
      <c r="B71" s="17" t="s">
        <v>391</v>
      </c>
      <c r="C71" s="17" t="s">
        <v>1943</v>
      </c>
      <c r="D71" s="17" t="s">
        <v>158</v>
      </c>
      <c r="E71" s="17" t="s">
        <v>158</v>
      </c>
      <c r="F71" s="17" t="s">
        <v>158</v>
      </c>
      <c r="G71" s="17" t="b">
        <v>0</v>
      </c>
      <c r="H71" s="17" t="s">
        <v>162</v>
      </c>
      <c r="I71" s="17"/>
      <c r="J71" s="17"/>
      <c r="K71" s="17">
        <v>79</v>
      </c>
    </row>
    <row r="72" spans="1:11">
      <c r="A72" s="17" t="s">
        <v>1676</v>
      </c>
      <c r="B72" s="17" t="s">
        <v>391</v>
      </c>
      <c r="C72" s="17" t="s">
        <v>1943</v>
      </c>
      <c r="D72" s="17" t="s">
        <v>158</v>
      </c>
      <c r="E72" s="17" t="s">
        <v>158</v>
      </c>
      <c r="F72" s="17" t="s">
        <v>158</v>
      </c>
      <c r="G72" s="17" t="b">
        <v>0</v>
      </c>
      <c r="H72" s="17" t="s">
        <v>162</v>
      </c>
      <c r="I72" s="17"/>
      <c r="J72" s="17"/>
      <c r="K72" s="17">
        <v>80</v>
      </c>
    </row>
    <row r="73" spans="1:11">
      <c r="A73" s="17" t="s">
        <v>1679</v>
      </c>
      <c r="B73" s="17" t="s">
        <v>391</v>
      </c>
      <c r="C73" s="17" t="s">
        <v>1943</v>
      </c>
      <c r="D73" s="17" t="s">
        <v>158</v>
      </c>
      <c r="E73" s="17" t="s">
        <v>158</v>
      </c>
      <c r="F73" s="17" t="s">
        <v>158</v>
      </c>
      <c r="G73" s="17" t="b">
        <v>0</v>
      </c>
      <c r="H73" s="17" t="s">
        <v>162</v>
      </c>
      <c r="I73" s="17"/>
      <c r="J73" s="17"/>
      <c r="K73" s="17">
        <v>81</v>
      </c>
    </row>
    <row r="74" spans="1:11">
      <c r="A74" s="17" t="s">
        <v>1682</v>
      </c>
      <c r="B74" s="17" t="s">
        <v>391</v>
      </c>
      <c r="C74" s="17" t="s">
        <v>1943</v>
      </c>
      <c r="D74" s="17" t="s">
        <v>158</v>
      </c>
      <c r="E74" s="17" t="s">
        <v>158</v>
      </c>
      <c r="F74" s="17" t="s">
        <v>158</v>
      </c>
      <c r="G74" s="17" t="b">
        <v>0</v>
      </c>
      <c r="H74" s="17" t="s">
        <v>162</v>
      </c>
      <c r="I74" s="17"/>
      <c r="J74" s="17"/>
      <c r="K74" s="17">
        <v>82</v>
      </c>
    </row>
    <row r="75" spans="1:11">
      <c r="A75" s="17" t="s">
        <v>1685</v>
      </c>
      <c r="B75" s="17" t="s">
        <v>391</v>
      </c>
      <c r="C75" s="17" t="s">
        <v>1943</v>
      </c>
      <c r="D75" s="17" t="s">
        <v>158</v>
      </c>
      <c r="E75" s="17" t="s">
        <v>158</v>
      </c>
      <c r="F75" s="17" t="s">
        <v>158</v>
      </c>
      <c r="G75" s="17" t="b">
        <v>0</v>
      </c>
      <c r="H75" s="17" t="s">
        <v>162</v>
      </c>
      <c r="I75" s="17"/>
      <c r="J75" s="17"/>
      <c r="K75" s="17">
        <v>84</v>
      </c>
    </row>
    <row r="76" spans="1:11">
      <c r="A76" s="17" t="s">
        <v>1688</v>
      </c>
      <c r="B76" s="17" t="s">
        <v>391</v>
      </c>
      <c r="C76" s="17" t="s">
        <v>1939</v>
      </c>
      <c r="D76" s="31" t="s">
        <v>2657</v>
      </c>
      <c r="E76" s="17" t="s">
        <v>158</v>
      </c>
      <c r="F76" s="17" t="s">
        <v>158</v>
      </c>
      <c r="G76" s="17" t="b">
        <v>0</v>
      </c>
      <c r="H76" s="17" t="s">
        <v>162</v>
      </c>
      <c r="I76" s="17"/>
      <c r="J76" s="17"/>
      <c r="K76" s="17">
        <v>85</v>
      </c>
    </row>
    <row r="77" spans="1:11">
      <c r="A77" s="17" t="s">
        <v>1691</v>
      </c>
      <c r="B77" s="17" t="s">
        <v>391</v>
      </c>
      <c r="C77" s="17" t="s">
        <v>1943</v>
      </c>
      <c r="D77" s="17" t="s">
        <v>158</v>
      </c>
      <c r="E77" s="17" t="s">
        <v>158</v>
      </c>
      <c r="F77" s="17" t="s">
        <v>158</v>
      </c>
      <c r="G77" s="17" t="b">
        <v>0</v>
      </c>
      <c r="H77" s="17" t="s">
        <v>162</v>
      </c>
      <c r="I77" s="17"/>
      <c r="J77" s="17"/>
      <c r="K77" s="17">
        <v>87</v>
      </c>
    </row>
    <row r="78" spans="1:11">
      <c r="A78" s="17" t="s">
        <v>1695</v>
      </c>
      <c r="B78" s="17" t="s">
        <v>391</v>
      </c>
      <c r="C78" s="17" t="s">
        <v>1943</v>
      </c>
      <c r="D78" s="17" t="s">
        <v>158</v>
      </c>
      <c r="E78" s="17" t="s">
        <v>158</v>
      </c>
      <c r="F78" s="17" t="s">
        <v>158</v>
      </c>
      <c r="G78" s="17" t="b">
        <v>0</v>
      </c>
      <c r="H78" s="17" t="s">
        <v>162</v>
      </c>
      <c r="I78" s="17"/>
      <c r="J78" s="17"/>
      <c r="K78" s="17">
        <v>88</v>
      </c>
    </row>
    <row r="79" spans="1:11">
      <c r="A79" s="17" t="s">
        <v>1698</v>
      </c>
      <c r="B79" s="17" t="s">
        <v>391</v>
      </c>
      <c r="C79" s="17" t="s">
        <v>1943</v>
      </c>
      <c r="D79" s="17" t="s">
        <v>158</v>
      </c>
      <c r="E79" s="17" t="s">
        <v>158</v>
      </c>
      <c r="F79" s="17" t="s">
        <v>158</v>
      </c>
      <c r="G79" s="17" t="b">
        <v>0</v>
      </c>
      <c r="H79" s="17" t="s">
        <v>162</v>
      </c>
      <c r="I79" s="17"/>
      <c r="J79" s="17"/>
      <c r="K79" s="17">
        <v>90</v>
      </c>
    </row>
    <row r="80" spans="1:11">
      <c r="A80" s="17" t="s">
        <v>1701</v>
      </c>
      <c r="B80" s="17" t="s">
        <v>391</v>
      </c>
      <c r="C80" s="17" t="s">
        <v>1943</v>
      </c>
      <c r="D80" s="17" t="s">
        <v>158</v>
      </c>
      <c r="E80" s="17" t="s">
        <v>158</v>
      </c>
      <c r="F80" s="17" t="s">
        <v>158</v>
      </c>
      <c r="G80" s="17" t="b">
        <v>0</v>
      </c>
      <c r="H80" s="17" t="s">
        <v>162</v>
      </c>
      <c r="I80" s="17"/>
      <c r="J80" s="17"/>
      <c r="K80" s="17">
        <v>91</v>
      </c>
    </row>
    <row r="81" spans="1:11">
      <c r="A81" s="17" t="s">
        <v>1704</v>
      </c>
      <c r="B81" s="17" t="s">
        <v>391</v>
      </c>
      <c r="C81" s="17" t="s">
        <v>1943</v>
      </c>
      <c r="D81" s="17" t="s">
        <v>158</v>
      </c>
      <c r="E81" s="17" t="s">
        <v>158</v>
      </c>
      <c r="F81" s="17" t="s">
        <v>158</v>
      </c>
      <c r="G81" s="17" t="b">
        <v>0</v>
      </c>
      <c r="H81" s="17" t="s">
        <v>162</v>
      </c>
      <c r="I81" s="17"/>
      <c r="J81" s="17"/>
      <c r="K81" s="17">
        <v>93</v>
      </c>
    </row>
    <row r="82" spans="1:11">
      <c r="A82" s="17" t="s">
        <v>1707</v>
      </c>
      <c r="B82" s="17" t="s">
        <v>391</v>
      </c>
      <c r="C82" s="17" t="s">
        <v>1943</v>
      </c>
      <c r="D82" s="17" t="s">
        <v>158</v>
      </c>
      <c r="E82" s="17" t="s">
        <v>158</v>
      </c>
      <c r="F82" s="17" t="s">
        <v>158</v>
      </c>
      <c r="G82" s="17" t="b">
        <v>0</v>
      </c>
      <c r="H82" s="17" t="s">
        <v>162</v>
      </c>
      <c r="I82" s="17"/>
      <c r="J82" s="17"/>
      <c r="K82" s="17">
        <v>94</v>
      </c>
    </row>
    <row r="83" spans="1:11">
      <c r="A83" s="17" t="s">
        <v>1710</v>
      </c>
      <c r="B83" s="17" t="s">
        <v>391</v>
      </c>
      <c r="C83" s="17" t="s">
        <v>1939</v>
      </c>
      <c r="D83" s="31" t="s">
        <v>2657</v>
      </c>
      <c r="E83" s="17" t="s">
        <v>158</v>
      </c>
      <c r="F83" s="17" t="s">
        <v>158</v>
      </c>
      <c r="G83" s="17" t="b">
        <v>0</v>
      </c>
      <c r="H83" s="17" t="s">
        <v>162</v>
      </c>
      <c r="I83" s="17"/>
      <c r="J83" s="17"/>
      <c r="K83" s="17">
        <v>95</v>
      </c>
    </row>
    <row r="84" spans="1:11">
      <c r="A84" s="17" t="s">
        <v>1713</v>
      </c>
      <c r="B84" s="17" t="s">
        <v>391</v>
      </c>
      <c r="C84" s="17" t="s">
        <v>1943</v>
      </c>
      <c r="D84" s="17" t="s">
        <v>158</v>
      </c>
      <c r="E84" s="17" t="s">
        <v>158</v>
      </c>
      <c r="F84" s="17" t="s">
        <v>158</v>
      </c>
      <c r="G84" s="17" t="b">
        <v>0</v>
      </c>
      <c r="H84" s="17" t="s">
        <v>162</v>
      </c>
      <c r="I84" s="17"/>
      <c r="J84" s="17"/>
      <c r="K84" s="17">
        <v>97</v>
      </c>
    </row>
    <row r="85" spans="1:11">
      <c r="A85" s="17" t="s">
        <v>1716</v>
      </c>
      <c r="B85" s="17" t="s">
        <v>391</v>
      </c>
      <c r="C85" s="17" t="s">
        <v>1939</v>
      </c>
      <c r="D85" s="17" t="s">
        <v>1940</v>
      </c>
      <c r="E85" s="17" t="s">
        <v>158</v>
      </c>
      <c r="F85" s="17" t="s">
        <v>158</v>
      </c>
      <c r="G85" s="17" t="b">
        <v>1</v>
      </c>
      <c r="H85" s="17" t="s">
        <v>162</v>
      </c>
      <c r="I85" s="17"/>
      <c r="J85" s="17"/>
      <c r="K85" s="17">
        <v>98</v>
      </c>
    </row>
    <row r="86" spans="1:11">
      <c r="A86" s="17" t="s">
        <v>1719</v>
      </c>
      <c r="B86" s="17" t="s">
        <v>391</v>
      </c>
      <c r="C86" s="17" t="s">
        <v>1947</v>
      </c>
      <c r="D86" s="17" t="s">
        <v>158</v>
      </c>
      <c r="E86" s="17" t="s">
        <v>1948</v>
      </c>
      <c r="F86" s="17" t="s">
        <v>158</v>
      </c>
      <c r="G86" s="17" t="b">
        <v>0</v>
      </c>
      <c r="H86" s="17" t="s">
        <v>162</v>
      </c>
      <c r="I86" s="17"/>
      <c r="J86" s="17"/>
      <c r="K86" s="17">
        <v>103</v>
      </c>
    </row>
    <row r="87" spans="1:11">
      <c r="A87" s="17" t="s">
        <v>1722</v>
      </c>
      <c r="B87" s="17" t="s">
        <v>391</v>
      </c>
      <c r="C87" s="17" t="s">
        <v>1937</v>
      </c>
      <c r="D87" s="17" t="s">
        <v>1938</v>
      </c>
      <c r="E87" s="17" t="s">
        <v>158</v>
      </c>
      <c r="F87" s="17" t="s">
        <v>158</v>
      </c>
      <c r="G87" s="17" t="b">
        <v>0</v>
      </c>
      <c r="H87" s="17" t="s">
        <v>162</v>
      </c>
      <c r="I87" s="17"/>
      <c r="J87" s="17"/>
      <c r="K87" s="17">
        <v>106</v>
      </c>
    </row>
    <row r="88" spans="1:11">
      <c r="A88" s="17" t="s">
        <v>1725</v>
      </c>
      <c r="B88" s="17" t="s">
        <v>391</v>
      </c>
      <c r="C88" s="17" t="s">
        <v>1949</v>
      </c>
      <c r="D88" s="17" t="s">
        <v>158</v>
      </c>
      <c r="E88" s="17" t="s">
        <v>1950</v>
      </c>
      <c r="F88" s="17" t="s">
        <v>158</v>
      </c>
      <c r="G88" s="17" t="b">
        <v>0</v>
      </c>
      <c r="H88" s="17" t="s">
        <v>162</v>
      </c>
      <c r="I88" s="17"/>
      <c r="J88" s="17"/>
      <c r="K88" s="17">
        <v>108</v>
      </c>
    </row>
    <row r="89" spans="1:11">
      <c r="A89" s="17" t="s">
        <v>1728</v>
      </c>
      <c r="B89" s="17" t="s">
        <v>391</v>
      </c>
      <c r="C89" s="17" t="s">
        <v>1949</v>
      </c>
      <c r="D89" s="17" t="s">
        <v>158</v>
      </c>
      <c r="E89" s="17" t="s">
        <v>1950</v>
      </c>
      <c r="F89" s="17" t="s">
        <v>158</v>
      </c>
      <c r="G89" s="17" t="b">
        <v>0</v>
      </c>
      <c r="H89" s="17" t="s">
        <v>162</v>
      </c>
      <c r="I89" s="17"/>
      <c r="J89" s="17"/>
      <c r="K89" s="17">
        <v>112</v>
      </c>
    </row>
    <row r="90" spans="1:11">
      <c r="A90" s="17" t="s">
        <v>1732</v>
      </c>
      <c r="B90" s="17" t="s">
        <v>391</v>
      </c>
      <c r="C90" s="17" t="s">
        <v>1937</v>
      </c>
      <c r="D90" s="17" t="s">
        <v>1938</v>
      </c>
      <c r="E90" s="17" t="s">
        <v>158</v>
      </c>
      <c r="F90" s="17" t="s">
        <v>158</v>
      </c>
      <c r="G90" s="17" t="b">
        <v>0</v>
      </c>
      <c r="H90" s="17" t="s">
        <v>162</v>
      </c>
      <c r="I90" s="17"/>
      <c r="J90" s="17"/>
      <c r="K90" s="17">
        <v>113</v>
      </c>
    </row>
    <row r="91" spans="1:11">
      <c r="A91" s="17" t="s">
        <v>1735</v>
      </c>
      <c r="B91" s="17" t="s">
        <v>391</v>
      </c>
      <c r="C91" s="17" t="s">
        <v>1943</v>
      </c>
      <c r="D91" s="17" t="s">
        <v>158</v>
      </c>
      <c r="E91" s="17" t="s">
        <v>158</v>
      </c>
      <c r="F91" s="17" t="s">
        <v>158</v>
      </c>
      <c r="G91" s="17" t="b">
        <v>0</v>
      </c>
      <c r="H91" s="17" t="s">
        <v>162</v>
      </c>
      <c r="I91" s="17"/>
      <c r="J91" s="17"/>
      <c r="K91" s="17">
        <v>114</v>
      </c>
    </row>
    <row r="92" spans="1:11">
      <c r="A92" s="17" t="s">
        <v>1738</v>
      </c>
      <c r="B92" s="17" t="s">
        <v>391</v>
      </c>
      <c r="C92" s="17" t="s">
        <v>1943</v>
      </c>
      <c r="D92" s="17" t="s">
        <v>158</v>
      </c>
      <c r="E92" s="17" t="s">
        <v>158</v>
      </c>
      <c r="F92" s="17" t="s">
        <v>158</v>
      </c>
      <c r="G92" s="17" t="b">
        <v>0</v>
      </c>
      <c r="H92" s="17" t="s">
        <v>162</v>
      </c>
      <c r="I92" s="17"/>
      <c r="J92" s="17"/>
      <c r="K92" s="17">
        <v>115</v>
      </c>
    </row>
    <row r="93" spans="1:11">
      <c r="A93" s="17" t="s">
        <v>1741</v>
      </c>
      <c r="B93" s="17" t="s">
        <v>391</v>
      </c>
      <c r="C93" s="17" t="s">
        <v>1943</v>
      </c>
      <c r="D93" s="17" t="s">
        <v>158</v>
      </c>
      <c r="E93" s="17" t="s">
        <v>158</v>
      </c>
      <c r="F93" s="17" t="s">
        <v>158</v>
      </c>
      <c r="G93" s="17" t="b">
        <v>0</v>
      </c>
      <c r="H93" s="17" t="s">
        <v>162</v>
      </c>
      <c r="I93" s="17"/>
      <c r="J93" s="17"/>
      <c r="K93" s="17">
        <v>116</v>
      </c>
    </row>
    <row r="94" spans="1:11">
      <c r="A94" s="17" t="s">
        <v>1744</v>
      </c>
      <c r="B94" s="17" t="s">
        <v>391</v>
      </c>
      <c r="C94" s="17" t="s">
        <v>1943</v>
      </c>
      <c r="D94" s="17" t="s">
        <v>158</v>
      </c>
      <c r="E94" s="17" t="s">
        <v>158</v>
      </c>
      <c r="F94" s="17" t="s">
        <v>158</v>
      </c>
      <c r="G94" s="17" t="b">
        <v>0</v>
      </c>
      <c r="H94" s="17" t="s">
        <v>162</v>
      </c>
      <c r="I94" s="17"/>
      <c r="J94" s="17"/>
      <c r="K94" s="17">
        <v>119</v>
      </c>
    </row>
    <row r="95" spans="1:11">
      <c r="A95" s="17" t="s">
        <v>1747</v>
      </c>
      <c r="B95" s="17" t="s">
        <v>391</v>
      </c>
      <c r="C95" s="17" t="s">
        <v>1949</v>
      </c>
      <c r="D95" s="17" t="s">
        <v>158</v>
      </c>
      <c r="E95" s="17" t="s">
        <v>1950</v>
      </c>
      <c r="F95" s="17" t="s">
        <v>158</v>
      </c>
      <c r="G95" s="17" t="b">
        <v>0</v>
      </c>
      <c r="H95" s="17" t="s">
        <v>162</v>
      </c>
      <c r="I95" s="17"/>
      <c r="J95" s="17"/>
      <c r="K95" s="17">
        <v>120</v>
      </c>
    </row>
    <row r="96" spans="1:11">
      <c r="A96" s="17" t="s">
        <v>1750</v>
      </c>
      <c r="B96" s="17" t="s">
        <v>391</v>
      </c>
      <c r="C96" s="17" t="s">
        <v>1939</v>
      </c>
      <c r="D96" s="17" t="s">
        <v>1940</v>
      </c>
      <c r="E96" s="17" t="s">
        <v>158</v>
      </c>
      <c r="F96" s="17" t="s">
        <v>158</v>
      </c>
      <c r="G96" s="17" t="b">
        <v>1</v>
      </c>
      <c r="H96" s="17" t="s">
        <v>162</v>
      </c>
      <c r="I96" s="17"/>
      <c r="J96" s="17"/>
      <c r="K96" s="17">
        <v>122</v>
      </c>
    </row>
    <row r="97" spans="1:11">
      <c r="A97" s="17" t="s">
        <v>1753</v>
      </c>
      <c r="B97" s="17" t="s">
        <v>391</v>
      </c>
      <c r="C97" s="31" t="s">
        <v>2656</v>
      </c>
      <c r="D97" s="31" t="s">
        <v>2657</v>
      </c>
      <c r="E97" s="17" t="s">
        <v>1944</v>
      </c>
      <c r="F97" s="17" t="s">
        <v>158</v>
      </c>
      <c r="G97" s="17" t="b">
        <v>0</v>
      </c>
      <c r="H97" s="17" t="s">
        <v>162</v>
      </c>
      <c r="I97" s="17"/>
      <c r="J97" s="17"/>
      <c r="K97" s="17">
        <v>123</v>
      </c>
    </row>
    <row r="98" spans="1:11">
      <c r="A98" s="17" t="s">
        <v>1756</v>
      </c>
      <c r="B98" s="17" t="s">
        <v>391</v>
      </c>
      <c r="C98" s="17" t="s">
        <v>1949</v>
      </c>
      <c r="D98" s="17" t="s">
        <v>158</v>
      </c>
      <c r="E98" s="17" t="s">
        <v>1950</v>
      </c>
      <c r="F98" s="17" t="s">
        <v>158</v>
      </c>
      <c r="G98" s="17" t="b">
        <v>0</v>
      </c>
      <c r="H98" s="17" t="s">
        <v>162</v>
      </c>
      <c r="I98" s="17"/>
      <c r="J98" s="17"/>
      <c r="K98" s="17">
        <v>125</v>
      </c>
    </row>
    <row r="99" spans="1:11">
      <c r="A99" s="17" t="s">
        <v>1759</v>
      </c>
      <c r="B99" s="17" t="s">
        <v>391</v>
      </c>
      <c r="C99" s="17" t="s">
        <v>1939</v>
      </c>
      <c r="D99" s="31" t="s">
        <v>2657</v>
      </c>
      <c r="E99" s="17" t="s">
        <v>158</v>
      </c>
      <c r="F99" s="17" t="s">
        <v>158</v>
      </c>
      <c r="G99" s="17" t="b">
        <v>0</v>
      </c>
      <c r="H99" s="17" t="s">
        <v>162</v>
      </c>
      <c r="I99" s="17"/>
      <c r="J99" s="17"/>
      <c r="K99" s="17">
        <v>127</v>
      </c>
    </row>
    <row r="100" spans="1:11">
      <c r="A100" s="17" t="s">
        <v>1762</v>
      </c>
      <c r="B100" s="17" t="s">
        <v>391</v>
      </c>
      <c r="C100" s="17" t="s">
        <v>1937</v>
      </c>
      <c r="D100" s="17" t="s">
        <v>1938</v>
      </c>
      <c r="E100" s="17" t="s">
        <v>158</v>
      </c>
      <c r="F100" s="17" t="s">
        <v>158</v>
      </c>
      <c r="G100" s="17" t="b">
        <v>0</v>
      </c>
      <c r="H100" s="17" t="s">
        <v>162</v>
      </c>
      <c r="I100" s="17"/>
      <c r="J100" s="17"/>
      <c r="K100" s="17">
        <v>131</v>
      </c>
    </row>
    <row r="101" spans="1:11">
      <c r="A101" s="17" t="s">
        <v>1765</v>
      </c>
      <c r="B101" s="17" t="s">
        <v>391</v>
      </c>
      <c r="C101" s="17" t="s">
        <v>1943</v>
      </c>
      <c r="D101" s="17" t="s">
        <v>158</v>
      </c>
      <c r="E101" s="17" t="s">
        <v>158</v>
      </c>
      <c r="F101" s="17" t="s">
        <v>158</v>
      </c>
      <c r="G101" s="17" t="b">
        <v>0</v>
      </c>
      <c r="H101" s="17" t="s">
        <v>162</v>
      </c>
      <c r="I101" s="17"/>
      <c r="J101" s="17"/>
      <c r="K101" s="17">
        <v>134</v>
      </c>
    </row>
    <row r="102" spans="1:11">
      <c r="A102" s="17" t="s">
        <v>1768</v>
      </c>
      <c r="B102" s="17" t="s">
        <v>391</v>
      </c>
      <c r="C102" s="17" t="s">
        <v>1949</v>
      </c>
      <c r="D102" s="17" t="s">
        <v>158</v>
      </c>
      <c r="E102" s="17" t="s">
        <v>1950</v>
      </c>
      <c r="F102" s="17" t="s">
        <v>158</v>
      </c>
      <c r="G102" s="17" t="b">
        <v>0</v>
      </c>
      <c r="H102" s="17" t="s">
        <v>162</v>
      </c>
      <c r="I102" s="17"/>
      <c r="J102" s="17"/>
      <c r="K102" s="17">
        <v>135</v>
      </c>
    </row>
    <row r="103" spans="1:11">
      <c r="A103" s="17" t="s">
        <v>1771</v>
      </c>
      <c r="B103" s="17" t="s">
        <v>391</v>
      </c>
      <c r="C103" s="17" t="s">
        <v>1943</v>
      </c>
      <c r="D103" s="17" t="s">
        <v>158</v>
      </c>
      <c r="E103" s="17" t="s">
        <v>158</v>
      </c>
      <c r="F103" s="17" t="s">
        <v>158</v>
      </c>
      <c r="G103" s="17" t="b">
        <v>0</v>
      </c>
      <c r="H103" s="17" t="s">
        <v>162</v>
      </c>
      <c r="I103" s="17"/>
      <c r="J103" s="17"/>
      <c r="K103" s="17">
        <v>137</v>
      </c>
    </row>
    <row r="104" spans="1:11">
      <c r="A104" s="17" t="s">
        <v>1774</v>
      </c>
      <c r="B104" s="17" t="s">
        <v>391</v>
      </c>
      <c r="C104" s="17" t="s">
        <v>1943</v>
      </c>
      <c r="D104" s="17" t="s">
        <v>158</v>
      </c>
      <c r="E104" s="17" t="s">
        <v>158</v>
      </c>
      <c r="F104" s="17" t="s">
        <v>158</v>
      </c>
      <c r="G104" s="17" t="b">
        <v>0</v>
      </c>
      <c r="H104" s="17" t="s">
        <v>162</v>
      </c>
      <c r="I104" s="17"/>
      <c r="J104" s="17"/>
      <c r="K104" s="17">
        <v>138</v>
      </c>
    </row>
    <row r="105" spans="1:11">
      <c r="A105" s="17" t="s">
        <v>1777</v>
      </c>
      <c r="B105" s="17" t="s">
        <v>391</v>
      </c>
      <c r="C105" s="17" t="s">
        <v>1939</v>
      </c>
      <c r="D105" s="31" t="s">
        <v>2657</v>
      </c>
      <c r="E105" s="17" t="s">
        <v>158</v>
      </c>
      <c r="F105" s="17" t="s">
        <v>158</v>
      </c>
      <c r="G105" s="17" t="b">
        <v>0</v>
      </c>
      <c r="H105" s="17" t="s">
        <v>162</v>
      </c>
      <c r="I105" s="17"/>
      <c r="J105" s="17"/>
      <c r="K105" s="17">
        <v>139</v>
      </c>
    </row>
    <row r="106" spans="1:11">
      <c r="A106" s="17" t="s">
        <v>1780</v>
      </c>
      <c r="B106" s="17" t="s">
        <v>391</v>
      </c>
      <c r="C106" s="17" t="s">
        <v>1939</v>
      </c>
      <c r="D106" s="31" t="s">
        <v>2657</v>
      </c>
      <c r="E106" s="17" t="s">
        <v>158</v>
      </c>
      <c r="F106" s="17" t="s">
        <v>158</v>
      </c>
      <c r="G106" s="17" t="b">
        <v>0</v>
      </c>
      <c r="H106" s="17" t="s">
        <v>162</v>
      </c>
      <c r="I106" s="17"/>
      <c r="J106" s="17"/>
      <c r="K106" s="17">
        <v>140</v>
      </c>
    </row>
    <row r="107" spans="1:11">
      <c r="A107" s="17" t="s">
        <v>1783</v>
      </c>
      <c r="B107" s="17" t="s">
        <v>391</v>
      </c>
      <c r="C107" s="17" t="s">
        <v>1939</v>
      </c>
      <c r="D107" s="31" t="s">
        <v>2657</v>
      </c>
      <c r="E107" s="17" t="s">
        <v>158</v>
      </c>
      <c r="F107" s="17" t="s">
        <v>158</v>
      </c>
      <c r="G107" s="17" t="b">
        <v>0</v>
      </c>
      <c r="H107" s="17" t="s">
        <v>162</v>
      </c>
      <c r="I107" s="17"/>
      <c r="J107" s="17"/>
      <c r="K107" s="17">
        <v>141</v>
      </c>
    </row>
    <row r="108" spans="1:11">
      <c r="A108" s="17" t="s">
        <v>1786</v>
      </c>
      <c r="B108" s="17" t="s">
        <v>391</v>
      </c>
      <c r="C108" s="17" t="s">
        <v>1939</v>
      </c>
      <c r="D108" s="31" t="s">
        <v>2657</v>
      </c>
      <c r="E108" s="17" t="s">
        <v>158</v>
      </c>
      <c r="F108" s="17" t="s">
        <v>158</v>
      </c>
      <c r="G108" s="17" t="b">
        <v>0</v>
      </c>
      <c r="H108" s="17" t="s">
        <v>162</v>
      </c>
      <c r="I108" s="17"/>
      <c r="J108" s="17"/>
      <c r="K108" s="17">
        <v>142</v>
      </c>
    </row>
    <row r="109" spans="1:11">
      <c r="A109" s="17" t="s">
        <v>1789</v>
      </c>
      <c r="B109" s="17" t="s">
        <v>391</v>
      </c>
      <c r="C109" s="17" t="s">
        <v>1943</v>
      </c>
      <c r="D109" s="17" t="s">
        <v>158</v>
      </c>
      <c r="E109" s="17" t="s">
        <v>158</v>
      </c>
      <c r="F109" s="17" t="s">
        <v>158</v>
      </c>
      <c r="G109" s="17" t="b">
        <v>0</v>
      </c>
      <c r="H109" s="17" t="s">
        <v>162</v>
      </c>
      <c r="I109" s="17"/>
      <c r="J109" s="17"/>
      <c r="K109" s="17">
        <v>143</v>
      </c>
    </row>
    <row r="110" spans="1:11">
      <c r="A110" s="17" t="s">
        <v>1792</v>
      </c>
      <c r="B110" s="17" t="s">
        <v>391</v>
      </c>
      <c r="C110" s="17" t="s">
        <v>1943</v>
      </c>
      <c r="D110" s="17" t="s">
        <v>158</v>
      </c>
      <c r="E110" s="17" t="s">
        <v>158</v>
      </c>
      <c r="F110" s="17" t="s">
        <v>158</v>
      </c>
      <c r="G110" s="17" t="b">
        <v>0</v>
      </c>
      <c r="H110" s="17" t="s">
        <v>162</v>
      </c>
      <c r="I110" s="17"/>
      <c r="J110" s="17"/>
      <c r="K110" s="17">
        <v>144</v>
      </c>
    </row>
    <row r="111" spans="1:11">
      <c r="A111" s="17" t="s">
        <v>1795</v>
      </c>
      <c r="B111" s="17" t="s">
        <v>391</v>
      </c>
      <c r="C111" s="17" t="s">
        <v>1943</v>
      </c>
      <c r="D111" s="17" t="s">
        <v>158</v>
      </c>
      <c r="E111" s="17" t="s">
        <v>158</v>
      </c>
      <c r="F111" s="17" t="s">
        <v>158</v>
      </c>
      <c r="G111" s="17" t="b">
        <v>0</v>
      </c>
      <c r="H111" s="17" t="s">
        <v>162</v>
      </c>
      <c r="I111" s="17"/>
      <c r="J111" s="17"/>
      <c r="K111" s="17">
        <v>145</v>
      </c>
    </row>
    <row r="112" spans="1:11">
      <c r="A112" s="17" t="s">
        <v>1798</v>
      </c>
      <c r="B112" s="17" t="s">
        <v>391</v>
      </c>
      <c r="C112" s="17" t="s">
        <v>1943</v>
      </c>
      <c r="D112" s="17" t="s">
        <v>158</v>
      </c>
      <c r="E112" s="17" t="s">
        <v>158</v>
      </c>
      <c r="F112" s="17" t="s">
        <v>158</v>
      </c>
      <c r="G112" s="17" t="b">
        <v>0</v>
      </c>
      <c r="H112" s="17" t="s">
        <v>162</v>
      </c>
      <c r="I112" s="17"/>
      <c r="J112" s="17"/>
      <c r="K112" s="17">
        <v>146</v>
      </c>
    </row>
    <row r="113" spans="1:11">
      <c r="A113" s="17" t="s">
        <v>1801</v>
      </c>
      <c r="B113" s="17" t="s">
        <v>391</v>
      </c>
      <c r="C113" s="17" t="s">
        <v>1943</v>
      </c>
      <c r="D113" s="17" t="s">
        <v>158</v>
      </c>
      <c r="E113" s="17" t="s">
        <v>158</v>
      </c>
      <c r="F113" s="17" t="s">
        <v>158</v>
      </c>
      <c r="G113" s="17" t="b">
        <v>0</v>
      </c>
      <c r="H113" s="17" t="s">
        <v>162</v>
      </c>
      <c r="I113" s="17"/>
      <c r="J113" s="17"/>
      <c r="K113" s="17">
        <v>147</v>
      </c>
    </row>
    <row r="114" spans="1:11">
      <c r="A114" s="17" t="s">
        <v>1804</v>
      </c>
      <c r="B114" s="17" t="s">
        <v>391</v>
      </c>
      <c r="C114" s="17" t="s">
        <v>1943</v>
      </c>
      <c r="D114" s="17" t="s">
        <v>158</v>
      </c>
      <c r="E114" s="17" t="s">
        <v>158</v>
      </c>
      <c r="F114" s="17" t="s">
        <v>158</v>
      </c>
      <c r="G114" s="17" t="b">
        <v>0</v>
      </c>
      <c r="H114" s="17" t="s">
        <v>162</v>
      </c>
      <c r="I114" s="17"/>
      <c r="J114" s="17"/>
      <c r="K114" s="17">
        <v>148</v>
      </c>
    </row>
    <row r="115" spans="1:11">
      <c r="A115" s="17" t="s">
        <v>1807</v>
      </c>
      <c r="B115" s="17" t="s">
        <v>391</v>
      </c>
      <c r="C115" s="17" t="s">
        <v>1943</v>
      </c>
      <c r="D115" s="17" t="s">
        <v>158</v>
      </c>
      <c r="E115" s="17" t="s">
        <v>158</v>
      </c>
      <c r="F115" s="17" t="s">
        <v>158</v>
      </c>
      <c r="G115" s="17" t="b">
        <v>0</v>
      </c>
      <c r="H115" s="17" t="s">
        <v>162</v>
      </c>
      <c r="I115" s="17"/>
      <c r="J115" s="17"/>
      <c r="K115" s="17">
        <v>149</v>
      </c>
    </row>
    <row r="116" spans="1:11">
      <c r="A116" s="17" t="s">
        <v>1810</v>
      </c>
      <c r="B116" s="17" t="s">
        <v>391</v>
      </c>
      <c r="C116" s="17" t="s">
        <v>1943</v>
      </c>
      <c r="D116" s="17" t="s">
        <v>158</v>
      </c>
      <c r="E116" s="17" t="s">
        <v>158</v>
      </c>
      <c r="F116" s="17" t="s">
        <v>158</v>
      </c>
      <c r="G116" s="17" t="b">
        <v>0</v>
      </c>
      <c r="H116" s="17" t="s">
        <v>162</v>
      </c>
      <c r="I116" s="17"/>
      <c r="J116" s="17"/>
      <c r="K116" s="17">
        <v>150</v>
      </c>
    </row>
    <row r="117" spans="1:11">
      <c r="A117" s="17" t="s">
        <v>1813</v>
      </c>
      <c r="B117" s="17" t="s">
        <v>391</v>
      </c>
      <c r="C117" s="17" t="s">
        <v>1943</v>
      </c>
      <c r="D117" s="17" t="s">
        <v>158</v>
      </c>
      <c r="E117" s="17" t="s">
        <v>158</v>
      </c>
      <c r="F117" s="17" t="s">
        <v>158</v>
      </c>
      <c r="G117" s="17" t="b">
        <v>0</v>
      </c>
      <c r="H117" s="17" t="s">
        <v>162</v>
      </c>
      <c r="I117" s="17"/>
      <c r="J117" s="17"/>
      <c r="K117" s="17">
        <v>151</v>
      </c>
    </row>
    <row r="118" spans="1:11">
      <c r="A118" s="17" t="s">
        <v>1816</v>
      </c>
      <c r="B118" s="17" t="s">
        <v>391</v>
      </c>
      <c r="C118" s="17" t="s">
        <v>1943</v>
      </c>
      <c r="D118" s="17" t="s">
        <v>158</v>
      </c>
      <c r="E118" s="17" t="s">
        <v>158</v>
      </c>
      <c r="F118" s="17" t="s">
        <v>158</v>
      </c>
      <c r="G118" s="17" t="b">
        <v>0</v>
      </c>
      <c r="H118" s="17" t="s">
        <v>162</v>
      </c>
      <c r="I118" s="17"/>
      <c r="J118" s="17"/>
      <c r="K118" s="17">
        <v>152</v>
      </c>
    </row>
    <row r="119" spans="1:11">
      <c r="A119" s="17" t="s">
        <v>1819</v>
      </c>
      <c r="B119" s="17" t="s">
        <v>391</v>
      </c>
      <c r="C119" s="17" t="s">
        <v>1943</v>
      </c>
      <c r="D119" s="17" t="s">
        <v>158</v>
      </c>
      <c r="E119" s="17" t="s">
        <v>158</v>
      </c>
      <c r="F119" s="17" t="s">
        <v>158</v>
      </c>
      <c r="G119" s="17" t="b">
        <v>0</v>
      </c>
      <c r="H119" s="17" t="s">
        <v>162</v>
      </c>
      <c r="I119" s="17"/>
      <c r="J119" s="17"/>
      <c r="K119" s="17">
        <v>153</v>
      </c>
    </row>
    <row r="120" spans="1:11">
      <c r="A120" s="17" t="s">
        <v>1822</v>
      </c>
      <c r="B120" s="17" t="s">
        <v>391</v>
      </c>
      <c r="C120" s="17" t="s">
        <v>1943</v>
      </c>
      <c r="D120" s="17" t="s">
        <v>158</v>
      </c>
      <c r="E120" s="17" t="s">
        <v>158</v>
      </c>
      <c r="F120" s="17" t="s">
        <v>158</v>
      </c>
      <c r="G120" s="17" t="b">
        <v>0</v>
      </c>
      <c r="H120" s="17" t="s">
        <v>162</v>
      </c>
      <c r="I120" s="17"/>
      <c r="J120" s="17"/>
      <c r="K120" s="17">
        <v>154</v>
      </c>
    </row>
    <row r="121" spans="1:11">
      <c r="A121" s="17" t="s">
        <v>1825</v>
      </c>
      <c r="B121" s="17" t="s">
        <v>391</v>
      </c>
      <c r="C121" s="17" t="s">
        <v>1943</v>
      </c>
      <c r="D121" s="17" t="s">
        <v>158</v>
      </c>
      <c r="E121" s="17" t="s">
        <v>158</v>
      </c>
      <c r="F121" s="17" t="s">
        <v>158</v>
      </c>
      <c r="G121" s="17" t="b">
        <v>0</v>
      </c>
      <c r="H121" s="17" t="s">
        <v>162</v>
      </c>
      <c r="I121" s="17"/>
      <c r="J121" s="17"/>
      <c r="K121" s="17">
        <v>155</v>
      </c>
    </row>
    <row r="122" spans="1:11">
      <c r="A122" s="17" t="s">
        <v>1828</v>
      </c>
      <c r="B122" s="17" t="s">
        <v>391</v>
      </c>
      <c r="C122" s="17" t="s">
        <v>1943</v>
      </c>
      <c r="D122" s="17" t="s">
        <v>158</v>
      </c>
      <c r="E122" s="17" t="s">
        <v>158</v>
      </c>
      <c r="F122" s="17" t="s">
        <v>158</v>
      </c>
      <c r="G122" s="17" t="b">
        <v>0</v>
      </c>
      <c r="H122" s="17" t="s">
        <v>162</v>
      </c>
      <c r="I122" s="17"/>
      <c r="J122" s="17"/>
      <c r="K122" s="17">
        <v>156</v>
      </c>
    </row>
    <row r="123" spans="1:11">
      <c r="A123" s="17" t="s">
        <v>1831</v>
      </c>
      <c r="B123" s="17" t="s">
        <v>391</v>
      </c>
      <c r="C123" s="17" t="s">
        <v>1943</v>
      </c>
      <c r="D123" s="17" t="s">
        <v>158</v>
      </c>
      <c r="E123" s="17" t="s">
        <v>158</v>
      </c>
      <c r="F123" s="17" t="s">
        <v>158</v>
      </c>
      <c r="G123" s="17" t="b">
        <v>0</v>
      </c>
      <c r="H123" s="17" t="s">
        <v>162</v>
      </c>
      <c r="I123" s="17"/>
      <c r="J123" s="17"/>
      <c r="K123" s="17">
        <v>157</v>
      </c>
    </row>
    <row r="124" spans="1:11">
      <c r="A124" s="17" t="s">
        <v>1834</v>
      </c>
      <c r="B124" s="17" t="s">
        <v>391</v>
      </c>
      <c r="C124" s="17" t="s">
        <v>1943</v>
      </c>
      <c r="D124" s="17" t="s">
        <v>158</v>
      </c>
      <c r="E124" s="17" t="s">
        <v>158</v>
      </c>
      <c r="F124" s="17" t="s">
        <v>158</v>
      </c>
      <c r="G124" s="17" t="b">
        <v>0</v>
      </c>
      <c r="H124" s="17" t="s">
        <v>162</v>
      </c>
      <c r="I124" s="17"/>
      <c r="J124" s="17"/>
      <c r="K124" s="17">
        <v>158</v>
      </c>
    </row>
    <row r="125" spans="1:11">
      <c r="A125" s="17" t="s">
        <v>1837</v>
      </c>
      <c r="B125" s="17" t="s">
        <v>391</v>
      </c>
      <c r="C125" s="17" t="s">
        <v>1943</v>
      </c>
      <c r="D125" s="17" t="s">
        <v>158</v>
      </c>
      <c r="E125" s="17" t="s">
        <v>158</v>
      </c>
      <c r="F125" s="17" t="s">
        <v>158</v>
      </c>
      <c r="G125" s="17" t="b">
        <v>0</v>
      </c>
      <c r="H125" s="17" t="s">
        <v>162</v>
      </c>
      <c r="I125" s="17"/>
      <c r="J125" s="17"/>
      <c r="K125" s="17">
        <v>159</v>
      </c>
    </row>
    <row r="126" spans="1:11">
      <c r="A126" s="17" t="s">
        <v>1840</v>
      </c>
      <c r="B126" s="17" t="s">
        <v>391</v>
      </c>
      <c r="C126" s="17" t="s">
        <v>1943</v>
      </c>
      <c r="D126" s="17" t="s">
        <v>158</v>
      </c>
      <c r="E126" s="17" t="s">
        <v>158</v>
      </c>
      <c r="F126" s="17" t="s">
        <v>158</v>
      </c>
      <c r="G126" s="17" t="b">
        <v>0</v>
      </c>
      <c r="H126" s="17" t="s">
        <v>162</v>
      </c>
      <c r="I126" s="17"/>
      <c r="J126" s="17"/>
      <c r="K126" s="17">
        <v>160</v>
      </c>
    </row>
    <row r="127" spans="1:11">
      <c r="A127" s="17" t="s">
        <v>1843</v>
      </c>
      <c r="B127" s="17" t="s">
        <v>391</v>
      </c>
      <c r="C127" s="17" t="s">
        <v>1943</v>
      </c>
      <c r="D127" s="17" t="s">
        <v>158</v>
      </c>
      <c r="E127" s="17" t="s">
        <v>158</v>
      </c>
      <c r="F127" s="17" t="s">
        <v>158</v>
      </c>
      <c r="G127" s="17" t="b">
        <v>0</v>
      </c>
      <c r="H127" s="17" t="s">
        <v>162</v>
      </c>
      <c r="I127" s="17"/>
      <c r="J127" s="17"/>
      <c r="K127" s="17">
        <v>161</v>
      </c>
    </row>
    <row r="128" spans="1:11">
      <c r="A128" s="17" t="s">
        <v>1846</v>
      </c>
      <c r="B128" s="17" t="s">
        <v>391</v>
      </c>
      <c r="C128" s="17" t="s">
        <v>1943</v>
      </c>
      <c r="D128" s="17" t="s">
        <v>158</v>
      </c>
      <c r="E128" s="17" t="s">
        <v>158</v>
      </c>
      <c r="F128" s="17" t="s">
        <v>158</v>
      </c>
      <c r="G128" s="17" t="b">
        <v>0</v>
      </c>
      <c r="H128" s="17" t="s">
        <v>162</v>
      </c>
      <c r="I128" s="17"/>
      <c r="J128" s="17"/>
      <c r="K128" s="17">
        <v>162</v>
      </c>
    </row>
    <row r="129" spans="1:11">
      <c r="A129" s="17" t="s">
        <v>1849</v>
      </c>
      <c r="B129" s="17" t="s">
        <v>391</v>
      </c>
      <c r="C129" s="17" t="s">
        <v>1943</v>
      </c>
      <c r="D129" s="17" t="s">
        <v>158</v>
      </c>
      <c r="E129" s="17" t="s">
        <v>158</v>
      </c>
      <c r="F129" s="17" t="s">
        <v>158</v>
      </c>
      <c r="G129" s="17" t="b">
        <v>0</v>
      </c>
      <c r="H129" s="17" t="s">
        <v>162</v>
      </c>
      <c r="I129" s="17"/>
      <c r="J129" s="17"/>
      <c r="K129" s="17">
        <v>163</v>
      </c>
    </row>
    <row r="130" spans="1:11">
      <c r="A130" s="17" t="s">
        <v>1852</v>
      </c>
      <c r="B130" s="17" t="s">
        <v>391</v>
      </c>
      <c r="C130" s="17" t="s">
        <v>1939</v>
      </c>
      <c r="D130" s="31" t="s">
        <v>2657</v>
      </c>
      <c r="E130" s="17" t="s">
        <v>158</v>
      </c>
      <c r="F130" s="17" t="s">
        <v>158</v>
      </c>
      <c r="G130" s="17" t="b">
        <v>0</v>
      </c>
      <c r="H130" s="17" t="s">
        <v>162</v>
      </c>
      <c r="I130" s="17"/>
      <c r="J130" s="17"/>
      <c r="K130" s="17">
        <v>164</v>
      </c>
    </row>
    <row r="131" spans="1:11">
      <c r="A131" s="17" t="s">
        <v>1855</v>
      </c>
      <c r="B131" s="17" t="s">
        <v>391</v>
      </c>
      <c r="C131" s="17" t="s">
        <v>1943</v>
      </c>
      <c r="D131" s="17" t="s">
        <v>158</v>
      </c>
      <c r="E131" s="17" t="s">
        <v>158</v>
      </c>
      <c r="F131" s="17" t="s">
        <v>158</v>
      </c>
      <c r="G131" s="17" t="b">
        <v>0</v>
      </c>
      <c r="H131" s="17" t="s">
        <v>162</v>
      </c>
      <c r="I131" s="17"/>
      <c r="J131" s="17"/>
      <c r="K131" s="17">
        <v>173</v>
      </c>
    </row>
    <row r="132" spans="1:11">
      <c r="A132" s="17" t="s">
        <v>1860</v>
      </c>
      <c r="B132" s="17" t="s">
        <v>391</v>
      </c>
      <c r="C132" s="17" t="s">
        <v>1943</v>
      </c>
      <c r="D132" s="17" t="s">
        <v>158</v>
      </c>
      <c r="E132" s="17" t="s">
        <v>158</v>
      </c>
      <c r="F132" s="17" t="s">
        <v>158</v>
      </c>
      <c r="G132" s="17" t="b">
        <v>0</v>
      </c>
      <c r="H132" s="17" t="s">
        <v>162</v>
      </c>
      <c r="I132" s="17"/>
      <c r="J132" s="17"/>
      <c r="K132" s="17">
        <v>174</v>
      </c>
    </row>
    <row r="133" spans="1:11">
      <c r="A133" s="17" t="s">
        <v>1863</v>
      </c>
      <c r="B133" s="17" t="s">
        <v>391</v>
      </c>
      <c r="C133" s="17" t="s">
        <v>1943</v>
      </c>
      <c r="D133" s="17" t="s">
        <v>158</v>
      </c>
      <c r="E133" s="17" t="s">
        <v>158</v>
      </c>
      <c r="F133" s="17" t="s">
        <v>158</v>
      </c>
      <c r="G133" s="17" t="b">
        <v>0</v>
      </c>
      <c r="H133" s="17" t="s">
        <v>162</v>
      </c>
      <c r="I133" s="17"/>
      <c r="J133" s="17"/>
      <c r="K133" s="17">
        <v>175</v>
      </c>
    </row>
    <row r="134" spans="1:11">
      <c r="A134" s="17" t="s">
        <v>1866</v>
      </c>
      <c r="B134" s="17" t="s">
        <v>391</v>
      </c>
      <c r="C134" s="17" t="s">
        <v>1943</v>
      </c>
      <c r="D134" s="17" t="s">
        <v>158</v>
      </c>
      <c r="E134" s="17" t="s">
        <v>158</v>
      </c>
      <c r="F134" s="17" t="s">
        <v>158</v>
      </c>
      <c r="G134" s="17" t="b">
        <v>0</v>
      </c>
      <c r="H134" s="17" t="s">
        <v>162</v>
      </c>
      <c r="I134" s="17"/>
      <c r="J134" s="17"/>
      <c r="K134" s="17">
        <v>176</v>
      </c>
    </row>
    <row r="135" spans="1:11">
      <c r="A135" s="17" t="s">
        <v>1870</v>
      </c>
      <c r="B135" s="17" t="s">
        <v>391</v>
      </c>
      <c r="C135" s="17" t="s">
        <v>1943</v>
      </c>
      <c r="D135" s="17" t="s">
        <v>158</v>
      </c>
      <c r="E135" s="17" t="s">
        <v>158</v>
      </c>
      <c r="F135" s="17" t="s">
        <v>158</v>
      </c>
      <c r="G135" s="17" t="b">
        <v>0</v>
      </c>
      <c r="H135" s="17" t="s">
        <v>162</v>
      </c>
      <c r="I135" s="17"/>
      <c r="J135" s="17"/>
      <c r="K135" s="17">
        <v>177</v>
      </c>
    </row>
    <row r="136" spans="1:11">
      <c r="A136" s="17" t="s">
        <v>1873</v>
      </c>
      <c r="B136" s="17" t="s">
        <v>391</v>
      </c>
      <c r="C136" s="17" t="s">
        <v>1939</v>
      </c>
      <c r="D136" s="17" t="s">
        <v>1951</v>
      </c>
      <c r="E136" s="17" t="s">
        <v>158</v>
      </c>
      <c r="F136" s="17" t="s">
        <v>158</v>
      </c>
      <c r="G136" s="17" t="b">
        <v>1</v>
      </c>
      <c r="H136" s="17" t="s">
        <v>162</v>
      </c>
      <c r="I136" s="17"/>
      <c r="J136" s="17"/>
      <c r="K136" s="17">
        <v>165</v>
      </c>
    </row>
    <row r="137" spans="1:11">
      <c r="A137" s="17" t="s">
        <v>1877</v>
      </c>
      <c r="B137" s="17" t="s">
        <v>391</v>
      </c>
      <c r="C137" s="17" t="s">
        <v>1939</v>
      </c>
      <c r="D137" s="17" t="s">
        <v>1951</v>
      </c>
      <c r="E137" s="17" t="s">
        <v>158</v>
      </c>
      <c r="F137" s="17" t="s">
        <v>158</v>
      </c>
      <c r="G137" s="17" t="b">
        <v>1</v>
      </c>
      <c r="H137" s="17" t="s">
        <v>162</v>
      </c>
      <c r="I137" s="17"/>
      <c r="J137" s="17"/>
      <c r="K137" s="17">
        <v>166</v>
      </c>
    </row>
    <row r="138" spans="1:11">
      <c r="A138" s="17" t="s">
        <v>1880</v>
      </c>
      <c r="B138" s="17" t="s">
        <v>391</v>
      </c>
      <c r="C138" s="17" t="s">
        <v>1939</v>
      </c>
      <c r="D138" s="17" t="s">
        <v>1951</v>
      </c>
      <c r="E138" s="17" t="s">
        <v>158</v>
      </c>
      <c r="F138" s="17" t="s">
        <v>158</v>
      </c>
      <c r="G138" s="17" t="b">
        <v>1</v>
      </c>
      <c r="H138" s="17" t="s">
        <v>162</v>
      </c>
      <c r="I138" s="17"/>
      <c r="J138" s="17"/>
      <c r="K138" s="17">
        <v>167</v>
      </c>
    </row>
    <row r="139" spans="1:11">
      <c r="A139" s="17" t="s">
        <v>1884</v>
      </c>
      <c r="B139" s="17" t="s">
        <v>391</v>
      </c>
      <c r="C139" s="17" t="s">
        <v>1939</v>
      </c>
      <c r="D139" s="17" t="s">
        <v>1951</v>
      </c>
      <c r="E139" s="17" t="s">
        <v>158</v>
      </c>
      <c r="F139" s="17" t="s">
        <v>158</v>
      </c>
      <c r="G139" s="17" t="b">
        <v>1</v>
      </c>
      <c r="H139" s="17" t="s">
        <v>162</v>
      </c>
      <c r="I139" s="17"/>
      <c r="J139" s="17"/>
      <c r="K139" s="17">
        <v>168</v>
      </c>
    </row>
    <row r="140" spans="1:11">
      <c r="A140" s="17" t="s">
        <v>1887</v>
      </c>
      <c r="B140" s="17" t="s">
        <v>391</v>
      </c>
      <c r="C140" s="17" t="s">
        <v>1939</v>
      </c>
      <c r="D140" s="17" t="s">
        <v>1951</v>
      </c>
      <c r="E140" s="17" t="s">
        <v>158</v>
      </c>
      <c r="F140" s="17" t="s">
        <v>158</v>
      </c>
      <c r="G140" s="17" t="b">
        <v>1</v>
      </c>
      <c r="H140" s="17" t="s">
        <v>162</v>
      </c>
      <c r="I140" s="17"/>
      <c r="J140" s="17"/>
      <c r="K140" s="17">
        <v>169</v>
      </c>
    </row>
    <row r="141" spans="1:11">
      <c r="A141" s="17" t="s">
        <v>1890</v>
      </c>
      <c r="B141" s="17" t="s">
        <v>391</v>
      </c>
      <c r="C141" s="17" t="s">
        <v>1939</v>
      </c>
      <c r="D141" s="17" t="s">
        <v>1951</v>
      </c>
      <c r="E141" s="17" t="s">
        <v>158</v>
      </c>
      <c r="F141" s="17" t="s">
        <v>158</v>
      </c>
      <c r="G141" s="17" t="b">
        <v>1</v>
      </c>
      <c r="H141" s="17" t="s">
        <v>162</v>
      </c>
      <c r="I141" s="17"/>
      <c r="J141" s="17"/>
      <c r="K141" s="17">
        <v>170</v>
      </c>
    </row>
    <row r="142" spans="1:11">
      <c r="A142" s="17" t="s">
        <v>1893</v>
      </c>
      <c r="B142" s="17" t="s">
        <v>391</v>
      </c>
      <c r="C142" s="17" t="s">
        <v>1939</v>
      </c>
      <c r="D142" s="17" t="s">
        <v>1951</v>
      </c>
      <c r="E142" s="17" t="s">
        <v>158</v>
      </c>
      <c r="F142" s="17" t="s">
        <v>158</v>
      </c>
      <c r="G142" s="17" t="b">
        <v>1</v>
      </c>
      <c r="H142" s="17" t="s">
        <v>162</v>
      </c>
      <c r="I142" s="17"/>
      <c r="J142" s="17"/>
      <c r="K142" s="17">
        <v>171</v>
      </c>
    </row>
    <row r="143" spans="1:11">
      <c r="A143" s="17" t="s">
        <v>1897</v>
      </c>
      <c r="B143" s="17" t="s">
        <v>391</v>
      </c>
      <c r="C143" s="17" t="s">
        <v>1939</v>
      </c>
      <c r="D143" s="17" t="s">
        <v>1951</v>
      </c>
      <c r="E143" s="17" t="s">
        <v>158</v>
      </c>
      <c r="F143" s="17" t="s">
        <v>158</v>
      </c>
      <c r="G143" s="17" t="b">
        <v>1</v>
      </c>
      <c r="H143" s="17" t="s">
        <v>162</v>
      </c>
      <c r="I143" s="17"/>
      <c r="J143" s="17"/>
      <c r="K143" s="17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2645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2645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22" t="s">
        <v>2695</v>
      </c>
      <c r="D168" s="6" t="s">
        <v>158</v>
      </c>
      <c r="E168" s="22" t="s">
        <v>1986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2645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22" t="s">
        <v>1987</v>
      </c>
      <c r="B173" s="22" t="s">
        <v>391</v>
      </c>
      <c r="C173" s="22" t="s">
        <v>2696</v>
      </c>
      <c r="D173" s="22" t="s">
        <v>1951</v>
      </c>
      <c r="E173" s="22" t="s">
        <v>158</v>
      </c>
      <c r="F173" s="22" t="s">
        <v>158</v>
      </c>
      <c r="G173" s="22" t="b">
        <v>1</v>
      </c>
      <c r="H173" s="22" t="s">
        <v>162</v>
      </c>
      <c r="I173" s="7"/>
      <c r="J173" s="7"/>
      <c r="K173" s="22">
        <v>203</v>
      </c>
    </row>
    <row r="174" spans="1:11">
      <c r="A174" s="22" t="s">
        <v>1988</v>
      </c>
      <c r="B174" s="22" t="s">
        <v>391</v>
      </c>
      <c r="C174" s="22" t="s">
        <v>2696</v>
      </c>
      <c r="D174" s="22" t="s">
        <v>1951</v>
      </c>
      <c r="E174" s="22" t="s">
        <v>158</v>
      </c>
      <c r="F174" s="22" t="s">
        <v>158</v>
      </c>
      <c r="G174" s="22" t="b">
        <v>1</v>
      </c>
      <c r="H174" s="22" t="s">
        <v>162</v>
      </c>
      <c r="I174" s="7"/>
      <c r="J174" s="7"/>
      <c r="K174" s="22">
        <v>204</v>
      </c>
    </row>
    <row r="175" spans="1:11">
      <c r="A175" s="22" t="s">
        <v>1989</v>
      </c>
      <c r="B175" s="22" t="s">
        <v>391</v>
      </c>
      <c r="C175" s="22" t="s">
        <v>2696</v>
      </c>
      <c r="D175" s="22" t="s">
        <v>1951</v>
      </c>
      <c r="E175" s="22" t="s">
        <v>158</v>
      </c>
      <c r="F175" s="22" t="s">
        <v>158</v>
      </c>
      <c r="G175" s="22" t="b">
        <v>1</v>
      </c>
      <c r="H175" s="22" t="s">
        <v>162</v>
      </c>
      <c r="I175" s="7"/>
      <c r="J175" s="7"/>
      <c r="K175" s="22">
        <v>205</v>
      </c>
    </row>
    <row r="176" spans="1:11">
      <c r="A176" s="22" t="s">
        <v>1991</v>
      </c>
      <c r="B176" s="22" t="s">
        <v>391</v>
      </c>
      <c r="C176" s="22" t="s">
        <v>1943</v>
      </c>
      <c r="D176" s="22" t="s">
        <v>158</v>
      </c>
      <c r="E176" s="22" t="s">
        <v>158</v>
      </c>
      <c r="F176" s="22" t="s">
        <v>158</v>
      </c>
      <c r="G176" s="22" t="b">
        <v>1</v>
      </c>
      <c r="H176" s="22" t="s">
        <v>162</v>
      </c>
      <c r="I176" s="7"/>
      <c r="J176" s="7"/>
      <c r="K176" s="22">
        <v>206</v>
      </c>
    </row>
    <row r="177" spans="1:11">
      <c r="A177" s="22" t="s">
        <v>1992</v>
      </c>
      <c r="B177" s="22" t="s">
        <v>391</v>
      </c>
      <c r="C177" s="22" t="s">
        <v>1943</v>
      </c>
      <c r="D177" s="22" t="s">
        <v>158</v>
      </c>
      <c r="E177" s="22" t="s">
        <v>158</v>
      </c>
      <c r="F177" s="22" t="s">
        <v>158</v>
      </c>
      <c r="G177" s="22" t="b">
        <v>1</v>
      </c>
      <c r="H177" s="22" t="s">
        <v>162</v>
      </c>
      <c r="I177" s="7"/>
      <c r="J177" s="7"/>
      <c r="K177" s="22">
        <v>207</v>
      </c>
    </row>
    <row r="178" spans="1:11">
      <c r="A178" s="7" t="s">
        <v>2781</v>
      </c>
      <c r="B178" s="7" t="s">
        <v>391</v>
      </c>
      <c r="C178" s="7" t="s">
        <v>1939</v>
      </c>
      <c r="D178" s="7" t="s">
        <v>1940</v>
      </c>
      <c r="E178" s="7" t="s">
        <v>158</v>
      </c>
      <c r="F178" s="7" t="s">
        <v>158</v>
      </c>
      <c r="G178" s="7" t="b">
        <v>1</v>
      </c>
      <c r="H178" s="7" t="s">
        <v>162</v>
      </c>
      <c r="I178" s="7"/>
      <c r="J178" s="7"/>
      <c r="K178" s="7" t="s">
        <v>2785</v>
      </c>
    </row>
    <row r="179" spans="1:11">
      <c r="A179" s="7" t="s">
        <v>2786</v>
      </c>
      <c r="B179" s="7" t="s">
        <v>391</v>
      </c>
      <c r="C179" s="7" t="s">
        <v>1939</v>
      </c>
      <c r="D179" s="7" t="s">
        <v>1940</v>
      </c>
      <c r="E179" s="7" t="s">
        <v>158</v>
      </c>
      <c r="F179" s="7" t="s">
        <v>158</v>
      </c>
      <c r="G179" s="7" t="b">
        <v>1</v>
      </c>
      <c r="H179" s="7" t="s">
        <v>162</v>
      </c>
      <c r="I179" s="7"/>
      <c r="J179" s="7"/>
      <c r="K179" s="7" t="s">
        <v>2790</v>
      </c>
    </row>
    <row r="180" spans="1:11">
      <c r="A180" s="7" t="s">
        <v>2791</v>
      </c>
      <c r="B180" s="7" t="s">
        <v>391</v>
      </c>
      <c r="C180" s="7" t="s">
        <v>1939</v>
      </c>
      <c r="D180" s="7" t="s">
        <v>1940</v>
      </c>
      <c r="E180" s="7" t="s">
        <v>158</v>
      </c>
      <c r="F180" s="7" t="s">
        <v>158</v>
      </c>
      <c r="G180" s="7" t="b">
        <v>1</v>
      </c>
      <c r="H180" s="7" t="s">
        <v>162</v>
      </c>
      <c r="I180" s="7"/>
      <c r="J180" s="7"/>
      <c r="K180" s="7" t="s">
        <v>2796</v>
      </c>
    </row>
    <row r="181" spans="1:11">
      <c r="A181" s="7" t="s">
        <v>2797</v>
      </c>
      <c r="B181" s="7" t="s">
        <v>391</v>
      </c>
      <c r="C181" s="7" t="s">
        <v>1939</v>
      </c>
      <c r="D181" s="7" t="s">
        <v>1940</v>
      </c>
      <c r="E181" s="7" t="s">
        <v>158</v>
      </c>
      <c r="F181" s="7" t="s">
        <v>158</v>
      </c>
      <c r="G181" s="7" t="b">
        <v>1</v>
      </c>
      <c r="H181" s="7" t="s">
        <v>162</v>
      </c>
      <c r="I181" s="7"/>
      <c r="J181" s="7"/>
      <c r="K181" s="7" t="s">
        <v>2801</v>
      </c>
    </row>
    <row r="182" spans="1:11">
      <c r="A182" s="7" t="s">
        <v>2802</v>
      </c>
      <c r="B182" s="7" t="s">
        <v>391</v>
      </c>
      <c r="C182" s="7" t="s">
        <v>1939</v>
      </c>
      <c r="D182" s="7" t="s">
        <v>1940</v>
      </c>
      <c r="E182" s="7" t="s">
        <v>158</v>
      </c>
      <c r="F182" s="7" t="s">
        <v>158</v>
      </c>
      <c r="G182" s="7" t="b">
        <v>1</v>
      </c>
      <c r="H182" s="7" t="s">
        <v>162</v>
      </c>
      <c r="I182" s="7"/>
      <c r="J182" s="7"/>
      <c r="K182" s="7" t="s">
        <v>2806</v>
      </c>
    </row>
    <row r="183" spans="1:11">
      <c r="A183" s="7" t="s">
        <v>2807</v>
      </c>
      <c r="B183" s="7" t="s">
        <v>391</v>
      </c>
      <c r="C183" s="7" t="s">
        <v>1939</v>
      </c>
      <c r="D183" s="7" t="s">
        <v>1940</v>
      </c>
      <c r="E183" s="7" t="s">
        <v>158</v>
      </c>
      <c r="F183" s="7" t="s">
        <v>158</v>
      </c>
      <c r="G183" s="7" t="b">
        <v>1</v>
      </c>
      <c r="H183" s="7" t="s">
        <v>162</v>
      </c>
      <c r="I183" s="7"/>
      <c r="J183" s="7"/>
      <c r="K183" s="7" t="s">
        <v>2812</v>
      </c>
    </row>
    <row r="184" spans="1:11">
      <c r="A184" s="7" t="s">
        <v>2813</v>
      </c>
      <c r="B184" s="7" t="s">
        <v>391</v>
      </c>
      <c r="C184" s="7" t="s">
        <v>1939</v>
      </c>
      <c r="D184" s="7" t="s">
        <v>1940</v>
      </c>
      <c r="E184" s="7" t="s">
        <v>158</v>
      </c>
      <c r="F184" s="7" t="s">
        <v>158</v>
      </c>
      <c r="G184" s="7" t="b">
        <v>1</v>
      </c>
      <c r="H184" s="7" t="s">
        <v>162</v>
      </c>
      <c r="I184" s="7"/>
      <c r="J184" s="7"/>
      <c r="K184" s="7" t="s">
        <v>2817</v>
      </c>
    </row>
    <row r="185" spans="1:11">
      <c r="A185" s="7" t="s">
        <v>2818</v>
      </c>
      <c r="B185" s="7" t="s">
        <v>391</v>
      </c>
      <c r="C185" s="7" t="s">
        <v>1939</v>
      </c>
      <c r="D185" s="7" t="s">
        <v>1940</v>
      </c>
      <c r="E185" s="7" t="s">
        <v>158</v>
      </c>
      <c r="F185" s="7" t="s">
        <v>158</v>
      </c>
      <c r="G185" s="7" t="b">
        <v>1</v>
      </c>
      <c r="H185" s="7" t="s">
        <v>162</v>
      </c>
      <c r="I185" s="7"/>
      <c r="J185" s="7"/>
      <c r="K185" s="7" t="s">
        <v>2823</v>
      </c>
    </row>
    <row r="186" spans="1:11">
      <c r="A186" s="7" t="s">
        <v>2824</v>
      </c>
      <c r="B186" s="7" t="s">
        <v>391</v>
      </c>
      <c r="C186" s="7" t="s">
        <v>1939</v>
      </c>
      <c r="D186" s="7" t="s">
        <v>1940</v>
      </c>
      <c r="E186" s="7" t="s">
        <v>158</v>
      </c>
      <c r="F186" s="7" t="s">
        <v>158</v>
      </c>
      <c r="G186" s="7" t="b">
        <v>1</v>
      </c>
      <c r="H186" s="7" t="s">
        <v>162</v>
      </c>
      <c r="I186" s="7"/>
      <c r="J186" s="7"/>
      <c r="K186" s="7" t="s">
        <v>2828</v>
      </c>
    </row>
    <row r="187" spans="1:11">
      <c r="A187" s="7" t="s">
        <v>2829</v>
      </c>
      <c r="B187" s="7" t="s">
        <v>391</v>
      </c>
      <c r="C187" s="7" t="s">
        <v>1939</v>
      </c>
      <c r="D187" s="7" t="s">
        <v>1940</v>
      </c>
      <c r="E187" s="7" t="s">
        <v>158</v>
      </c>
      <c r="F187" s="7" t="s">
        <v>158</v>
      </c>
      <c r="G187" s="7" t="b">
        <v>1</v>
      </c>
      <c r="H187" s="7" t="s">
        <v>162</v>
      </c>
      <c r="I187" s="7"/>
      <c r="J187" s="7"/>
      <c r="K187" s="7" t="s">
        <v>2834</v>
      </c>
    </row>
    <row r="188" spans="1:11">
      <c r="A188" s="7" t="s">
        <v>2835</v>
      </c>
      <c r="B188" s="7" t="s">
        <v>391</v>
      </c>
      <c r="C188" s="7" t="s">
        <v>1939</v>
      </c>
      <c r="D188" s="7" t="s">
        <v>1940</v>
      </c>
      <c r="E188" s="7" t="s">
        <v>158</v>
      </c>
      <c r="F188" s="7" t="s">
        <v>158</v>
      </c>
      <c r="G188" s="7" t="b">
        <v>1</v>
      </c>
      <c r="H188" s="7" t="s">
        <v>162</v>
      </c>
      <c r="I188" s="7"/>
      <c r="J188" s="7"/>
      <c r="K188" s="7" t="s">
        <v>2839</v>
      </c>
    </row>
    <row r="189" spans="1:11">
      <c r="A189" s="7" t="s">
        <v>2840</v>
      </c>
      <c r="B189" s="7" t="s">
        <v>391</v>
      </c>
      <c r="C189" s="7" t="s">
        <v>1939</v>
      </c>
      <c r="D189" s="7" t="s">
        <v>1940</v>
      </c>
      <c r="E189" s="7" t="s">
        <v>158</v>
      </c>
      <c r="F189" s="7" t="s">
        <v>158</v>
      </c>
      <c r="G189" s="7" t="b">
        <v>1</v>
      </c>
      <c r="H189" s="7" t="s">
        <v>162</v>
      </c>
      <c r="I189" s="7"/>
      <c r="J189" s="7"/>
      <c r="K189" s="7" t="s">
        <v>2845</v>
      </c>
    </row>
    <row r="190" spans="1:11">
      <c r="A190" s="7" t="s">
        <v>2846</v>
      </c>
      <c r="B190" s="7" t="s">
        <v>391</v>
      </c>
      <c r="C190" s="7" t="s">
        <v>1939</v>
      </c>
      <c r="D190" s="7" t="s">
        <v>1940</v>
      </c>
      <c r="E190" s="7" t="s">
        <v>158</v>
      </c>
      <c r="F190" s="7" t="s">
        <v>158</v>
      </c>
      <c r="G190" s="7" t="b">
        <v>1</v>
      </c>
      <c r="H190" s="7" t="s">
        <v>162</v>
      </c>
      <c r="I190" s="7"/>
      <c r="J190" s="7"/>
      <c r="K190" s="7" t="s">
        <v>2850</v>
      </c>
    </row>
    <row r="191" spans="1:11">
      <c r="A191" s="7" t="s">
        <v>2851</v>
      </c>
      <c r="B191" s="7" t="s">
        <v>391</v>
      </c>
      <c r="C191" s="7" t="s">
        <v>1939</v>
      </c>
      <c r="D191" s="7" t="s">
        <v>1940</v>
      </c>
      <c r="E191" s="7" t="s">
        <v>158</v>
      </c>
      <c r="F191" s="7" t="s">
        <v>158</v>
      </c>
      <c r="G191" s="7" t="b">
        <v>1</v>
      </c>
      <c r="H191" s="7" t="s">
        <v>162</v>
      </c>
      <c r="I191" s="7"/>
      <c r="J191" s="7"/>
      <c r="K191" s="7" t="s">
        <v>2855</v>
      </c>
    </row>
    <row r="192" spans="1:11">
      <c r="A192" s="7" t="s">
        <v>2856</v>
      </c>
      <c r="B192" s="7" t="s">
        <v>391</v>
      </c>
      <c r="C192" s="7" t="s">
        <v>1939</v>
      </c>
      <c r="D192" s="7" t="s">
        <v>1940</v>
      </c>
      <c r="E192" s="7" t="s">
        <v>158</v>
      </c>
      <c r="F192" s="7" t="s">
        <v>158</v>
      </c>
      <c r="G192" s="7" t="b">
        <v>1</v>
      </c>
      <c r="H192" s="7" t="s">
        <v>162</v>
      </c>
      <c r="I192" s="7"/>
      <c r="J192" s="7"/>
      <c r="K192" s="7" t="s">
        <v>2860</v>
      </c>
    </row>
    <row r="193" spans="1:11">
      <c r="A193" s="7" t="s">
        <v>2861</v>
      </c>
      <c r="B193" s="7" t="s">
        <v>391</v>
      </c>
      <c r="C193" s="7" t="s">
        <v>1939</v>
      </c>
      <c r="D193" s="7" t="s">
        <v>1940</v>
      </c>
      <c r="E193" s="7" t="s">
        <v>158</v>
      </c>
      <c r="F193" s="7" t="s">
        <v>158</v>
      </c>
      <c r="G193" s="7" t="b">
        <v>1</v>
      </c>
      <c r="H193" s="7" t="s">
        <v>162</v>
      </c>
      <c r="I193" s="7"/>
      <c r="J193" s="7"/>
      <c r="K193" s="7" t="s">
        <v>2866</v>
      </c>
    </row>
    <row r="194" spans="1:11">
      <c r="A194" s="7" t="s">
        <v>2867</v>
      </c>
      <c r="B194" s="7" t="s">
        <v>391</v>
      </c>
      <c r="C194" s="7" t="s">
        <v>1939</v>
      </c>
      <c r="D194" s="7" t="s">
        <v>1940</v>
      </c>
      <c r="E194" s="7" t="s">
        <v>158</v>
      </c>
      <c r="F194" s="7" t="s">
        <v>158</v>
      </c>
      <c r="G194" s="7" t="b">
        <v>1</v>
      </c>
      <c r="H194" s="7" t="s">
        <v>162</v>
      </c>
      <c r="I194" s="7"/>
      <c r="J194" s="7"/>
      <c r="K194" s="7" t="s">
        <v>2871</v>
      </c>
    </row>
    <row r="195" spans="1:11">
      <c r="A195" s="7" t="s">
        <v>2872</v>
      </c>
      <c r="B195" s="7" t="s">
        <v>391</v>
      </c>
      <c r="C195" s="7" t="s">
        <v>1943</v>
      </c>
      <c r="D195" s="7" t="s">
        <v>158</v>
      </c>
      <c r="E195" s="7" t="s">
        <v>158</v>
      </c>
      <c r="F195" s="7" t="s">
        <v>158</v>
      </c>
      <c r="G195" s="7" t="b">
        <v>1</v>
      </c>
      <c r="H195" s="7" t="s">
        <v>162</v>
      </c>
      <c r="I195" s="7"/>
      <c r="J195" s="7"/>
      <c r="K195" s="7" t="s">
        <v>2876</v>
      </c>
    </row>
    <row r="196" spans="1:11">
      <c r="A196" s="7" t="s">
        <v>2877</v>
      </c>
      <c r="B196" s="7" t="s">
        <v>391</v>
      </c>
      <c r="C196" s="7" t="s">
        <v>1943</v>
      </c>
      <c r="D196" s="7" t="s">
        <v>158</v>
      </c>
      <c r="E196" s="7" t="s">
        <v>158</v>
      </c>
      <c r="F196" s="7" t="s">
        <v>158</v>
      </c>
      <c r="G196" s="7" t="b">
        <v>1</v>
      </c>
      <c r="H196" s="7" t="s">
        <v>162</v>
      </c>
      <c r="I196" s="7"/>
      <c r="J196" s="7"/>
      <c r="K196" s="7" t="s">
        <v>2881</v>
      </c>
    </row>
    <row r="197" spans="1:11">
      <c r="A197" s="7" t="s">
        <v>2882</v>
      </c>
      <c r="B197" s="7" t="s">
        <v>391</v>
      </c>
      <c r="C197" s="7" t="s">
        <v>1939</v>
      </c>
      <c r="D197" s="7" t="s">
        <v>1940</v>
      </c>
      <c r="E197" s="7" t="s">
        <v>158</v>
      </c>
      <c r="F197" s="7" t="s">
        <v>158</v>
      </c>
      <c r="G197" s="7" t="b">
        <v>1</v>
      </c>
      <c r="H197" s="7" t="s">
        <v>162</v>
      </c>
      <c r="I197" s="7"/>
      <c r="J197" s="7"/>
      <c r="K197" s="7" t="s">
        <v>2886</v>
      </c>
    </row>
    <row r="198" spans="1:11">
      <c r="A198" s="7" t="s">
        <v>2887</v>
      </c>
      <c r="B198" s="7" t="s">
        <v>391</v>
      </c>
      <c r="C198" s="7" t="s">
        <v>1939</v>
      </c>
      <c r="D198" s="7" t="s">
        <v>1940</v>
      </c>
      <c r="E198" s="7" t="s">
        <v>158</v>
      </c>
      <c r="F198" s="7" t="s">
        <v>158</v>
      </c>
      <c r="G198" s="7" t="b">
        <v>1</v>
      </c>
      <c r="H198" s="7" t="s">
        <v>162</v>
      </c>
      <c r="I198" s="7"/>
      <c r="J198" s="7"/>
      <c r="K198" s="7" t="s">
        <v>2891</v>
      </c>
    </row>
    <row r="199" spans="1:11">
      <c r="A199" s="7" t="s">
        <v>2892</v>
      </c>
      <c r="B199" s="7" t="s">
        <v>391</v>
      </c>
      <c r="C199" s="7" t="s">
        <v>1939</v>
      </c>
      <c r="D199" s="7" t="s">
        <v>1940</v>
      </c>
      <c r="E199" s="7" t="s">
        <v>158</v>
      </c>
      <c r="F199" s="7" t="s">
        <v>158</v>
      </c>
      <c r="G199" s="7" t="b">
        <v>1</v>
      </c>
      <c r="H199" s="7" t="s">
        <v>162</v>
      </c>
      <c r="I199" s="7"/>
      <c r="J199" s="7"/>
      <c r="K199" s="7" t="s">
        <v>2896</v>
      </c>
    </row>
    <row r="200" spans="1:11">
      <c r="A200" s="7" t="s">
        <v>2897</v>
      </c>
      <c r="B200" s="7" t="s">
        <v>391</v>
      </c>
      <c r="C200" s="7" t="s">
        <v>1939</v>
      </c>
      <c r="D200" s="7" t="s">
        <v>1940</v>
      </c>
      <c r="E200" s="7" t="s">
        <v>158</v>
      </c>
      <c r="F200" s="7" t="s">
        <v>158</v>
      </c>
      <c r="G200" s="7" t="b">
        <v>1</v>
      </c>
      <c r="H200" s="7" t="s">
        <v>162</v>
      </c>
      <c r="I200" s="7"/>
      <c r="J200" s="7"/>
      <c r="K200" s="7" t="s">
        <v>2901</v>
      </c>
    </row>
    <row r="201" spans="1:11">
      <c r="A201" s="7" t="s">
        <v>2902</v>
      </c>
      <c r="B201" s="7" t="s">
        <v>391</v>
      </c>
      <c r="C201" s="7" t="s">
        <v>1939</v>
      </c>
      <c r="D201" s="7" t="s">
        <v>1940</v>
      </c>
      <c r="E201" s="7" t="s">
        <v>158</v>
      </c>
      <c r="F201" s="7" t="s">
        <v>158</v>
      </c>
      <c r="G201" s="7" t="b">
        <v>1</v>
      </c>
      <c r="H201" s="7" t="s">
        <v>162</v>
      </c>
      <c r="I201" s="7"/>
      <c r="J201" s="7"/>
      <c r="K201" s="7" t="s">
        <v>2906</v>
      </c>
    </row>
    <row r="202" spans="1:11">
      <c r="A202" s="7" t="s">
        <v>2907</v>
      </c>
      <c r="B202" s="7" t="s">
        <v>391</v>
      </c>
      <c r="C202" s="7" t="s">
        <v>1939</v>
      </c>
      <c r="D202" s="7" t="s">
        <v>1940</v>
      </c>
      <c r="E202" s="7" t="s">
        <v>158</v>
      </c>
      <c r="F202" s="7" t="s">
        <v>158</v>
      </c>
      <c r="G202" s="7" t="b">
        <v>1</v>
      </c>
      <c r="H202" s="7" t="s">
        <v>162</v>
      </c>
      <c r="I202" s="7"/>
      <c r="J202" s="7"/>
      <c r="K202" s="7" t="s">
        <v>2911</v>
      </c>
    </row>
    <row r="203" spans="1:11">
      <c r="A203" s="7" t="s">
        <v>2912</v>
      </c>
      <c r="B203" s="7" t="s">
        <v>391</v>
      </c>
      <c r="C203" s="7" t="s">
        <v>1939</v>
      </c>
      <c r="D203" s="7" t="s">
        <v>1940</v>
      </c>
      <c r="E203" s="7" t="s">
        <v>158</v>
      </c>
      <c r="F203" s="7" t="s">
        <v>158</v>
      </c>
      <c r="G203" s="7" t="b">
        <v>1</v>
      </c>
      <c r="H203" s="7" t="s">
        <v>162</v>
      </c>
      <c r="I203" s="7"/>
      <c r="J203" s="7"/>
      <c r="K203" s="7" t="s">
        <v>2916</v>
      </c>
    </row>
    <row r="204" spans="1:11">
      <c r="A204" s="7" t="s">
        <v>2917</v>
      </c>
      <c r="B204" s="7" t="s">
        <v>391</v>
      </c>
      <c r="C204" s="7" t="s">
        <v>1939</v>
      </c>
      <c r="D204" s="7" t="s">
        <v>1940</v>
      </c>
      <c r="E204" s="7" t="s">
        <v>158</v>
      </c>
      <c r="F204" s="7" t="s">
        <v>158</v>
      </c>
      <c r="G204" s="7" t="b">
        <v>1</v>
      </c>
      <c r="H204" s="7" t="s">
        <v>162</v>
      </c>
      <c r="I204" s="7"/>
      <c r="J204" s="7"/>
      <c r="K204" s="7" t="s">
        <v>2921</v>
      </c>
    </row>
    <row r="205" spans="1:11">
      <c r="A205" s="7" t="s">
        <v>2922</v>
      </c>
      <c r="B205" s="7" t="s">
        <v>391</v>
      </c>
      <c r="C205" s="7" t="s">
        <v>1939</v>
      </c>
      <c r="D205" s="7" t="s">
        <v>1940</v>
      </c>
      <c r="E205" s="7" t="s">
        <v>158</v>
      </c>
      <c r="F205" s="7" t="s">
        <v>158</v>
      </c>
      <c r="G205" s="7" t="b">
        <v>1</v>
      </c>
      <c r="H205" s="7" t="s">
        <v>162</v>
      </c>
      <c r="I205" s="7"/>
      <c r="J205" s="7"/>
      <c r="K205" s="7" t="s">
        <v>2926</v>
      </c>
    </row>
    <row r="206" spans="1:11">
      <c r="A206" s="7" t="s">
        <v>2927</v>
      </c>
      <c r="B206" s="7" t="s">
        <v>391</v>
      </c>
      <c r="C206" s="7" t="s">
        <v>1939</v>
      </c>
      <c r="D206" s="7" t="s">
        <v>1940</v>
      </c>
      <c r="E206" s="7" t="s">
        <v>158</v>
      </c>
      <c r="F206" s="7" t="s">
        <v>158</v>
      </c>
      <c r="G206" s="7" t="b">
        <v>1</v>
      </c>
      <c r="H206" s="7" t="s">
        <v>162</v>
      </c>
      <c r="I206" s="7"/>
      <c r="J206" s="7"/>
      <c r="K206" s="7" t="s">
        <v>2931</v>
      </c>
    </row>
    <row r="207" spans="1:11">
      <c r="A207" s="7" t="s">
        <v>2932</v>
      </c>
      <c r="B207" s="7" t="s">
        <v>391</v>
      </c>
      <c r="C207" s="7" t="s">
        <v>1939</v>
      </c>
      <c r="D207" s="7" t="s">
        <v>1940</v>
      </c>
      <c r="E207" s="7" t="s">
        <v>158</v>
      </c>
      <c r="F207" s="7" t="s">
        <v>158</v>
      </c>
      <c r="G207" s="7" t="b">
        <v>1</v>
      </c>
      <c r="H207" s="7" t="s">
        <v>162</v>
      </c>
      <c r="I207" s="7"/>
      <c r="J207" s="7"/>
      <c r="K207" s="7" t="s">
        <v>2936</v>
      </c>
    </row>
    <row r="208" spans="1:11">
      <c r="A208" s="7" t="s">
        <v>2937</v>
      </c>
      <c r="B208" s="7" t="s">
        <v>391</v>
      </c>
      <c r="C208" s="7" t="s">
        <v>1943</v>
      </c>
      <c r="D208" s="7" t="s">
        <v>158</v>
      </c>
      <c r="E208" s="7" t="s">
        <v>158</v>
      </c>
      <c r="F208" s="7" t="s">
        <v>158</v>
      </c>
      <c r="G208" s="7" t="b">
        <v>0</v>
      </c>
      <c r="H208" s="7" t="s">
        <v>162</v>
      </c>
      <c r="I208" s="7"/>
      <c r="J208" s="7"/>
      <c r="K208" s="7" t="s">
        <v>2941</v>
      </c>
    </row>
    <row r="209" spans="1:11">
      <c r="A209" s="7" t="s">
        <v>2942</v>
      </c>
      <c r="B209" s="7" t="s">
        <v>391</v>
      </c>
      <c r="C209" s="7" t="s">
        <v>1939</v>
      </c>
      <c r="D209" s="7" t="s">
        <v>1940</v>
      </c>
      <c r="E209" s="7" t="s">
        <v>158</v>
      </c>
      <c r="F209" s="7" t="s">
        <v>158</v>
      </c>
      <c r="G209" s="7" t="b">
        <v>1</v>
      </c>
      <c r="H209" s="7" t="s">
        <v>162</v>
      </c>
      <c r="I209" s="7"/>
      <c r="J209" s="7"/>
      <c r="K209" s="7" t="s">
        <v>2946</v>
      </c>
    </row>
    <row r="210" spans="1:11">
      <c r="A210" s="7" t="s">
        <v>2947</v>
      </c>
      <c r="B210" s="7" t="s">
        <v>391</v>
      </c>
      <c r="C210" s="7" t="s">
        <v>1939</v>
      </c>
      <c r="D210" s="7" t="s">
        <v>1940</v>
      </c>
      <c r="E210" s="7" t="s">
        <v>158</v>
      </c>
      <c r="F210" s="7" t="s">
        <v>158</v>
      </c>
      <c r="G210" s="7" t="b">
        <v>1</v>
      </c>
      <c r="H210" s="7" t="s">
        <v>162</v>
      </c>
      <c r="I210" s="7"/>
      <c r="J210" s="7"/>
      <c r="K210" s="7" t="s">
        <v>2951</v>
      </c>
    </row>
    <row r="211" spans="1:11">
      <c r="A211" s="7" t="s">
        <v>2952</v>
      </c>
      <c r="B211" s="7" t="s">
        <v>391</v>
      </c>
      <c r="C211" s="7" t="s">
        <v>1939</v>
      </c>
      <c r="D211" s="7" t="s">
        <v>1940</v>
      </c>
      <c r="E211" s="7" t="s">
        <v>158</v>
      </c>
      <c r="F211" s="7" t="s">
        <v>158</v>
      </c>
      <c r="G211" s="7" t="b">
        <v>1</v>
      </c>
      <c r="H211" s="7" t="s">
        <v>162</v>
      </c>
      <c r="I211" s="7"/>
      <c r="J211" s="7"/>
      <c r="K211" s="7" t="s">
        <v>2956</v>
      </c>
    </row>
    <row r="212" spans="1:11">
      <c r="A212" s="7" t="s">
        <v>2957</v>
      </c>
      <c r="B212" s="7" t="s">
        <v>391</v>
      </c>
      <c r="C212" s="7" t="s">
        <v>1939</v>
      </c>
      <c r="D212" s="7" t="s">
        <v>1940</v>
      </c>
      <c r="E212" s="7" t="s">
        <v>158</v>
      </c>
      <c r="F212" s="7" t="s">
        <v>158</v>
      </c>
      <c r="G212" s="7" t="b">
        <v>1</v>
      </c>
      <c r="H212" s="7" t="s">
        <v>162</v>
      </c>
      <c r="I212" s="7"/>
      <c r="J212" s="7"/>
      <c r="K212" s="7" t="s">
        <v>2961</v>
      </c>
    </row>
    <row r="213" spans="1:11">
      <c r="A213" s="7" t="s">
        <v>2962</v>
      </c>
      <c r="B213" s="7" t="s">
        <v>391</v>
      </c>
      <c r="C213" s="7" t="s">
        <v>1939</v>
      </c>
      <c r="D213" s="7" t="s">
        <v>1940</v>
      </c>
      <c r="E213" s="7" t="s">
        <v>158</v>
      </c>
      <c r="F213" s="7" t="s">
        <v>158</v>
      </c>
      <c r="G213" s="7" t="b">
        <v>1</v>
      </c>
      <c r="H213" s="7" t="s">
        <v>162</v>
      </c>
      <c r="I213" s="7"/>
      <c r="J213" s="7"/>
      <c r="K213" s="7" t="s">
        <v>2965</v>
      </c>
    </row>
    <row r="214" spans="1:11">
      <c r="A214" s="7" t="s">
        <v>2966</v>
      </c>
      <c r="B214" s="7" t="s">
        <v>391</v>
      </c>
      <c r="C214" s="7" t="s">
        <v>1943</v>
      </c>
      <c r="D214" s="7" t="s">
        <v>158</v>
      </c>
      <c r="E214" s="7" t="s">
        <v>158</v>
      </c>
      <c r="F214" s="7" t="s">
        <v>158</v>
      </c>
      <c r="G214" s="7" t="b">
        <v>1</v>
      </c>
      <c r="H214" s="7" t="s">
        <v>162</v>
      </c>
      <c r="I214" s="7"/>
      <c r="J214" s="7"/>
      <c r="K214" s="7" t="s">
        <v>2970</v>
      </c>
    </row>
    <row r="215" spans="1:11">
      <c r="A215" s="7" t="s">
        <v>2971</v>
      </c>
      <c r="B215" s="7" t="s">
        <v>391</v>
      </c>
      <c r="C215" s="7" t="s">
        <v>1939</v>
      </c>
      <c r="D215" s="7" t="s">
        <v>1940</v>
      </c>
      <c r="E215" s="7" t="s">
        <v>158</v>
      </c>
      <c r="F215" s="7" t="s">
        <v>158</v>
      </c>
      <c r="G215" s="7" t="b">
        <v>1</v>
      </c>
      <c r="H215" s="7" t="s">
        <v>162</v>
      </c>
      <c r="I215" s="7"/>
      <c r="J215" s="7"/>
      <c r="K215" s="7" t="s">
        <v>2975</v>
      </c>
    </row>
    <row r="216" spans="1:11">
      <c r="A216" s="7" t="s">
        <v>2976</v>
      </c>
      <c r="B216" s="7" t="s">
        <v>391</v>
      </c>
      <c r="C216" s="7" t="s">
        <v>1939</v>
      </c>
      <c r="D216" s="7" t="s">
        <v>1940</v>
      </c>
      <c r="E216" s="7" t="s">
        <v>158</v>
      </c>
      <c r="F216" s="7" t="s">
        <v>158</v>
      </c>
      <c r="G216" s="7" t="b">
        <v>1</v>
      </c>
      <c r="H216" s="7" t="s">
        <v>162</v>
      </c>
      <c r="I216" s="7"/>
      <c r="J216" s="7"/>
      <c r="K216" s="7" t="s">
        <v>2980</v>
      </c>
    </row>
    <row r="217" spans="1:11">
      <c r="A217" s="7" t="s">
        <v>2981</v>
      </c>
      <c r="B217" s="7" t="s">
        <v>391</v>
      </c>
      <c r="C217" s="7" t="s">
        <v>1939</v>
      </c>
      <c r="D217" s="7" t="s">
        <v>1940</v>
      </c>
      <c r="E217" s="7" t="s">
        <v>158</v>
      </c>
      <c r="F217" s="7" t="s">
        <v>158</v>
      </c>
      <c r="G217" s="7" t="b">
        <v>1</v>
      </c>
      <c r="H217" s="7" t="s">
        <v>162</v>
      </c>
      <c r="I217" s="7"/>
      <c r="J217" s="7"/>
      <c r="K217" s="7" t="s">
        <v>2985</v>
      </c>
    </row>
    <row r="218" spans="1:11">
      <c r="A218" s="7" t="s">
        <v>2986</v>
      </c>
      <c r="B218" s="7" t="s">
        <v>391</v>
      </c>
      <c r="C218" s="7" t="s">
        <v>1939</v>
      </c>
      <c r="D218" s="7" t="s">
        <v>1940</v>
      </c>
      <c r="E218" s="7" t="s">
        <v>158</v>
      </c>
      <c r="F218" s="7" t="s">
        <v>158</v>
      </c>
      <c r="G218" s="7" t="b">
        <v>1</v>
      </c>
      <c r="H218" s="7" t="s">
        <v>162</v>
      </c>
      <c r="I218" s="7"/>
      <c r="J218" s="7"/>
      <c r="K218" s="7" t="s">
        <v>2990</v>
      </c>
    </row>
    <row r="219" spans="1:11">
      <c r="A219" s="7" t="s">
        <v>2991</v>
      </c>
      <c r="B219" s="7" t="s">
        <v>391</v>
      </c>
      <c r="C219" s="7" t="s">
        <v>1939</v>
      </c>
      <c r="D219" s="7" t="s">
        <v>1940</v>
      </c>
      <c r="E219" s="7" t="s">
        <v>158</v>
      </c>
      <c r="F219" s="7" t="s">
        <v>158</v>
      </c>
      <c r="G219" s="7" t="b">
        <v>1</v>
      </c>
      <c r="H219" s="7" t="s">
        <v>162</v>
      </c>
      <c r="I219" s="7"/>
      <c r="J219" s="7"/>
      <c r="K219" s="7" t="s">
        <v>2995</v>
      </c>
    </row>
    <row r="220" spans="1:11">
      <c r="A220" s="7" t="s">
        <v>2996</v>
      </c>
      <c r="B220" s="7" t="s">
        <v>391</v>
      </c>
      <c r="C220" s="7" t="s">
        <v>1939</v>
      </c>
      <c r="D220" s="7" t="s">
        <v>1940</v>
      </c>
      <c r="E220" s="7" t="s">
        <v>158</v>
      </c>
      <c r="F220" s="7" t="s">
        <v>158</v>
      </c>
      <c r="G220" s="7" t="b">
        <v>1</v>
      </c>
      <c r="H220" s="7" t="s">
        <v>162</v>
      </c>
      <c r="I220" s="7"/>
      <c r="J220" s="7"/>
      <c r="K220" s="7" t="s">
        <v>3000</v>
      </c>
    </row>
    <row r="221" spans="1:11">
      <c r="A221" s="7" t="s">
        <v>3001</v>
      </c>
      <c r="B221" s="7" t="s">
        <v>391</v>
      </c>
      <c r="C221" s="7" t="s">
        <v>1939</v>
      </c>
      <c r="D221" s="7" t="s">
        <v>1940</v>
      </c>
      <c r="E221" s="7" t="s">
        <v>158</v>
      </c>
      <c r="F221" s="7" t="s">
        <v>158</v>
      </c>
      <c r="G221" s="7" t="b">
        <v>1</v>
      </c>
      <c r="H221" s="7" t="s">
        <v>162</v>
      </c>
      <c r="I221" s="7"/>
      <c r="J221" s="7"/>
      <c r="K221" s="7" t="s">
        <v>3005</v>
      </c>
    </row>
    <row r="222" spans="1:11">
      <c r="A222" s="7" t="s">
        <v>3006</v>
      </c>
      <c r="B222" s="7" t="s">
        <v>391</v>
      </c>
      <c r="C222" s="7" t="s">
        <v>1939</v>
      </c>
      <c r="D222" s="7" t="s">
        <v>1940</v>
      </c>
      <c r="E222" s="7" t="s">
        <v>158</v>
      </c>
      <c r="F222" s="7" t="s">
        <v>158</v>
      </c>
      <c r="G222" s="7" t="b">
        <v>1</v>
      </c>
      <c r="H222" s="7" t="s">
        <v>162</v>
      </c>
      <c r="I222" s="7"/>
      <c r="J222" s="7"/>
      <c r="K222" s="7" t="s">
        <v>3010</v>
      </c>
    </row>
    <row r="223" spans="1:11">
      <c r="A223" s="7" t="s">
        <v>3011</v>
      </c>
      <c r="B223" s="7" t="s">
        <v>391</v>
      </c>
      <c r="C223" s="7" t="s">
        <v>1939</v>
      </c>
      <c r="D223" s="7" t="s">
        <v>1940</v>
      </c>
      <c r="E223" s="7" t="s">
        <v>158</v>
      </c>
      <c r="F223" s="7" t="s">
        <v>158</v>
      </c>
      <c r="G223" s="7" t="b">
        <v>1</v>
      </c>
      <c r="H223" s="7" t="s">
        <v>162</v>
      </c>
      <c r="I223" s="7"/>
      <c r="J223" s="7"/>
      <c r="K223" s="7" t="s">
        <v>3015</v>
      </c>
    </row>
    <row r="224" spans="1:11">
      <c r="A224" s="7" t="s">
        <v>3016</v>
      </c>
      <c r="B224" s="7" t="s">
        <v>391</v>
      </c>
      <c r="C224" s="7" t="s">
        <v>1939</v>
      </c>
      <c r="D224" s="7" t="s">
        <v>1940</v>
      </c>
      <c r="E224" s="7" t="s">
        <v>158</v>
      </c>
      <c r="F224" s="7" t="s">
        <v>158</v>
      </c>
      <c r="G224" s="7" t="b">
        <v>1</v>
      </c>
      <c r="H224" s="7" t="s">
        <v>162</v>
      </c>
      <c r="I224" s="7"/>
      <c r="J224" s="7"/>
      <c r="K224" s="7" t="s">
        <v>3020</v>
      </c>
    </row>
    <row r="225" spans="1:11">
      <c r="A225" s="7" t="s">
        <v>3021</v>
      </c>
      <c r="B225" s="7" t="s">
        <v>391</v>
      </c>
      <c r="C225" s="7" t="s">
        <v>1939</v>
      </c>
      <c r="D225" s="7" t="s">
        <v>1940</v>
      </c>
      <c r="E225" s="7" t="s">
        <v>158</v>
      </c>
      <c r="F225" s="7" t="s">
        <v>158</v>
      </c>
      <c r="G225" s="7" t="b">
        <v>1</v>
      </c>
      <c r="H225" s="7" t="s">
        <v>162</v>
      </c>
      <c r="I225" s="7"/>
      <c r="J225" s="7"/>
      <c r="K225" s="7" t="s">
        <v>3025</v>
      </c>
    </row>
    <row r="226" spans="1:11">
      <c r="A226" s="7" t="s">
        <v>3026</v>
      </c>
      <c r="B226" s="7" t="s">
        <v>391</v>
      </c>
      <c r="C226" s="7" t="s">
        <v>1939</v>
      </c>
      <c r="D226" s="7" t="s">
        <v>1940</v>
      </c>
      <c r="E226" s="7" t="s">
        <v>158</v>
      </c>
      <c r="F226" s="7" t="s">
        <v>158</v>
      </c>
      <c r="G226" s="7" t="b">
        <v>1</v>
      </c>
      <c r="H226" s="7" t="s">
        <v>162</v>
      </c>
      <c r="I226" s="7"/>
      <c r="J226" s="7"/>
      <c r="K226" s="7" t="s">
        <v>3030</v>
      </c>
    </row>
    <row r="227" spans="1:11">
      <c r="A227" s="7" t="s">
        <v>3031</v>
      </c>
      <c r="B227" s="7" t="s">
        <v>391</v>
      </c>
      <c r="C227" s="7" t="s">
        <v>1939</v>
      </c>
      <c r="D227" s="7" t="s">
        <v>1940</v>
      </c>
      <c r="E227" s="7" t="s">
        <v>158</v>
      </c>
      <c r="F227" s="7" t="s">
        <v>158</v>
      </c>
      <c r="G227" s="7" t="b">
        <v>1</v>
      </c>
      <c r="H227" s="7" t="s">
        <v>162</v>
      </c>
      <c r="I227" s="7"/>
      <c r="J227" s="7"/>
      <c r="K227" s="7" t="s">
        <v>3035</v>
      </c>
    </row>
    <row r="228" spans="1:11">
      <c r="A228" s="7" t="s">
        <v>3036</v>
      </c>
      <c r="B228" s="7" t="s">
        <v>391</v>
      </c>
      <c r="C228" s="7" t="s">
        <v>1939</v>
      </c>
      <c r="D228" s="7" t="s">
        <v>1940</v>
      </c>
      <c r="E228" s="7" t="s">
        <v>158</v>
      </c>
      <c r="F228" s="7" t="s">
        <v>158</v>
      </c>
      <c r="G228" s="7" t="b">
        <v>1</v>
      </c>
      <c r="H228" s="7" t="s">
        <v>162</v>
      </c>
      <c r="I228" s="7"/>
      <c r="J228" s="7"/>
      <c r="K228" s="7" t="s">
        <v>3040</v>
      </c>
    </row>
    <row r="229" spans="1:11">
      <c r="A229" s="7" t="s">
        <v>3041</v>
      </c>
      <c r="B229" s="7" t="s">
        <v>391</v>
      </c>
      <c r="C229" s="7" t="s">
        <v>1939</v>
      </c>
      <c r="D229" s="7" t="s">
        <v>1940</v>
      </c>
      <c r="E229" s="7" t="s">
        <v>158</v>
      </c>
      <c r="F229" s="7" t="s">
        <v>158</v>
      </c>
      <c r="G229" s="7" t="b">
        <v>1</v>
      </c>
      <c r="H229" s="7" t="s">
        <v>162</v>
      </c>
      <c r="I229" s="7"/>
      <c r="J229" s="7"/>
      <c r="K229" s="7" t="s">
        <v>3045</v>
      </c>
    </row>
    <row r="230" spans="1:11">
      <c r="A230" s="7" t="s">
        <v>3046</v>
      </c>
      <c r="B230" s="7" t="s">
        <v>391</v>
      </c>
      <c r="C230" s="7" t="s">
        <v>1939</v>
      </c>
      <c r="D230" s="7" t="s">
        <v>1940</v>
      </c>
      <c r="E230" s="7" t="s">
        <v>158</v>
      </c>
      <c r="F230" s="7" t="s">
        <v>158</v>
      </c>
      <c r="G230" s="7" t="b">
        <v>1</v>
      </c>
      <c r="H230" s="7" t="s">
        <v>162</v>
      </c>
      <c r="I230" s="7"/>
      <c r="J230" s="7"/>
      <c r="K230" s="7" t="s">
        <v>3050</v>
      </c>
    </row>
    <row r="231" spans="1:11">
      <c r="A231" s="7" t="s">
        <v>3051</v>
      </c>
      <c r="B231" s="7" t="s">
        <v>391</v>
      </c>
      <c r="C231" s="7" t="s">
        <v>1939</v>
      </c>
      <c r="D231" s="7" t="s">
        <v>1940</v>
      </c>
      <c r="E231" s="7" t="s">
        <v>158</v>
      </c>
      <c r="F231" s="7" t="s">
        <v>158</v>
      </c>
      <c r="G231" s="7" t="b">
        <v>1</v>
      </c>
      <c r="H231" s="7" t="s">
        <v>162</v>
      </c>
      <c r="I231" s="7"/>
      <c r="J231" s="7"/>
      <c r="K231" s="7" t="s">
        <v>3055</v>
      </c>
    </row>
    <row r="232" spans="1:11">
      <c r="A232" s="7" t="s">
        <v>3056</v>
      </c>
      <c r="B232" s="7" t="s">
        <v>391</v>
      </c>
      <c r="C232" s="7" t="s">
        <v>1939</v>
      </c>
      <c r="D232" s="7" t="s">
        <v>1940</v>
      </c>
      <c r="E232" s="7" t="s">
        <v>158</v>
      </c>
      <c r="F232" s="7" t="s">
        <v>158</v>
      </c>
      <c r="G232" s="7" t="b">
        <v>1</v>
      </c>
      <c r="H232" s="7" t="s">
        <v>162</v>
      </c>
      <c r="I232" s="7"/>
      <c r="J232" s="7"/>
      <c r="K232" s="7" t="s">
        <v>3060</v>
      </c>
    </row>
    <row r="233" spans="1:11">
      <c r="A233" s="7" t="s">
        <v>3061</v>
      </c>
      <c r="B233" s="7" t="s">
        <v>391</v>
      </c>
      <c r="C233" s="7" t="s">
        <v>1939</v>
      </c>
      <c r="D233" s="7" t="s">
        <v>1940</v>
      </c>
      <c r="E233" s="7" t="s">
        <v>158</v>
      </c>
      <c r="F233" s="7" t="s">
        <v>158</v>
      </c>
      <c r="G233" s="7" t="b">
        <v>1</v>
      </c>
      <c r="H233" s="7" t="s">
        <v>162</v>
      </c>
      <c r="I233" s="7"/>
      <c r="J233" s="7"/>
      <c r="K233" s="7" t="s">
        <v>3065</v>
      </c>
    </row>
    <row r="234" spans="1:11">
      <c r="A234" s="7" t="s">
        <v>3066</v>
      </c>
      <c r="B234" s="7" t="s">
        <v>391</v>
      </c>
      <c r="C234" s="7" t="s">
        <v>1939</v>
      </c>
      <c r="D234" s="7" t="s">
        <v>1940</v>
      </c>
      <c r="E234" s="7" t="s">
        <v>158</v>
      </c>
      <c r="F234" s="7" t="s">
        <v>158</v>
      </c>
      <c r="G234" s="7" t="b">
        <v>1</v>
      </c>
      <c r="H234" s="7" t="s">
        <v>162</v>
      </c>
      <c r="I234" s="7"/>
      <c r="J234" s="7"/>
      <c r="K234" s="7" t="s">
        <v>3070</v>
      </c>
    </row>
    <row r="235" spans="1:11">
      <c r="A235" s="7" t="s">
        <v>3071</v>
      </c>
      <c r="B235" s="7" t="s">
        <v>391</v>
      </c>
      <c r="C235" s="7" t="s">
        <v>1939</v>
      </c>
      <c r="D235" s="7" t="s">
        <v>1940</v>
      </c>
      <c r="E235" s="7" t="s">
        <v>158</v>
      </c>
      <c r="F235" s="7" t="s">
        <v>158</v>
      </c>
      <c r="G235" s="7" t="b">
        <v>1</v>
      </c>
      <c r="H235" s="7" t="s">
        <v>162</v>
      </c>
      <c r="I235" s="7"/>
      <c r="J235" s="7"/>
      <c r="K235" s="7" t="s">
        <v>3075</v>
      </c>
    </row>
    <row r="236" spans="1:11">
      <c r="A236" s="7" t="s">
        <v>3076</v>
      </c>
      <c r="B236" s="7" t="s">
        <v>391</v>
      </c>
      <c r="C236" s="7" t="s">
        <v>1939</v>
      </c>
      <c r="D236" s="7" t="s">
        <v>1940</v>
      </c>
      <c r="E236" s="7" t="s">
        <v>158</v>
      </c>
      <c r="F236" s="7" t="s">
        <v>158</v>
      </c>
      <c r="G236" s="7" t="b">
        <v>1</v>
      </c>
      <c r="H236" s="7" t="s">
        <v>162</v>
      </c>
      <c r="I236" s="7"/>
      <c r="J236" s="7"/>
      <c r="K236" s="7" t="s">
        <v>3080</v>
      </c>
    </row>
    <row r="237" spans="1:11">
      <c r="A237" s="7" t="s">
        <v>3081</v>
      </c>
      <c r="B237" s="7" t="s">
        <v>391</v>
      </c>
      <c r="C237" s="7" t="s">
        <v>1939</v>
      </c>
      <c r="D237" s="7" t="s">
        <v>1940</v>
      </c>
      <c r="E237" s="7" t="s">
        <v>158</v>
      </c>
      <c r="F237" s="7" t="s">
        <v>158</v>
      </c>
      <c r="G237" s="7" t="b">
        <v>1</v>
      </c>
      <c r="H237" s="7" t="s">
        <v>162</v>
      </c>
      <c r="I237" s="7"/>
      <c r="J237" s="7"/>
      <c r="K237" s="7" t="s">
        <v>3085</v>
      </c>
    </row>
    <row r="238" spans="1:11">
      <c r="A238" s="7" t="s">
        <v>3086</v>
      </c>
      <c r="B238" s="7" t="s">
        <v>391</v>
      </c>
      <c r="C238" s="7" t="s">
        <v>1939</v>
      </c>
      <c r="D238" s="7" t="s">
        <v>1940</v>
      </c>
      <c r="E238" s="7" t="s">
        <v>158</v>
      </c>
      <c r="F238" s="7" t="s">
        <v>158</v>
      </c>
      <c r="G238" s="7" t="b">
        <v>1</v>
      </c>
      <c r="H238" s="7" t="s">
        <v>162</v>
      </c>
      <c r="I238" s="7"/>
      <c r="J238" s="7"/>
      <c r="K238" s="7" t="s">
        <v>3090</v>
      </c>
    </row>
    <row r="239" spans="1:11">
      <c r="A239" s="7" t="s">
        <v>3091</v>
      </c>
      <c r="B239" s="7" t="s">
        <v>391</v>
      </c>
      <c r="C239" s="7" t="s">
        <v>1943</v>
      </c>
      <c r="D239" s="7" t="s">
        <v>158</v>
      </c>
      <c r="E239" s="7" t="s">
        <v>158</v>
      </c>
      <c r="F239" s="7" t="s">
        <v>158</v>
      </c>
      <c r="G239" s="7" t="b">
        <v>1</v>
      </c>
      <c r="H239" s="7" t="s">
        <v>162</v>
      </c>
      <c r="I239" s="7"/>
      <c r="J239" s="7"/>
      <c r="K239" s="7" t="s">
        <v>3095</v>
      </c>
    </row>
    <row r="240" spans="1:11">
      <c r="A240" s="7" t="s">
        <v>3096</v>
      </c>
      <c r="B240" s="7" t="s">
        <v>391</v>
      </c>
      <c r="C240" s="7" t="s">
        <v>1943</v>
      </c>
      <c r="D240" s="7" t="s">
        <v>158</v>
      </c>
      <c r="E240" s="7" t="s">
        <v>158</v>
      </c>
      <c r="F240" s="7" t="s">
        <v>158</v>
      </c>
      <c r="G240" s="7" t="b">
        <v>1</v>
      </c>
      <c r="H240" s="7" t="s">
        <v>162</v>
      </c>
      <c r="I240" s="7"/>
      <c r="J240" s="7"/>
      <c r="K240" s="7" t="s">
        <v>3100</v>
      </c>
    </row>
    <row r="241" spans="1:11">
      <c r="A241" s="7" t="s">
        <v>3101</v>
      </c>
      <c r="B241" s="7" t="s">
        <v>391</v>
      </c>
      <c r="C241" s="7" t="s">
        <v>1943</v>
      </c>
      <c r="D241" s="7" t="s">
        <v>158</v>
      </c>
      <c r="E241" s="7" t="s">
        <v>158</v>
      </c>
      <c r="F241" s="7" t="s">
        <v>158</v>
      </c>
      <c r="G241" s="7" t="b">
        <v>0</v>
      </c>
      <c r="H241" s="7" t="s">
        <v>162</v>
      </c>
      <c r="I241" s="7"/>
      <c r="J241" s="7"/>
      <c r="K241" s="7" t="s">
        <v>3105</v>
      </c>
    </row>
    <row r="242" spans="1:11">
      <c r="A242" s="7" t="s">
        <v>3106</v>
      </c>
      <c r="B242" s="7" t="s">
        <v>391</v>
      </c>
      <c r="C242" s="7" t="s">
        <v>1943</v>
      </c>
      <c r="D242" s="7" t="s">
        <v>158</v>
      </c>
      <c r="E242" s="7" t="s">
        <v>158</v>
      </c>
      <c r="F242" s="7" t="s">
        <v>158</v>
      </c>
      <c r="G242" s="7" t="b">
        <v>0</v>
      </c>
      <c r="H242" s="7" t="s">
        <v>162</v>
      </c>
      <c r="I242" s="7"/>
      <c r="J242" s="7"/>
      <c r="K242" s="7" t="s">
        <v>3110</v>
      </c>
    </row>
    <row r="243" spans="1:11">
      <c r="A243" s="7" t="s">
        <v>3111</v>
      </c>
      <c r="B243" s="7" t="s">
        <v>391</v>
      </c>
      <c r="C243" s="7" t="s">
        <v>1943</v>
      </c>
      <c r="D243" s="7" t="s">
        <v>158</v>
      </c>
      <c r="E243" s="7" t="s">
        <v>158</v>
      </c>
      <c r="F243" s="7" t="s">
        <v>158</v>
      </c>
      <c r="G243" s="7" t="b">
        <v>0</v>
      </c>
      <c r="H243" s="7" t="s">
        <v>162</v>
      </c>
      <c r="I243" s="7"/>
      <c r="J243" s="7"/>
      <c r="K243" s="7" t="s">
        <v>3115</v>
      </c>
    </row>
    <row r="244" spans="1:11">
      <c r="A244" s="7" t="s">
        <v>3116</v>
      </c>
      <c r="B244" s="7" t="s">
        <v>391</v>
      </c>
      <c r="C244" s="7" t="s">
        <v>1943</v>
      </c>
      <c r="D244" s="7" t="s">
        <v>158</v>
      </c>
      <c r="E244" s="7" t="s">
        <v>158</v>
      </c>
      <c r="F244" s="7" t="s">
        <v>158</v>
      </c>
      <c r="G244" s="7" t="b">
        <v>0</v>
      </c>
      <c r="H244" s="7" t="s">
        <v>162</v>
      </c>
      <c r="I244" s="7"/>
      <c r="J244" s="7"/>
      <c r="K244" s="7" t="s">
        <v>3120</v>
      </c>
    </row>
    <row r="245" spans="1:11">
      <c r="A245" s="7" t="s">
        <v>3121</v>
      </c>
      <c r="B245" s="7" t="s">
        <v>391</v>
      </c>
      <c r="C245" s="7" t="s">
        <v>1939</v>
      </c>
      <c r="D245" s="7" t="s">
        <v>1940</v>
      </c>
      <c r="E245" s="7" t="s">
        <v>158</v>
      </c>
      <c r="F245" s="7" t="s">
        <v>158</v>
      </c>
      <c r="G245" s="7" t="b">
        <v>1</v>
      </c>
      <c r="H245" s="7" t="s">
        <v>162</v>
      </c>
      <c r="I245" s="7"/>
      <c r="J245" s="7"/>
      <c r="K245" s="7" t="s">
        <v>3125</v>
      </c>
    </row>
    <row r="246" spans="1:11">
      <c r="A246" s="7" t="s">
        <v>3126</v>
      </c>
      <c r="B246" s="7" t="s">
        <v>391</v>
      </c>
      <c r="C246" s="7" t="s">
        <v>1939</v>
      </c>
      <c r="D246" s="7" t="s">
        <v>1940</v>
      </c>
      <c r="E246" s="7" t="s">
        <v>158</v>
      </c>
      <c r="F246" s="7" t="s">
        <v>158</v>
      </c>
      <c r="G246" s="7" t="b">
        <v>1</v>
      </c>
      <c r="H246" s="7" t="s">
        <v>162</v>
      </c>
      <c r="I246" s="7"/>
      <c r="J246" s="7"/>
      <c r="K246" s="7" t="s">
        <v>3130</v>
      </c>
    </row>
    <row r="247" spans="1:11">
      <c r="A247" s="7" t="s">
        <v>3131</v>
      </c>
      <c r="B247" s="7" t="s">
        <v>391</v>
      </c>
      <c r="C247" s="7" t="s">
        <v>1943</v>
      </c>
      <c r="D247" s="7" t="s">
        <v>158</v>
      </c>
      <c r="E247" s="7" t="s">
        <v>158</v>
      </c>
      <c r="F247" s="7" t="s">
        <v>158</v>
      </c>
      <c r="G247" s="7" t="b">
        <v>0</v>
      </c>
      <c r="H247" s="7" t="s">
        <v>162</v>
      </c>
      <c r="I247" s="7"/>
      <c r="J247" s="7"/>
      <c r="K247" s="7" t="s">
        <v>3135</v>
      </c>
    </row>
    <row r="248" spans="1:11">
      <c r="A248" s="7" t="s">
        <v>3136</v>
      </c>
      <c r="B248" s="7" t="s">
        <v>391</v>
      </c>
      <c r="C248" s="7" t="s">
        <v>1943</v>
      </c>
      <c r="D248" s="7" t="s">
        <v>158</v>
      </c>
      <c r="E248" s="7" t="s">
        <v>158</v>
      </c>
      <c r="F248" s="7" t="s">
        <v>158</v>
      </c>
      <c r="G248" s="7" t="b">
        <v>0</v>
      </c>
      <c r="H248" s="7" t="s">
        <v>162</v>
      </c>
      <c r="I248" s="7"/>
      <c r="J248" s="7"/>
      <c r="K248" s="7" t="s">
        <v>3140</v>
      </c>
    </row>
    <row r="249" spans="1:11">
      <c r="A249" s="7" t="s">
        <v>3141</v>
      </c>
      <c r="B249" s="7" t="s">
        <v>391</v>
      </c>
      <c r="C249" s="7" t="s">
        <v>1943</v>
      </c>
      <c r="D249" s="7" t="s">
        <v>158</v>
      </c>
      <c r="E249" s="7" t="s">
        <v>158</v>
      </c>
      <c r="F249" s="7" t="s">
        <v>158</v>
      </c>
      <c r="G249" s="7" t="b">
        <v>0</v>
      </c>
      <c r="H249" s="7" t="s">
        <v>162</v>
      </c>
      <c r="I249" s="7"/>
      <c r="J249" s="7"/>
      <c r="K249" s="7" t="s">
        <v>3145</v>
      </c>
    </row>
    <row r="250" spans="1:11">
      <c r="A250" s="7" t="s">
        <v>3146</v>
      </c>
      <c r="B250" s="7" t="s">
        <v>391</v>
      </c>
      <c r="C250" s="7" t="s">
        <v>1943</v>
      </c>
      <c r="D250" s="7" t="s">
        <v>158</v>
      </c>
      <c r="E250" s="7" t="s">
        <v>158</v>
      </c>
      <c r="F250" s="7" t="s">
        <v>158</v>
      </c>
      <c r="G250" s="7" t="b">
        <v>0</v>
      </c>
      <c r="H250" s="7" t="s">
        <v>162</v>
      </c>
      <c r="I250" s="7"/>
      <c r="J250" s="7"/>
      <c r="K250" s="7" t="s">
        <v>3150</v>
      </c>
    </row>
    <row r="251" spans="1:11">
      <c r="A251" s="7" t="s">
        <v>3151</v>
      </c>
      <c r="B251" s="7" t="s">
        <v>391</v>
      </c>
      <c r="C251" s="7" t="s">
        <v>1939</v>
      </c>
      <c r="D251" s="7" t="s">
        <v>1940</v>
      </c>
      <c r="E251" s="7" t="s">
        <v>158</v>
      </c>
      <c r="F251" s="7" t="s">
        <v>158</v>
      </c>
      <c r="G251" s="7" t="b">
        <v>1</v>
      </c>
      <c r="H251" s="7" t="s">
        <v>162</v>
      </c>
      <c r="I251" s="7"/>
      <c r="J251" s="7"/>
      <c r="K251" s="7" t="s">
        <v>3155</v>
      </c>
    </row>
    <row r="252" spans="1:11">
      <c r="A252" s="7" t="s">
        <v>3156</v>
      </c>
      <c r="B252" s="7" t="s">
        <v>391</v>
      </c>
      <c r="C252" s="7" t="s">
        <v>1939</v>
      </c>
      <c r="D252" s="7" t="s">
        <v>1940</v>
      </c>
      <c r="E252" s="7" t="s">
        <v>158</v>
      </c>
      <c r="F252" s="7" t="s">
        <v>158</v>
      </c>
      <c r="G252" s="7" t="b">
        <v>1</v>
      </c>
      <c r="H252" s="7" t="s">
        <v>162</v>
      </c>
      <c r="I252" s="7"/>
      <c r="J252" s="7"/>
      <c r="K252" s="7" t="s">
        <v>3160</v>
      </c>
    </row>
    <row r="253" spans="1:11">
      <c r="A253" s="7" t="s">
        <v>3161</v>
      </c>
      <c r="B253" s="7" t="s">
        <v>391</v>
      </c>
      <c r="C253" s="7" t="s">
        <v>1943</v>
      </c>
      <c r="D253" s="7" t="s">
        <v>158</v>
      </c>
      <c r="E253" s="7" t="s">
        <v>158</v>
      </c>
      <c r="F253" s="7" t="s">
        <v>158</v>
      </c>
      <c r="G253" s="7" t="b">
        <v>0</v>
      </c>
      <c r="H253" s="7" t="s">
        <v>162</v>
      </c>
      <c r="I253" s="7"/>
      <c r="J253" s="7"/>
      <c r="K253" s="7" t="s">
        <v>3165</v>
      </c>
    </row>
    <row r="254" spans="1:11">
      <c r="A254" s="7" t="s">
        <v>3166</v>
      </c>
      <c r="B254" s="7" t="s">
        <v>391</v>
      </c>
      <c r="C254" s="7" t="s">
        <v>1943</v>
      </c>
      <c r="D254" s="7" t="s">
        <v>158</v>
      </c>
      <c r="E254" s="7" t="s">
        <v>158</v>
      </c>
      <c r="F254" s="7" t="s">
        <v>158</v>
      </c>
      <c r="G254" s="7" t="b">
        <v>0</v>
      </c>
      <c r="H254" s="7" t="s">
        <v>162</v>
      </c>
      <c r="I254" s="7"/>
      <c r="J254" s="7"/>
      <c r="K254" s="7" t="s">
        <v>3170</v>
      </c>
    </row>
    <row r="255" spans="1:11">
      <c r="A255" s="7" t="s">
        <v>3171</v>
      </c>
      <c r="B255" s="7" t="s">
        <v>391</v>
      </c>
      <c r="C255" s="7" t="s">
        <v>1943</v>
      </c>
      <c r="D255" s="7" t="s">
        <v>158</v>
      </c>
      <c r="E255" s="7" t="s">
        <v>158</v>
      </c>
      <c r="F255" s="7" t="s">
        <v>158</v>
      </c>
      <c r="G255" s="7" t="b">
        <v>0</v>
      </c>
      <c r="H255" s="7" t="s">
        <v>162</v>
      </c>
      <c r="I255" s="7"/>
      <c r="J255" s="7"/>
      <c r="K255" s="7" t="s">
        <v>3175</v>
      </c>
    </row>
    <row r="256" spans="1:11">
      <c r="A256" s="7" t="s">
        <v>3176</v>
      </c>
      <c r="B256" s="7" t="s">
        <v>391</v>
      </c>
      <c r="C256" s="7" t="s">
        <v>1943</v>
      </c>
      <c r="D256" s="7" t="s">
        <v>158</v>
      </c>
      <c r="E256" s="7" t="s">
        <v>158</v>
      </c>
      <c r="F256" s="7" t="s">
        <v>158</v>
      </c>
      <c r="G256" s="7" t="b">
        <v>0</v>
      </c>
      <c r="H256" s="7" t="s">
        <v>162</v>
      </c>
      <c r="I256" s="7"/>
      <c r="J256" s="7"/>
      <c r="K256" s="7" t="s">
        <v>3180</v>
      </c>
    </row>
    <row r="257" spans="1:11">
      <c r="A257" s="7" t="s">
        <v>3181</v>
      </c>
      <c r="B257" s="7" t="s">
        <v>391</v>
      </c>
      <c r="C257" s="7" t="s">
        <v>1939</v>
      </c>
      <c r="D257" s="7" t="s">
        <v>1940</v>
      </c>
      <c r="E257" s="7" t="s">
        <v>158</v>
      </c>
      <c r="F257" s="7" t="s">
        <v>158</v>
      </c>
      <c r="G257" s="7" t="b">
        <v>1</v>
      </c>
      <c r="H257" s="7" t="s">
        <v>162</v>
      </c>
      <c r="I257" s="7"/>
      <c r="J257" s="7"/>
      <c r="K257" s="7" t="s">
        <v>3185</v>
      </c>
    </row>
    <row r="258" spans="1:11">
      <c r="A258" s="7" t="s">
        <v>3186</v>
      </c>
      <c r="B258" s="7" t="s">
        <v>391</v>
      </c>
      <c r="C258" s="7" t="s">
        <v>1939</v>
      </c>
      <c r="D258" s="7" t="s">
        <v>1940</v>
      </c>
      <c r="E258" s="7" t="s">
        <v>158</v>
      </c>
      <c r="F258" s="7" t="s">
        <v>158</v>
      </c>
      <c r="G258" s="7" t="b">
        <v>1</v>
      </c>
      <c r="H258" s="7" t="s">
        <v>162</v>
      </c>
      <c r="I258" s="7"/>
      <c r="J258" s="7"/>
      <c r="K258" s="7" t="s">
        <v>3190</v>
      </c>
    </row>
    <row r="259" spans="1:11">
      <c r="A259" s="7" t="s">
        <v>3191</v>
      </c>
      <c r="B259" s="7" t="s">
        <v>391</v>
      </c>
      <c r="C259" s="7" t="s">
        <v>1943</v>
      </c>
      <c r="D259" s="7" t="s">
        <v>158</v>
      </c>
      <c r="E259" s="7" t="s">
        <v>158</v>
      </c>
      <c r="F259" s="7" t="s">
        <v>158</v>
      </c>
      <c r="G259" s="7" t="b">
        <v>0</v>
      </c>
      <c r="H259" s="7" t="s">
        <v>162</v>
      </c>
      <c r="I259" s="7"/>
      <c r="J259" s="7"/>
      <c r="K259" s="7" t="s">
        <v>3195</v>
      </c>
    </row>
    <row r="260" spans="1:11">
      <c r="A260" s="7" t="s">
        <v>3196</v>
      </c>
      <c r="B260" s="7" t="s">
        <v>391</v>
      </c>
      <c r="C260" s="7" t="s">
        <v>1943</v>
      </c>
      <c r="D260" s="7" t="s">
        <v>158</v>
      </c>
      <c r="E260" s="7" t="s">
        <v>158</v>
      </c>
      <c r="F260" s="7" t="s">
        <v>158</v>
      </c>
      <c r="G260" s="7" t="b">
        <v>0</v>
      </c>
      <c r="H260" s="7" t="s">
        <v>162</v>
      </c>
      <c r="I260" s="7"/>
      <c r="J260" s="7"/>
      <c r="K260" s="7" t="s">
        <v>3200</v>
      </c>
    </row>
    <row r="261" spans="1:11">
      <c r="A261" s="7" t="s">
        <v>3201</v>
      </c>
      <c r="B261" s="7" t="s">
        <v>391</v>
      </c>
      <c r="C261" s="7" t="s">
        <v>1943</v>
      </c>
      <c r="D261" s="7" t="s">
        <v>158</v>
      </c>
      <c r="E261" s="7" t="s">
        <v>158</v>
      </c>
      <c r="F261" s="7" t="s">
        <v>158</v>
      </c>
      <c r="G261" s="7" t="b">
        <v>0</v>
      </c>
      <c r="H261" s="7" t="s">
        <v>162</v>
      </c>
      <c r="I261" s="7"/>
      <c r="J261" s="7"/>
      <c r="K261" s="7" t="s">
        <v>3205</v>
      </c>
    </row>
    <row r="262" spans="1:11">
      <c r="A262" s="7" t="s">
        <v>3206</v>
      </c>
      <c r="B262" s="7" t="s">
        <v>391</v>
      </c>
      <c r="C262" s="7" t="s">
        <v>1943</v>
      </c>
      <c r="D262" s="7" t="s">
        <v>158</v>
      </c>
      <c r="E262" s="7" t="s">
        <v>158</v>
      </c>
      <c r="F262" s="7" t="s">
        <v>158</v>
      </c>
      <c r="G262" s="7" t="b">
        <v>0</v>
      </c>
      <c r="H262" s="7" t="s">
        <v>162</v>
      </c>
      <c r="I262" s="7"/>
      <c r="J262" s="7"/>
      <c r="K262" s="7" t="s">
        <v>3210</v>
      </c>
    </row>
    <row r="263" spans="1:11">
      <c r="A263" s="7" t="s">
        <v>3211</v>
      </c>
      <c r="B263" s="7" t="s">
        <v>391</v>
      </c>
      <c r="C263" s="7" t="s">
        <v>1939</v>
      </c>
      <c r="D263" s="7" t="s">
        <v>1940</v>
      </c>
      <c r="E263" s="7" t="s">
        <v>158</v>
      </c>
      <c r="F263" s="7" t="s">
        <v>158</v>
      </c>
      <c r="G263" s="7" t="b">
        <v>1</v>
      </c>
      <c r="H263" s="7" t="s">
        <v>162</v>
      </c>
      <c r="I263" s="7"/>
      <c r="J263" s="7"/>
      <c r="K263" s="7" t="s">
        <v>3215</v>
      </c>
    </row>
    <row r="264" spans="1:11">
      <c r="A264" s="7" t="s">
        <v>3216</v>
      </c>
      <c r="B264" s="7" t="s">
        <v>391</v>
      </c>
      <c r="C264" s="7" t="s">
        <v>1939</v>
      </c>
      <c r="D264" s="7" t="s">
        <v>1940</v>
      </c>
      <c r="E264" s="7" t="s">
        <v>158</v>
      </c>
      <c r="F264" s="7" t="s">
        <v>158</v>
      </c>
      <c r="G264" s="7" t="b">
        <v>1</v>
      </c>
      <c r="H264" s="7" t="s">
        <v>162</v>
      </c>
      <c r="I264" s="7"/>
      <c r="J264" s="7"/>
      <c r="K264" s="7" t="s">
        <v>3220</v>
      </c>
    </row>
    <row r="265" spans="1:11">
      <c r="A265" s="7" t="s">
        <v>3221</v>
      </c>
      <c r="B265" s="7" t="s">
        <v>391</v>
      </c>
      <c r="C265" s="7" t="s">
        <v>1943</v>
      </c>
      <c r="D265" s="7" t="s">
        <v>158</v>
      </c>
      <c r="E265" s="7" t="s">
        <v>158</v>
      </c>
      <c r="F265" s="7" t="s">
        <v>158</v>
      </c>
      <c r="G265" s="7" t="b">
        <v>0</v>
      </c>
      <c r="H265" s="7" t="s">
        <v>162</v>
      </c>
      <c r="I265" s="7"/>
      <c r="J265" s="7"/>
      <c r="K265" s="7" t="s">
        <v>3225</v>
      </c>
    </row>
    <row r="266" spans="1:11">
      <c r="A266" s="7" t="s">
        <v>3226</v>
      </c>
      <c r="B266" s="7" t="s">
        <v>391</v>
      </c>
      <c r="C266" s="7" t="s">
        <v>1943</v>
      </c>
      <c r="D266" s="7" t="s">
        <v>158</v>
      </c>
      <c r="E266" s="7" t="s">
        <v>158</v>
      </c>
      <c r="F266" s="7" t="s">
        <v>158</v>
      </c>
      <c r="G266" s="7" t="b">
        <v>0</v>
      </c>
      <c r="H266" s="7" t="s">
        <v>162</v>
      </c>
      <c r="I266" s="7"/>
      <c r="J266" s="7"/>
      <c r="K266" s="7" t="s">
        <v>3230</v>
      </c>
    </row>
    <row r="267" spans="1:11">
      <c r="A267" s="7" t="s">
        <v>3231</v>
      </c>
      <c r="B267" s="7" t="s">
        <v>391</v>
      </c>
      <c r="C267" s="7" t="s">
        <v>1943</v>
      </c>
      <c r="D267" s="7" t="s">
        <v>158</v>
      </c>
      <c r="E267" s="7" t="s">
        <v>158</v>
      </c>
      <c r="F267" s="7" t="s">
        <v>158</v>
      </c>
      <c r="G267" s="7" t="b">
        <v>0</v>
      </c>
      <c r="H267" s="7" t="s">
        <v>162</v>
      </c>
      <c r="I267" s="7"/>
      <c r="J267" s="7"/>
      <c r="K267" s="7" t="s">
        <v>3235</v>
      </c>
    </row>
    <row r="268" spans="1:11">
      <c r="A268" s="7" t="s">
        <v>3236</v>
      </c>
      <c r="B268" s="7" t="s">
        <v>391</v>
      </c>
      <c r="C268" s="7" t="s">
        <v>1943</v>
      </c>
      <c r="D268" s="7" t="s">
        <v>158</v>
      </c>
      <c r="E268" s="7" t="s">
        <v>158</v>
      </c>
      <c r="F268" s="7" t="s">
        <v>158</v>
      </c>
      <c r="G268" s="7" t="b">
        <v>0</v>
      </c>
      <c r="H268" s="7" t="s">
        <v>162</v>
      </c>
      <c r="I268" s="7"/>
      <c r="J268" s="7"/>
      <c r="K268" s="7" t="s">
        <v>3240</v>
      </c>
    </row>
    <row r="269" spans="1:11">
      <c r="A269" s="7" t="s">
        <v>3241</v>
      </c>
      <c r="B269" s="7" t="s">
        <v>391</v>
      </c>
      <c r="C269" s="7" t="s">
        <v>1939</v>
      </c>
      <c r="D269" s="7" t="s">
        <v>1940</v>
      </c>
      <c r="E269" s="7" t="s">
        <v>158</v>
      </c>
      <c r="F269" s="7" t="s">
        <v>158</v>
      </c>
      <c r="G269" s="7" t="b">
        <v>1</v>
      </c>
      <c r="H269" s="7" t="s">
        <v>162</v>
      </c>
      <c r="I269" s="7"/>
      <c r="J269" s="7"/>
      <c r="K269" s="7" t="s">
        <v>3245</v>
      </c>
    </row>
    <row r="270" spans="1:11">
      <c r="A270" s="7" t="s">
        <v>3246</v>
      </c>
      <c r="B270" s="7" t="s">
        <v>391</v>
      </c>
      <c r="C270" s="7" t="s">
        <v>1939</v>
      </c>
      <c r="D270" s="7" t="s">
        <v>1940</v>
      </c>
      <c r="E270" s="7" t="s">
        <v>158</v>
      </c>
      <c r="F270" s="7" t="s">
        <v>158</v>
      </c>
      <c r="G270" s="7" t="b">
        <v>1</v>
      </c>
      <c r="H270" s="7" t="s">
        <v>162</v>
      </c>
      <c r="I270" s="7"/>
      <c r="J270" s="7"/>
      <c r="K270" s="7" t="s">
        <v>3249</v>
      </c>
    </row>
    <row r="271" spans="1:11">
      <c r="A271" s="7" t="s">
        <v>3250</v>
      </c>
      <c r="B271" s="7" t="s">
        <v>391</v>
      </c>
      <c r="C271" s="7" t="s">
        <v>1943</v>
      </c>
      <c r="D271" s="7" t="s">
        <v>158</v>
      </c>
      <c r="E271" s="7" t="s">
        <v>158</v>
      </c>
      <c r="F271" s="7" t="s">
        <v>158</v>
      </c>
      <c r="G271" s="7" t="b">
        <v>0</v>
      </c>
      <c r="H271" s="7" t="s">
        <v>162</v>
      </c>
      <c r="I271" s="7"/>
      <c r="J271" s="7"/>
      <c r="K271" s="7" t="s">
        <v>3254</v>
      </c>
    </row>
    <row r="272" spans="1:11">
      <c r="A272" s="7" t="s">
        <v>3255</v>
      </c>
      <c r="B272" s="7" t="s">
        <v>391</v>
      </c>
      <c r="C272" s="7" t="s">
        <v>1943</v>
      </c>
      <c r="D272" s="7" t="s">
        <v>158</v>
      </c>
      <c r="E272" s="7" t="s">
        <v>158</v>
      </c>
      <c r="F272" s="7" t="s">
        <v>158</v>
      </c>
      <c r="G272" s="7" t="b">
        <v>0</v>
      </c>
      <c r="H272" s="7" t="s">
        <v>162</v>
      </c>
      <c r="I272" s="7"/>
      <c r="J272" s="7"/>
      <c r="K272" s="7" t="s">
        <v>3259</v>
      </c>
    </row>
    <row r="273" spans="1:11">
      <c r="A273" s="7" t="s">
        <v>3260</v>
      </c>
      <c r="B273" s="7" t="s">
        <v>391</v>
      </c>
      <c r="C273" s="7" t="s">
        <v>1943</v>
      </c>
      <c r="D273" s="7" t="s">
        <v>158</v>
      </c>
      <c r="E273" s="7" t="s">
        <v>158</v>
      </c>
      <c r="F273" s="7" t="s">
        <v>158</v>
      </c>
      <c r="G273" s="7" t="b">
        <v>0</v>
      </c>
      <c r="H273" s="7" t="s">
        <v>162</v>
      </c>
      <c r="I273" s="7"/>
      <c r="J273" s="7"/>
      <c r="K273" s="7" t="s">
        <v>3264</v>
      </c>
    </row>
    <row r="274" spans="1:11">
      <c r="A274" s="7" t="s">
        <v>3265</v>
      </c>
      <c r="B274" s="7" t="s">
        <v>391</v>
      </c>
      <c r="C274" s="7" t="s">
        <v>1943</v>
      </c>
      <c r="D274" s="7" t="s">
        <v>158</v>
      </c>
      <c r="E274" s="7" t="s">
        <v>158</v>
      </c>
      <c r="F274" s="7" t="s">
        <v>158</v>
      </c>
      <c r="G274" s="7" t="b">
        <v>0</v>
      </c>
      <c r="H274" s="7" t="s">
        <v>162</v>
      </c>
      <c r="I274" s="7"/>
      <c r="J274" s="7"/>
      <c r="K274" s="7" t="s">
        <v>3269</v>
      </c>
    </row>
    <row r="275" spans="1:11">
      <c r="A275" s="7" t="s">
        <v>3270</v>
      </c>
      <c r="B275" s="7" t="s">
        <v>391</v>
      </c>
      <c r="C275" s="7" t="s">
        <v>1939</v>
      </c>
      <c r="D275" s="7" t="s">
        <v>1940</v>
      </c>
      <c r="E275" s="7" t="s">
        <v>158</v>
      </c>
      <c r="F275" s="7" t="s">
        <v>158</v>
      </c>
      <c r="G275" s="7" t="b">
        <v>1</v>
      </c>
      <c r="H275" s="7" t="s">
        <v>162</v>
      </c>
      <c r="I275" s="7"/>
      <c r="J275" s="7"/>
      <c r="K275" s="7" t="s">
        <v>3274</v>
      </c>
    </row>
    <row r="276" spans="1:11">
      <c r="A276" s="7" t="s">
        <v>3275</v>
      </c>
      <c r="B276" s="7" t="s">
        <v>391</v>
      </c>
      <c r="C276" s="7" t="s">
        <v>1939</v>
      </c>
      <c r="D276" s="7" t="s">
        <v>1940</v>
      </c>
      <c r="E276" s="7" t="s">
        <v>158</v>
      </c>
      <c r="F276" s="7" t="s">
        <v>158</v>
      </c>
      <c r="G276" s="7" t="b">
        <v>1</v>
      </c>
      <c r="H276" s="7" t="s">
        <v>162</v>
      </c>
      <c r="I276" s="7"/>
      <c r="J276" s="7"/>
      <c r="K276" s="7" t="s">
        <v>3279</v>
      </c>
    </row>
    <row r="277" spans="1:11">
      <c r="A277" s="7" t="s">
        <v>3280</v>
      </c>
      <c r="B277" s="7" t="s">
        <v>391</v>
      </c>
      <c r="C277" s="7" t="s">
        <v>1943</v>
      </c>
      <c r="D277" s="7" t="s">
        <v>158</v>
      </c>
      <c r="E277" s="7" t="s">
        <v>158</v>
      </c>
      <c r="F277" s="7" t="s">
        <v>158</v>
      </c>
      <c r="G277" s="7" t="b">
        <v>0</v>
      </c>
      <c r="H277" s="7" t="s">
        <v>162</v>
      </c>
      <c r="I277" s="7"/>
      <c r="J277" s="7"/>
      <c r="K277" s="7" t="s">
        <v>3284</v>
      </c>
    </row>
    <row r="278" spans="1:11">
      <c r="A278" s="7" t="s">
        <v>3285</v>
      </c>
      <c r="B278" s="7" t="s">
        <v>391</v>
      </c>
      <c r="C278" s="7" t="s">
        <v>1943</v>
      </c>
      <c r="D278" s="7" t="s">
        <v>158</v>
      </c>
      <c r="E278" s="7" t="s">
        <v>158</v>
      </c>
      <c r="F278" s="7" t="s">
        <v>158</v>
      </c>
      <c r="G278" s="7" t="b">
        <v>0</v>
      </c>
      <c r="H278" s="7" t="s">
        <v>162</v>
      </c>
      <c r="I278" s="7"/>
      <c r="J278" s="7"/>
      <c r="K278" s="7" t="s">
        <v>3289</v>
      </c>
    </row>
    <row r="279" spans="1:11">
      <c r="A279" s="7" t="s">
        <v>3290</v>
      </c>
      <c r="B279" s="7" t="s">
        <v>391</v>
      </c>
      <c r="C279" s="7" t="s">
        <v>1943</v>
      </c>
      <c r="D279" s="7" t="s">
        <v>158</v>
      </c>
      <c r="E279" s="7" t="s">
        <v>158</v>
      </c>
      <c r="F279" s="7" t="s">
        <v>158</v>
      </c>
      <c r="G279" s="7" t="b">
        <v>0</v>
      </c>
      <c r="H279" s="7" t="s">
        <v>162</v>
      </c>
      <c r="I279" s="7"/>
      <c r="J279" s="7"/>
      <c r="K279" s="7" t="s">
        <v>3294</v>
      </c>
    </row>
    <row r="280" spans="1:11">
      <c r="A280" s="7" t="s">
        <v>3295</v>
      </c>
      <c r="B280" s="7" t="s">
        <v>391</v>
      </c>
      <c r="C280" s="7" t="s">
        <v>1943</v>
      </c>
      <c r="D280" s="7" t="s">
        <v>158</v>
      </c>
      <c r="E280" s="7" t="s">
        <v>158</v>
      </c>
      <c r="F280" s="7" t="s">
        <v>158</v>
      </c>
      <c r="G280" s="7" t="b">
        <v>0</v>
      </c>
      <c r="H280" s="7" t="s">
        <v>162</v>
      </c>
      <c r="I280" s="7"/>
      <c r="J280" s="7"/>
      <c r="K280" s="7" t="s">
        <v>3299</v>
      </c>
    </row>
    <row r="281" spans="1:11">
      <c r="A281" s="7" t="s">
        <v>3300</v>
      </c>
      <c r="B281" s="7" t="s">
        <v>391</v>
      </c>
      <c r="C281" s="7" t="s">
        <v>1939</v>
      </c>
      <c r="D281" s="7" t="s">
        <v>1940</v>
      </c>
      <c r="E281" s="7" t="s">
        <v>158</v>
      </c>
      <c r="F281" s="7" t="s">
        <v>158</v>
      </c>
      <c r="G281" s="7" t="b">
        <v>1</v>
      </c>
      <c r="H281" s="7" t="s">
        <v>162</v>
      </c>
      <c r="I281" s="7"/>
      <c r="J281" s="7"/>
      <c r="K281" s="7" t="s">
        <v>3304</v>
      </c>
    </row>
    <row r="282" spans="1:11">
      <c r="A282" s="7" t="s">
        <v>3305</v>
      </c>
      <c r="B282" s="7" t="s">
        <v>391</v>
      </c>
      <c r="C282" s="7" t="s">
        <v>1939</v>
      </c>
      <c r="D282" s="7" t="s">
        <v>1940</v>
      </c>
      <c r="E282" s="7" t="s">
        <v>158</v>
      </c>
      <c r="F282" s="7" t="s">
        <v>158</v>
      </c>
      <c r="G282" s="7" t="b">
        <v>1</v>
      </c>
      <c r="H282" s="7" t="s">
        <v>162</v>
      </c>
      <c r="I282" s="7"/>
      <c r="J282" s="7"/>
      <c r="K282" s="7" t="s">
        <v>3309</v>
      </c>
    </row>
    <row r="283" spans="1:11">
      <c r="A283" s="7" t="s">
        <v>3310</v>
      </c>
      <c r="B283" s="7" t="s">
        <v>391</v>
      </c>
      <c r="C283" s="7" t="s">
        <v>1943</v>
      </c>
      <c r="D283" s="7" t="s">
        <v>158</v>
      </c>
      <c r="E283" s="7" t="s">
        <v>158</v>
      </c>
      <c r="F283" s="7" t="s">
        <v>158</v>
      </c>
      <c r="G283" s="7" t="b">
        <v>0</v>
      </c>
      <c r="H283" s="7" t="s">
        <v>162</v>
      </c>
      <c r="I283" s="7"/>
      <c r="J283" s="7"/>
      <c r="K283" s="7" t="s">
        <v>3314</v>
      </c>
    </row>
    <row r="284" spans="1:11">
      <c r="A284" s="7" t="s">
        <v>3315</v>
      </c>
      <c r="B284" s="7" t="s">
        <v>391</v>
      </c>
      <c r="C284" s="7" t="s">
        <v>1943</v>
      </c>
      <c r="D284" s="7" t="s">
        <v>158</v>
      </c>
      <c r="E284" s="7" t="s">
        <v>158</v>
      </c>
      <c r="F284" s="7" t="s">
        <v>158</v>
      </c>
      <c r="G284" s="7" t="b">
        <v>0</v>
      </c>
      <c r="H284" s="7" t="s">
        <v>162</v>
      </c>
      <c r="I284" s="7"/>
      <c r="J284" s="7"/>
      <c r="K284" s="7" t="s">
        <v>3319</v>
      </c>
    </row>
    <row r="285" spans="1:11">
      <c r="A285" s="7" t="s">
        <v>3320</v>
      </c>
      <c r="B285" s="7" t="s">
        <v>391</v>
      </c>
      <c r="C285" s="7" t="s">
        <v>1943</v>
      </c>
      <c r="D285" s="7" t="s">
        <v>158</v>
      </c>
      <c r="E285" s="7" t="s">
        <v>158</v>
      </c>
      <c r="F285" s="7" t="s">
        <v>158</v>
      </c>
      <c r="G285" s="7" t="b">
        <v>0</v>
      </c>
      <c r="H285" s="7" t="s">
        <v>162</v>
      </c>
      <c r="I285" s="7"/>
      <c r="J285" s="7"/>
      <c r="K285" s="7" t="s">
        <v>3324</v>
      </c>
    </row>
    <row r="286" spans="1:11">
      <c r="A286" s="7" t="s">
        <v>3325</v>
      </c>
      <c r="B286" s="7" t="s">
        <v>391</v>
      </c>
      <c r="C286" s="7" t="s">
        <v>1943</v>
      </c>
      <c r="D286" s="7" t="s">
        <v>158</v>
      </c>
      <c r="E286" s="7" t="s">
        <v>158</v>
      </c>
      <c r="F286" s="7" t="s">
        <v>158</v>
      </c>
      <c r="G286" s="7" t="b">
        <v>0</v>
      </c>
      <c r="H286" s="7" t="s">
        <v>162</v>
      </c>
      <c r="I286" s="7"/>
      <c r="J286" s="7"/>
      <c r="K286" s="7" t="s">
        <v>3329</v>
      </c>
    </row>
    <row r="287" spans="1:11">
      <c r="A287" s="7" t="s">
        <v>3330</v>
      </c>
      <c r="B287" s="7" t="s">
        <v>391</v>
      </c>
      <c r="C287" s="7" t="s">
        <v>1939</v>
      </c>
      <c r="D287" s="7" t="s">
        <v>1940</v>
      </c>
      <c r="E287" s="7" t="s">
        <v>158</v>
      </c>
      <c r="F287" s="7" t="s">
        <v>158</v>
      </c>
      <c r="G287" s="7" t="b">
        <v>1</v>
      </c>
      <c r="H287" s="7" t="s">
        <v>162</v>
      </c>
      <c r="I287" s="7"/>
      <c r="J287" s="7"/>
      <c r="K287" s="7" t="s">
        <v>3334</v>
      </c>
    </row>
    <row r="288" spans="1:11">
      <c r="A288" s="7" t="s">
        <v>3335</v>
      </c>
      <c r="B288" s="7" t="s">
        <v>391</v>
      </c>
      <c r="C288" s="7" t="s">
        <v>1939</v>
      </c>
      <c r="D288" s="7" t="s">
        <v>1940</v>
      </c>
      <c r="E288" s="7" t="s">
        <v>158</v>
      </c>
      <c r="F288" s="7" t="s">
        <v>158</v>
      </c>
      <c r="G288" s="7" t="b">
        <v>1</v>
      </c>
      <c r="H288" s="7" t="s">
        <v>162</v>
      </c>
      <c r="I288" s="7"/>
      <c r="J288" s="7"/>
      <c r="K288" s="7" t="s">
        <v>3339</v>
      </c>
    </row>
    <row r="289" spans="1:11">
      <c r="A289" s="7" t="s">
        <v>3340</v>
      </c>
      <c r="B289" s="7" t="s">
        <v>391</v>
      </c>
      <c r="C289" s="7" t="s">
        <v>1943</v>
      </c>
      <c r="D289" s="7" t="s">
        <v>158</v>
      </c>
      <c r="E289" s="7" t="s">
        <v>158</v>
      </c>
      <c r="F289" s="7" t="s">
        <v>158</v>
      </c>
      <c r="G289" s="7" t="b">
        <v>0</v>
      </c>
      <c r="H289" s="7" t="s">
        <v>162</v>
      </c>
      <c r="I289" s="7"/>
      <c r="J289" s="7"/>
      <c r="K289" s="7" t="s">
        <v>3344</v>
      </c>
    </row>
    <row r="290" spans="1:11">
      <c r="A290" s="7" t="s">
        <v>3345</v>
      </c>
      <c r="B290" s="7" t="s">
        <v>391</v>
      </c>
      <c r="C290" s="7" t="s">
        <v>1943</v>
      </c>
      <c r="D290" s="7" t="s">
        <v>158</v>
      </c>
      <c r="E290" s="7" t="s">
        <v>158</v>
      </c>
      <c r="F290" s="7" t="s">
        <v>158</v>
      </c>
      <c r="G290" s="7" t="b">
        <v>0</v>
      </c>
      <c r="H290" s="7" t="s">
        <v>162</v>
      </c>
      <c r="I290" s="7"/>
      <c r="J290" s="7"/>
      <c r="K290" s="7" t="s">
        <v>3349</v>
      </c>
    </row>
    <row r="291" spans="1:11">
      <c r="A291" s="7" t="s">
        <v>3350</v>
      </c>
      <c r="B291" s="7" t="s">
        <v>391</v>
      </c>
      <c r="C291" s="7" t="s">
        <v>1943</v>
      </c>
      <c r="D291" s="7" t="s">
        <v>158</v>
      </c>
      <c r="E291" s="7" t="s">
        <v>158</v>
      </c>
      <c r="F291" s="7" t="s">
        <v>158</v>
      </c>
      <c r="G291" s="7" t="b">
        <v>0</v>
      </c>
      <c r="H291" s="7" t="s">
        <v>162</v>
      </c>
      <c r="I291" s="7"/>
      <c r="J291" s="7"/>
      <c r="K291" s="7" t="s">
        <v>3354</v>
      </c>
    </row>
    <row r="292" spans="1:11">
      <c r="A292" s="7" t="s">
        <v>3355</v>
      </c>
      <c r="B292" s="7" t="s">
        <v>391</v>
      </c>
      <c r="C292" s="7" t="s">
        <v>1943</v>
      </c>
      <c r="D292" s="7" t="s">
        <v>158</v>
      </c>
      <c r="E292" s="7" t="s">
        <v>158</v>
      </c>
      <c r="F292" s="7" t="s">
        <v>158</v>
      </c>
      <c r="G292" s="7" t="b">
        <v>0</v>
      </c>
      <c r="H292" s="7" t="s">
        <v>162</v>
      </c>
      <c r="I292" s="7"/>
      <c r="J292" s="7"/>
      <c r="K292" s="7" t="s">
        <v>3359</v>
      </c>
    </row>
    <row r="293" spans="1:11">
      <c r="A293" s="7" t="s">
        <v>3360</v>
      </c>
      <c r="B293" s="7" t="s">
        <v>391</v>
      </c>
      <c r="C293" s="7" t="s">
        <v>1943</v>
      </c>
      <c r="D293" s="7" t="s">
        <v>158</v>
      </c>
      <c r="E293" s="7" t="s">
        <v>158</v>
      </c>
      <c r="F293" s="7" t="s">
        <v>158</v>
      </c>
      <c r="G293" s="7" t="b">
        <v>0</v>
      </c>
      <c r="H293" s="7" t="s">
        <v>162</v>
      </c>
      <c r="I293" s="7"/>
      <c r="J293" s="7"/>
      <c r="K293" s="7" t="s">
        <v>3364</v>
      </c>
    </row>
    <row r="294" spans="1:11">
      <c r="A294" s="7" t="s">
        <v>3365</v>
      </c>
      <c r="B294" s="7" t="s">
        <v>391</v>
      </c>
      <c r="C294" s="7" t="s">
        <v>1943</v>
      </c>
      <c r="D294" s="7" t="s">
        <v>158</v>
      </c>
      <c r="E294" s="7" t="s">
        <v>158</v>
      </c>
      <c r="F294" s="7" t="s">
        <v>158</v>
      </c>
      <c r="G294" s="7" t="b">
        <v>0</v>
      </c>
      <c r="H294" s="7" t="s">
        <v>162</v>
      </c>
      <c r="I294" s="7"/>
      <c r="J294" s="7"/>
      <c r="K294" s="7" t="s">
        <v>3369</v>
      </c>
    </row>
    <row r="295" spans="1:11">
      <c r="A295" s="7" t="s">
        <v>3370</v>
      </c>
      <c r="B295" s="7" t="s">
        <v>391</v>
      </c>
      <c r="C295" s="7" t="s">
        <v>1943</v>
      </c>
      <c r="D295" s="7" t="s">
        <v>158</v>
      </c>
      <c r="E295" s="7" t="s">
        <v>158</v>
      </c>
      <c r="F295" s="7" t="s">
        <v>158</v>
      </c>
      <c r="G295" s="7" t="b">
        <v>0</v>
      </c>
      <c r="H295" s="7" t="s">
        <v>162</v>
      </c>
      <c r="I295" s="7"/>
      <c r="J295" s="7"/>
      <c r="K295" s="7" t="s">
        <v>3374</v>
      </c>
    </row>
    <row r="296" spans="1:11">
      <c r="A296" s="7" t="s">
        <v>3375</v>
      </c>
      <c r="B296" s="7" t="s">
        <v>391</v>
      </c>
      <c r="C296" s="7" t="s">
        <v>1937</v>
      </c>
      <c r="D296" s="7" t="s">
        <v>1938</v>
      </c>
      <c r="E296" s="7" t="s">
        <v>158</v>
      </c>
      <c r="F296" s="7" t="s">
        <v>158</v>
      </c>
      <c r="G296" s="7" t="b">
        <v>0</v>
      </c>
      <c r="H296" s="7" t="s">
        <v>162</v>
      </c>
      <c r="I296" s="7"/>
      <c r="J296" s="7"/>
      <c r="K296" s="7" t="s">
        <v>3379</v>
      </c>
    </row>
    <row r="297" spans="1:11">
      <c r="A297" s="7" t="s">
        <v>3380</v>
      </c>
      <c r="B297" s="7" t="s">
        <v>391</v>
      </c>
      <c r="C297" s="7" t="s">
        <v>1937</v>
      </c>
      <c r="D297" s="7" t="s">
        <v>1938</v>
      </c>
      <c r="E297" s="7" t="s">
        <v>158</v>
      </c>
      <c r="F297" s="7" t="s">
        <v>158</v>
      </c>
      <c r="G297" s="7" t="b">
        <v>0</v>
      </c>
      <c r="H297" s="7" t="s">
        <v>162</v>
      </c>
      <c r="I297" s="7"/>
      <c r="J297" s="7"/>
      <c r="K297" s="7" t="s">
        <v>3384</v>
      </c>
    </row>
    <row r="298" spans="1:11">
      <c r="A298" s="7" t="s">
        <v>3385</v>
      </c>
      <c r="B298" s="7" t="s">
        <v>391</v>
      </c>
      <c r="C298" s="7" t="s">
        <v>1943</v>
      </c>
      <c r="D298" s="7" t="s">
        <v>158</v>
      </c>
      <c r="E298" s="7" t="s">
        <v>158</v>
      </c>
      <c r="F298" s="7" t="s">
        <v>158</v>
      </c>
      <c r="G298" s="7" t="b">
        <v>0</v>
      </c>
      <c r="H298" s="7" t="s">
        <v>162</v>
      </c>
      <c r="I298" s="7"/>
      <c r="J298" s="7"/>
      <c r="K298" s="7" t="s">
        <v>3389</v>
      </c>
    </row>
    <row r="299" spans="1:11">
      <c r="A299" s="7" t="s">
        <v>3390</v>
      </c>
      <c r="B299" s="7" t="s">
        <v>391</v>
      </c>
      <c r="C299" s="7" t="s">
        <v>1943</v>
      </c>
      <c r="D299" s="7" t="s">
        <v>158</v>
      </c>
      <c r="E299" s="7" t="s">
        <v>158</v>
      </c>
      <c r="F299" s="7" t="s">
        <v>158</v>
      </c>
      <c r="G299" s="7" t="b">
        <v>0</v>
      </c>
      <c r="H299" s="7" t="s">
        <v>162</v>
      </c>
      <c r="I299" s="7"/>
      <c r="J299" s="7"/>
      <c r="K299" s="7" t="s">
        <v>3394</v>
      </c>
    </row>
    <row r="300" spans="1:11">
      <c r="A300" s="7" t="s">
        <v>3395</v>
      </c>
      <c r="B300" s="7" t="s">
        <v>391</v>
      </c>
      <c r="C300" s="7" t="s">
        <v>1943</v>
      </c>
      <c r="D300" s="7" t="s">
        <v>158</v>
      </c>
      <c r="E300" s="7" t="s">
        <v>158</v>
      </c>
      <c r="F300" s="7" t="s">
        <v>158</v>
      </c>
      <c r="G300" s="7" t="b">
        <v>0</v>
      </c>
      <c r="H300" s="7" t="s">
        <v>162</v>
      </c>
      <c r="I300" s="7"/>
      <c r="J300" s="7"/>
      <c r="K300" s="7" t="s">
        <v>3399</v>
      </c>
    </row>
    <row r="301" spans="1:11">
      <c r="A301" s="7" t="s">
        <v>3400</v>
      </c>
      <c r="B301" s="7" t="s">
        <v>391</v>
      </c>
      <c r="C301" s="7" t="s">
        <v>1943</v>
      </c>
      <c r="D301" s="7" t="s">
        <v>158</v>
      </c>
      <c r="E301" s="7" t="s">
        <v>158</v>
      </c>
      <c r="F301" s="7" t="s">
        <v>158</v>
      </c>
      <c r="G301" s="7" t="b">
        <v>0</v>
      </c>
      <c r="H301" s="7" t="s">
        <v>162</v>
      </c>
      <c r="I301" s="7"/>
      <c r="J301" s="7"/>
      <c r="K301" s="7" t="s">
        <v>3404</v>
      </c>
    </row>
    <row r="302" spans="1:11">
      <c r="A302" s="7" t="s">
        <v>3405</v>
      </c>
      <c r="B302" s="7" t="s">
        <v>391</v>
      </c>
      <c r="C302" s="7" t="s">
        <v>1943</v>
      </c>
      <c r="D302" s="7" t="s">
        <v>158</v>
      </c>
      <c r="E302" s="7" t="s">
        <v>158</v>
      </c>
      <c r="F302" s="7" t="s">
        <v>158</v>
      </c>
      <c r="G302" s="7" t="b">
        <v>0</v>
      </c>
      <c r="H302" s="7" t="s">
        <v>162</v>
      </c>
      <c r="I302" s="7"/>
      <c r="J302" s="7"/>
      <c r="K302" s="7" t="s">
        <v>3409</v>
      </c>
    </row>
    <row r="303" spans="1:11">
      <c r="A303" s="7" t="s">
        <v>3410</v>
      </c>
      <c r="B303" s="7" t="s">
        <v>391</v>
      </c>
      <c r="C303" s="7" t="s">
        <v>1943</v>
      </c>
      <c r="D303" s="7" t="s">
        <v>158</v>
      </c>
      <c r="E303" s="7" t="s">
        <v>158</v>
      </c>
      <c r="F303" s="7" t="s">
        <v>158</v>
      </c>
      <c r="G303" s="7" t="b">
        <v>0</v>
      </c>
      <c r="H303" s="7" t="s">
        <v>162</v>
      </c>
      <c r="I303" s="7"/>
      <c r="J303" s="7"/>
      <c r="K303" s="7" t="s">
        <v>3414</v>
      </c>
    </row>
    <row r="304" spans="1:11">
      <c r="A304" s="7" t="s">
        <v>3415</v>
      </c>
      <c r="B304" s="7" t="s">
        <v>391</v>
      </c>
      <c r="C304" s="7" t="s">
        <v>1943</v>
      </c>
      <c r="D304" s="7" t="s">
        <v>158</v>
      </c>
      <c r="E304" s="7" t="s">
        <v>158</v>
      </c>
      <c r="F304" s="7" t="s">
        <v>158</v>
      </c>
      <c r="G304" s="7" t="b">
        <v>0</v>
      </c>
      <c r="H304" s="7" t="s">
        <v>162</v>
      </c>
      <c r="I304" s="7"/>
      <c r="J304" s="7"/>
      <c r="K304" s="7" t="s">
        <v>3419</v>
      </c>
    </row>
    <row r="305" spans="1:11">
      <c r="A305" s="7" t="s">
        <v>3420</v>
      </c>
      <c r="B305" s="7" t="s">
        <v>391</v>
      </c>
      <c r="C305" s="7" t="s">
        <v>1943</v>
      </c>
      <c r="D305" s="7" t="s">
        <v>158</v>
      </c>
      <c r="E305" s="7" t="s">
        <v>158</v>
      </c>
      <c r="F305" s="7" t="s">
        <v>158</v>
      </c>
      <c r="G305" s="7" t="b">
        <v>0</v>
      </c>
      <c r="H305" s="7" t="s">
        <v>162</v>
      </c>
      <c r="I305" s="7"/>
      <c r="J305" s="7"/>
      <c r="K305" s="7" t="s">
        <v>3424</v>
      </c>
    </row>
    <row r="306" spans="1:11">
      <c r="A306" s="7" t="s">
        <v>3425</v>
      </c>
      <c r="B306" s="7" t="s">
        <v>391</v>
      </c>
      <c r="C306" s="7" t="s">
        <v>1943</v>
      </c>
      <c r="D306" s="7" t="s">
        <v>158</v>
      </c>
      <c r="E306" s="7" t="s">
        <v>158</v>
      </c>
      <c r="F306" s="7" t="s">
        <v>158</v>
      </c>
      <c r="G306" s="7" t="b">
        <v>0</v>
      </c>
      <c r="H306" s="7" t="s">
        <v>162</v>
      </c>
      <c r="I306" s="7"/>
      <c r="J306" s="7"/>
      <c r="K306" s="7" t="s">
        <v>3429</v>
      </c>
    </row>
    <row r="307" spans="1:11">
      <c r="A307" s="7" t="s">
        <v>3430</v>
      </c>
      <c r="B307" s="7" t="s">
        <v>391</v>
      </c>
      <c r="C307" s="7" t="s">
        <v>1943</v>
      </c>
      <c r="D307" s="7" t="s">
        <v>158</v>
      </c>
      <c r="E307" s="7" t="s">
        <v>158</v>
      </c>
      <c r="F307" s="7" t="s">
        <v>158</v>
      </c>
      <c r="G307" s="7" t="b">
        <v>0</v>
      </c>
      <c r="H307" s="7" t="s">
        <v>162</v>
      </c>
      <c r="I307" s="7"/>
      <c r="J307" s="7"/>
      <c r="K307" s="7" t="s">
        <v>3434</v>
      </c>
    </row>
    <row r="308" spans="1:11">
      <c r="A308" s="7" t="s">
        <v>3435</v>
      </c>
      <c r="B308" s="7" t="s">
        <v>391</v>
      </c>
      <c r="C308" s="7" t="s">
        <v>1943</v>
      </c>
      <c r="D308" s="7" t="s">
        <v>158</v>
      </c>
      <c r="E308" s="7" t="s">
        <v>158</v>
      </c>
      <c r="F308" s="7" t="s">
        <v>158</v>
      </c>
      <c r="G308" s="7" t="b">
        <v>0</v>
      </c>
      <c r="H308" s="7" t="s">
        <v>162</v>
      </c>
      <c r="I308" s="7"/>
      <c r="J308" s="7"/>
      <c r="K308" s="7" t="s">
        <v>3439</v>
      </c>
    </row>
    <row r="309" spans="1:11">
      <c r="A309" s="7" t="s">
        <v>3440</v>
      </c>
      <c r="B309" s="7" t="s">
        <v>391</v>
      </c>
      <c r="C309" s="7" t="s">
        <v>1943</v>
      </c>
      <c r="D309" s="7" t="s">
        <v>158</v>
      </c>
      <c r="E309" s="7" t="s">
        <v>158</v>
      </c>
      <c r="F309" s="7" t="s">
        <v>158</v>
      </c>
      <c r="G309" s="7" t="b">
        <v>0</v>
      </c>
      <c r="H309" s="7" t="s">
        <v>162</v>
      </c>
      <c r="I309" s="7"/>
      <c r="J309" s="7"/>
      <c r="K309" s="7" t="s">
        <v>3444</v>
      </c>
    </row>
    <row r="310" spans="1:11">
      <c r="A310" s="7" t="s">
        <v>3445</v>
      </c>
      <c r="B310" s="7" t="s">
        <v>391</v>
      </c>
      <c r="C310" s="7" t="s">
        <v>1943</v>
      </c>
      <c r="D310" s="7" t="s">
        <v>158</v>
      </c>
      <c r="E310" s="7" t="s">
        <v>158</v>
      </c>
      <c r="F310" s="7" t="s">
        <v>158</v>
      </c>
      <c r="G310" s="7" t="b">
        <v>0</v>
      </c>
      <c r="H310" s="7" t="s">
        <v>162</v>
      </c>
      <c r="I310" s="7"/>
      <c r="J310" s="7"/>
      <c r="K310" s="7" t="s">
        <v>3449</v>
      </c>
    </row>
    <row r="311" spans="1:11">
      <c r="A311" s="7" t="s">
        <v>3450</v>
      </c>
      <c r="B311" s="7" t="s">
        <v>391</v>
      </c>
      <c r="C311" s="7" t="s">
        <v>1939</v>
      </c>
      <c r="D311" s="7" t="s">
        <v>1940</v>
      </c>
      <c r="E311" s="7" t="s">
        <v>158</v>
      </c>
      <c r="F311" s="7" t="s">
        <v>158</v>
      </c>
      <c r="G311" s="7" t="b">
        <v>1</v>
      </c>
      <c r="H311" s="7" t="s">
        <v>162</v>
      </c>
      <c r="I311" s="7"/>
      <c r="J311" s="7"/>
      <c r="K311" s="7" t="s">
        <v>3454</v>
      </c>
    </row>
    <row r="312" spans="1:11">
      <c r="A312" s="7" t="s">
        <v>3455</v>
      </c>
      <c r="B312" s="7" t="s">
        <v>391</v>
      </c>
      <c r="C312" s="7" t="s">
        <v>1939</v>
      </c>
      <c r="D312" s="7" t="s">
        <v>1940</v>
      </c>
      <c r="E312" s="7" t="s">
        <v>158</v>
      </c>
      <c r="F312" s="7" t="s">
        <v>158</v>
      </c>
      <c r="G312" s="7" t="b">
        <v>1</v>
      </c>
      <c r="H312" s="7" t="s">
        <v>162</v>
      </c>
      <c r="I312" s="7"/>
      <c r="J312" s="7"/>
      <c r="K312" s="7" t="s">
        <v>3459</v>
      </c>
    </row>
    <row r="313" spans="1:11">
      <c r="A313" s="7" t="s">
        <v>3460</v>
      </c>
      <c r="B313" s="7" t="s">
        <v>391</v>
      </c>
      <c r="C313" s="7" t="s">
        <v>1943</v>
      </c>
      <c r="D313" s="7" t="s">
        <v>158</v>
      </c>
      <c r="E313" s="7" t="s">
        <v>158</v>
      </c>
      <c r="F313" s="7" t="s">
        <v>158</v>
      </c>
      <c r="G313" s="7" t="b">
        <v>0</v>
      </c>
      <c r="H313" s="7" t="s">
        <v>162</v>
      </c>
      <c r="I313" s="7"/>
      <c r="J313" s="7"/>
      <c r="K313" s="7" t="s">
        <v>3464</v>
      </c>
    </row>
    <row r="314" spans="1:11">
      <c r="A314" s="7" t="s">
        <v>3465</v>
      </c>
      <c r="B314" s="7" t="s">
        <v>391</v>
      </c>
      <c r="C314" s="7" t="s">
        <v>1943</v>
      </c>
      <c r="D314" s="7" t="s">
        <v>158</v>
      </c>
      <c r="E314" s="7" t="s">
        <v>158</v>
      </c>
      <c r="F314" s="7" t="s">
        <v>158</v>
      </c>
      <c r="G314" s="7" t="b">
        <v>0</v>
      </c>
      <c r="H314" s="7" t="s">
        <v>162</v>
      </c>
      <c r="I314" s="7"/>
      <c r="J314" s="7"/>
      <c r="K314" s="7" t="s">
        <v>3469</v>
      </c>
    </row>
    <row r="315" spans="1:11">
      <c r="A315" s="7" t="s">
        <v>3470</v>
      </c>
      <c r="B315" s="7" t="s">
        <v>391</v>
      </c>
      <c r="C315" s="7" t="s">
        <v>1943</v>
      </c>
      <c r="D315" s="7" t="s">
        <v>158</v>
      </c>
      <c r="E315" s="7" t="s">
        <v>158</v>
      </c>
      <c r="F315" s="7" t="s">
        <v>158</v>
      </c>
      <c r="G315" s="7" t="b">
        <v>0</v>
      </c>
      <c r="H315" s="7" t="s">
        <v>162</v>
      </c>
      <c r="I315" s="7"/>
      <c r="J315" s="7"/>
      <c r="K315" s="7" t="s">
        <v>3474</v>
      </c>
    </row>
    <row r="316" spans="1:11">
      <c r="A316" s="7" t="s">
        <v>3475</v>
      </c>
      <c r="B316" s="7" t="s">
        <v>391</v>
      </c>
      <c r="C316" s="7" t="s">
        <v>1937</v>
      </c>
      <c r="D316" s="7" t="s">
        <v>1938</v>
      </c>
      <c r="E316" s="7" t="s">
        <v>158</v>
      </c>
      <c r="F316" s="7" t="s">
        <v>158</v>
      </c>
      <c r="G316" s="7" t="b">
        <v>0</v>
      </c>
      <c r="H316" s="7" t="s">
        <v>162</v>
      </c>
      <c r="I316" s="7"/>
      <c r="J316" s="7"/>
      <c r="K316" s="7" t="s">
        <v>3480</v>
      </c>
    </row>
    <row r="317" spans="1:11">
      <c r="A317" s="7" t="s">
        <v>3481</v>
      </c>
      <c r="B317" s="7" t="s">
        <v>391</v>
      </c>
      <c r="C317" s="7" t="s">
        <v>1937</v>
      </c>
      <c r="D317" s="7" t="s">
        <v>1938</v>
      </c>
      <c r="E317" s="7" t="s">
        <v>158</v>
      </c>
      <c r="F317" s="7" t="s">
        <v>158</v>
      </c>
      <c r="G317" s="7" t="b">
        <v>0</v>
      </c>
      <c r="H317" s="7" t="s">
        <v>162</v>
      </c>
      <c r="I317" s="7"/>
      <c r="J317" s="7"/>
      <c r="K317" s="7" t="s">
        <v>3485</v>
      </c>
    </row>
    <row r="318" spans="1:11">
      <c r="A318" s="7" t="s">
        <v>3486</v>
      </c>
      <c r="B318" s="7" t="s">
        <v>391</v>
      </c>
      <c r="C318" s="7" t="s">
        <v>1937</v>
      </c>
      <c r="D318" s="7" t="s">
        <v>1938</v>
      </c>
      <c r="E318" s="7" t="s">
        <v>158</v>
      </c>
      <c r="F318" s="7" t="s">
        <v>158</v>
      </c>
      <c r="G318" s="7" t="b">
        <v>0</v>
      </c>
      <c r="H318" s="7" t="s">
        <v>162</v>
      </c>
      <c r="I318" s="7"/>
      <c r="J318" s="7"/>
      <c r="K318" s="7" t="s">
        <v>3490</v>
      </c>
    </row>
    <row r="319" spans="1:11">
      <c r="A319" s="7" t="s">
        <v>3491</v>
      </c>
      <c r="B319" s="7" t="s">
        <v>391</v>
      </c>
      <c r="C319" s="7" t="s">
        <v>1937</v>
      </c>
      <c r="D319" s="7" t="s">
        <v>1938</v>
      </c>
      <c r="E319" s="7" t="s">
        <v>158</v>
      </c>
      <c r="F319" s="7" t="s">
        <v>158</v>
      </c>
      <c r="G319" s="7" t="b">
        <v>0</v>
      </c>
      <c r="H319" s="7" t="s">
        <v>162</v>
      </c>
      <c r="I319" s="7"/>
      <c r="J319" s="7"/>
      <c r="K319" s="7" t="s">
        <v>3495</v>
      </c>
    </row>
    <row r="320" spans="1:11">
      <c r="A320" s="7" t="s">
        <v>3496</v>
      </c>
      <c r="B320" s="7" t="s">
        <v>391</v>
      </c>
      <c r="C320" s="7" t="s">
        <v>1937</v>
      </c>
      <c r="D320" s="7" t="s">
        <v>1938</v>
      </c>
      <c r="E320" s="7" t="s">
        <v>158</v>
      </c>
      <c r="F320" s="7" t="s">
        <v>158</v>
      </c>
      <c r="G320" s="7" t="b">
        <v>0</v>
      </c>
      <c r="H320" s="7" t="s">
        <v>162</v>
      </c>
      <c r="I320" s="7"/>
      <c r="J320" s="7"/>
      <c r="K320" s="7" t="s">
        <v>3500</v>
      </c>
    </row>
    <row r="321" spans="1:11">
      <c r="A321" s="7" t="s">
        <v>3501</v>
      </c>
      <c r="B321" s="7" t="s">
        <v>391</v>
      </c>
      <c r="C321" s="7" t="s">
        <v>1937</v>
      </c>
      <c r="D321" s="7" t="s">
        <v>1938</v>
      </c>
      <c r="E321" s="7" t="s">
        <v>158</v>
      </c>
      <c r="F321" s="7" t="s">
        <v>158</v>
      </c>
      <c r="G321" s="7" t="b">
        <v>0</v>
      </c>
      <c r="H321" s="7" t="s">
        <v>162</v>
      </c>
      <c r="I321" s="7"/>
      <c r="J321" s="7"/>
      <c r="K321" s="7" t="s">
        <v>3505</v>
      </c>
    </row>
    <row r="322" spans="1:11">
      <c r="A322" s="7" t="s">
        <v>3506</v>
      </c>
      <c r="B322" s="7" t="s">
        <v>391</v>
      </c>
      <c r="C322" s="7" t="s">
        <v>1937</v>
      </c>
      <c r="D322" s="7" t="s">
        <v>1938</v>
      </c>
      <c r="E322" s="7" t="s">
        <v>158</v>
      </c>
      <c r="F322" s="7" t="s">
        <v>158</v>
      </c>
      <c r="G322" s="7" t="b">
        <v>0</v>
      </c>
      <c r="H322" s="7" t="s">
        <v>162</v>
      </c>
      <c r="I322" s="7"/>
      <c r="J322" s="7"/>
      <c r="K322" s="7" t="s">
        <v>3510</v>
      </c>
    </row>
    <row r="323" spans="1:11">
      <c r="A323" s="7" t="s">
        <v>3511</v>
      </c>
      <c r="B323" s="7" t="s">
        <v>391</v>
      </c>
      <c r="C323" s="7" t="s">
        <v>1937</v>
      </c>
      <c r="D323" s="7" t="s">
        <v>1938</v>
      </c>
      <c r="E323" s="7" t="s">
        <v>158</v>
      </c>
      <c r="F323" s="7" t="s">
        <v>158</v>
      </c>
      <c r="G323" s="7" t="b">
        <v>0</v>
      </c>
      <c r="H323" s="7" t="s">
        <v>162</v>
      </c>
      <c r="I323" s="7"/>
      <c r="J323" s="7"/>
      <c r="K323" s="7" t="s">
        <v>3515</v>
      </c>
    </row>
    <row r="324" spans="1:11">
      <c r="A324" s="7" t="s">
        <v>3516</v>
      </c>
      <c r="B324" s="7" t="s">
        <v>391</v>
      </c>
      <c r="C324" s="7" t="s">
        <v>1937</v>
      </c>
      <c r="D324" s="7" t="s">
        <v>1938</v>
      </c>
      <c r="E324" s="7" t="s">
        <v>158</v>
      </c>
      <c r="F324" s="7" t="s">
        <v>158</v>
      </c>
      <c r="G324" s="7" t="b">
        <v>0</v>
      </c>
      <c r="H324" s="7" t="s">
        <v>162</v>
      </c>
      <c r="I324" s="7"/>
      <c r="J324" s="7"/>
      <c r="K324" s="7" t="s">
        <v>3520</v>
      </c>
    </row>
    <row r="325" spans="1:11">
      <c r="A325" s="7" t="s">
        <v>3521</v>
      </c>
      <c r="B325" s="7" t="s">
        <v>391</v>
      </c>
      <c r="C325" s="7" t="s">
        <v>1937</v>
      </c>
      <c r="D325" s="7" t="s">
        <v>1938</v>
      </c>
      <c r="E325" s="7" t="s">
        <v>158</v>
      </c>
      <c r="F325" s="7" t="s">
        <v>158</v>
      </c>
      <c r="G325" s="7" t="b">
        <v>0</v>
      </c>
      <c r="H325" s="7" t="s">
        <v>162</v>
      </c>
      <c r="I325" s="7"/>
      <c r="J325" s="7"/>
      <c r="K325" s="7" t="s">
        <v>3525</v>
      </c>
    </row>
    <row r="326" spans="1:11">
      <c r="A326" s="7" t="s">
        <v>3526</v>
      </c>
      <c r="B326" s="7" t="s">
        <v>391</v>
      </c>
      <c r="C326" s="7" t="s">
        <v>1937</v>
      </c>
      <c r="D326" s="7" t="s">
        <v>1938</v>
      </c>
      <c r="E326" s="7" t="s">
        <v>158</v>
      </c>
      <c r="F326" s="7" t="s">
        <v>158</v>
      </c>
      <c r="G326" s="7" t="b">
        <v>0</v>
      </c>
      <c r="H326" s="7" t="s">
        <v>162</v>
      </c>
      <c r="I326" s="7"/>
      <c r="J326" s="7"/>
      <c r="K326" s="7" t="s">
        <v>3530</v>
      </c>
    </row>
    <row r="327" spans="1:11">
      <c r="A327" s="7" t="s">
        <v>3531</v>
      </c>
      <c r="B327" s="7" t="s">
        <v>391</v>
      </c>
      <c r="C327" s="7" t="s">
        <v>1937</v>
      </c>
      <c r="D327" s="7" t="s">
        <v>1938</v>
      </c>
      <c r="E327" s="7" t="s">
        <v>158</v>
      </c>
      <c r="F327" s="7" t="s">
        <v>158</v>
      </c>
      <c r="G327" s="7" t="b">
        <v>0</v>
      </c>
      <c r="H327" s="7" t="s">
        <v>162</v>
      </c>
      <c r="I327" s="7"/>
      <c r="J327" s="7"/>
      <c r="K327" s="7" t="s">
        <v>3535</v>
      </c>
    </row>
    <row r="328" spans="1:11">
      <c r="A328" s="7" t="s">
        <v>3536</v>
      </c>
      <c r="B328" s="7" t="s">
        <v>391</v>
      </c>
      <c r="C328" s="7" t="s">
        <v>1937</v>
      </c>
      <c r="D328" s="7" t="s">
        <v>1938</v>
      </c>
      <c r="E328" s="7" t="s">
        <v>158</v>
      </c>
      <c r="F328" s="7" t="s">
        <v>158</v>
      </c>
      <c r="G328" s="7" t="b">
        <v>0</v>
      </c>
      <c r="H328" s="7" t="s">
        <v>162</v>
      </c>
      <c r="I328" s="7"/>
      <c r="J328" s="7"/>
      <c r="K328" s="7" t="s">
        <v>3540</v>
      </c>
    </row>
    <row r="329" spans="1:11">
      <c r="A329" s="7" t="s">
        <v>3541</v>
      </c>
      <c r="B329" s="7" t="s">
        <v>391</v>
      </c>
      <c r="C329" s="7" t="s">
        <v>1937</v>
      </c>
      <c r="D329" s="7" t="s">
        <v>1938</v>
      </c>
      <c r="E329" s="7" t="s">
        <v>158</v>
      </c>
      <c r="F329" s="7" t="s">
        <v>158</v>
      </c>
      <c r="G329" s="7" t="b">
        <v>0</v>
      </c>
      <c r="H329" s="7" t="s">
        <v>162</v>
      </c>
      <c r="I329" s="7"/>
      <c r="J329" s="7"/>
      <c r="K329" s="7" t="s">
        <v>3545</v>
      </c>
    </row>
    <row r="330" spans="1:11">
      <c r="A330" s="7" t="s">
        <v>3546</v>
      </c>
      <c r="B330" s="7" t="s">
        <v>391</v>
      </c>
      <c r="C330" s="7" t="s">
        <v>1937</v>
      </c>
      <c r="D330" s="7" t="s">
        <v>1938</v>
      </c>
      <c r="E330" s="7" t="s">
        <v>158</v>
      </c>
      <c r="F330" s="7" t="s">
        <v>158</v>
      </c>
      <c r="G330" s="7" t="b">
        <v>0</v>
      </c>
      <c r="H330" s="7" t="s">
        <v>162</v>
      </c>
      <c r="I330" s="7"/>
      <c r="J330" s="7"/>
      <c r="K330" s="7" t="s">
        <v>3550</v>
      </c>
    </row>
    <row r="331" spans="1:11">
      <c r="A331" s="7" t="s">
        <v>3551</v>
      </c>
      <c r="B331" s="7" t="s">
        <v>391</v>
      </c>
      <c r="C331" s="7" t="s">
        <v>1937</v>
      </c>
      <c r="D331" s="7" t="s">
        <v>1938</v>
      </c>
      <c r="E331" s="7" t="s">
        <v>158</v>
      </c>
      <c r="F331" s="7" t="s">
        <v>158</v>
      </c>
      <c r="G331" s="7" t="b">
        <v>0</v>
      </c>
      <c r="H331" s="7" t="s">
        <v>162</v>
      </c>
      <c r="I331" s="7"/>
      <c r="J331" s="7"/>
      <c r="K331" s="7" t="s">
        <v>3555</v>
      </c>
    </row>
    <row r="332" spans="1:11">
      <c r="A332" s="7" t="s">
        <v>3556</v>
      </c>
      <c r="B332" s="7" t="s">
        <v>391</v>
      </c>
      <c r="C332" s="7" t="s">
        <v>1937</v>
      </c>
      <c r="D332" s="7" t="s">
        <v>1938</v>
      </c>
      <c r="E332" s="7" t="s">
        <v>158</v>
      </c>
      <c r="F332" s="7" t="s">
        <v>158</v>
      </c>
      <c r="G332" s="7" t="b">
        <v>0</v>
      </c>
      <c r="H332" s="7" t="s">
        <v>162</v>
      </c>
      <c r="I332" s="7"/>
      <c r="J332" s="7"/>
      <c r="K332" s="7" t="s">
        <v>3560</v>
      </c>
    </row>
    <row r="333" spans="1:11">
      <c r="A333" s="7" t="s">
        <v>3561</v>
      </c>
      <c r="B333" s="7" t="s">
        <v>391</v>
      </c>
      <c r="C333" s="7" t="s">
        <v>1937</v>
      </c>
      <c r="D333" s="7" t="s">
        <v>1938</v>
      </c>
      <c r="E333" s="7" t="s">
        <v>158</v>
      </c>
      <c r="F333" s="7" t="s">
        <v>158</v>
      </c>
      <c r="G333" s="7" t="b">
        <v>0</v>
      </c>
      <c r="H333" s="7" t="s">
        <v>162</v>
      </c>
      <c r="I333" s="7"/>
      <c r="J333" s="7"/>
      <c r="K333" s="7" t="s">
        <v>3565</v>
      </c>
    </row>
    <row r="334" spans="1:11">
      <c r="A334" s="7" t="s">
        <v>3566</v>
      </c>
      <c r="B334" s="7" t="s">
        <v>391</v>
      </c>
      <c r="C334" s="7" t="s">
        <v>1941</v>
      </c>
      <c r="D334" s="7" t="s">
        <v>1942</v>
      </c>
      <c r="E334" s="7" t="s">
        <v>158</v>
      </c>
      <c r="F334" s="7" t="s">
        <v>158</v>
      </c>
      <c r="G334" s="7" t="b">
        <v>0</v>
      </c>
      <c r="H334" s="7" t="s">
        <v>162</v>
      </c>
      <c r="I334" s="7"/>
      <c r="J334" s="7"/>
      <c r="K334" s="7" t="s">
        <v>3570</v>
      </c>
    </row>
    <row r="335" spans="1:11">
      <c r="A335" s="7" t="s">
        <v>3571</v>
      </c>
      <c r="B335" s="7" t="s">
        <v>391</v>
      </c>
      <c r="C335" s="7" t="s">
        <v>1941</v>
      </c>
      <c r="D335" s="7" t="s">
        <v>1942</v>
      </c>
      <c r="E335" s="7" t="s">
        <v>158</v>
      </c>
      <c r="F335" s="7" t="s">
        <v>158</v>
      </c>
      <c r="G335" s="7" t="b">
        <v>0</v>
      </c>
      <c r="H335" s="7" t="s">
        <v>162</v>
      </c>
      <c r="I335" s="7"/>
      <c r="J335" s="7"/>
      <c r="K335" s="7" t="s">
        <v>3575</v>
      </c>
    </row>
    <row r="336" spans="1:11">
      <c r="A336" s="7" t="s">
        <v>3576</v>
      </c>
      <c r="B336" s="7" t="s">
        <v>391</v>
      </c>
      <c r="C336" s="7" t="s">
        <v>1941</v>
      </c>
      <c r="D336" s="7" t="s">
        <v>1942</v>
      </c>
      <c r="E336" s="7" t="s">
        <v>158</v>
      </c>
      <c r="F336" s="7" t="s">
        <v>158</v>
      </c>
      <c r="G336" s="7" t="b">
        <v>0</v>
      </c>
      <c r="H336" s="7" t="s">
        <v>162</v>
      </c>
      <c r="I336" s="7"/>
      <c r="J336" s="7"/>
      <c r="K336" s="7" t="s">
        <v>3580</v>
      </c>
    </row>
    <row r="337" spans="1:11">
      <c r="A337" s="7" t="s">
        <v>3581</v>
      </c>
      <c r="B337" s="7" t="s">
        <v>391</v>
      </c>
      <c r="C337" s="7" t="s">
        <v>1941</v>
      </c>
      <c r="D337" s="7" t="s">
        <v>1942</v>
      </c>
      <c r="E337" s="7" t="s">
        <v>158</v>
      </c>
      <c r="F337" s="7" t="s">
        <v>158</v>
      </c>
      <c r="G337" s="7" t="b">
        <v>0</v>
      </c>
      <c r="H337" s="7" t="s">
        <v>162</v>
      </c>
      <c r="I337" s="7"/>
      <c r="J337" s="7"/>
      <c r="K337" s="7" t="s">
        <v>3585</v>
      </c>
    </row>
    <row r="338" spans="1:11">
      <c r="A338" s="7" t="s">
        <v>3586</v>
      </c>
      <c r="B338" s="7" t="s">
        <v>391</v>
      </c>
      <c r="C338" s="7" t="s">
        <v>1941</v>
      </c>
      <c r="D338" s="7" t="s">
        <v>1942</v>
      </c>
      <c r="E338" s="7" t="s">
        <v>158</v>
      </c>
      <c r="F338" s="7" t="s">
        <v>158</v>
      </c>
      <c r="G338" s="7" t="b">
        <v>0</v>
      </c>
      <c r="H338" s="7" t="s">
        <v>162</v>
      </c>
      <c r="I338" s="7"/>
      <c r="J338" s="7"/>
      <c r="K338" s="7" t="s">
        <v>3590</v>
      </c>
    </row>
    <row r="339" spans="1:11">
      <c r="A339" s="7" t="s">
        <v>3591</v>
      </c>
      <c r="B339" s="7" t="s">
        <v>391</v>
      </c>
      <c r="C339" s="7" t="s">
        <v>1941</v>
      </c>
      <c r="D339" s="7" t="s">
        <v>1942</v>
      </c>
      <c r="E339" s="7" t="s">
        <v>158</v>
      </c>
      <c r="F339" s="7" t="s">
        <v>158</v>
      </c>
      <c r="G339" s="7" t="b">
        <v>0</v>
      </c>
      <c r="H339" s="7" t="s">
        <v>162</v>
      </c>
      <c r="I339" s="7"/>
      <c r="J339" s="7"/>
      <c r="K339" s="7" t="s">
        <v>3595</v>
      </c>
    </row>
    <row r="340" spans="1:11">
      <c r="A340" s="7" t="s">
        <v>3596</v>
      </c>
      <c r="B340" s="7" t="s">
        <v>391</v>
      </c>
      <c r="C340" s="7" t="s">
        <v>1941</v>
      </c>
      <c r="D340" s="7" t="s">
        <v>1942</v>
      </c>
      <c r="E340" s="7" t="s">
        <v>158</v>
      </c>
      <c r="F340" s="7" t="s">
        <v>158</v>
      </c>
      <c r="G340" s="7" t="b">
        <v>0</v>
      </c>
      <c r="H340" s="7" t="s">
        <v>162</v>
      </c>
      <c r="I340" s="7"/>
      <c r="J340" s="7"/>
      <c r="K340" s="7" t="s">
        <v>3600</v>
      </c>
    </row>
    <row r="341" spans="1:11">
      <c r="A341" s="7" t="s">
        <v>3601</v>
      </c>
      <c r="B341" s="7" t="s">
        <v>391</v>
      </c>
      <c r="C341" s="7" t="s">
        <v>1941</v>
      </c>
      <c r="D341" s="7" t="s">
        <v>1942</v>
      </c>
      <c r="E341" s="7" t="s">
        <v>158</v>
      </c>
      <c r="F341" s="7" t="s">
        <v>158</v>
      </c>
      <c r="G341" s="7" t="b">
        <v>0</v>
      </c>
      <c r="H341" s="7" t="s">
        <v>162</v>
      </c>
      <c r="I341" s="7"/>
      <c r="J341" s="7"/>
      <c r="K341" s="7" t="s">
        <v>3605</v>
      </c>
    </row>
    <row r="342" spans="1:11">
      <c r="A342" s="7" t="s">
        <v>3606</v>
      </c>
      <c r="B342" s="7" t="s">
        <v>391</v>
      </c>
      <c r="C342" s="7" t="s">
        <v>1941</v>
      </c>
      <c r="D342" s="7" t="s">
        <v>1942</v>
      </c>
      <c r="E342" s="7" t="s">
        <v>158</v>
      </c>
      <c r="F342" s="7" t="s">
        <v>158</v>
      </c>
      <c r="G342" s="7" t="b">
        <v>0</v>
      </c>
      <c r="H342" s="7" t="s">
        <v>162</v>
      </c>
      <c r="I342" s="7"/>
      <c r="J342" s="7"/>
      <c r="K342" s="7" t="s">
        <v>3610</v>
      </c>
    </row>
    <row r="343" spans="1:11">
      <c r="A343" s="7" t="s">
        <v>3611</v>
      </c>
      <c r="B343" s="7" t="s">
        <v>391</v>
      </c>
      <c r="C343" s="7" t="s">
        <v>1941</v>
      </c>
      <c r="D343" s="7" t="s">
        <v>1942</v>
      </c>
      <c r="E343" s="7" t="s">
        <v>158</v>
      </c>
      <c r="F343" s="7" t="s">
        <v>158</v>
      </c>
      <c r="G343" s="7" t="b">
        <v>0</v>
      </c>
      <c r="H343" s="7" t="s">
        <v>162</v>
      </c>
      <c r="I343" s="7"/>
      <c r="J343" s="7"/>
      <c r="K343" s="7" t="s">
        <v>3615</v>
      </c>
    </row>
    <row r="344" spans="1:11">
      <c r="A344" s="7" t="s">
        <v>3616</v>
      </c>
      <c r="B344" s="7" t="s">
        <v>391</v>
      </c>
      <c r="C344" s="7" t="s">
        <v>1941</v>
      </c>
      <c r="D344" s="7" t="s">
        <v>1942</v>
      </c>
      <c r="E344" s="7" t="s">
        <v>158</v>
      </c>
      <c r="F344" s="7" t="s">
        <v>158</v>
      </c>
      <c r="G344" s="7" t="b">
        <v>0</v>
      </c>
      <c r="H344" s="7" t="s">
        <v>162</v>
      </c>
      <c r="I344" s="7"/>
      <c r="J344" s="7"/>
      <c r="K344" s="7" t="s">
        <v>3620</v>
      </c>
    </row>
    <row r="345" spans="1:11">
      <c r="A345" s="7" t="s">
        <v>3621</v>
      </c>
      <c r="B345" s="7" t="s">
        <v>391</v>
      </c>
      <c r="C345" s="7" t="s">
        <v>1941</v>
      </c>
      <c r="D345" s="7" t="s">
        <v>1942</v>
      </c>
      <c r="E345" s="7" t="s">
        <v>158</v>
      </c>
      <c r="F345" s="7" t="s">
        <v>158</v>
      </c>
      <c r="G345" s="7" t="b">
        <v>0</v>
      </c>
      <c r="H345" s="7" t="s">
        <v>162</v>
      </c>
      <c r="I345" s="7"/>
      <c r="J345" s="7"/>
      <c r="K345" s="7" t="s">
        <v>3625</v>
      </c>
    </row>
    <row r="346" spans="1:11">
      <c r="A346" s="7" t="s">
        <v>3626</v>
      </c>
      <c r="B346" s="7" t="s">
        <v>391</v>
      </c>
      <c r="C346" s="7" t="s">
        <v>1941</v>
      </c>
      <c r="D346" s="7" t="s">
        <v>1942</v>
      </c>
      <c r="E346" s="7" t="s">
        <v>158</v>
      </c>
      <c r="F346" s="7" t="s">
        <v>158</v>
      </c>
      <c r="G346" s="7" t="b">
        <v>0</v>
      </c>
      <c r="H346" s="7" t="s">
        <v>162</v>
      </c>
      <c r="I346" s="7"/>
      <c r="J346" s="7"/>
      <c r="K346" s="7" t="s">
        <v>3630</v>
      </c>
    </row>
    <row r="347" spans="1:11">
      <c r="A347" s="7" t="s">
        <v>3631</v>
      </c>
      <c r="B347" s="7" t="s">
        <v>391</v>
      </c>
      <c r="C347" s="7" t="s">
        <v>1941</v>
      </c>
      <c r="D347" s="7" t="s">
        <v>1942</v>
      </c>
      <c r="E347" s="7" t="s">
        <v>158</v>
      </c>
      <c r="F347" s="7" t="s">
        <v>158</v>
      </c>
      <c r="G347" s="7" t="b">
        <v>0</v>
      </c>
      <c r="H347" s="7" t="s">
        <v>162</v>
      </c>
      <c r="I347" s="7"/>
      <c r="J347" s="7"/>
      <c r="K347" s="7" t="s">
        <v>3635</v>
      </c>
    </row>
    <row r="348" spans="1:11">
      <c r="A348" s="7" t="s">
        <v>3636</v>
      </c>
      <c r="B348" s="7" t="s">
        <v>391</v>
      </c>
      <c r="C348" s="7" t="s">
        <v>1941</v>
      </c>
      <c r="D348" s="7" t="s">
        <v>1942</v>
      </c>
      <c r="E348" s="7" t="s">
        <v>158</v>
      </c>
      <c r="F348" s="7" t="s">
        <v>158</v>
      </c>
      <c r="G348" s="7" t="b">
        <v>0</v>
      </c>
      <c r="H348" s="7" t="s">
        <v>162</v>
      </c>
      <c r="I348" s="7"/>
      <c r="J348" s="7"/>
      <c r="K348" s="7" t="s">
        <v>3640</v>
      </c>
    </row>
    <row r="349" spans="1:11">
      <c r="A349" s="7" t="s">
        <v>3641</v>
      </c>
      <c r="B349" s="7" t="s">
        <v>391</v>
      </c>
      <c r="C349" s="7" t="s">
        <v>1941</v>
      </c>
      <c r="D349" s="7" t="s">
        <v>1942</v>
      </c>
      <c r="E349" s="7" t="s">
        <v>158</v>
      </c>
      <c r="F349" s="7" t="s">
        <v>158</v>
      </c>
      <c r="G349" s="7" t="b">
        <v>0</v>
      </c>
      <c r="H349" s="7" t="s">
        <v>162</v>
      </c>
      <c r="I349" s="7"/>
      <c r="J349" s="7"/>
      <c r="K349" s="7" t="s">
        <v>3645</v>
      </c>
    </row>
    <row r="350" spans="1:11">
      <c r="A350" s="7" t="s">
        <v>3646</v>
      </c>
      <c r="B350" s="7" t="s">
        <v>391</v>
      </c>
      <c r="C350" s="7" t="s">
        <v>1941</v>
      </c>
      <c r="D350" s="7" t="s">
        <v>1942</v>
      </c>
      <c r="E350" s="7" t="s">
        <v>158</v>
      </c>
      <c r="F350" s="7" t="s">
        <v>158</v>
      </c>
      <c r="G350" s="7" t="b">
        <v>0</v>
      </c>
      <c r="H350" s="7" t="s">
        <v>162</v>
      </c>
      <c r="I350" s="7"/>
      <c r="J350" s="7"/>
      <c r="K350" s="7" t="s">
        <v>3650</v>
      </c>
    </row>
    <row r="351" spans="1:11">
      <c r="A351" s="7" t="s">
        <v>3651</v>
      </c>
      <c r="B351" s="7" t="s">
        <v>391</v>
      </c>
      <c r="C351" s="7" t="s">
        <v>1941</v>
      </c>
      <c r="D351" s="7" t="s">
        <v>1942</v>
      </c>
      <c r="E351" s="7" t="s">
        <v>158</v>
      </c>
      <c r="F351" s="7" t="s">
        <v>158</v>
      </c>
      <c r="G351" s="7" t="b">
        <v>0</v>
      </c>
      <c r="H351" s="7" t="s">
        <v>162</v>
      </c>
      <c r="I351" s="7"/>
      <c r="J351" s="7"/>
      <c r="K351" s="7" t="s">
        <v>3655</v>
      </c>
    </row>
    <row r="352" spans="1:11">
      <c r="A352" s="7" t="s">
        <v>3656</v>
      </c>
      <c r="B352" s="7" t="s">
        <v>391</v>
      </c>
      <c r="C352" s="7" t="s">
        <v>1941</v>
      </c>
      <c r="D352" s="7" t="s">
        <v>1942</v>
      </c>
      <c r="E352" s="7" t="s">
        <v>158</v>
      </c>
      <c r="F352" s="7" t="s">
        <v>158</v>
      </c>
      <c r="G352" s="7" t="b">
        <v>0</v>
      </c>
      <c r="H352" s="7" t="s">
        <v>162</v>
      </c>
      <c r="I352" s="7"/>
      <c r="J352" s="7"/>
      <c r="K352" s="7" t="s">
        <v>3660</v>
      </c>
    </row>
    <row r="353" spans="1:11">
      <c r="A353" s="7" t="s">
        <v>3661</v>
      </c>
      <c r="B353" s="7" t="s">
        <v>391</v>
      </c>
      <c r="C353" s="7" t="s">
        <v>1941</v>
      </c>
      <c r="D353" s="7" t="s">
        <v>1942</v>
      </c>
      <c r="E353" s="7" t="s">
        <v>158</v>
      </c>
      <c r="F353" s="7" t="s">
        <v>158</v>
      </c>
      <c r="G353" s="7" t="b">
        <v>0</v>
      </c>
      <c r="H353" s="7" t="s">
        <v>162</v>
      </c>
      <c r="I353" s="7"/>
      <c r="J353" s="7"/>
      <c r="K353" s="7" t="s">
        <v>3665</v>
      </c>
    </row>
    <row r="354" spans="1:11">
      <c r="A354" s="7" t="s">
        <v>3666</v>
      </c>
      <c r="B354" s="7" t="s">
        <v>391</v>
      </c>
      <c r="C354" s="7" t="s">
        <v>1941</v>
      </c>
      <c r="D354" s="7" t="s">
        <v>1942</v>
      </c>
      <c r="E354" s="7" t="s">
        <v>158</v>
      </c>
      <c r="F354" s="7" t="s">
        <v>158</v>
      </c>
      <c r="G354" s="7" t="b">
        <v>0</v>
      </c>
      <c r="H354" s="7" t="s">
        <v>162</v>
      </c>
      <c r="I354" s="7"/>
      <c r="J354" s="7"/>
      <c r="K354" s="7" t="s">
        <v>3670</v>
      </c>
    </row>
    <row r="355" spans="1:11">
      <c r="A355" s="7" t="s">
        <v>3671</v>
      </c>
      <c r="B355" s="7" t="s">
        <v>391</v>
      </c>
      <c r="C355" s="7" t="s">
        <v>1941</v>
      </c>
      <c r="D355" s="7" t="s">
        <v>1942</v>
      </c>
      <c r="E355" s="7" t="s">
        <v>158</v>
      </c>
      <c r="F355" s="7" t="s">
        <v>158</v>
      </c>
      <c r="G355" s="7" t="b">
        <v>0</v>
      </c>
      <c r="H355" s="7" t="s">
        <v>162</v>
      </c>
      <c r="I355" s="7"/>
      <c r="J355" s="7"/>
      <c r="K355" s="7" t="s">
        <v>3675</v>
      </c>
    </row>
    <row r="356" spans="1:11">
      <c r="A356" s="7" t="s">
        <v>3676</v>
      </c>
      <c r="B356" s="7" t="s">
        <v>391</v>
      </c>
      <c r="C356" s="7" t="s">
        <v>1941</v>
      </c>
      <c r="D356" s="7" t="s">
        <v>1942</v>
      </c>
      <c r="E356" s="7" t="s">
        <v>158</v>
      </c>
      <c r="F356" s="7" t="s">
        <v>158</v>
      </c>
      <c r="G356" s="7" t="b">
        <v>0</v>
      </c>
      <c r="H356" s="7" t="s">
        <v>162</v>
      </c>
      <c r="I356" s="7"/>
      <c r="J356" s="7"/>
      <c r="K356" s="7" t="s">
        <v>3680</v>
      </c>
    </row>
    <row r="357" spans="1:11">
      <c r="A357" s="7" t="s">
        <v>3681</v>
      </c>
      <c r="B357" s="7" t="s">
        <v>391</v>
      </c>
      <c r="C357" s="7" t="s">
        <v>1941</v>
      </c>
      <c r="D357" s="7" t="s">
        <v>1942</v>
      </c>
      <c r="E357" s="7" t="s">
        <v>158</v>
      </c>
      <c r="F357" s="7" t="s">
        <v>158</v>
      </c>
      <c r="G357" s="7" t="b">
        <v>0</v>
      </c>
      <c r="H357" s="7" t="s">
        <v>162</v>
      </c>
      <c r="I357" s="7"/>
      <c r="J357" s="7"/>
      <c r="K357" s="7" t="s">
        <v>3685</v>
      </c>
    </row>
    <row r="358" spans="1:11">
      <c r="A358" s="7" t="s">
        <v>3686</v>
      </c>
      <c r="B358" s="7" t="s">
        <v>391</v>
      </c>
      <c r="C358" s="7" t="s">
        <v>1941</v>
      </c>
      <c r="D358" s="7" t="s">
        <v>1942</v>
      </c>
      <c r="E358" s="7" t="s">
        <v>158</v>
      </c>
      <c r="F358" s="7" t="s">
        <v>158</v>
      </c>
      <c r="G358" s="7" t="b">
        <v>0</v>
      </c>
      <c r="H358" s="7" t="s">
        <v>162</v>
      </c>
      <c r="I358" s="7"/>
      <c r="J358" s="7"/>
      <c r="K358" s="7" t="s">
        <v>3690</v>
      </c>
    </row>
    <row r="359" spans="1:11">
      <c r="A359" s="7" t="s">
        <v>3691</v>
      </c>
      <c r="B359" s="7" t="s">
        <v>391</v>
      </c>
      <c r="C359" s="7" t="s">
        <v>1941</v>
      </c>
      <c r="D359" s="7" t="s">
        <v>1942</v>
      </c>
      <c r="E359" s="7" t="s">
        <v>158</v>
      </c>
      <c r="F359" s="7" t="s">
        <v>158</v>
      </c>
      <c r="G359" s="7" t="b">
        <v>0</v>
      </c>
      <c r="H359" s="7" t="s">
        <v>162</v>
      </c>
      <c r="I359" s="7"/>
      <c r="J359" s="7"/>
      <c r="K359" s="7" t="s">
        <v>3695</v>
      </c>
    </row>
    <row r="360" spans="1:11">
      <c r="A360" s="7" t="s">
        <v>3696</v>
      </c>
      <c r="B360" s="7" t="s">
        <v>391</v>
      </c>
      <c r="C360" s="7" t="s">
        <v>1941</v>
      </c>
      <c r="D360" s="7" t="s">
        <v>1942</v>
      </c>
      <c r="E360" s="7" t="s">
        <v>158</v>
      </c>
      <c r="F360" s="7" t="s">
        <v>158</v>
      </c>
      <c r="G360" s="7" t="b">
        <v>0</v>
      </c>
      <c r="H360" s="7" t="s">
        <v>162</v>
      </c>
      <c r="I360" s="7"/>
      <c r="J360" s="7"/>
      <c r="K360" s="7" t="s">
        <v>3700</v>
      </c>
    </row>
    <row r="361" spans="1:11">
      <c r="A361" s="7" t="s">
        <v>3701</v>
      </c>
      <c r="B361" s="7" t="s">
        <v>391</v>
      </c>
      <c r="C361" s="7" t="s">
        <v>1941</v>
      </c>
      <c r="D361" s="7" t="s">
        <v>1942</v>
      </c>
      <c r="E361" s="7" t="s">
        <v>158</v>
      </c>
      <c r="F361" s="7" t="s">
        <v>158</v>
      </c>
      <c r="G361" s="7" t="b">
        <v>0</v>
      </c>
      <c r="H361" s="7" t="s">
        <v>162</v>
      </c>
      <c r="I361" s="7"/>
      <c r="J361" s="7"/>
      <c r="K361" s="7" t="s">
        <v>3705</v>
      </c>
    </row>
    <row r="362" spans="1:11">
      <c r="A362" s="7" t="s">
        <v>3706</v>
      </c>
      <c r="B362" s="7" t="s">
        <v>391</v>
      </c>
      <c r="C362" s="7" t="s">
        <v>1941</v>
      </c>
      <c r="D362" s="7" t="s">
        <v>1942</v>
      </c>
      <c r="E362" s="7" t="s">
        <v>158</v>
      </c>
      <c r="F362" s="7" t="s">
        <v>158</v>
      </c>
      <c r="G362" s="7" t="b">
        <v>0</v>
      </c>
      <c r="H362" s="7" t="s">
        <v>162</v>
      </c>
      <c r="I362" s="7"/>
      <c r="J362" s="7"/>
      <c r="K362" s="7" t="s">
        <v>3710</v>
      </c>
    </row>
    <row r="363" spans="1:11">
      <c r="A363" s="7" t="s">
        <v>3711</v>
      </c>
      <c r="B363" s="7" t="s">
        <v>391</v>
      </c>
      <c r="C363" s="7" t="s">
        <v>1941</v>
      </c>
      <c r="D363" s="7" t="s">
        <v>1942</v>
      </c>
      <c r="E363" s="7" t="s">
        <v>158</v>
      </c>
      <c r="F363" s="7" t="s">
        <v>158</v>
      </c>
      <c r="G363" s="7" t="b">
        <v>0</v>
      </c>
      <c r="H363" s="7" t="s">
        <v>162</v>
      </c>
      <c r="I363" s="7"/>
      <c r="J363" s="7"/>
      <c r="K363" s="7" t="s">
        <v>3715</v>
      </c>
    </row>
    <row r="364" spans="1:11">
      <c r="A364" s="7" t="s">
        <v>3716</v>
      </c>
      <c r="B364" s="7" t="s">
        <v>391</v>
      </c>
      <c r="C364" s="7" t="s">
        <v>1941</v>
      </c>
      <c r="D364" s="7" t="s">
        <v>1942</v>
      </c>
      <c r="E364" s="7" t="s">
        <v>158</v>
      </c>
      <c r="F364" s="7" t="s">
        <v>158</v>
      </c>
      <c r="G364" s="7" t="b">
        <v>0</v>
      </c>
      <c r="H364" s="7" t="s">
        <v>162</v>
      </c>
      <c r="I364" s="7"/>
      <c r="J364" s="7"/>
      <c r="K364" s="7" t="s">
        <v>3720</v>
      </c>
    </row>
    <row r="365" spans="1:11">
      <c r="A365" s="7" t="s">
        <v>3721</v>
      </c>
      <c r="B365" s="7" t="s">
        <v>391</v>
      </c>
      <c r="C365" s="7" t="s">
        <v>1941</v>
      </c>
      <c r="D365" s="7" t="s">
        <v>1942</v>
      </c>
      <c r="E365" s="7" t="s">
        <v>158</v>
      </c>
      <c r="F365" s="7" t="s">
        <v>158</v>
      </c>
      <c r="G365" s="7" t="b">
        <v>0</v>
      </c>
      <c r="H365" s="7" t="s">
        <v>162</v>
      </c>
      <c r="I365" s="7"/>
      <c r="J365" s="7"/>
      <c r="K365" s="7" t="s">
        <v>3725</v>
      </c>
    </row>
    <row r="366" spans="1:11">
      <c r="A366" s="7" t="s">
        <v>3726</v>
      </c>
      <c r="B366" s="7" t="s">
        <v>391</v>
      </c>
      <c r="C366" s="7" t="s">
        <v>1941</v>
      </c>
      <c r="D366" s="7" t="s">
        <v>1942</v>
      </c>
      <c r="E366" s="7" t="s">
        <v>158</v>
      </c>
      <c r="F366" s="7" t="s">
        <v>158</v>
      </c>
      <c r="G366" s="7" t="b">
        <v>0</v>
      </c>
      <c r="H366" s="7" t="s">
        <v>162</v>
      </c>
      <c r="I366" s="7"/>
      <c r="J366" s="7"/>
      <c r="K366" s="7" t="s">
        <v>3730</v>
      </c>
    </row>
    <row r="367" spans="1:11">
      <c r="A367" s="7" t="s">
        <v>3731</v>
      </c>
      <c r="B367" s="7" t="s">
        <v>391</v>
      </c>
      <c r="C367" s="7" t="s">
        <v>1941</v>
      </c>
      <c r="D367" s="7" t="s">
        <v>1942</v>
      </c>
      <c r="E367" s="7" t="s">
        <v>158</v>
      </c>
      <c r="F367" s="7" t="s">
        <v>158</v>
      </c>
      <c r="G367" s="7" t="b">
        <v>0</v>
      </c>
      <c r="H367" s="7" t="s">
        <v>162</v>
      </c>
      <c r="I367" s="7"/>
      <c r="J367" s="7"/>
      <c r="K367" s="7" t="s">
        <v>3735</v>
      </c>
    </row>
    <row r="368" spans="1:11">
      <c r="A368" s="7" t="s">
        <v>3736</v>
      </c>
      <c r="B368" s="7" t="s">
        <v>391</v>
      </c>
      <c r="C368" s="7" t="s">
        <v>1941</v>
      </c>
      <c r="D368" s="7" t="s">
        <v>1942</v>
      </c>
      <c r="E368" s="7" t="s">
        <v>158</v>
      </c>
      <c r="F368" s="7" t="s">
        <v>158</v>
      </c>
      <c r="G368" s="7" t="b">
        <v>0</v>
      </c>
      <c r="H368" s="7" t="s">
        <v>162</v>
      </c>
      <c r="I368" s="7"/>
      <c r="J368" s="7"/>
      <c r="K368" s="7" t="s">
        <v>3740</v>
      </c>
    </row>
    <row r="369" spans="1:11">
      <c r="A369" s="7" t="s">
        <v>3741</v>
      </c>
      <c r="B369" s="7" t="s">
        <v>391</v>
      </c>
      <c r="C369" s="7" t="s">
        <v>1941</v>
      </c>
      <c r="D369" s="7" t="s">
        <v>1942</v>
      </c>
      <c r="E369" s="7" t="s">
        <v>158</v>
      </c>
      <c r="F369" s="7" t="s">
        <v>158</v>
      </c>
      <c r="G369" s="7" t="b">
        <v>0</v>
      </c>
      <c r="H369" s="7" t="s">
        <v>162</v>
      </c>
      <c r="I369" s="7"/>
      <c r="J369" s="7"/>
      <c r="K369" s="7" t="s">
        <v>3745</v>
      </c>
    </row>
    <row r="370" spans="1:11">
      <c r="A370" s="7" t="s">
        <v>3746</v>
      </c>
      <c r="B370" s="7" t="s">
        <v>391</v>
      </c>
      <c r="C370" s="7" t="s">
        <v>1941</v>
      </c>
      <c r="D370" s="7" t="s">
        <v>1942</v>
      </c>
      <c r="E370" s="7" t="s">
        <v>158</v>
      </c>
      <c r="F370" s="7" t="s">
        <v>158</v>
      </c>
      <c r="G370" s="7" t="b">
        <v>0</v>
      </c>
      <c r="H370" s="7" t="s">
        <v>162</v>
      </c>
      <c r="I370" s="7"/>
      <c r="J370" s="7"/>
      <c r="K370" s="7" t="s">
        <v>3750</v>
      </c>
    </row>
    <row r="371" spans="1:11">
      <c r="A371" s="7" t="s">
        <v>3751</v>
      </c>
      <c r="B371" s="7" t="s">
        <v>391</v>
      </c>
      <c r="C371" s="7" t="s">
        <v>1941</v>
      </c>
      <c r="D371" s="7" t="s">
        <v>1942</v>
      </c>
      <c r="E371" s="7" t="s">
        <v>158</v>
      </c>
      <c r="F371" s="7" t="s">
        <v>158</v>
      </c>
      <c r="G371" s="7" t="b">
        <v>0</v>
      </c>
      <c r="H371" s="7" t="s">
        <v>162</v>
      </c>
      <c r="I371" s="7"/>
      <c r="J371" s="7"/>
      <c r="K371" s="7" t="s">
        <v>3755</v>
      </c>
    </row>
    <row r="372" spans="1:11">
      <c r="A372" s="7" t="s">
        <v>3756</v>
      </c>
      <c r="B372" s="7" t="s">
        <v>391</v>
      </c>
      <c r="C372" s="7" t="s">
        <v>1941</v>
      </c>
      <c r="D372" s="7" t="s">
        <v>1942</v>
      </c>
      <c r="E372" s="7" t="s">
        <v>158</v>
      </c>
      <c r="F372" s="7" t="s">
        <v>158</v>
      </c>
      <c r="G372" s="7" t="b">
        <v>0</v>
      </c>
      <c r="H372" s="7" t="s">
        <v>162</v>
      </c>
      <c r="I372" s="7"/>
      <c r="J372" s="7"/>
      <c r="K372" s="7" t="s">
        <v>3760</v>
      </c>
    </row>
    <row r="373" spans="1:11">
      <c r="A373" s="7" t="s">
        <v>3761</v>
      </c>
      <c r="B373" s="7" t="s">
        <v>391</v>
      </c>
      <c r="C373" s="7" t="s">
        <v>1941</v>
      </c>
      <c r="D373" s="7" t="s">
        <v>1942</v>
      </c>
      <c r="E373" s="7" t="s">
        <v>158</v>
      </c>
      <c r="F373" s="7" t="s">
        <v>158</v>
      </c>
      <c r="G373" s="7" t="b">
        <v>0</v>
      </c>
      <c r="H373" s="7" t="s">
        <v>162</v>
      </c>
      <c r="I373" s="7"/>
      <c r="J373" s="7"/>
      <c r="K373" s="7" t="s">
        <v>3765</v>
      </c>
    </row>
    <row r="374" spans="1:11">
      <c r="A374" s="7" t="s">
        <v>3766</v>
      </c>
      <c r="B374" s="7" t="s">
        <v>391</v>
      </c>
      <c r="C374" s="7" t="s">
        <v>1941</v>
      </c>
      <c r="D374" s="7" t="s">
        <v>1942</v>
      </c>
      <c r="E374" s="7" t="s">
        <v>158</v>
      </c>
      <c r="F374" s="7" t="s">
        <v>158</v>
      </c>
      <c r="G374" s="7" t="b">
        <v>0</v>
      </c>
      <c r="H374" s="7" t="s">
        <v>162</v>
      </c>
      <c r="I374" s="7"/>
      <c r="J374" s="7"/>
      <c r="K374" s="7" t="s">
        <v>3770</v>
      </c>
    </row>
    <row r="375" spans="1:11">
      <c r="A375" s="7" t="s">
        <v>3771</v>
      </c>
      <c r="B375" s="7" t="s">
        <v>391</v>
      </c>
      <c r="C375" s="7" t="s">
        <v>1937</v>
      </c>
      <c r="D375" s="7" t="s">
        <v>1938</v>
      </c>
      <c r="E375" s="7" t="s">
        <v>158</v>
      </c>
      <c r="F375" s="7" t="s">
        <v>158</v>
      </c>
      <c r="G375" s="7" t="b">
        <v>0</v>
      </c>
      <c r="H375" s="7" t="s">
        <v>162</v>
      </c>
      <c r="I375" s="7"/>
      <c r="J375" s="7"/>
      <c r="K375" s="7" t="s">
        <v>3775</v>
      </c>
    </row>
    <row r="376" spans="1:11">
      <c r="A376" s="7" t="s">
        <v>3776</v>
      </c>
      <c r="B376" s="7" t="s">
        <v>391</v>
      </c>
      <c r="C376" s="7" t="s">
        <v>1937</v>
      </c>
      <c r="D376" s="7" t="s">
        <v>1938</v>
      </c>
      <c r="E376" s="7" t="s">
        <v>158</v>
      </c>
      <c r="F376" s="7" t="s">
        <v>158</v>
      </c>
      <c r="G376" s="7" t="b">
        <v>0</v>
      </c>
      <c r="H376" s="7" t="s">
        <v>162</v>
      </c>
      <c r="I376" s="7"/>
      <c r="J376" s="7"/>
      <c r="K376" s="7" t="s">
        <v>3780</v>
      </c>
    </row>
    <row r="377" spans="1:11">
      <c r="A377" s="7" t="s">
        <v>3781</v>
      </c>
      <c r="B377" s="7" t="s">
        <v>391</v>
      </c>
      <c r="C377" s="7" t="s">
        <v>1937</v>
      </c>
      <c r="D377" s="7" t="s">
        <v>1938</v>
      </c>
      <c r="E377" s="7" t="s">
        <v>158</v>
      </c>
      <c r="F377" s="7" t="s">
        <v>158</v>
      </c>
      <c r="G377" s="7" t="b">
        <v>0</v>
      </c>
      <c r="H377" s="7" t="s">
        <v>162</v>
      </c>
      <c r="I377" s="7"/>
      <c r="J377" s="7"/>
      <c r="K377" s="7" t="s">
        <v>3785</v>
      </c>
    </row>
    <row r="378" spans="1:11">
      <c r="A378" s="7" t="s">
        <v>3786</v>
      </c>
      <c r="B378" s="7" t="s">
        <v>391</v>
      </c>
      <c r="C378" s="7" t="s">
        <v>1937</v>
      </c>
      <c r="D378" s="7" t="s">
        <v>1938</v>
      </c>
      <c r="E378" s="7" t="s">
        <v>158</v>
      </c>
      <c r="F378" s="7" t="s">
        <v>158</v>
      </c>
      <c r="G378" s="7" t="b">
        <v>0</v>
      </c>
      <c r="H378" s="7" t="s">
        <v>162</v>
      </c>
      <c r="I378" s="7"/>
      <c r="J378" s="7"/>
      <c r="K378" s="7" t="s">
        <v>3790</v>
      </c>
    </row>
    <row r="379" spans="1:11">
      <c r="A379" s="7" t="s">
        <v>3791</v>
      </c>
      <c r="B379" s="7" t="s">
        <v>391</v>
      </c>
      <c r="C379" s="7" t="s">
        <v>1937</v>
      </c>
      <c r="D379" s="7" t="s">
        <v>1938</v>
      </c>
      <c r="E379" s="7" t="s">
        <v>158</v>
      </c>
      <c r="F379" s="7" t="s">
        <v>158</v>
      </c>
      <c r="G379" s="7" t="b">
        <v>0</v>
      </c>
      <c r="H379" s="7" t="s">
        <v>162</v>
      </c>
      <c r="I379" s="7"/>
      <c r="J379" s="7"/>
      <c r="K379" s="7" t="s">
        <v>3795</v>
      </c>
    </row>
    <row r="380" spans="1:11">
      <c r="A380" s="7" t="s">
        <v>3796</v>
      </c>
      <c r="B380" s="7" t="s">
        <v>391</v>
      </c>
      <c r="C380" s="7" t="s">
        <v>1937</v>
      </c>
      <c r="D380" s="7" t="s">
        <v>1938</v>
      </c>
      <c r="E380" s="7" t="s">
        <v>158</v>
      </c>
      <c r="F380" s="7" t="s">
        <v>158</v>
      </c>
      <c r="G380" s="7" t="b">
        <v>0</v>
      </c>
      <c r="H380" s="7" t="s">
        <v>162</v>
      </c>
      <c r="I380" s="7"/>
      <c r="J380" s="7"/>
      <c r="K380" s="7" t="s">
        <v>3800</v>
      </c>
    </row>
    <row r="381" spans="1:11">
      <c r="A381" s="7" t="s">
        <v>3801</v>
      </c>
      <c r="B381" s="7" t="s">
        <v>391</v>
      </c>
      <c r="C381" s="7" t="s">
        <v>1937</v>
      </c>
      <c r="D381" s="7" t="s">
        <v>1938</v>
      </c>
      <c r="E381" s="7" t="s">
        <v>158</v>
      </c>
      <c r="F381" s="7" t="s">
        <v>158</v>
      </c>
      <c r="G381" s="7" t="b">
        <v>0</v>
      </c>
      <c r="H381" s="7" t="s">
        <v>162</v>
      </c>
      <c r="I381" s="7"/>
      <c r="J381" s="7"/>
      <c r="K381" s="7" t="s">
        <v>3805</v>
      </c>
    </row>
    <row r="382" spans="1:11">
      <c r="A382" s="7" t="s">
        <v>3806</v>
      </c>
      <c r="B382" s="7" t="s">
        <v>391</v>
      </c>
      <c r="C382" s="7" t="s">
        <v>1937</v>
      </c>
      <c r="D382" s="7" t="s">
        <v>1938</v>
      </c>
      <c r="E382" s="7" t="s">
        <v>158</v>
      </c>
      <c r="F382" s="7" t="s">
        <v>158</v>
      </c>
      <c r="G382" s="7" t="b">
        <v>0</v>
      </c>
      <c r="H382" s="7" t="s">
        <v>162</v>
      </c>
      <c r="I382" s="7"/>
      <c r="J382" s="7"/>
      <c r="K382" s="7" t="s">
        <v>3810</v>
      </c>
    </row>
    <row r="383" spans="1:11">
      <c r="A383" s="7" t="s">
        <v>3811</v>
      </c>
      <c r="B383" s="7" t="s">
        <v>391</v>
      </c>
      <c r="C383" s="7" t="s">
        <v>1937</v>
      </c>
      <c r="D383" s="7" t="s">
        <v>1938</v>
      </c>
      <c r="E383" s="7" t="s">
        <v>158</v>
      </c>
      <c r="F383" s="7" t="s">
        <v>158</v>
      </c>
      <c r="G383" s="7" t="b">
        <v>0</v>
      </c>
      <c r="H383" s="7" t="s">
        <v>162</v>
      </c>
      <c r="I383" s="7"/>
      <c r="J383" s="7"/>
      <c r="K383" s="7" t="s">
        <v>3815</v>
      </c>
    </row>
    <row r="384" spans="1:11">
      <c r="A384" s="7" t="s">
        <v>3816</v>
      </c>
      <c r="B384" s="7" t="s">
        <v>391</v>
      </c>
      <c r="C384" s="7" t="s">
        <v>1937</v>
      </c>
      <c r="D384" s="7" t="s">
        <v>1938</v>
      </c>
      <c r="E384" s="7" t="s">
        <v>158</v>
      </c>
      <c r="F384" s="7" t="s">
        <v>158</v>
      </c>
      <c r="G384" s="7" t="b">
        <v>0</v>
      </c>
      <c r="H384" s="7" t="s">
        <v>162</v>
      </c>
      <c r="I384" s="7"/>
      <c r="J384" s="7"/>
      <c r="K384" s="7" t="s">
        <v>3820</v>
      </c>
    </row>
    <row r="385" spans="1:11">
      <c r="A385" s="7" t="s">
        <v>3821</v>
      </c>
      <c r="B385" s="7" t="s">
        <v>391</v>
      </c>
      <c r="C385" s="7" t="s">
        <v>1937</v>
      </c>
      <c r="D385" s="7" t="s">
        <v>1938</v>
      </c>
      <c r="E385" s="7" t="s">
        <v>158</v>
      </c>
      <c r="F385" s="7" t="s">
        <v>158</v>
      </c>
      <c r="G385" s="7" t="b">
        <v>0</v>
      </c>
      <c r="H385" s="7" t="s">
        <v>162</v>
      </c>
      <c r="I385" s="7"/>
      <c r="J385" s="7"/>
      <c r="K385" s="7" t="s">
        <v>3825</v>
      </c>
    </row>
    <row r="386" spans="1:11">
      <c r="A386" s="7" t="s">
        <v>3826</v>
      </c>
      <c r="B386" s="7" t="s">
        <v>391</v>
      </c>
      <c r="C386" s="7" t="s">
        <v>1937</v>
      </c>
      <c r="D386" s="7" t="s">
        <v>1938</v>
      </c>
      <c r="E386" s="7" t="s">
        <v>158</v>
      </c>
      <c r="F386" s="7" t="s">
        <v>158</v>
      </c>
      <c r="G386" s="7" t="b">
        <v>0</v>
      </c>
      <c r="H386" s="7" t="s">
        <v>162</v>
      </c>
      <c r="I386" s="7"/>
      <c r="J386" s="7"/>
      <c r="K386" s="7" t="s">
        <v>3830</v>
      </c>
    </row>
    <row r="387" spans="1:11">
      <c r="A387" s="7" t="s">
        <v>3831</v>
      </c>
      <c r="B387" s="7" t="s">
        <v>391</v>
      </c>
      <c r="C387" s="7" t="s">
        <v>1937</v>
      </c>
      <c r="D387" s="7" t="s">
        <v>1938</v>
      </c>
      <c r="E387" s="7" t="s">
        <v>158</v>
      </c>
      <c r="F387" s="7" t="s">
        <v>158</v>
      </c>
      <c r="G387" s="7" t="b">
        <v>0</v>
      </c>
      <c r="H387" s="7" t="s">
        <v>162</v>
      </c>
      <c r="I387" s="7"/>
      <c r="J387" s="7"/>
      <c r="K387" s="7" t="s">
        <v>3835</v>
      </c>
    </row>
    <row r="388" spans="1:11">
      <c r="A388" s="7" t="s">
        <v>3836</v>
      </c>
      <c r="B388" s="7" t="s">
        <v>391</v>
      </c>
      <c r="C388" s="7" t="s">
        <v>1937</v>
      </c>
      <c r="D388" s="7" t="s">
        <v>1938</v>
      </c>
      <c r="E388" s="7" t="s">
        <v>158</v>
      </c>
      <c r="F388" s="7" t="s">
        <v>158</v>
      </c>
      <c r="G388" s="7" t="b">
        <v>0</v>
      </c>
      <c r="H388" s="7" t="s">
        <v>162</v>
      </c>
      <c r="I388" s="7"/>
      <c r="J388" s="7"/>
      <c r="K388" s="7" t="s">
        <v>3840</v>
      </c>
    </row>
    <row r="389" spans="1:11">
      <c r="A389" s="7" t="s">
        <v>3841</v>
      </c>
      <c r="B389" s="7" t="s">
        <v>391</v>
      </c>
      <c r="C389" s="7" t="s">
        <v>1937</v>
      </c>
      <c r="D389" s="7" t="s">
        <v>1938</v>
      </c>
      <c r="E389" s="7" t="s">
        <v>158</v>
      </c>
      <c r="F389" s="7" t="s">
        <v>158</v>
      </c>
      <c r="G389" s="7" t="b">
        <v>0</v>
      </c>
      <c r="H389" s="7" t="s">
        <v>162</v>
      </c>
      <c r="I389" s="7"/>
      <c r="J389" s="7"/>
      <c r="K389" s="7" t="s">
        <v>3845</v>
      </c>
    </row>
    <row r="390" spans="1:11">
      <c r="A390" s="7" t="s">
        <v>3846</v>
      </c>
      <c r="B390" s="7" t="s">
        <v>391</v>
      </c>
      <c r="C390" s="7" t="s">
        <v>1937</v>
      </c>
      <c r="D390" s="7" t="s">
        <v>1938</v>
      </c>
      <c r="E390" s="7" t="s">
        <v>158</v>
      </c>
      <c r="F390" s="7" t="s">
        <v>158</v>
      </c>
      <c r="G390" s="7" t="b">
        <v>0</v>
      </c>
      <c r="H390" s="7" t="s">
        <v>162</v>
      </c>
      <c r="I390" s="7"/>
      <c r="J390" s="7"/>
      <c r="K390" s="7" t="s">
        <v>3850</v>
      </c>
    </row>
    <row r="391" spans="1:11">
      <c r="A391" s="7" t="s">
        <v>3851</v>
      </c>
      <c r="B391" s="7" t="s">
        <v>391</v>
      </c>
      <c r="C391" s="7" t="s">
        <v>1937</v>
      </c>
      <c r="D391" s="7" t="s">
        <v>1938</v>
      </c>
      <c r="E391" s="7" t="s">
        <v>158</v>
      </c>
      <c r="F391" s="7" t="s">
        <v>158</v>
      </c>
      <c r="G391" s="7" t="b">
        <v>0</v>
      </c>
      <c r="H391" s="7" t="s">
        <v>162</v>
      </c>
      <c r="I391" s="7"/>
      <c r="J391" s="7"/>
      <c r="K391" s="7" t="s">
        <v>3855</v>
      </c>
    </row>
    <row r="392" spans="1:11">
      <c r="A392" s="7" t="s">
        <v>3856</v>
      </c>
      <c r="B392" s="7" t="s">
        <v>391</v>
      </c>
      <c r="C392" s="7" t="s">
        <v>1937</v>
      </c>
      <c r="D392" s="7" t="s">
        <v>1938</v>
      </c>
      <c r="E392" s="7" t="s">
        <v>158</v>
      </c>
      <c r="F392" s="7" t="s">
        <v>158</v>
      </c>
      <c r="G392" s="7" t="b">
        <v>0</v>
      </c>
      <c r="H392" s="7" t="s">
        <v>162</v>
      </c>
      <c r="I392" s="7"/>
      <c r="J392" s="7"/>
      <c r="K392" s="7" t="s">
        <v>3860</v>
      </c>
    </row>
    <row r="393" spans="1:11">
      <c r="A393" s="7" t="s">
        <v>3861</v>
      </c>
      <c r="B393" s="7" t="s">
        <v>391</v>
      </c>
      <c r="C393" s="7" t="s">
        <v>1937</v>
      </c>
      <c r="D393" s="7" t="s">
        <v>1938</v>
      </c>
      <c r="E393" s="7" t="s">
        <v>158</v>
      </c>
      <c r="F393" s="7" t="s">
        <v>158</v>
      </c>
      <c r="G393" s="7" t="b">
        <v>0</v>
      </c>
      <c r="H393" s="7" t="s">
        <v>162</v>
      </c>
      <c r="I393" s="7"/>
      <c r="J393" s="7"/>
      <c r="K393" s="7" t="s">
        <v>3865</v>
      </c>
    </row>
    <row r="394" spans="1:11">
      <c r="A394" s="7" t="s">
        <v>3866</v>
      </c>
      <c r="B394" s="7" t="s">
        <v>391</v>
      </c>
      <c r="C394" s="7" t="s">
        <v>1937</v>
      </c>
      <c r="D394" s="7" t="s">
        <v>1938</v>
      </c>
      <c r="E394" s="7" t="s">
        <v>158</v>
      </c>
      <c r="F394" s="7" t="s">
        <v>158</v>
      </c>
      <c r="G394" s="7" t="b">
        <v>0</v>
      </c>
      <c r="H394" s="7" t="s">
        <v>162</v>
      </c>
      <c r="I394" s="7"/>
      <c r="J394" s="7"/>
      <c r="K394" s="7" t="s">
        <v>3870</v>
      </c>
    </row>
    <row r="395" spans="1:11">
      <c r="A395" s="7" t="s">
        <v>3871</v>
      </c>
      <c r="B395" s="7" t="s">
        <v>391</v>
      </c>
      <c r="C395" s="7" t="s">
        <v>1937</v>
      </c>
      <c r="D395" s="7" t="s">
        <v>1938</v>
      </c>
      <c r="E395" s="7" t="s">
        <v>158</v>
      </c>
      <c r="F395" s="7" t="s">
        <v>158</v>
      </c>
      <c r="G395" s="7" t="b">
        <v>0</v>
      </c>
      <c r="H395" s="7" t="s">
        <v>162</v>
      </c>
      <c r="I395" s="7"/>
      <c r="J395" s="7"/>
      <c r="K395" s="7" t="s">
        <v>3875</v>
      </c>
    </row>
    <row r="396" spans="1:11">
      <c r="A396" s="7" t="s">
        <v>3876</v>
      </c>
      <c r="B396" s="7" t="s">
        <v>391</v>
      </c>
      <c r="C396" s="7" t="s">
        <v>1937</v>
      </c>
      <c r="D396" s="7" t="s">
        <v>1938</v>
      </c>
      <c r="E396" s="7" t="s">
        <v>158</v>
      </c>
      <c r="F396" s="7" t="s">
        <v>158</v>
      </c>
      <c r="G396" s="7" t="b">
        <v>0</v>
      </c>
      <c r="H396" s="7" t="s">
        <v>162</v>
      </c>
      <c r="I396" s="7"/>
      <c r="J396" s="7"/>
      <c r="K396" s="7" t="s">
        <v>3879</v>
      </c>
    </row>
    <row r="397" spans="1:11">
      <c r="A397" s="7" t="s">
        <v>3880</v>
      </c>
      <c r="B397" s="7" t="s">
        <v>391</v>
      </c>
      <c r="C397" s="7" t="s">
        <v>1937</v>
      </c>
      <c r="D397" s="7" t="s">
        <v>1938</v>
      </c>
      <c r="E397" s="7" t="s">
        <v>158</v>
      </c>
      <c r="F397" s="7" t="s">
        <v>158</v>
      </c>
      <c r="G397" s="7" t="b">
        <v>0</v>
      </c>
      <c r="H397" s="7" t="s">
        <v>162</v>
      </c>
      <c r="I397" s="7"/>
      <c r="J397" s="7"/>
      <c r="K397" s="7" t="s">
        <v>3884</v>
      </c>
    </row>
    <row r="398" spans="1:11">
      <c r="A398" s="7" t="s">
        <v>3885</v>
      </c>
      <c r="B398" s="7" t="s">
        <v>391</v>
      </c>
      <c r="C398" s="7" t="s">
        <v>1937</v>
      </c>
      <c r="D398" s="7" t="s">
        <v>1938</v>
      </c>
      <c r="E398" s="7" t="s">
        <v>158</v>
      </c>
      <c r="F398" s="7" t="s">
        <v>158</v>
      </c>
      <c r="G398" s="7" t="b">
        <v>0</v>
      </c>
      <c r="H398" s="7" t="s">
        <v>162</v>
      </c>
      <c r="I398" s="7"/>
      <c r="J398" s="7"/>
      <c r="K398" s="7" t="s">
        <v>3889</v>
      </c>
    </row>
    <row r="399" spans="1:11">
      <c r="A399" s="7" t="s">
        <v>3890</v>
      </c>
      <c r="B399" s="7" t="s">
        <v>391</v>
      </c>
      <c r="C399" s="7" t="s">
        <v>1937</v>
      </c>
      <c r="D399" s="7" t="s">
        <v>1938</v>
      </c>
      <c r="E399" s="7" t="s">
        <v>158</v>
      </c>
      <c r="F399" s="7" t="s">
        <v>158</v>
      </c>
      <c r="G399" s="7" t="b">
        <v>0</v>
      </c>
      <c r="H399" s="7" t="s">
        <v>162</v>
      </c>
      <c r="I399" s="7"/>
      <c r="J399" s="7"/>
      <c r="K399" s="7" t="s">
        <v>3894</v>
      </c>
    </row>
    <row r="400" spans="1:11">
      <c r="A400" s="7" t="s">
        <v>3895</v>
      </c>
      <c r="B400" s="7" t="s">
        <v>391</v>
      </c>
      <c r="C400" s="7" t="s">
        <v>1941</v>
      </c>
      <c r="D400" s="7" t="s">
        <v>1942</v>
      </c>
      <c r="E400" s="7" t="s">
        <v>158</v>
      </c>
      <c r="F400" s="7" t="s">
        <v>158</v>
      </c>
      <c r="G400" s="7" t="b">
        <v>0</v>
      </c>
      <c r="H400" s="7" t="s">
        <v>162</v>
      </c>
      <c r="I400" s="7"/>
      <c r="J400" s="7"/>
      <c r="K400" s="7" t="s">
        <v>3899</v>
      </c>
    </row>
    <row r="401" spans="1:11">
      <c r="A401" s="7" t="s">
        <v>3900</v>
      </c>
      <c r="B401" s="7" t="s">
        <v>391</v>
      </c>
      <c r="C401" s="7" t="s">
        <v>1941</v>
      </c>
      <c r="D401" s="7" t="s">
        <v>1942</v>
      </c>
      <c r="E401" s="7" t="s">
        <v>158</v>
      </c>
      <c r="F401" s="7" t="s">
        <v>158</v>
      </c>
      <c r="G401" s="7" t="b">
        <v>0</v>
      </c>
      <c r="H401" s="7" t="s">
        <v>162</v>
      </c>
      <c r="I401" s="7"/>
      <c r="J401" s="7"/>
      <c r="K401" s="7" t="s">
        <v>3904</v>
      </c>
    </row>
    <row r="402" spans="1:11">
      <c r="A402" s="7" t="s">
        <v>3905</v>
      </c>
      <c r="B402" s="7" t="s">
        <v>391</v>
      </c>
      <c r="C402" s="7" t="s">
        <v>1941</v>
      </c>
      <c r="D402" s="7" t="s">
        <v>1942</v>
      </c>
      <c r="E402" s="7" t="s">
        <v>158</v>
      </c>
      <c r="F402" s="7" t="s">
        <v>158</v>
      </c>
      <c r="G402" s="7" t="b">
        <v>0</v>
      </c>
      <c r="H402" s="7" t="s">
        <v>162</v>
      </c>
      <c r="I402" s="7"/>
      <c r="J402" s="7"/>
      <c r="K402" s="7" t="s">
        <v>3909</v>
      </c>
    </row>
    <row r="403" spans="1:11">
      <c r="A403" s="7" t="s">
        <v>3910</v>
      </c>
      <c r="B403" s="7" t="s">
        <v>391</v>
      </c>
      <c r="C403" s="7" t="s">
        <v>1941</v>
      </c>
      <c r="D403" s="7" t="s">
        <v>1942</v>
      </c>
      <c r="E403" s="7" t="s">
        <v>158</v>
      </c>
      <c r="F403" s="7" t="s">
        <v>158</v>
      </c>
      <c r="G403" s="7" t="b">
        <v>0</v>
      </c>
      <c r="H403" s="7" t="s">
        <v>162</v>
      </c>
      <c r="I403" s="7"/>
      <c r="J403" s="7"/>
      <c r="K403" s="7" t="s">
        <v>3914</v>
      </c>
    </row>
    <row r="404" spans="1:11">
      <c r="A404" s="7" t="s">
        <v>3915</v>
      </c>
      <c r="B404" s="7" t="s">
        <v>391</v>
      </c>
      <c r="C404" s="7" t="s">
        <v>1941</v>
      </c>
      <c r="D404" s="7" t="s">
        <v>1942</v>
      </c>
      <c r="E404" s="7" t="s">
        <v>158</v>
      </c>
      <c r="F404" s="7" t="s">
        <v>158</v>
      </c>
      <c r="G404" s="7" t="b">
        <v>0</v>
      </c>
      <c r="H404" s="7" t="s">
        <v>162</v>
      </c>
      <c r="I404" s="7"/>
      <c r="J404" s="7"/>
      <c r="K404" s="7" t="s">
        <v>3919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185" activePane="bottomLeft" state="frozenSplit"/>
      <selection pane="bottomLeft" activeCell="A222" sqref="A222:XFD448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7" t="s">
        <v>2719</v>
      </c>
      <c r="B1" s="27" t="s">
        <v>2720</v>
      </c>
      <c r="C1" s="27" t="s">
        <v>2721</v>
      </c>
      <c r="D1" s="27" t="s">
        <v>2722</v>
      </c>
      <c r="E1" s="27" t="s">
        <v>2723</v>
      </c>
      <c r="F1" s="27" t="s">
        <v>3932</v>
      </c>
      <c r="G1" s="27" t="s">
        <v>2725</v>
      </c>
      <c r="H1" s="27" t="s">
        <v>2726</v>
      </c>
      <c r="I1" s="27" t="s">
        <v>2727</v>
      </c>
      <c r="J1" s="27" t="s">
        <v>2728</v>
      </c>
      <c r="K1" s="27" t="s">
        <v>4367</v>
      </c>
      <c r="L1" s="27" t="s">
        <v>280</v>
      </c>
    </row>
    <row r="2" spans="1:12">
      <c r="A2" s="28" t="s">
        <v>2729</v>
      </c>
      <c r="B2" s="28" t="s">
        <v>390</v>
      </c>
      <c r="C2" s="28"/>
      <c r="D2" s="28" t="s">
        <v>391</v>
      </c>
      <c r="E2" s="29" t="str">
        <f>INDEX(질문!$E$1:$E$100,MATCH($B2,질문!$A$1:$A$100,0))</f>
        <v>{지난 끼니}은 평소만큼 드셨나요?</v>
      </c>
      <c r="F2" s="36" t="s">
        <v>3933</v>
      </c>
      <c r="G2" s="28">
        <f t="shared" ref="G2:G65" si="0">LEN(F2)</f>
        <v>39</v>
      </c>
      <c r="H2" s="28">
        <v>56</v>
      </c>
      <c r="I2" s="28">
        <v>64</v>
      </c>
      <c r="J2" s="28" t="str">
        <f t="shared" ref="J2:J65" si="1">IF(F2="","비어 있음",IF(G2&lt;=H2,"OK",IF(G2&lt;=I2,"길이 주의","상한 초과")))</f>
        <v>OK</v>
      </c>
      <c r="K2" s="28" t="s">
        <v>4368</v>
      </c>
      <c r="L2" s="28"/>
    </row>
    <row r="3" spans="1:12" ht="25">
      <c r="A3" s="28" t="s">
        <v>2729</v>
      </c>
      <c r="B3" s="28" t="s">
        <v>397</v>
      </c>
      <c r="C3" s="28"/>
      <c r="D3" s="28" t="s">
        <v>391</v>
      </c>
      <c r="E3" s="29" t="str">
        <f>INDEX(질문!$E$1:$E$100,MATCH($B3,질문!$A$1:$A$100,0))</f>
        <v>{지난 끼니}엔 채소 반찬을 얼마나 드셨나요?</v>
      </c>
      <c r="F3" s="36" t="s">
        <v>3934</v>
      </c>
      <c r="G3" s="28">
        <f t="shared" si="0"/>
        <v>48</v>
      </c>
      <c r="H3" s="28">
        <v>56</v>
      </c>
      <c r="I3" s="28">
        <v>64</v>
      </c>
      <c r="J3" s="28" t="str">
        <f t="shared" si="1"/>
        <v>OK</v>
      </c>
      <c r="K3" s="28" t="s">
        <v>4368</v>
      </c>
      <c r="L3" s="28"/>
    </row>
    <row r="4" spans="1:12" ht="25">
      <c r="A4" s="28" t="s">
        <v>2729</v>
      </c>
      <c r="B4" s="28" t="s">
        <v>401</v>
      </c>
      <c r="C4" s="28"/>
      <c r="D4" s="28" t="s">
        <v>391</v>
      </c>
      <c r="E4" s="29" t="str">
        <f>INDEX(질문!$E$1:$E$100,MATCH($B4,질문!$A$1:$A$100,0))</f>
        <v>{지난 끼니} 전후 단 음료·간식은 몇 번이었나요?</v>
      </c>
      <c r="F4" s="36" t="s">
        <v>3935</v>
      </c>
      <c r="G4" s="28">
        <f t="shared" si="0"/>
        <v>46</v>
      </c>
      <c r="H4" s="28">
        <v>56</v>
      </c>
      <c r="I4" s="28">
        <v>64</v>
      </c>
      <c r="J4" s="28" t="str">
        <f t="shared" si="1"/>
        <v>OK</v>
      </c>
      <c r="K4" s="28" t="s">
        <v>4368</v>
      </c>
      <c r="L4" s="28"/>
    </row>
    <row r="5" spans="1:12">
      <c r="A5" s="28" t="s">
        <v>2729</v>
      </c>
      <c r="B5" s="28" t="s">
        <v>405</v>
      </c>
      <c r="C5" s="28"/>
      <c r="D5" s="28" t="s">
        <v>391</v>
      </c>
      <c r="E5" s="29" t="str">
        <f>INDEX(질문!$E$1:$E$100,MATCH($B5,질문!$A$1:$A$100,0))</f>
        <v>{지난 끼니}엔 국물을 얼마나 드셨나요?</v>
      </c>
      <c r="F5" s="36" t="s">
        <v>3936</v>
      </c>
      <c r="G5" s="28">
        <f t="shared" si="0"/>
        <v>46</v>
      </c>
      <c r="H5" s="28">
        <v>56</v>
      </c>
      <c r="I5" s="28">
        <v>64</v>
      </c>
      <c r="J5" s="28" t="str">
        <f t="shared" si="1"/>
        <v>OK</v>
      </c>
      <c r="K5" s="28" t="s">
        <v>4368</v>
      </c>
      <c r="L5" s="28"/>
    </row>
    <row r="6" spans="1:12">
      <c r="A6" s="28" t="s">
        <v>2729</v>
      </c>
      <c r="B6" s="28" t="s">
        <v>409</v>
      </c>
      <c r="C6" s="28"/>
      <c r="D6" s="28" t="s">
        <v>391</v>
      </c>
      <c r="E6" s="29" t="str">
        <f>INDEX(질문!$E$1:$E$100,MATCH($B6,질문!$A$1:$A$100,0))</f>
        <v>어젯밤 야식은 얼마나 드셨나요?</v>
      </c>
      <c r="F6" s="36" t="s">
        <v>3937</v>
      </c>
      <c r="G6" s="28">
        <f t="shared" si="0"/>
        <v>37</v>
      </c>
      <c r="H6" s="28">
        <v>56</v>
      </c>
      <c r="I6" s="28">
        <v>64</v>
      </c>
      <c r="J6" s="28" t="str">
        <f t="shared" si="1"/>
        <v>OK</v>
      </c>
      <c r="K6" s="28" t="s">
        <v>4368</v>
      </c>
      <c r="L6" s="28"/>
    </row>
    <row r="7" spans="1:12">
      <c r="A7" s="28" t="s">
        <v>2729</v>
      </c>
      <c r="B7" s="28" t="s">
        <v>412</v>
      </c>
      <c r="C7" s="28"/>
      <c r="D7" s="28" t="s">
        <v>391</v>
      </c>
      <c r="E7" s="29" t="str">
        <f>INDEX(질문!$E$1:$E$100,MATCH($B7,질문!$A$1:$A$100,0))</f>
        <v>{지난 끼니} 후 배부름은 어땠나요?</v>
      </c>
      <c r="F7" s="36" t="s">
        <v>3938</v>
      </c>
      <c r="G7" s="28">
        <f t="shared" si="0"/>
        <v>35</v>
      </c>
      <c r="H7" s="28">
        <v>56</v>
      </c>
      <c r="I7" s="28">
        <v>64</v>
      </c>
      <c r="J7" s="28" t="str">
        <f t="shared" si="1"/>
        <v>OK</v>
      </c>
      <c r="K7" s="28" t="s">
        <v>4368</v>
      </c>
      <c r="L7" s="28"/>
    </row>
    <row r="8" spans="1:12" ht="25">
      <c r="A8" s="28" t="s">
        <v>2729</v>
      </c>
      <c r="B8" s="28" t="s">
        <v>416</v>
      </c>
      <c r="C8" s="28"/>
      <c r="D8" s="28" t="s">
        <v>391</v>
      </c>
      <c r="E8" s="29" t="str">
        <f>INDEX(질문!$E$1:$E$100,MATCH($B8,질문!$A$1:$A$100,0))</f>
        <v>{지난 끼니}엔 단백질류(고기·생선·달걀 등)를 드셨나요?</v>
      </c>
      <c r="F8" s="36" t="s">
        <v>3939</v>
      </c>
      <c r="G8" s="28">
        <f t="shared" si="0"/>
        <v>50</v>
      </c>
      <c r="H8" s="28">
        <v>56</v>
      </c>
      <c r="I8" s="28">
        <v>64</v>
      </c>
      <c r="J8" s="28" t="str">
        <f t="shared" si="1"/>
        <v>OK</v>
      </c>
      <c r="K8" s="28" t="s">
        <v>4368</v>
      </c>
      <c r="L8" s="28"/>
    </row>
    <row r="9" spans="1:12">
      <c r="A9" s="28" t="s">
        <v>2729</v>
      </c>
      <c r="B9" s="28" t="s">
        <v>420</v>
      </c>
      <c r="C9" s="28"/>
      <c r="D9" s="28" t="s">
        <v>391</v>
      </c>
      <c r="E9" s="29" t="str">
        <f>INDEX(질문!$E$1:$E$100,MATCH($B9,질문!$A$1:$A$100,0))</f>
        <v>{지난 끼니}엔 튀긴 음식을 드셨나요?</v>
      </c>
      <c r="F9" s="36" t="s">
        <v>3940</v>
      </c>
      <c r="G9" s="28">
        <f t="shared" si="0"/>
        <v>34</v>
      </c>
      <c r="H9" s="28">
        <v>56</v>
      </c>
      <c r="I9" s="28">
        <v>64</v>
      </c>
      <c r="J9" s="28" t="str">
        <f t="shared" si="1"/>
        <v>OK</v>
      </c>
      <c r="K9" s="28" t="s">
        <v>4368</v>
      </c>
      <c r="L9" s="28"/>
    </row>
    <row r="10" spans="1:12">
      <c r="A10" s="28" t="s">
        <v>2729</v>
      </c>
      <c r="B10" s="28" t="s">
        <v>424</v>
      </c>
      <c r="C10" s="28"/>
      <c r="D10" s="28" t="s">
        <v>391</v>
      </c>
      <c r="E10" s="29" t="str">
        <f>INDEX(질문!$E$1:$E$100,MATCH($B10,질문!$A$1:$A$100,0))</f>
        <v>{질환명}을 진단받았거나 관리 중이신가요?</v>
      </c>
      <c r="F10" s="36" t="s">
        <v>2748</v>
      </c>
      <c r="G10" s="28">
        <f t="shared" si="0"/>
        <v>47</v>
      </c>
      <c r="H10" s="28">
        <v>56</v>
      </c>
      <c r="I10" s="28">
        <v>64</v>
      </c>
      <c r="J10" s="28" t="str">
        <f t="shared" si="1"/>
        <v>OK</v>
      </c>
      <c r="K10" s="28" t="s">
        <v>4368</v>
      </c>
      <c r="L10" s="28"/>
    </row>
    <row r="11" spans="1:12">
      <c r="A11" s="28" t="s">
        <v>2730</v>
      </c>
      <c r="B11" s="28" t="s">
        <v>390</v>
      </c>
      <c r="C11" s="28" t="s">
        <v>426</v>
      </c>
      <c r="D11" s="28" t="s">
        <v>391</v>
      </c>
      <c r="E11" s="29" t="str">
        <f>INDEX(선택지!$E$1:$E$200,SUMPRODUCT((선택지!$A$2:$A$200=$B11)*(선택지!$D$2:$D$200=$C11)*ROW(선택지!$A$2:$A$200)))</f>
        <v>평소대로</v>
      </c>
      <c r="F11" s="36" t="s">
        <v>3941</v>
      </c>
      <c r="G11" s="28">
        <f t="shared" si="0"/>
        <v>8</v>
      </c>
      <c r="H11" s="28">
        <v>16</v>
      </c>
      <c r="I11" s="28">
        <v>20</v>
      </c>
      <c r="J11" s="28" t="str">
        <f t="shared" si="1"/>
        <v>OK</v>
      </c>
      <c r="K11" s="28" t="s">
        <v>4368</v>
      </c>
      <c r="L11" s="28"/>
    </row>
    <row r="12" spans="1:12">
      <c r="A12" s="28" t="s">
        <v>2730</v>
      </c>
      <c r="B12" s="28" t="s">
        <v>390</v>
      </c>
      <c r="C12" s="28" t="s">
        <v>428</v>
      </c>
      <c r="D12" s="28" t="s">
        <v>391</v>
      </c>
      <c r="E12" s="29" t="str">
        <f>INDEX(선택지!$E$1:$E$200,SUMPRODUCT((선택지!$A$2:$A$200=$B12)*(선택지!$D$2:$D$200=$C12)*ROW(선택지!$A$2:$A$200)))</f>
        <v>조금 적게</v>
      </c>
      <c r="F12" s="36" t="s">
        <v>3942</v>
      </c>
      <c r="G12" s="28">
        <f t="shared" si="0"/>
        <v>10</v>
      </c>
      <c r="H12" s="28">
        <v>16</v>
      </c>
      <c r="I12" s="28">
        <v>20</v>
      </c>
      <c r="J12" s="28" t="str">
        <f t="shared" si="1"/>
        <v>OK</v>
      </c>
      <c r="K12" s="28" t="s">
        <v>4368</v>
      </c>
      <c r="L12" s="28"/>
    </row>
    <row r="13" spans="1:12">
      <c r="A13" s="28" t="s">
        <v>2730</v>
      </c>
      <c r="B13" s="28" t="s">
        <v>390</v>
      </c>
      <c r="C13" s="28" t="s">
        <v>430</v>
      </c>
      <c r="D13" s="28" t="s">
        <v>391</v>
      </c>
      <c r="E13" s="29" t="str">
        <f>INDEX(선택지!$E$1:$E$200,SUMPRODUCT((선택지!$A$2:$A$200=$B13)*(선택지!$D$2:$D$200=$C13)*ROW(선택지!$A$2:$A$200)))</f>
        <v>거의 못 먹음</v>
      </c>
      <c r="F13" s="36" t="s">
        <v>3943</v>
      </c>
      <c r="G13" s="28">
        <f t="shared" si="0"/>
        <v>10</v>
      </c>
      <c r="H13" s="28">
        <v>16</v>
      </c>
      <c r="I13" s="28">
        <v>20</v>
      </c>
      <c r="J13" s="28" t="str">
        <f t="shared" si="1"/>
        <v>OK</v>
      </c>
      <c r="K13" s="28" t="s">
        <v>4368</v>
      </c>
      <c r="L13" s="28"/>
    </row>
    <row r="14" spans="1:12">
      <c r="A14" s="28" t="s">
        <v>2730</v>
      </c>
      <c r="B14" s="28" t="s">
        <v>397</v>
      </c>
      <c r="C14" s="28" t="s">
        <v>431</v>
      </c>
      <c r="D14" s="28" t="s">
        <v>391</v>
      </c>
      <c r="E14" s="29" t="str">
        <f>INDEX(선택지!$E$1:$E$200,SUMPRODUCT((선택지!$A$2:$A$200=$B14)*(선택지!$D$2:$D$200=$C14)*ROW(선택지!$A$2:$A$200)))</f>
        <v>충분히 먹음</v>
      </c>
      <c r="F14" s="36" t="s">
        <v>3944</v>
      </c>
      <c r="G14" s="28">
        <f t="shared" si="0"/>
        <v>6</v>
      </c>
      <c r="H14" s="28">
        <v>16</v>
      </c>
      <c r="I14" s="28">
        <v>20</v>
      </c>
      <c r="J14" s="28" t="str">
        <f t="shared" si="1"/>
        <v>OK</v>
      </c>
      <c r="K14" s="28" t="s">
        <v>4368</v>
      </c>
      <c r="L14" s="28"/>
    </row>
    <row r="15" spans="1:12">
      <c r="A15" s="28" t="s">
        <v>2730</v>
      </c>
      <c r="B15" s="28" t="s">
        <v>397</v>
      </c>
      <c r="C15" s="28" t="s">
        <v>432</v>
      </c>
      <c r="D15" s="28" t="s">
        <v>391</v>
      </c>
      <c r="E15" s="29" t="str">
        <f>INDEX(선택지!$E$1:$E$200,SUMPRODUCT((선택지!$A$2:$A$200=$B15)*(선택지!$D$2:$D$200=$C15)*ROW(선택지!$A$2:$A$200)))</f>
        <v>조금 먹음</v>
      </c>
      <c r="F15" s="36" t="s">
        <v>3945</v>
      </c>
      <c r="G15" s="28">
        <f t="shared" si="0"/>
        <v>8</v>
      </c>
      <c r="H15" s="28">
        <v>16</v>
      </c>
      <c r="I15" s="28">
        <v>20</v>
      </c>
      <c r="J15" s="28" t="str">
        <f t="shared" si="1"/>
        <v>OK</v>
      </c>
      <c r="K15" s="28" t="s">
        <v>4368</v>
      </c>
      <c r="L15" s="28"/>
    </row>
    <row r="16" spans="1:12">
      <c r="A16" s="28" t="s">
        <v>2730</v>
      </c>
      <c r="B16" s="28" t="s">
        <v>397</v>
      </c>
      <c r="C16" s="28" t="s">
        <v>433</v>
      </c>
      <c r="D16" s="28" t="s">
        <v>391</v>
      </c>
      <c r="E16" s="29" t="str">
        <f>INDEX(선택지!$E$1:$E$200,SUMPRODUCT((선택지!$A$2:$A$200=$B16)*(선택지!$D$2:$D$200=$C16)*ROW(선택지!$A$2:$A$200)))</f>
        <v>먹지 않음</v>
      </c>
      <c r="F16" s="36" t="s">
        <v>3946</v>
      </c>
      <c r="G16" s="28">
        <f t="shared" si="0"/>
        <v>4</v>
      </c>
      <c r="H16" s="28">
        <v>16</v>
      </c>
      <c r="I16" s="28">
        <v>20</v>
      </c>
      <c r="J16" s="28" t="str">
        <f t="shared" si="1"/>
        <v>OK</v>
      </c>
      <c r="K16" s="28" t="s">
        <v>4368</v>
      </c>
      <c r="L16" s="28"/>
    </row>
    <row r="17" spans="1:12">
      <c r="A17" s="28" t="s">
        <v>2730</v>
      </c>
      <c r="B17" s="28" t="s">
        <v>401</v>
      </c>
      <c r="C17" s="28" t="s">
        <v>433</v>
      </c>
      <c r="D17" s="28" t="s">
        <v>391</v>
      </c>
      <c r="E17" s="29" t="str">
        <f>INDEX(선택지!$E$1:$E$200,SUMPRODUCT((선택지!$A$2:$A$200=$B17)*(선택지!$D$2:$D$200=$C17)*ROW(선택지!$A$2:$A$200)))</f>
        <v>없었어요</v>
      </c>
      <c r="F17" s="36" t="s">
        <v>3946</v>
      </c>
      <c r="G17" s="28">
        <f t="shared" si="0"/>
        <v>4</v>
      </c>
      <c r="H17" s="28">
        <v>16</v>
      </c>
      <c r="I17" s="28">
        <v>20</v>
      </c>
      <c r="J17" s="28" t="str">
        <f t="shared" si="1"/>
        <v>OK</v>
      </c>
      <c r="K17" s="28" t="s">
        <v>4368</v>
      </c>
      <c r="L17" s="28"/>
    </row>
    <row r="18" spans="1:12">
      <c r="A18" s="28" t="s">
        <v>2730</v>
      </c>
      <c r="B18" s="28" t="s">
        <v>401</v>
      </c>
      <c r="C18" s="28" t="s">
        <v>435</v>
      </c>
      <c r="D18" s="28" t="s">
        <v>391</v>
      </c>
      <c r="E18" s="29" t="str">
        <f>INDEX(선택지!$E$1:$E$200,SUMPRODUCT((선택지!$A$2:$A$200=$B18)*(선택지!$D$2:$D$200=$C18)*ROW(선택지!$A$2:$A$200)))</f>
        <v>한 번</v>
      </c>
      <c r="F18" s="36" t="s">
        <v>3947</v>
      </c>
      <c r="G18" s="28">
        <f t="shared" si="0"/>
        <v>4</v>
      </c>
      <c r="H18" s="28">
        <v>16</v>
      </c>
      <c r="I18" s="28">
        <v>20</v>
      </c>
      <c r="J18" s="28" t="str">
        <f t="shared" si="1"/>
        <v>OK</v>
      </c>
      <c r="K18" s="28" t="s">
        <v>4368</v>
      </c>
      <c r="L18" s="28"/>
    </row>
    <row r="19" spans="1:12">
      <c r="A19" s="28" t="s">
        <v>2730</v>
      </c>
      <c r="B19" s="28" t="s">
        <v>401</v>
      </c>
      <c r="C19" s="28" t="s">
        <v>437</v>
      </c>
      <c r="D19" s="28" t="s">
        <v>391</v>
      </c>
      <c r="E19" s="29" t="str">
        <f>INDEX(선택지!$E$1:$E$200,SUMPRODUCT((선택지!$A$2:$A$200=$B19)*(선택지!$D$2:$D$200=$C19)*ROW(선택지!$A$2:$A$200)))</f>
        <v>두 번 이상</v>
      </c>
      <c r="F19" s="36" t="s">
        <v>3948</v>
      </c>
      <c r="G19" s="28">
        <f t="shared" si="0"/>
        <v>13</v>
      </c>
      <c r="H19" s="28">
        <v>16</v>
      </c>
      <c r="I19" s="28">
        <v>20</v>
      </c>
      <c r="J19" s="28" t="str">
        <f t="shared" si="1"/>
        <v>OK</v>
      </c>
      <c r="K19" s="28" t="s">
        <v>4368</v>
      </c>
      <c r="L19" s="28"/>
    </row>
    <row r="20" spans="1:12">
      <c r="A20" s="28" t="s">
        <v>2730</v>
      </c>
      <c r="B20" s="28" t="s">
        <v>405</v>
      </c>
      <c r="C20" s="28" t="s">
        <v>433</v>
      </c>
      <c r="D20" s="28" t="s">
        <v>391</v>
      </c>
      <c r="E20" s="29" t="str">
        <f>INDEX(선택지!$E$1:$E$200,SUMPRODUCT((선택지!$A$2:$A$200=$B20)*(선택지!$D$2:$D$200=$C20)*ROW(선택지!$A$2:$A$200)))</f>
        <v>먹지 않음</v>
      </c>
      <c r="F20" s="36" t="s">
        <v>3946</v>
      </c>
      <c r="G20" s="28">
        <f t="shared" si="0"/>
        <v>4</v>
      </c>
      <c r="H20" s="28">
        <v>16</v>
      </c>
      <c r="I20" s="28">
        <v>20</v>
      </c>
      <c r="J20" s="28" t="str">
        <f t="shared" si="1"/>
        <v>OK</v>
      </c>
      <c r="K20" s="28" t="s">
        <v>4368</v>
      </c>
      <c r="L20" s="28"/>
    </row>
    <row r="21" spans="1:12">
      <c r="A21" s="28" t="s">
        <v>2730</v>
      </c>
      <c r="B21" s="28" t="s">
        <v>405</v>
      </c>
      <c r="C21" s="28" t="s">
        <v>440</v>
      </c>
      <c r="D21" s="28" t="s">
        <v>391</v>
      </c>
      <c r="E21" s="29" t="str">
        <f>INDEX(선택지!$E$1:$E$200,SUMPRODUCT((선택지!$A$2:$A$200=$B21)*(선택지!$D$2:$D$200=$C21)*ROW(선택지!$A$2:$A$200)))</f>
        <v>절반 이하</v>
      </c>
      <c r="F21" s="36" t="s">
        <v>3949</v>
      </c>
      <c r="G21" s="28">
        <f t="shared" si="0"/>
        <v>12</v>
      </c>
      <c r="H21" s="28">
        <v>16</v>
      </c>
      <c r="I21" s="28">
        <v>20</v>
      </c>
      <c r="J21" s="28" t="str">
        <f t="shared" si="1"/>
        <v>OK</v>
      </c>
      <c r="K21" s="28" t="s">
        <v>4368</v>
      </c>
      <c r="L21" s="28"/>
    </row>
    <row r="22" spans="1:12">
      <c r="A22" s="28" t="s">
        <v>2730</v>
      </c>
      <c r="B22" s="28" t="s">
        <v>405</v>
      </c>
      <c r="C22" s="28" t="s">
        <v>442</v>
      </c>
      <c r="D22" s="28" t="s">
        <v>391</v>
      </c>
      <c r="E22" s="29" t="str">
        <f>INDEX(선택지!$E$1:$E$200,SUMPRODUCT((선택지!$A$2:$A$200=$B22)*(선택지!$D$2:$D$200=$C22)*ROW(선택지!$A$2:$A$200)))</f>
        <v>절반 넘게</v>
      </c>
      <c r="F22" s="36" t="s">
        <v>3950</v>
      </c>
      <c r="G22" s="28">
        <f t="shared" si="0"/>
        <v>14</v>
      </c>
      <c r="H22" s="28">
        <v>16</v>
      </c>
      <c r="I22" s="28">
        <v>20</v>
      </c>
      <c r="J22" s="28" t="str">
        <f t="shared" si="1"/>
        <v>OK</v>
      </c>
      <c r="K22" s="28" t="s">
        <v>4368</v>
      </c>
      <c r="L22" s="28"/>
    </row>
    <row r="23" spans="1:12">
      <c r="A23" s="28" t="s">
        <v>2730</v>
      </c>
      <c r="B23" s="28" t="s">
        <v>409</v>
      </c>
      <c r="C23" s="28" t="s">
        <v>433</v>
      </c>
      <c r="D23" s="28" t="s">
        <v>391</v>
      </c>
      <c r="E23" s="29" t="str">
        <f>INDEX(선택지!$E$1:$E$200,SUMPRODUCT((선택지!$A$2:$A$200=$B23)*(선택지!$D$2:$D$200=$C23)*ROW(선택지!$A$2:$A$200)))</f>
        <v>먹지 않음</v>
      </c>
      <c r="F23" s="36" t="s">
        <v>3946</v>
      </c>
      <c r="G23" s="28">
        <f t="shared" si="0"/>
        <v>4</v>
      </c>
      <c r="H23" s="28">
        <v>16</v>
      </c>
      <c r="I23" s="28">
        <v>20</v>
      </c>
      <c r="J23" s="28" t="str">
        <f t="shared" si="1"/>
        <v>OK</v>
      </c>
      <c r="K23" s="28" t="s">
        <v>4368</v>
      </c>
      <c r="L23" s="28"/>
    </row>
    <row r="24" spans="1:12">
      <c r="A24" s="28" t="s">
        <v>2730</v>
      </c>
      <c r="B24" s="28" t="s">
        <v>409</v>
      </c>
      <c r="C24" s="28" t="s">
        <v>2731</v>
      </c>
      <c r="D24" s="28" t="s">
        <v>391</v>
      </c>
      <c r="E24" s="29" t="str">
        <f>INDEX(선택지!$E$1:$E$200,SUMPRODUCT((선택지!$A$2:$A$200=$B24)*(선택지!$D$2:$D$200=$C24)*ROW(선택지!$A$2:$A$200)))</f>
        <v>조금 먹음</v>
      </c>
      <c r="F24" s="36" t="s">
        <v>3945</v>
      </c>
      <c r="G24" s="28">
        <f t="shared" si="0"/>
        <v>8</v>
      </c>
      <c r="H24" s="28">
        <v>16</v>
      </c>
      <c r="I24" s="28">
        <v>20</v>
      </c>
      <c r="J24" s="28" t="str">
        <f t="shared" si="1"/>
        <v>OK</v>
      </c>
      <c r="K24" s="28" t="s">
        <v>4368</v>
      </c>
      <c r="L24" s="28"/>
    </row>
    <row r="25" spans="1:12">
      <c r="A25" s="28" t="s">
        <v>2730</v>
      </c>
      <c r="B25" s="28" t="s">
        <v>409</v>
      </c>
      <c r="C25" s="28" t="s">
        <v>2732</v>
      </c>
      <c r="D25" s="28" t="s">
        <v>391</v>
      </c>
      <c r="E25" s="29" t="str">
        <f>INDEX(선택지!$E$1:$E$200,SUMPRODUCT((선택지!$A$2:$A$200=$B25)*(선택지!$D$2:$D$200=$C25)*ROW(선택지!$A$2:$A$200)))</f>
        <v>배불리 먹음</v>
      </c>
      <c r="F25" s="36" t="s">
        <v>3951</v>
      </c>
      <c r="G25" s="28">
        <f t="shared" si="0"/>
        <v>11</v>
      </c>
      <c r="H25" s="28">
        <v>16</v>
      </c>
      <c r="I25" s="28">
        <v>20</v>
      </c>
      <c r="J25" s="28" t="str">
        <f t="shared" si="1"/>
        <v>OK</v>
      </c>
      <c r="K25" s="28" t="s">
        <v>4368</v>
      </c>
      <c r="L25" s="28"/>
    </row>
    <row r="26" spans="1:12">
      <c r="A26" s="28" t="s">
        <v>2730</v>
      </c>
      <c r="B26" s="28" t="s">
        <v>412</v>
      </c>
      <c r="C26" s="28" t="s">
        <v>444</v>
      </c>
      <c r="D26" s="28" t="s">
        <v>391</v>
      </c>
      <c r="E26" s="29" t="str">
        <f>INDEX(선택지!$E$1:$E$200,SUMPRODUCT((선택지!$A$2:$A$200=$B26)*(선택지!$D$2:$D$200=$C26)*ROW(선택지!$A$2:$A$200)))</f>
        <v>편안했어요</v>
      </c>
      <c r="F26" s="36" t="s">
        <v>3952</v>
      </c>
      <c r="G26" s="28">
        <f t="shared" si="0"/>
        <v>11</v>
      </c>
      <c r="H26" s="28">
        <v>16</v>
      </c>
      <c r="I26" s="28">
        <v>20</v>
      </c>
      <c r="J26" s="28" t="str">
        <f t="shared" si="1"/>
        <v>OK</v>
      </c>
      <c r="K26" s="28" t="s">
        <v>4368</v>
      </c>
      <c r="L26" s="28"/>
    </row>
    <row r="27" spans="1:12">
      <c r="A27" s="28" t="s">
        <v>2730</v>
      </c>
      <c r="B27" s="28" t="s">
        <v>412</v>
      </c>
      <c r="C27" s="28" t="s">
        <v>446</v>
      </c>
      <c r="D27" s="28" t="s">
        <v>391</v>
      </c>
      <c r="E27" s="29" t="str">
        <f>INDEX(선택지!$E$1:$E$200,SUMPRODUCT((선택지!$A$2:$A$200=$B27)*(선택지!$D$2:$D$200=$C27)*ROW(선택지!$A$2:$A$200)))</f>
        <v>조금 배불렀어요</v>
      </c>
      <c r="F27" s="36" t="s">
        <v>3953</v>
      </c>
      <c r="G27" s="28">
        <f t="shared" si="0"/>
        <v>10</v>
      </c>
      <c r="H27" s="28">
        <v>16</v>
      </c>
      <c r="I27" s="28">
        <v>20</v>
      </c>
      <c r="J27" s="28" t="str">
        <f t="shared" si="1"/>
        <v>OK</v>
      </c>
      <c r="K27" s="28" t="s">
        <v>4368</v>
      </c>
      <c r="L27" s="28"/>
    </row>
    <row r="28" spans="1:12">
      <c r="A28" s="28" t="s">
        <v>2730</v>
      </c>
      <c r="B28" s="28" t="s">
        <v>412</v>
      </c>
      <c r="C28" s="28" t="s">
        <v>448</v>
      </c>
      <c r="D28" s="28" t="s">
        <v>391</v>
      </c>
      <c r="E28" s="29" t="str">
        <f>INDEX(선택지!$E$1:$E$200,SUMPRODUCT((선택지!$A$2:$A$200=$B28)*(선택지!$D$2:$D$200=$C28)*ROW(선택지!$A$2:$A$200)))</f>
        <v>많이 배불렀어요</v>
      </c>
      <c r="F28" s="36" t="s">
        <v>3954</v>
      </c>
      <c r="G28" s="28">
        <f t="shared" si="0"/>
        <v>9</v>
      </c>
      <c r="H28" s="28">
        <v>16</v>
      </c>
      <c r="I28" s="28">
        <v>20</v>
      </c>
      <c r="J28" s="28" t="str">
        <f t="shared" si="1"/>
        <v>OK</v>
      </c>
      <c r="K28" s="28" t="s">
        <v>4368</v>
      </c>
      <c r="L28" s="28"/>
    </row>
    <row r="29" spans="1:12">
      <c r="A29" s="28" t="s">
        <v>2730</v>
      </c>
      <c r="B29" s="28" t="s">
        <v>416</v>
      </c>
      <c r="C29" s="28" t="s">
        <v>450</v>
      </c>
      <c r="D29" s="28" t="s">
        <v>391</v>
      </c>
      <c r="E29" s="29" t="str">
        <f>INDEX(선택지!$E$1:$E$200,SUMPRODUCT((선택지!$A$2:$A$200=$B29)*(선택지!$D$2:$D$200=$C29)*ROW(선택지!$A$2:$A$200)))</f>
        <v>먹었어요</v>
      </c>
      <c r="F29" s="36" t="s">
        <v>3955</v>
      </c>
      <c r="G29" s="28">
        <f t="shared" si="0"/>
        <v>3</v>
      </c>
      <c r="H29" s="28">
        <v>16</v>
      </c>
      <c r="I29" s="28">
        <v>20</v>
      </c>
      <c r="J29" s="28" t="str">
        <f t="shared" si="1"/>
        <v>OK</v>
      </c>
      <c r="K29" s="28" t="s">
        <v>4368</v>
      </c>
      <c r="L29" s="28"/>
    </row>
    <row r="30" spans="1:12">
      <c r="A30" s="28" t="s">
        <v>2730</v>
      </c>
      <c r="B30" s="28" t="s">
        <v>416</v>
      </c>
      <c r="C30" s="28" t="s">
        <v>452</v>
      </c>
      <c r="D30" s="28" t="s">
        <v>391</v>
      </c>
      <c r="E30" s="29" t="str">
        <f>INDEX(선택지!$E$1:$E$200,SUMPRODUCT((선택지!$A$2:$A$200=$B30)*(선택지!$D$2:$D$200=$C30)*ROW(선택지!$A$2:$A$200)))</f>
        <v>맛만 봤어요</v>
      </c>
      <c r="F30" s="36" t="s">
        <v>3956</v>
      </c>
      <c r="G30" s="28">
        <f t="shared" si="0"/>
        <v>12</v>
      </c>
      <c r="H30" s="28">
        <v>16</v>
      </c>
      <c r="I30" s="28">
        <v>20</v>
      </c>
      <c r="J30" s="28" t="str">
        <f t="shared" si="1"/>
        <v>OK</v>
      </c>
      <c r="K30" s="28" t="s">
        <v>4368</v>
      </c>
      <c r="L30" s="28"/>
    </row>
    <row r="31" spans="1:12">
      <c r="A31" s="28" t="s">
        <v>2730</v>
      </c>
      <c r="B31" s="28" t="s">
        <v>416</v>
      </c>
      <c r="C31" s="28" t="s">
        <v>454</v>
      </c>
      <c r="D31" s="28" t="s">
        <v>391</v>
      </c>
      <c r="E31" s="29" t="str">
        <f>INDEX(선택지!$E$1:$E$200,SUMPRODUCT((선택지!$A$2:$A$200=$B31)*(선택지!$D$2:$D$200=$C31)*ROW(선택지!$A$2:$A$200)))</f>
        <v>안 먹었어요</v>
      </c>
      <c r="F31" s="36" t="s">
        <v>3957</v>
      </c>
      <c r="G31" s="28">
        <f t="shared" si="0"/>
        <v>2</v>
      </c>
      <c r="H31" s="28">
        <v>16</v>
      </c>
      <c r="I31" s="28">
        <v>20</v>
      </c>
      <c r="J31" s="28" t="str">
        <f t="shared" si="1"/>
        <v>OK</v>
      </c>
      <c r="K31" s="28" t="s">
        <v>4368</v>
      </c>
      <c r="L31" s="28"/>
    </row>
    <row r="32" spans="1:12">
      <c r="A32" s="28" t="s">
        <v>2730</v>
      </c>
      <c r="B32" s="28" t="s">
        <v>420</v>
      </c>
      <c r="C32" s="28" t="s">
        <v>454</v>
      </c>
      <c r="D32" s="28" t="s">
        <v>391</v>
      </c>
      <c r="E32" s="29" t="str">
        <f>INDEX(선택지!$E$1:$E$200,SUMPRODUCT((선택지!$A$2:$A$200=$B32)*(선택지!$D$2:$D$200=$C32)*ROW(선택지!$A$2:$A$200)))</f>
        <v>안 먹었어요</v>
      </c>
      <c r="F32" s="36" t="s">
        <v>3957</v>
      </c>
      <c r="G32" s="28">
        <f t="shared" si="0"/>
        <v>2</v>
      </c>
      <c r="H32" s="28">
        <v>16</v>
      </c>
      <c r="I32" s="28">
        <v>20</v>
      </c>
      <c r="J32" s="28" t="str">
        <f t="shared" si="1"/>
        <v>OK</v>
      </c>
      <c r="K32" s="28" t="s">
        <v>4368</v>
      </c>
      <c r="L32" s="28"/>
    </row>
    <row r="33" spans="1:12">
      <c r="A33" s="28" t="s">
        <v>2730</v>
      </c>
      <c r="B33" s="28" t="s">
        <v>420</v>
      </c>
      <c r="C33" s="28" t="s">
        <v>452</v>
      </c>
      <c r="D33" s="28" t="s">
        <v>391</v>
      </c>
      <c r="E33" s="29" t="str">
        <f>INDEX(선택지!$E$1:$E$200,SUMPRODUCT((선택지!$A$2:$A$200=$B33)*(선택지!$D$2:$D$200=$C33)*ROW(선택지!$A$2:$A$200)))</f>
        <v>맛만 봤어요</v>
      </c>
      <c r="F33" s="36" t="s">
        <v>3956</v>
      </c>
      <c r="G33" s="28">
        <f t="shared" si="0"/>
        <v>12</v>
      </c>
      <c r="H33" s="28">
        <v>16</v>
      </c>
      <c r="I33" s="28">
        <v>20</v>
      </c>
      <c r="J33" s="28" t="str">
        <f t="shared" si="1"/>
        <v>OK</v>
      </c>
      <c r="K33" s="28" t="s">
        <v>4368</v>
      </c>
      <c r="L33" s="28"/>
    </row>
    <row r="34" spans="1:12">
      <c r="A34" s="28" t="s">
        <v>2730</v>
      </c>
      <c r="B34" s="28" t="s">
        <v>420</v>
      </c>
      <c r="C34" s="28" t="s">
        <v>450</v>
      </c>
      <c r="D34" s="28" t="s">
        <v>391</v>
      </c>
      <c r="E34" s="29" t="str">
        <f>INDEX(선택지!$E$1:$E$200,SUMPRODUCT((선택지!$A$2:$A$200=$B34)*(선택지!$D$2:$D$200=$C34)*ROW(선택지!$A$2:$A$200)))</f>
        <v>먹었어요</v>
      </c>
      <c r="F34" s="36" t="s">
        <v>3955</v>
      </c>
      <c r="G34" s="28">
        <f t="shared" si="0"/>
        <v>3</v>
      </c>
      <c r="H34" s="28">
        <v>16</v>
      </c>
      <c r="I34" s="28">
        <v>20</v>
      </c>
      <c r="J34" s="28" t="str">
        <f t="shared" si="1"/>
        <v>OK</v>
      </c>
      <c r="K34" s="28" t="s">
        <v>4368</v>
      </c>
      <c r="L34" s="28"/>
    </row>
    <row r="35" spans="1:12">
      <c r="A35" s="28" t="s">
        <v>2730</v>
      </c>
      <c r="B35" s="28" t="s">
        <v>424</v>
      </c>
      <c r="C35" s="28" t="s">
        <v>455</v>
      </c>
      <c r="D35" s="28" t="s">
        <v>391</v>
      </c>
      <c r="E35" s="29" t="str">
        <f>INDEX(선택지!$E$1:$E$200,SUMPRODUCT((선택지!$A$2:$A$200=$B35)*(선택지!$D$2:$D$200=$C35)*ROW(선택지!$A$2:$A$200)))</f>
        <v>네</v>
      </c>
      <c r="F35" s="36" t="s">
        <v>3955</v>
      </c>
      <c r="G35" s="28">
        <f t="shared" si="0"/>
        <v>3</v>
      </c>
      <c r="H35" s="28">
        <v>16</v>
      </c>
      <c r="I35" s="28">
        <v>20</v>
      </c>
      <c r="J35" s="28" t="str">
        <f t="shared" si="1"/>
        <v>OK</v>
      </c>
      <c r="K35" s="28" t="s">
        <v>4368</v>
      </c>
      <c r="L35" s="28"/>
    </row>
    <row r="36" spans="1:12">
      <c r="A36" s="28" t="s">
        <v>2730</v>
      </c>
      <c r="B36" s="28" t="s">
        <v>424</v>
      </c>
      <c r="C36" s="28" t="s">
        <v>456</v>
      </c>
      <c r="D36" s="28" t="s">
        <v>391</v>
      </c>
      <c r="E36" s="29" t="str">
        <f>INDEX(선택지!$E$1:$E$200,SUMPRODUCT((선택지!$A$2:$A$200=$B36)*(선택지!$D$2:$D$200=$C36)*ROW(선택지!$A$2:$A$200)))</f>
        <v>아니요</v>
      </c>
      <c r="F36" s="36" t="s">
        <v>3957</v>
      </c>
      <c r="G36" s="28">
        <f t="shared" si="0"/>
        <v>2</v>
      </c>
      <c r="H36" s="28">
        <v>16</v>
      </c>
      <c r="I36" s="28">
        <v>20</v>
      </c>
      <c r="J36" s="28" t="str">
        <f t="shared" si="1"/>
        <v>OK</v>
      </c>
      <c r="K36" s="28" t="s">
        <v>4368</v>
      </c>
      <c r="L36" s="28"/>
    </row>
    <row r="37" spans="1:12">
      <c r="A37" s="28" t="s">
        <v>2730</v>
      </c>
      <c r="B37" s="28" t="s">
        <v>424</v>
      </c>
      <c r="C37" s="28" t="s">
        <v>457</v>
      </c>
      <c r="D37" s="28" t="s">
        <v>391</v>
      </c>
      <c r="E37" s="29" t="str">
        <f>INDEX(선택지!$E$1:$E$200,SUMPRODUCT((선택지!$A$2:$A$200=$B37)*(선택지!$D$2:$D$200=$C37)*ROW(선택지!$A$2:$A$200)))</f>
        <v>모르겠어요</v>
      </c>
      <c r="F37" s="36" t="s">
        <v>3958</v>
      </c>
      <c r="G37" s="28">
        <f t="shared" si="0"/>
        <v>8</v>
      </c>
      <c r="H37" s="28">
        <v>16</v>
      </c>
      <c r="I37" s="28">
        <v>20</v>
      </c>
      <c r="J37" s="28" t="str">
        <f t="shared" si="1"/>
        <v>OK</v>
      </c>
      <c r="K37" s="28" t="s">
        <v>4368</v>
      </c>
      <c r="L37" s="28"/>
    </row>
    <row r="38" spans="1:12">
      <c r="A38" s="28" t="s">
        <v>2733</v>
      </c>
      <c r="B38" s="28" t="s">
        <v>2734</v>
      </c>
      <c r="C38" s="28"/>
      <c r="D38" s="28"/>
      <c r="E38" s="29" t="s">
        <v>2740</v>
      </c>
      <c r="F38" s="36" t="s">
        <v>3959</v>
      </c>
      <c r="G38" s="28">
        <f t="shared" si="0"/>
        <v>17</v>
      </c>
      <c r="H38" s="28">
        <v>26</v>
      </c>
      <c r="I38" s="28">
        <v>30</v>
      </c>
      <c r="J38" s="28" t="str">
        <f t="shared" si="1"/>
        <v>OK</v>
      </c>
      <c r="K38" s="28" t="s">
        <v>4368</v>
      </c>
      <c r="L38" s="28"/>
    </row>
    <row r="39" spans="1:12">
      <c r="A39" s="28" t="s">
        <v>2733</v>
      </c>
      <c r="B39" s="28" t="s">
        <v>2735</v>
      </c>
      <c r="C39" s="28"/>
      <c r="D39" s="28"/>
      <c r="E39" s="29" t="s">
        <v>2741</v>
      </c>
      <c r="F39" s="36" t="s">
        <v>3960</v>
      </c>
      <c r="G39" s="28">
        <f t="shared" si="0"/>
        <v>22</v>
      </c>
      <c r="H39" s="28">
        <v>26</v>
      </c>
      <c r="I39" s="28">
        <v>30</v>
      </c>
      <c r="J39" s="28" t="str">
        <f t="shared" si="1"/>
        <v>OK</v>
      </c>
      <c r="K39" s="28" t="s">
        <v>4368</v>
      </c>
      <c r="L39" s="28"/>
    </row>
    <row r="40" spans="1:12">
      <c r="A40" s="28" t="s">
        <v>2733</v>
      </c>
      <c r="B40" s="28" t="s">
        <v>2736</v>
      </c>
      <c r="C40" s="28"/>
      <c r="D40" s="28"/>
      <c r="E40" s="29" t="s">
        <v>2742</v>
      </c>
      <c r="F40" s="36" t="s">
        <v>3961</v>
      </c>
      <c r="G40" s="28">
        <f t="shared" si="0"/>
        <v>11</v>
      </c>
      <c r="H40" s="28">
        <v>26</v>
      </c>
      <c r="I40" s="28">
        <v>30</v>
      </c>
      <c r="J40" s="28" t="str">
        <f t="shared" si="1"/>
        <v>OK</v>
      </c>
      <c r="K40" s="28" t="s">
        <v>4368</v>
      </c>
      <c r="L40" s="28"/>
    </row>
    <row r="41" spans="1:12">
      <c r="A41" s="28" t="s">
        <v>2733</v>
      </c>
      <c r="B41" s="28" t="s">
        <v>2737</v>
      </c>
      <c r="C41" s="28"/>
      <c r="D41" s="28"/>
      <c r="E41" s="29" t="s">
        <v>2743</v>
      </c>
      <c r="F41" s="36" t="s">
        <v>3962</v>
      </c>
      <c r="G41" s="28">
        <f t="shared" si="0"/>
        <v>12</v>
      </c>
      <c r="H41" s="28">
        <v>26</v>
      </c>
      <c r="I41" s="28">
        <v>30</v>
      </c>
      <c r="J41" s="28" t="str">
        <f t="shared" si="1"/>
        <v>OK</v>
      </c>
      <c r="K41" s="28" t="s">
        <v>4368</v>
      </c>
      <c r="L41" s="28"/>
    </row>
    <row r="42" spans="1:12">
      <c r="A42" s="28" t="s">
        <v>2738</v>
      </c>
      <c r="B42" s="28" t="s">
        <v>1439</v>
      </c>
      <c r="C42" s="28"/>
      <c r="D42" s="28"/>
      <c r="E42" s="29" t="s">
        <v>2744</v>
      </c>
      <c r="F42" s="36" t="s">
        <v>3963</v>
      </c>
      <c r="G42" s="28">
        <f t="shared" si="0"/>
        <v>19</v>
      </c>
      <c r="H42" s="28">
        <v>28</v>
      </c>
      <c r="I42" s="28">
        <v>32</v>
      </c>
      <c r="J42" s="28" t="str">
        <f t="shared" si="1"/>
        <v>OK</v>
      </c>
      <c r="K42" s="28" t="s">
        <v>4368</v>
      </c>
      <c r="L42" s="28"/>
    </row>
    <row r="43" spans="1:12">
      <c r="A43" s="28" t="s">
        <v>2738</v>
      </c>
      <c r="B43" s="28" t="s">
        <v>1442</v>
      </c>
      <c r="C43" s="28"/>
      <c r="D43" s="28"/>
      <c r="E43" s="29" t="s">
        <v>2745</v>
      </c>
      <c r="F43" s="36" t="s">
        <v>3964</v>
      </c>
      <c r="G43" s="28">
        <f t="shared" si="0"/>
        <v>8</v>
      </c>
      <c r="H43" s="28">
        <v>28</v>
      </c>
      <c r="I43" s="28">
        <v>32</v>
      </c>
      <c r="J43" s="28" t="str">
        <f t="shared" si="1"/>
        <v>OK</v>
      </c>
      <c r="K43" s="28" t="s">
        <v>4368</v>
      </c>
      <c r="L43" s="28"/>
    </row>
    <row r="44" spans="1:12">
      <c r="A44" s="28" t="s">
        <v>2738</v>
      </c>
      <c r="B44" s="28" t="s">
        <v>1444</v>
      </c>
      <c r="C44" s="28"/>
      <c r="D44" s="28"/>
      <c r="E44" s="29" t="s">
        <v>2746</v>
      </c>
      <c r="F44" s="36" t="s">
        <v>2749</v>
      </c>
      <c r="G44" s="28">
        <f t="shared" si="0"/>
        <v>21</v>
      </c>
      <c r="H44" s="28">
        <v>28</v>
      </c>
      <c r="I44" s="28">
        <v>32</v>
      </c>
      <c r="J44" s="28" t="str">
        <f t="shared" si="1"/>
        <v>OK</v>
      </c>
      <c r="K44" s="28" t="s">
        <v>4368</v>
      </c>
      <c r="L44" s="28"/>
    </row>
    <row r="45" spans="1:12">
      <c r="A45" s="28" t="s">
        <v>2738</v>
      </c>
      <c r="B45" s="28" t="s">
        <v>1446</v>
      </c>
      <c r="C45" s="28"/>
      <c r="D45" s="28"/>
      <c r="E45" s="29" t="s">
        <v>2747</v>
      </c>
      <c r="F45" s="36" t="s">
        <v>3965</v>
      </c>
      <c r="G45" s="28">
        <f t="shared" si="0"/>
        <v>22</v>
      </c>
      <c r="H45" s="28">
        <v>28</v>
      </c>
      <c r="I45" s="28">
        <v>32</v>
      </c>
      <c r="J45" s="28" t="str">
        <f t="shared" si="1"/>
        <v>OK</v>
      </c>
      <c r="K45" s="28" t="s">
        <v>4368</v>
      </c>
      <c r="L45" s="28"/>
    </row>
    <row r="46" spans="1:12">
      <c r="A46" s="28" t="s">
        <v>2739</v>
      </c>
      <c r="B46" s="28" t="s">
        <v>1449</v>
      </c>
      <c r="C46" s="28"/>
      <c r="D46" s="28" t="s">
        <v>391</v>
      </c>
      <c r="E46" s="29" t="str">
        <f>INDEX(목표문구!$G$1:$G$1000,MATCH($B46,목표문구!$A$1:$A$1000,0))</f>
        <v>아침에 뭐라도 한 입</v>
      </c>
      <c r="F46" s="36" t="s">
        <v>3966</v>
      </c>
      <c r="G46" s="28">
        <f t="shared" si="0"/>
        <v>23</v>
      </c>
      <c r="H46" s="28">
        <v>30</v>
      </c>
      <c r="I46" s="28">
        <v>36</v>
      </c>
      <c r="J46" s="28" t="str">
        <f t="shared" si="1"/>
        <v>OK</v>
      </c>
      <c r="K46" s="28" t="s">
        <v>4368</v>
      </c>
      <c r="L46" s="28"/>
    </row>
    <row r="47" spans="1:12">
      <c r="A47" s="28" t="s">
        <v>2739</v>
      </c>
      <c r="B47" s="28" t="s">
        <v>1457</v>
      </c>
      <c r="C47" s="28"/>
      <c r="D47" s="28" t="s">
        <v>391</v>
      </c>
      <c r="E47" s="29" t="str">
        <f>INDEX(목표문구!$G$1:$G$1000,MATCH($B47,목표문구!$A$1:$A$1000,0))</f>
        <v>아침 거르지 않기</v>
      </c>
      <c r="F47" s="36" t="s">
        <v>3967</v>
      </c>
      <c r="G47" s="28">
        <f t="shared" si="0"/>
        <v>20</v>
      </c>
      <c r="H47" s="28">
        <v>30</v>
      </c>
      <c r="I47" s="28">
        <v>36</v>
      </c>
      <c r="J47" s="28" t="str">
        <f t="shared" si="1"/>
        <v>OK</v>
      </c>
      <c r="K47" s="28" t="s">
        <v>4368</v>
      </c>
      <c r="L47" s="28"/>
    </row>
    <row r="48" spans="1:12">
      <c r="A48" s="28" t="s">
        <v>2739</v>
      </c>
      <c r="B48" s="28" t="s">
        <v>1460</v>
      </c>
      <c r="C48" s="28"/>
      <c r="D48" s="28" t="s">
        <v>391</v>
      </c>
      <c r="E48" s="29" t="str">
        <f>INDEX(목표문구!$G$1:$G$1000,MATCH($B48,목표문구!$A$1:$A$1000,0))</f>
        <v>점심 · 저녁 챙기기</v>
      </c>
      <c r="F48" s="36" t="s">
        <v>3968</v>
      </c>
      <c r="G48" s="28">
        <f t="shared" si="0"/>
        <v>21</v>
      </c>
      <c r="H48" s="28">
        <v>30</v>
      </c>
      <c r="I48" s="28">
        <v>36</v>
      </c>
      <c r="J48" s="28" t="str">
        <f t="shared" si="1"/>
        <v>OK</v>
      </c>
      <c r="K48" s="28" t="s">
        <v>4368</v>
      </c>
      <c r="L48" s="28"/>
    </row>
    <row r="49" spans="1:12">
      <c r="A49" s="28" t="s">
        <v>2739</v>
      </c>
      <c r="B49" s="28" t="s">
        <v>1463</v>
      </c>
      <c r="C49" s="28"/>
      <c r="D49" s="28" t="s">
        <v>391</v>
      </c>
      <c r="E49" s="29" t="str">
        <f>INDEX(목표문구!$G$1:$G$1000,MATCH($B49,목표문구!$A$1:$A$1000,0))</f>
        <v>세 끼 어제처럼 먹기</v>
      </c>
      <c r="F49" s="36" t="s">
        <v>3969</v>
      </c>
      <c r="G49" s="28">
        <f t="shared" si="0"/>
        <v>30</v>
      </c>
      <c r="H49" s="28">
        <v>30</v>
      </c>
      <c r="I49" s="28">
        <v>36</v>
      </c>
      <c r="J49" s="28" t="str">
        <f t="shared" si="1"/>
        <v>OK</v>
      </c>
      <c r="K49" s="28" t="s">
        <v>4368</v>
      </c>
      <c r="L49" s="28"/>
    </row>
    <row r="50" spans="1:12">
      <c r="A50" s="28" t="s">
        <v>2739</v>
      </c>
      <c r="B50" s="28" t="s">
        <v>1467</v>
      </c>
      <c r="C50" s="28"/>
      <c r="D50" s="28" t="s">
        <v>391</v>
      </c>
      <c r="E50" s="29" t="str">
        <f>INDEX(목표문구!$G$1:$G$1000,MATCH($B50,목표문구!$A$1:$A$1000,0))</f>
        <v>한 끼에 채소 하나</v>
      </c>
      <c r="F50" s="36" t="s">
        <v>3970</v>
      </c>
      <c r="G50" s="28">
        <f t="shared" si="0"/>
        <v>19</v>
      </c>
      <c r="H50" s="28">
        <v>30</v>
      </c>
      <c r="I50" s="28">
        <v>36</v>
      </c>
      <c r="J50" s="28" t="str">
        <f t="shared" si="1"/>
        <v>OK</v>
      </c>
      <c r="K50" s="28" t="s">
        <v>4368</v>
      </c>
      <c r="L50" s="28"/>
    </row>
    <row r="51" spans="1:12">
      <c r="A51" s="28" t="s">
        <v>2739</v>
      </c>
      <c r="B51" s="28" t="s">
        <v>1471</v>
      </c>
      <c r="C51" s="28"/>
      <c r="D51" s="28" t="s">
        <v>391</v>
      </c>
      <c r="E51" s="29" t="str">
        <f>INDEX(목표문구!$G$1:$G$1000,MATCH($B51,목표문구!$A$1:$A$1000,0))</f>
        <v>채소 반찬 하나 더</v>
      </c>
      <c r="F51" s="36" t="s">
        <v>3971</v>
      </c>
      <c r="G51" s="28">
        <f t="shared" si="0"/>
        <v>20</v>
      </c>
      <c r="H51" s="28">
        <v>30</v>
      </c>
      <c r="I51" s="28">
        <v>36</v>
      </c>
      <c r="J51" s="28" t="str">
        <f t="shared" si="1"/>
        <v>OK</v>
      </c>
      <c r="K51" s="28" t="s">
        <v>4368</v>
      </c>
      <c r="L51" s="28"/>
    </row>
    <row r="52" spans="1:12">
      <c r="A52" s="28" t="s">
        <v>2739</v>
      </c>
      <c r="B52" s="28" t="s">
        <v>1474</v>
      </c>
      <c r="C52" s="28"/>
      <c r="D52" s="28" t="s">
        <v>391</v>
      </c>
      <c r="E52" s="29" t="str">
        <f>INDEX(목표문구!$G$1:$G$1000,MATCH($B52,목표문구!$A$1:$A$1000,0))</f>
        <v>저녁은 채소부터 먹기</v>
      </c>
      <c r="F52" s="36" t="s">
        <v>3972</v>
      </c>
      <c r="G52" s="28">
        <f t="shared" si="0"/>
        <v>25</v>
      </c>
      <c r="H52" s="28">
        <v>30</v>
      </c>
      <c r="I52" s="28">
        <v>36</v>
      </c>
      <c r="J52" s="28" t="str">
        <f t="shared" si="1"/>
        <v>OK</v>
      </c>
      <c r="K52" s="28" t="s">
        <v>4368</v>
      </c>
      <c r="L52" s="28"/>
    </row>
    <row r="53" spans="1:12">
      <c r="A53" s="28" t="s">
        <v>2739</v>
      </c>
      <c r="B53" s="28" t="s">
        <v>1477</v>
      </c>
      <c r="C53" s="28"/>
      <c r="D53" s="28" t="s">
        <v>391</v>
      </c>
      <c r="E53" s="29" t="str">
        <f>INDEX(목표문구!$G$1:$G$1000,MATCH($B53,목표문구!$A$1:$A$1000,0))</f>
        <v>끼니마다 채소부터 먹기</v>
      </c>
      <c r="F53" s="36" t="s">
        <v>3973</v>
      </c>
      <c r="G53" s="28">
        <f t="shared" si="0"/>
        <v>27</v>
      </c>
      <c r="H53" s="28">
        <v>30</v>
      </c>
      <c r="I53" s="28">
        <v>36</v>
      </c>
      <c r="J53" s="28" t="str">
        <f t="shared" si="1"/>
        <v>OK</v>
      </c>
      <c r="K53" s="28" t="s">
        <v>4368</v>
      </c>
      <c r="L53" s="28"/>
    </row>
    <row r="54" spans="1:12">
      <c r="A54" s="28" t="s">
        <v>2739</v>
      </c>
      <c r="B54" s="28" t="s">
        <v>1480</v>
      </c>
      <c r="C54" s="28"/>
      <c r="D54" s="28" t="s">
        <v>391</v>
      </c>
      <c r="E54" s="29" t="str">
        <f>INDEX(목표문구!$G$1:$G$1000,MATCH($B54,목표문구!$A$1:$A$1000,0))</f>
        <v>한 잔은 물로 바꾸기</v>
      </c>
      <c r="F54" s="36" t="s">
        <v>3974</v>
      </c>
      <c r="G54" s="28">
        <f t="shared" si="0"/>
        <v>24</v>
      </c>
      <c r="H54" s="28">
        <v>30</v>
      </c>
      <c r="I54" s="28">
        <v>36</v>
      </c>
      <c r="J54" s="28" t="str">
        <f t="shared" si="1"/>
        <v>OK</v>
      </c>
      <c r="K54" s="28" t="s">
        <v>4368</v>
      </c>
      <c r="L54" s="28"/>
    </row>
    <row r="55" spans="1:12">
      <c r="A55" s="28" t="s">
        <v>2739</v>
      </c>
      <c r="B55" s="28" t="s">
        <v>1484</v>
      </c>
      <c r="C55" s="28"/>
      <c r="D55" s="28" t="s">
        <v>391</v>
      </c>
      <c r="E55" s="29" t="str">
        <f>INDEX(목표문구!$G$1:$G$1000,MATCH($B55,목표문구!$A$1:$A$1000,0))</f>
        <v>단 음료는 물로 바꾸기</v>
      </c>
      <c r="F55" s="36" t="s">
        <v>3975</v>
      </c>
      <c r="G55" s="28">
        <f t="shared" si="0"/>
        <v>27</v>
      </c>
      <c r="H55" s="28">
        <v>30</v>
      </c>
      <c r="I55" s="28">
        <v>36</v>
      </c>
      <c r="J55" s="28" t="str">
        <f t="shared" si="1"/>
        <v>OK</v>
      </c>
      <c r="K55" s="28" t="s">
        <v>4368</v>
      </c>
      <c r="L55" s="28"/>
    </row>
    <row r="56" spans="1:12">
      <c r="A56" s="28" t="s">
        <v>2739</v>
      </c>
      <c r="B56" s="28" t="s">
        <v>1488</v>
      </c>
      <c r="C56" s="28"/>
      <c r="D56" s="28" t="s">
        <v>391</v>
      </c>
      <c r="E56" s="29" t="str">
        <f>INDEX(목표문구!$G$1:$G$1000,MATCH($B56,목표문구!$A$1:$A$1000,0))</f>
        <v>저녁 디저트 건너뛰기</v>
      </c>
      <c r="F56" s="36" t="s">
        <v>3976</v>
      </c>
      <c r="G56" s="28">
        <f t="shared" si="0"/>
        <v>25</v>
      </c>
      <c r="H56" s="28">
        <v>30</v>
      </c>
      <c r="I56" s="28">
        <v>36</v>
      </c>
      <c r="J56" s="28" t="str">
        <f t="shared" si="1"/>
        <v>OK</v>
      </c>
      <c r="K56" s="28" t="s">
        <v>4368</v>
      </c>
      <c r="L56" s="28"/>
    </row>
    <row r="57" spans="1:12">
      <c r="A57" s="28" t="s">
        <v>2739</v>
      </c>
      <c r="B57" s="28" t="s">
        <v>1492</v>
      </c>
      <c r="C57" s="28"/>
      <c r="D57" s="28" t="s">
        <v>391</v>
      </c>
      <c r="E57" s="29" t="str">
        <f>INDEX(목표문구!$G$1:$G$1000,MATCH($B57,목표문구!$A$1:$A$1000,0))</f>
        <v>오늘은 단 음료 없이</v>
      </c>
      <c r="F57" s="36" t="s">
        <v>3977</v>
      </c>
      <c r="G57" s="28">
        <f t="shared" si="0"/>
        <v>21</v>
      </c>
      <c r="H57" s="28">
        <v>30</v>
      </c>
      <c r="I57" s="28">
        <v>36</v>
      </c>
      <c r="J57" s="28" t="str">
        <f t="shared" si="1"/>
        <v>OK</v>
      </c>
      <c r="K57" s="28" t="s">
        <v>4368</v>
      </c>
      <c r="L57" s="28"/>
    </row>
    <row r="58" spans="1:12">
      <c r="A58" s="28" t="s">
        <v>2739</v>
      </c>
      <c r="B58" s="28" t="s">
        <v>1495</v>
      </c>
      <c r="C58" s="28"/>
      <c r="D58" s="28" t="s">
        <v>391</v>
      </c>
      <c r="E58" s="29" t="str">
        <f>INDEX(목표문구!$G$1:$G$1000,MATCH($B58,목표문구!$A$1:$A$1000,0))</f>
        <v>한 끼는 국물 반만</v>
      </c>
      <c r="F58" s="36" t="s">
        <v>3978</v>
      </c>
      <c r="G58" s="28">
        <f t="shared" si="0"/>
        <v>26</v>
      </c>
      <c r="H58" s="28">
        <v>30</v>
      </c>
      <c r="I58" s="28">
        <v>36</v>
      </c>
      <c r="J58" s="28" t="str">
        <f t="shared" si="1"/>
        <v>OK</v>
      </c>
      <c r="K58" s="28" t="s">
        <v>4368</v>
      </c>
      <c r="L58" s="28"/>
    </row>
    <row r="59" spans="1:12">
      <c r="A59" s="28" t="s">
        <v>2739</v>
      </c>
      <c r="B59" s="28" t="s">
        <v>1498</v>
      </c>
      <c r="C59" s="28"/>
      <c r="D59" s="28" t="s">
        <v>391</v>
      </c>
      <c r="E59" s="29" t="str">
        <f>INDEX(목표문구!$G$1:$G$1000,MATCH($B59,목표문구!$A$1:$A$1000,0))</f>
        <v>국물은 건더기 위주로</v>
      </c>
      <c r="F59" s="36" t="s">
        <v>3979</v>
      </c>
      <c r="G59" s="28">
        <f t="shared" si="0"/>
        <v>29</v>
      </c>
      <c r="H59" s="28">
        <v>30</v>
      </c>
      <c r="I59" s="28">
        <v>36</v>
      </c>
      <c r="J59" s="28" t="str">
        <f t="shared" si="1"/>
        <v>OK</v>
      </c>
      <c r="K59" s="28" t="s">
        <v>4368</v>
      </c>
      <c r="L59" s="28"/>
    </row>
    <row r="60" spans="1:12">
      <c r="A60" s="28" t="s">
        <v>2739</v>
      </c>
      <c r="B60" s="28" t="s">
        <v>1501</v>
      </c>
      <c r="C60" s="28"/>
      <c r="D60" s="28" t="s">
        <v>391</v>
      </c>
      <c r="E60" s="29" t="str">
        <f>INDEX(목표문구!$G$1:$G$1000,MATCH($B60,목표문구!$A$1:$A$1000,0))</f>
        <v>한 끼는 싱겁게 먹기</v>
      </c>
      <c r="F60" s="36" t="s">
        <v>3980</v>
      </c>
      <c r="G60" s="28">
        <f t="shared" si="0"/>
        <v>25</v>
      </c>
      <c r="H60" s="28">
        <v>30</v>
      </c>
      <c r="I60" s="28">
        <v>36</v>
      </c>
      <c r="J60" s="28" t="str">
        <f t="shared" si="1"/>
        <v>OK</v>
      </c>
      <c r="K60" s="28" t="s">
        <v>4368</v>
      </c>
      <c r="L60" s="28"/>
    </row>
    <row r="61" spans="1:12">
      <c r="A61" s="28" t="s">
        <v>2739</v>
      </c>
      <c r="B61" s="28" t="s">
        <v>1504</v>
      </c>
      <c r="C61" s="28"/>
      <c r="D61" s="28" t="s">
        <v>391</v>
      </c>
      <c r="E61" s="29" t="str">
        <f>INDEX(목표문구!$G$1:$G$1000,MATCH($B61,목표문구!$A$1:$A$1000,0))</f>
        <v>나트륨 표시 보기</v>
      </c>
      <c r="F61" s="36" t="s">
        <v>3981</v>
      </c>
      <c r="G61" s="28">
        <f t="shared" si="0"/>
        <v>22</v>
      </c>
      <c r="H61" s="28">
        <v>30</v>
      </c>
      <c r="I61" s="28">
        <v>36</v>
      </c>
      <c r="J61" s="28" t="str">
        <f t="shared" si="1"/>
        <v>OK</v>
      </c>
      <c r="K61" s="28" t="s">
        <v>4368</v>
      </c>
      <c r="L61" s="28"/>
    </row>
    <row r="62" spans="1:12">
      <c r="A62" s="28" t="s">
        <v>2739</v>
      </c>
      <c r="B62" s="28" t="s">
        <v>1508</v>
      </c>
      <c r="C62" s="28"/>
      <c r="D62" s="28" t="s">
        <v>391</v>
      </c>
      <c r="E62" s="29" t="str">
        <f>INDEX(목표문구!$G$1:$G$1000,MATCH($B62,목표문구!$A$1:$A$1000,0))</f>
        <v>식사 중 수저 내려놓기</v>
      </c>
      <c r="F62" s="36" t="s">
        <v>3982</v>
      </c>
      <c r="G62" s="28">
        <f t="shared" si="0"/>
        <v>28</v>
      </c>
      <c r="H62" s="28">
        <v>30</v>
      </c>
      <c r="I62" s="28">
        <v>36</v>
      </c>
      <c r="J62" s="28" t="str">
        <f t="shared" si="1"/>
        <v>OK</v>
      </c>
      <c r="K62" s="28" t="s">
        <v>4368</v>
      </c>
      <c r="L62" s="28"/>
    </row>
    <row r="63" spans="1:12">
      <c r="A63" s="28" t="s">
        <v>2739</v>
      </c>
      <c r="B63" s="28" t="s">
        <v>1512</v>
      </c>
      <c r="C63" s="28"/>
      <c r="D63" s="28" t="s">
        <v>391</v>
      </c>
      <c r="E63" s="29" t="str">
        <f>INDEX(목표문구!$G$1:$G$1000,MATCH($B63,목표문구!$A$1:$A$1000,0))</f>
        <v>한 끼는 천천히 먹기</v>
      </c>
      <c r="F63" s="36" t="s">
        <v>3983</v>
      </c>
      <c r="G63" s="28">
        <f t="shared" si="0"/>
        <v>19</v>
      </c>
      <c r="H63" s="28">
        <v>30</v>
      </c>
      <c r="I63" s="28">
        <v>36</v>
      </c>
      <c r="J63" s="28" t="str">
        <f t="shared" si="1"/>
        <v>OK</v>
      </c>
      <c r="K63" s="28" t="s">
        <v>4368</v>
      </c>
      <c r="L63" s="28"/>
    </row>
    <row r="64" spans="1:12">
      <c r="A64" s="28" t="s">
        <v>2739</v>
      </c>
      <c r="B64" s="28" t="s">
        <v>1515</v>
      </c>
      <c r="C64" s="28"/>
      <c r="D64" s="28" t="s">
        <v>391</v>
      </c>
      <c r="E64" s="29" t="str">
        <f>INDEX(목표문구!$G$1:$G$1000,MATCH($B64,목표문구!$A$1:$A$1000,0))</f>
        <v>먹으면서 배부름 살피기</v>
      </c>
      <c r="F64" s="36" t="s">
        <v>3984</v>
      </c>
      <c r="G64" s="28">
        <f t="shared" si="0"/>
        <v>25</v>
      </c>
      <c r="H64" s="28">
        <v>30</v>
      </c>
      <c r="I64" s="28">
        <v>36</v>
      </c>
      <c r="J64" s="28" t="str">
        <f t="shared" si="1"/>
        <v>OK</v>
      </c>
      <c r="K64" s="28" t="s">
        <v>4368</v>
      </c>
      <c r="L64" s="28"/>
    </row>
    <row r="65" spans="1:12">
      <c r="A65" s="28" t="s">
        <v>2739</v>
      </c>
      <c r="B65" s="28" t="s">
        <v>1518</v>
      </c>
      <c r="C65" s="28"/>
      <c r="D65" s="28" t="s">
        <v>391</v>
      </c>
      <c r="E65" s="29" t="str">
        <f>INDEX(목표문구!$G$1:$G$1000,MATCH($B65,목표문구!$A$1:$A$1000,0))</f>
        <v>조금이라도 단백질 먹기</v>
      </c>
      <c r="F65" s="36" t="s">
        <v>3985</v>
      </c>
      <c r="G65" s="28">
        <f t="shared" si="0"/>
        <v>20</v>
      </c>
      <c r="H65" s="28">
        <v>30</v>
      </c>
      <c r="I65" s="28">
        <v>36</v>
      </c>
      <c r="J65" s="28" t="str">
        <f t="shared" si="1"/>
        <v>OK</v>
      </c>
      <c r="K65" s="28" t="s">
        <v>4368</v>
      </c>
      <c r="L65" s="28"/>
    </row>
    <row r="66" spans="1:12">
      <c r="A66" s="28" t="s">
        <v>2739</v>
      </c>
      <c r="B66" s="28" t="s">
        <v>1521</v>
      </c>
      <c r="C66" s="28"/>
      <c r="D66" s="28" t="s">
        <v>391</v>
      </c>
      <c r="E66" s="29" t="str">
        <f>INDEX(목표문구!$G$1:$G$1000,MATCH($B66,목표문구!$A$1:$A$1000,0))</f>
        <v>반찬 하나는 단백질로</v>
      </c>
      <c r="F66" s="36" t="s">
        <v>3986</v>
      </c>
      <c r="G66" s="28">
        <f t="shared" ref="G66:G129" si="2">LEN(F66)</f>
        <v>21</v>
      </c>
      <c r="H66" s="28">
        <v>30</v>
      </c>
      <c r="I66" s="28">
        <v>36</v>
      </c>
      <c r="J66" s="28" t="str">
        <f t="shared" ref="J66:J129" si="3">IF(F66="","비어 있음",IF(G66&lt;=H66,"OK",IF(G66&lt;=I66,"길이 주의","상한 초과")))</f>
        <v>OK</v>
      </c>
      <c r="K66" s="28" t="s">
        <v>4368</v>
      </c>
      <c r="L66" s="28"/>
    </row>
    <row r="67" spans="1:12">
      <c r="A67" s="28" t="s">
        <v>2739</v>
      </c>
      <c r="B67" s="28" t="s">
        <v>1524</v>
      </c>
      <c r="C67" s="28"/>
      <c r="D67" s="28" t="s">
        <v>391</v>
      </c>
      <c r="E67" s="29" t="str">
        <f>INDEX(목표문구!$G$1:$G$1000,MATCH($B67,목표문구!$A$1:$A$1000,0))</f>
        <v>끼니마다 단백질 챙기기</v>
      </c>
      <c r="F67" s="36" t="s">
        <v>3987</v>
      </c>
      <c r="G67" s="28">
        <f t="shared" si="2"/>
        <v>21</v>
      </c>
      <c r="H67" s="28">
        <v>30</v>
      </c>
      <c r="I67" s="28">
        <v>36</v>
      </c>
      <c r="J67" s="28" t="str">
        <f t="shared" si="3"/>
        <v>OK</v>
      </c>
      <c r="K67" s="28" t="s">
        <v>4368</v>
      </c>
      <c r="L67" s="28"/>
    </row>
    <row r="68" spans="1:12">
      <c r="A68" s="28" t="s">
        <v>2739</v>
      </c>
      <c r="B68" s="28" t="s">
        <v>1527</v>
      </c>
      <c r="C68" s="28"/>
      <c r="D68" s="28" t="s">
        <v>391</v>
      </c>
      <c r="E68" s="29" t="str">
        <f>INDEX(목표문구!$G$1:$G$1000,MATCH($B68,목표문구!$A$1:$A$1000,0))</f>
        <v>튀긴 반찬은 하나만</v>
      </c>
      <c r="F68" s="36" t="s">
        <v>3988</v>
      </c>
      <c r="G68" s="28">
        <f t="shared" si="2"/>
        <v>19</v>
      </c>
      <c r="H68" s="28">
        <v>30</v>
      </c>
      <c r="I68" s="28">
        <v>36</v>
      </c>
      <c r="J68" s="28" t="str">
        <f t="shared" si="3"/>
        <v>OK</v>
      </c>
      <c r="K68" s="28" t="s">
        <v>4368</v>
      </c>
      <c r="L68" s="28"/>
    </row>
    <row r="69" spans="1:12">
      <c r="A69" s="28" t="s">
        <v>2739</v>
      </c>
      <c r="B69" s="28" t="s">
        <v>1530</v>
      </c>
      <c r="C69" s="28"/>
      <c r="D69" s="28" t="s">
        <v>391</v>
      </c>
      <c r="E69" s="29" t="str">
        <f>INDEX(목표문구!$G$1:$G$1000,MATCH($B69,목표문구!$A$1:$A$1000,0))</f>
        <v>간식은 견과류로</v>
      </c>
      <c r="F69" s="36" t="s">
        <v>3989</v>
      </c>
      <c r="G69" s="28">
        <f t="shared" si="2"/>
        <v>13</v>
      </c>
      <c r="H69" s="28">
        <v>30</v>
      </c>
      <c r="I69" s="28">
        <v>36</v>
      </c>
      <c r="J69" s="28" t="str">
        <f t="shared" si="3"/>
        <v>OK</v>
      </c>
      <c r="K69" s="28" t="s">
        <v>4368</v>
      </c>
      <c r="L69" s="28"/>
    </row>
    <row r="70" spans="1:12">
      <c r="A70" s="28" t="s">
        <v>2739</v>
      </c>
      <c r="B70" s="28" t="s">
        <v>1533</v>
      </c>
      <c r="C70" s="28"/>
      <c r="D70" s="28" t="s">
        <v>391</v>
      </c>
      <c r="E70" s="29" t="str">
        <f>INDEX(목표문구!$G$1:$G$1000,MATCH($B70,목표문구!$A$1:$A$1000,0))</f>
        <v>고기 대신 생선으로</v>
      </c>
      <c r="F70" s="36" t="s">
        <v>3990</v>
      </c>
      <c r="G70" s="28">
        <f t="shared" si="2"/>
        <v>20</v>
      </c>
      <c r="H70" s="28">
        <v>30</v>
      </c>
      <c r="I70" s="28">
        <v>36</v>
      </c>
      <c r="J70" s="28" t="str">
        <f t="shared" si="3"/>
        <v>OK</v>
      </c>
      <c r="K70" s="28" t="s">
        <v>4368</v>
      </c>
      <c r="L70" s="28"/>
    </row>
    <row r="71" spans="1:12">
      <c r="A71" s="28" t="s">
        <v>2739</v>
      </c>
      <c r="B71" s="28" t="s">
        <v>1537</v>
      </c>
      <c r="C71" s="28"/>
      <c r="D71" s="28" t="s">
        <v>391</v>
      </c>
      <c r="E71" s="29" t="str">
        <f>INDEX(목표문구!$G$1:$G$1000,MATCH($B71,목표문구!$A$1:$A$1000,0))</f>
        <v>다음 끼니는 챙기기</v>
      </c>
      <c r="F71" s="36" t="s">
        <v>3991</v>
      </c>
      <c r="G71" s="28">
        <f t="shared" si="2"/>
        <v>25</v>
      </c>
      <c r="H71" s="28">
        <v>30</v>
      </c>
      <c r="I71" s="28">
        <v>36</v>
      </c>
      <c r="J71" s="28" t="str">
        <f t="shared" si="3"/>
        <v>OK</v>
      </c>
      <c r="K71" s="28" t="s">
        <v>4368</v>
      </c>
      <c r="L71" s="28"/>
    </row>
    <row r="72" spans="1:12">
      <c r="A72" s="28" t="s">
        <v>2739</v>
      </c>
      <c r="B72" s="28" t="s">
        <v>1541</v>
      </c>
      <c r="C72" s="28"/>
      <c r="D72" s="28" t="s">
        <v>391</v>
      </c>
      <c r="E72" s="29" t="str">
        <f>INDEX(목표문구!$G$1:$G$1000,MATCH($B72,목표문구!$A$1:$A$1000,0))</f>
        <v>단백질 한 입 먹기</v>
      </c>
      <c r="F72" s="36" t="s">
        <v>3992</v>
      </c>
      <c r="G72" s="28">
        <f t="shared" si="2"/>
        <v>22</v>
      </c>
      <c r="H72" s="28">
        <v>30</v>
      </c>
      <c r="I72" s="28">
        <v>36</v>
      </c>
      <c r="J72" s="28" t="str">
        <f t="shared" si="3"/>
        <v>OK</v>
      </c>
      <c r="K72" s="28" t="s">
        <v>4368</v>
      </c>
      <c r="L72" s="28"/>
    </row>
    <row r="73" spans="1:12">
      <c r="A73" s="28" t="s">
        <v>2739</v>
      </c>
      <c r="B73" s="28" t="s">
        <v>1544</v>
      </c>
      <c r="C73" s="28"/>
      <c r="D73" s="28" t="s">
        <v>391</v>
      </c>
      <c r="E73" s="29" t="str">
        <f>INDEX(목표문구!$G$1:$G$1000,MATCH($B73,목표문구!$A$1:$A$1000,0))</f>
        <v>간식이라도 챙겨 먹기</v>
      </c>
      <c r="F73" s="36" t="s">
        <v>3993</v>
      </c>
      <c r="G73" s="28">
        <f t="shared" si="2"/>
        <v>21</v>
      </c>
      <c r="H73" s="28">
        <v>30</v>
      </c>
      <c r="I73" s="28">
        <v>36</v>
      </c>
      <c r="J73" s="28" t="str">
        <f t="shared" si="3"/>
        <v>OK</v>
      </c>
      <c r="K73" s="28" t="s">
        <v>4368</v>
      </c>
      <c r="L73" s="28"/>
    </row>
    <row r="74" spans="1:12">
      <c r="A74" s="28" t="s">
        <v>2739</v>
      </c>
      <c r="B74" s="28" t="s">
        <v>1547</v>
      </c>
      <c r="C74" s="28"/>
      <c r="D74" s="28" t="s">
        <v>391</v>
      </c>
      <c r="E74" s="29" t="str">
        <f>INDEX(목표문구!$G$1:$G$1000,MATCH($B74,목표문구!$A$1:$A$1000,0))</f>
        <v>늦은 시간, 카페인 줄이기</v>
      </c>
      <c r="F74" s="36" t="s">
        <v>3994</v>
      </c>
      <c r="G74" s="28">
        <f t="shared" si="2"/>
        <v>28</v>
      </c>
      <c r="H74" s="28">
        <v>30</v>
      </c>
      <c r="I74" s="28">
        <v>36</v>
      </c>
      <c r="J74" s="28" t="str">
        <f t="shared" si="3"/>
        <v>OK</v>
      </c>
      <c r="K74" s="28" t="s">
        <v>4368</v>
      </c>
      <c r="L74" s="28"/>
    </row>
    <row r="75" spans="1:12">
      <c r="A75" s="28" t="s">
        <v>2739</v>
      </c>
      <c r="B75" s="28" t="s">
        <v>1551</v>
      </c>
      <c r="C75" s="28"/>
      <c r="D75" s="28" t="s">
        <v>391</v>
      </c>
      <c r="E75" s="29" t="str">
        <f>INDEX(목표문구!$G$1:$G$1000,MATCH($B75,목표문구!$A$1:$A$1000,0))</f>
        <v>부담 없는 저녁 차리기</v>
      </c>
      <c r="F75" s="36" t="s">
        <v>3995</v>
      </c>
      <c r="G75" s="28">
        <f t="shared" si="2"/>
        <v>22</v>
      </c>
      <c r="H75" s="28">
        <v>30</v>
      </c>
      <c r="I75" s="28">
        <v>36</v>
      </c>
      <c r="J75" s="28" t="str">
        <f t="shared" si="3"/>
        <v>OK</v>
      </c>
      <c r="K75" s="28" t="s">
        <v>4368</v>
      </c>
      <c r="L75" s="28"/>
    </row>
    <row r="76" spans="1:12">
      <c r="A76" s="28" t="s">
        <v>2739</v>
      </c>
      <c r="B76" s="28" t="s">
        <v>1554</v>
      </c>
      <c r="C76" s="28"/>
      <c r="D76" s="28" t="s">
        <v>391</v>
      </c>
      <c r="E76" s="29" t="str">
        <f>INDEX(목표문구!$G$1:$G$1000,MATCH($B76,목표문구!$A$1:$A$1000,0))</f>
        <v>점심은 평소 양으로</v>
      </c>
      <c r="F76" s="36" t="s">
        <v>3996</v>
      </c>
      <c r="G76" s="28">
        <f t="shared" si="2"/>
        <v>28</v>
      </c>
      <c r="H76" s="28">
        <v>30</v>
      </c>
      <c r="I76" s="28">
        <v>36</v>
      </c>
      <c r="J76" s="28" t="str">
        <f t="shared" si="3"/>
        <v>OK</v>
      </c>
      <c r="K76" s="28" t="s">
        <v>4368</v>
      </c>
      <c r="L76" s="28"/>
    </row>
    <row r="77" spans="1:12">
      <c r="A77" s="28" t="s">
        <v>2739</v>
      </c>
      <c r="B77" s="28" t="s">
        <v>1557</v>
      </c>
      <c r="C77" s="28"/>
      <c r="D77" s="28" t="s">
        <v>391</v>
      </c>
      <c r="E77" s="29" t="str">
        <f>INDEX(목표문구!$G$1:$G$1000,MATCH($B77,목표문구!$A$1:$A$1000,0))</f>
        <v>아침에 우유 곁들이기</v>
      </c>
      <c r="F77" s="36" t="s">
        <v>3997</v>
      </c>
      <c r="G77" s="28">
        <f t="shared" si="2"/>
        <v>21</v>
      </c>
      <c r="H77" s="28">
        <v>30</v>
      </c>
      <c r="I77" s="28">
        <v>36</v>
      </c>
      <c r="J77" s="28" t="str">
        <f t="shared" si="3"/>
        <v>OK</v>
      </c>
      <c r="K77" s="28" t="s">
        <v>4368</v>
      </c>
      <c r="L77" s="28"/>
    </row>
    <row r="78" spans="1:12">
      <c r="A78" s="28" t="s">
        <v>2739</v>
      </c>
      <c r="B78" s="28" t="s">
        <v>1561</v>
      </c>
      <c r="C78" s="28"/>
      <c r="D78" s="28" t="s">
        <v>391</v>
      </c>
      <c r="E78" s="29" t="str">
        <f>INDEX(목표문구!$G$1:$G$1000,MATCH($B78,목표문구!$A$1:$A$1000,0))</f>
        <v>점심 늦지 않게 먹기</v>
      </c>
      <c r="F78" s="36" t="s">
        <v>3998</v>
      </c>
      <c r="G78" s="28">
        <f t="shared" si="2"/>
        <v>17</v>
      </c>
      <c r="H78" s="28">
        <v>30</v>
      </c>
      <c r="I78" s="28">
        <v>36</v>
      </c>
      <c r="J78" s="28" t="str">
        <f t="shared" si="3"/>
        <v>OK</v>
      </c>
      <c r="K78" s="28" t="s">
        <v>4368</v>
      </c>
      <c r="L78" s="28"/>
    </row>
    <row r="79" spans="1:12">
      <c r="A79" s="28" t="s">
        <v>2739</v>
      </c>
      <c r="B79" s="28" t="s">
        <v>1564</v>
      </c>
      <c r="C79" s="28"/>
      <c r="D79" s="28" t="s">
        <v>391</v>
      </c>
      <c r="E79" s="29" t="str">
        <f>INDEX(목표문구!$G$1:$G$1000,MATCH($B79,목표문구!$A$1:$A$1000,0))</f>
        <v>오늘 세 끼 챙기기</v>
      </c>
      <c r="F79" s="36" t="s">
        <v>3999</v>
      </c>
      <c r="G79" s="28">
        <f t="shared" si="2"/>
        <v>25</v>
      </c>
      <c r="H79" s="28">
        <v>30</v>
      </c>
      <c r="I79" s="28">
        <v>36</v>
      </c>
      <c r="J79" s="28" t="str">
        <f t="shared" si="3"/>
        <v>OK</v>
      </c>
      <c r="K79" s="28" t="s">
        <v>4368</v>
      </c>
      <c r="L79" s="28"/>
    </row>
    <row r="80" spans="1:12">
      <c r="A80" s="28" t="s">
        <v>2739</v>
      </c>
      <c r="B80" s="28" t="s">
        <v>1567</v>
      </c>
      <c r="C80" s="28"/>
      <c r="D80" s="28" t="s">
        <v>391</v>
      </c>
      <c r="E80" s="29" t="str">
        <f>INDEX(목표문구!$G$1:$G$1000,MATCH($B80,목표문구!$A$1:$A$1000,0))</f>
        <v>국 대신 나물 반찬</v>
      </c>
      <c r="F80" s="36" t="s">
        <v>4000</v>
      </c>
      <c r="G80" s="28">
        <f t="shared" si="2"/>
        <v>27</v>
      </c>
      <c r="H80" s="28">
        <v>30</v>
      </c>
      <c r="I80" s="28">
        <v>36</v>
      </c>
      <c r="J80" s="28" t="str">
        <f t="shared" si="3"/>
        <v>OK</v>
      </c>
      <c r="K80" s="28" t="s">
        <v>4368</v>
      </c>
      <c r="L80" s="28"/>
    </row>
    <row r="81" spans="1:12">
      <c r="A81" s="28" t="s">
        <v>2739</v>
      </c>
      <c r="B81" s="28" t="s">
        <v>1570</v>
      </c>
      <c r="C81" s="28"/>
      <c r="D81" s="28" t="s">
        <v>391</v>
      </c>
      <c r="E81" s="29" t="str">
        <f>INDEX(목표문구!$G$1:$G$1000,MATCH($B81,목표문구!$A$1:$A$1000,0))</f>
        <v>고기와 쌈 채소 먹기</v>
      </c>
      <c r="F81" s="36" t="s">
        <v>4001</v>
      </c>
      <c r="G81" s="28">
        <f t="shared" si="2"/>
        <v>21</v>
      </c>
      <c r="H81" s="28">
        <v>30</v>
      </c>
      <c r="I81" s="28">
        <v>36</v>
      </c>
      <c r="J81" s="28" t="str">
        <f t="shared" si="3"/>
        <v>OK</v>
      </c>
      <c r="K81" s="28" t="s">
        <v>4368</v>
      </c>
      <c r="L81" s="28"/>
    </row>
    <row r="82" spans="1:12">
      <c r="A82" s="28" t="s">
        <v>2739</v>
      </c>
      <c r="B82" s="28" t="s">
        <v>1574</v>
      </c>
      <c r="C82" s="28"/>
      <c r="D82" s="28" t="s">
        <v>391</v>
      </c>
      <c r="E82" s="29" t="str">
        <f>INDEX(목표문구!$G$1:$G$1000,MATCH($B82,목표문구!$A$1:$A$1000,0))</f>
        <v>외식에도 채소 하나 더</v>
      </c>
      <c r="F82" s="36" t="s">
        <v>4002</v>
      </c>
      <c r="G82" s="28">
        <f t="shared" si="2"/>
        <v>28</v>
      </c>
      <c r="H82" s="28">
        <v>30</v>
      </c>
      <c r="I82" s="28">
        <v>36</v>
      </c>
      <c r="J82" s="28" t="str">
        <f t="shared" si="3"/>
        <v>OK</v>
      </c>
      <c r="K82" s="28" t="s">
        <v>4368</v>
      </c>
      <c r="L82" s="28"/>
    </row>
    <row r="83" spans="1:12">
      <c r="A83" s="28" t="s">
        <v>2739</v>
      </c>
      <c r="B83" s="28" t="s">
        <v>1577</v>
      </c>
      <c r="C83" s="28"/>
      <c r="D83" s="28" t="s">
        <v>391</v>
      </c>
      <c r="E83" s="29" t="str">
        <f>INDEX(목표문구!$G$1:$G$1000,MATCH($B83,목표문구!$A$1:$A$1000,0))</f>
        <v>끼니마다 채소 두 가지</v>
      </c>
      <c r="F83" s="36" t="s">
        <v>4003</v>
      </c>
      <c r="G83" s="28">
        <f t="shared" si="2"/>
        <v>25</v>
      </c>
      <c r="H83" s="28">
        <v>30</v>
      </c>
      <c r="I83" s="28">
        <v>36</v>
      </c>
      <c r="J83" s="28" t="str">
        <f t="shared" si="3"/>
        <v>OK</v>
      </c>
      <c r="K83" s="28" t="s">
        <v>4368</v>
      </c>
      <c r="L83" s="28"/>
    </row>
    <row r="84" spans="1:12">
      <c r="A84" s="28" t="s">
        <v>2739</v>
      </c>
      <c r="B84" s="28" t="s">
        <v>1580</v>
      </c>
      <c r="C84" s="28"/>
      <c r="D84" s="28" t="s">
        <v>391</v>
      </c>
      <c r="E84" s="29" t="str">
        <f>INDEX(목표문구!$G$1:$G$1000,MATCH($B84,목표문구!$A$1:$A$1000,0))</f>
        <v>점심도 채소부터 먹기</v>
      </c>
      <c r="F84" s="36" t="s">
        <v>4004</v>
      </c>
      <c r="G84" s="28">
        <f t="shared" si="2"/>
        <v>26</v>
      </c>
      <c r="H84" s="28">
        <v>30</v>
      </c>
      <c r="I84" s="28">
        <v>36</v>
      </c>
      <c r="J84" s="28" t="str">
        <f t="shared" si="3"/>
        <v>OK</v>
      </c>
      <c r="K84" s="28" t="s">
        <v>4368</v>
      </c>
      <c r="L84" s="28"/>
    </row>
    <row r="85" spans="1:12">
      <c r="A85" s="28" t="s">
        <v>2739</v>
      </c>
      <c r="B85" s="28" t="s">
        <v>1583</v>
      </c>
      <c r="C85" s="28"/>
      <c r="D85" s="28" t="s">
        <v>391</v>
      </c>
      <c r="E85" s="29" t="str">
        <f>INDEX(목표문구!$G$1:$G$1000,MATCH($B85,목표문구!$A$1:$A$1000,0))</f>
        <v>시럽 · 크림 빼기</v>
      </c>
      <c r="F85" s="36" t="s">
        <v>4005</v>
      </c>
      <c r="G85" s="28">
        <f t="shared" si="2"/>
        <v>24</v>
      </c>
      <c r="H85" s="28">
        <v>30</v>
      </c>
      <c r="I85" s="28">
        <v>36</v>
      </c>
      <c r="J85" s="28" t="str">
        <f t="shared" si="3"/>
        <v>OK</v>
      </c>
      <c r="K85" s="28" t="s">
        <v>4368</v>
      </c>
      <c r="L85" s="28"/>
    </row>
    <row r="86" spans="1:12">
      <c r="A86" s="28" t="s">
        <v>2739</v>
      </c>
      <c r="B86" s="28" t="s">
        <v>1586</v>
      </c>
      <c r="C86" s="28"/>
      <c r="D86" s="28" t="s">
        <v>391</v>
      </c>
      <c r="E86" s="29" t="str">
        <f>INDEX(목표문구!$G$1:$G$1000,MATCH($B86,목표문구!$A$1:$A$1000,0))</f>
        <v>탄산음료 대신 탄산수</v>
      </c>
      <c r="F86" s="36" t="s">
        <v>4006</v>
      </c>
      <c r="G86" s="28">
        <f t="shared" si="2"/>
        <v>25</v>
      </c>
      <c r="H86" s="28">
        <v>30</v>
      </c>
      <c r="I86" s="28">
        <v>36</v>
      </c>
      <c r="J86" s="28" t="str">
        <f t="shared" si="3"/>
        <v>OK</v>
      </c>
      <c r="K86" s="28" t="s">
        <v>4368</v>
      </c>
      <c r="L86" s="28"/>
    </row>
    <row r="87" spans="1:12">
      <c r="A87" s="28" t="s">
        <v>2739</v>
      </c>
      <c r="B87" s="28" t="s">
        <v>1589</v>
      </c>
      <c r="C87" s="28"/>
      <c r="D87" s="28" t="s">
        <v>391</v>
      </c>
      <c r="E87" s="29" t="str">
        <f>INDEX(목표문구!$G$1:$G$1000,MATCH($B87,목표문구!$A$1:$A$1000,0))</f>
        <v>요구르트는 무가당으로</v>
      </c>
      <c r="F87" s="36" t="s">
        <v>4007</v>
      </c>
      <c r="G87" s="28">
        <f t="shared" si="2"/>
        <v>25</v>
      </c>
      <c r="H87" s="28">
        <v>30</v>
      </c>
      <c r="I87" s="28">
        <v>36</v>
      </c>
      <c r="J87" s="28" t="str">
        <f t="shared" si="3"/>
        <v>OK</v>
      </c>
      <c r="K87" s="28" t="s">
        <v>4368</v>
      </c>
      <c r="L87" s="28"/>
    </row>
    <row r="88" spans="1:12">
      <c r="A88" s="28" t="s">
        <v>2739</v>
      </c>
      <c r="B88" s="28" t="s">
        <v>1592</v>
      </c>
      <c r="C88" s="28"/>
      <c r="D88" s="28" t="s">
        <v>391</v>
      </c>
      <c r="E88" s="29" t="str">
        <f>INDEX(목표문구!$G$1:$G$1000,MATCH($B88,목표문구!$A$1:$A$1000,0))</f>
        <v>오늘은 단 간식 없이</v>
      </c>
      <c r="F88" s="36" t="s">
        <v>4008</v>
      </c>
      <c r="G88" s="28">
        <f t="shared" si="2"/>
        <v>21</v>
      </c>
      <c r="H88" s="28">
        <v>30</v>
      </c>
      <c r="I88" s="28">
        <v>36</v>
      </c>
      <c r="J88" s="28" t="str">
        <f t="shared" si="3"/>
        <v>OK</v>
      </c>
      <c r="K88" s="28" t="s">
        <v>4368</v>
      </c>
      <c r="L88" s="28"/>
    </row>
    <row r="89" spans="1:12">
      <c r="A89" s="28" t="s">
        <v>2739</v>
      </c>
      <c r="B89" s="28" t="s">
        <v>1595</v>
      </c>
      <c r="C89" s="28"/>
      <c r="D89" s="28" t="s">
        <v>391</v>
      </c>
      <c r="E89" s="29" t="str">
        <f>INDEX(목표문구!$G$1:$G$1000,MATCH($B89,목표문구!$A$1:$A$1000,0))</f>
        <v>라면 국물은 남기기</v>
      </c>
      <c r="F89" s="36" t="s">
        <v>4009</v>
      </c>
      <c r="G89" s="28">
        <f t="shared" si="2"/>
        <v>21</v>
      </c>
      <c r="H89" s="28">
        <v>30</v>
      </c>
      <c r="I89" s="28">
        <v>36</v>
      </c>
      <c r="J89" s="28" t="str">
        <f t="shared" si="3"/>
        <v>OK</v>
      </c>
      <c r="K89" s="28" t="s">
        <v>4368</v>
      </c>
      <c r="L89" s="28"/>
    </row>
    <row r="90" spans="1:12">
      <c r="A90" s="28" t="s">
        <v>2739</v>
      </c>
      <c r="B90" s="28" t="s">
        <v>1598</v>
      </c>
      <c r="C90" s="28"/>
      <c r="D90" s="28" t="s">
        <v>391</v>
      </c>
      <c r="E90" s="29" t="str">
        <f>INDEX(목표문구!$G$1:$G$1000,MATCH($B90,목표문구!$A$1:$A$1000,0))</f>
        <v>소스 없이 먹어보기</v>
      </c>
      <c r="F90" s="36" t="s">
        <v>4010</v>
      </c>
      <c r="G90" s="28">
        <f t="shared" si="2"/>
        <v>22</v>
      </c>
      <c r="H90" s="28">
        <v>30</v>
      </c>
      <c r="I90" s="28">
        <v>36</v>
      </c>
      <c r="J90" s="28" t="str">
        <f t="shared" si="3"/>
        <v>OK</v>
      </c>
      <c r="K90" s="28" t="s">
        <v>4368</v>
      </c>
      <c r="L90" s="28"/>
    </row>
    <row r="91" spans="1:12">
      <c r="A91" s="28" t="s">
        <v>2739</v>
      </c>
      <c r="B91" s="28" t="s">
        <v>1601</v>
      </c>
      <c r="C91" s="28"/>
      <c r="D91" s="28" t="s">
        <v>391</v>
      </c>
      <c r="E91" s="29" t="str">
        <f>INDEX(목표문구!$G$1:$G$1000,MATCH($B91,목표문구!$A$1:$A$1000,0))</f>
        <v>김치는 먹을 만큼만</v>
      </c>
      <c r="F91" s="36" t="s">
        <v>4011</v>
      </c>
      <c r="G91" s="28">
        <f t="shared" si="2"/>
        <v>24</v>
      </c>
      <c r="H91" s="28">
        <v>30</v>
      </c>
      <c r="I91" s="28">
        <v>36</v>
      </c>
      <c r="J91" s="28" t="str">
        <f t="shared" si="3"/>
        <v>OK</v>
      </c>
      <c r="K91" s="28" t="s">
        <v>4368</v>
      </c>
      <c r="L91" s="28"/>
    </row>
    <row r="92" spans="1:12">
      <c r="A92" s="28" t="s">
        <v>2739</v>
      </c>
      <c r="B92" s="28" t="s">
        <v>1604</v>
      </c>
      <c r="C92" s="28"/>
      <c r="D92" s="28" t="s">
        <v>391</v>
      </c>
      <c r="E92" s="29" t="str">
        <f>INDEX(목표문구!$G$1:$G$1000,MATCH($B92,목표문구!$A$1:$A$1000,0))</f>
        <v>젓갈 · 장아찌 빼기</v>
      </c>
      <c r="F92" s="36" t="s">
        <v>4012</v>
      </c>
      <c r="G92" s="28">
        <f t="shared" si="2"/>
        <v>26</v>
      </c>
      <c r="H92" s="28">
        <v>30</v>
      </c>
      <c r="I92" s="28">
        <v>36</v>
      </c>
      <c r="J92" s="28" t="str">
        <f t="shared" si="3"/>
        <v>OK</v>
      </c>
      <c r="K92" s="28" t="s">
        <v>4368</v>
      </c>
      <c r="L92" s="28"/>
    </row>
    <row r="93" spans="1:12">
      <c r="A93" s="28" t="s">
        <v>2739</v>
      </c>
      <c r="B93" s="28" t="s">
        <v>1607</v>
      </c>
      <c r="C93" s="28"/>
      <c r="D93" s="28" t="s">
        <v>391</v>
      </c>
      <c r="E93" s="29" t="str">
        <f>INDEX(목표문구!$G$1:$G$1000,MATCH($B93,목표문구!$A$1:$A$1000,0))</f>
        <v>소스는 따로 받기</v>
      </c>
      <c r="F93" s="36" t="s">
        <v>4013</v>
      </c>
      <c r="G93" s="28">
        <f t="shared" si="2"/>
        <v>21</v>
      </c>
      <c r="H93" s="28">
        <v>30</v>
      </c>
      <c r="I93" s="28">
        <v>36</v>
      </c>
      <c r="J93" s="28" t="str">
        <f t="shared" si="3"/>
        <v>OK</v>
      </c>
      <c r="K93" s="28" t="s">
        <v>4368</v>
      </c>
      <c r="L93" s="28"/>
    </row>
    <row r="94" spans="1:12">
      <c r="A94" s="28" t="s">
        <v>2739</v>
      </c>
      <c r="B94" s="28" t="s">
        <v>1610</v>
      </c>
      <c r="C94" s="28"/>
      <c r="D94" s="28" t="s">
        <v>391</v>
      </c>
      <c r="E94" s="29" t="str">
        <f>INDEX(목표문구!$G$1:$G$1000,MATCH($B94,목표문구!$A$1:$A$1000,0))</f>
        <v>오늘은 국물 없이 먹기</v>
      </c>
      <c r="F94" s="36" t="s">
        <v>4014</v>
      </c>
      <c r="G94" s="28">
        <f t="shared" si="2"/>
        <v>23</v>
      </c>
      <c r="H94" s="28">
        <v>30</v>
      </c>
      <c r="I94" s="28">
        <v>36</v>
      </c>
      <c r="J94" s="28" t="str">
        <f t="shared" si="3"/>
        <v>OK</v>
      </c>
      <c r="K94" s="28" t="s">
        <v>4368</v>
      </c>
      <c r="L94" s="28"/>
    </row>
    <row r="95" spans="1:12">
      <c r="A95" s="28" t="s">
        <v>2739</v>
      </c>
      <c r="B95" s="28" t="s">
        <v>1613</v>
      </c>
      <c r="C95" s="28"/>
      <c r="D95" s="28" t="s">
        <v>391</v>
      </c>
      <c r="E95" s="29" t="str">
        <f>INDEX(목표문구!$G$1:$G$1000,MATCH($B95,목표문구!$A$1:$A$1000,0))</f>
        <v>휴대폰 끄고 식사</v>
      </c>
      <c r="F95" s="36" t="s">
        <v>4015</v>
      </c>
      <c r="G95" s="28">
        <f t="shared" si="2"/>
        <v>26</v>
      </c>
      <c r="H95" s="28">
        <v>30</v>
      </c>
      <c r="I95" s="28">
        <v>36</v>
      </c>
      <c r="J95" s="28" t="str">
        <f t="shared" si="3"/>
        <v>OK</v>
      </c>
      <c r="K95" s="28" t="s">
        <v>4368</v>
      </c>
      <c r="L95" s="28"/>
    </row>
    <row r="96" spans="1:12">
      <c r="A96" s="28" t="s">
        <v>2739</v>
      </c>
      <c r="B96" s="28" t="s">
        <v>1616</v>
      </c>
      <c r="C96" s="28"/>
      <c r="D96" s="28" t="s">
        <v>391</v>
      </c>
      <c r="E96" s="29" t="str">
        <f>INDEX(목표문구!$G$1:$G$1000,MATCH($B96,목표문구!$A$1:$A$1000,0))</f>
        <v>아침에 달걀 하나</v>
      </c>
      <c r="F96" s="36" t="s">
        <v>4016</v>
      </c>
      <c r="G96" s="28">
        <f t="shared" si="2"/>
        <v>20</v>
      </c>
      <c r="H96" s="28">
        <v>30</v>
      </c>
      <c r="I96" s="28">
        <v>36</v>
      </c>
      <c r="J96" s="28" t="str">
        <f t="shared" si="3"/>
        <v>OK</v>
      </c>
      <c r="K96" s="28" t="s">
        <v>4368</v>
      </c>
      <c r="L96" s="28"/>
    </row>
    <row r="97" spans="1:12">
      <c r="A97" s="28" t="s">
        <v>2739</v>
      </c>
      <c r="B97" s="28" t="s">
        <v>1619</v>
      </c>
      <c r="C97" s="28"/>
      <c r="D97" s="28" t="s">
        <v>391</v>
      </c>
      <c r="E97" s="29" t="str">
        <f>INDEX(목표문구!$G$1:$G$1000,MATCH($B97,목표문구!$A$1:$A$1000,0))</f>
        <v>우유 · 두유 한 잔</v>
      </c>
      <c r="F97" s="36" t="s">
        <v>4017</v>
      </c>
      <c r="G97" s="28">
        <f t="shared" si="2"/>
        <v>27</v>
      </c>
      <c r="H97" s="28">
        <v>30</v>
      </c>
      <c r="I97" s="28">
        <v>36</v>
      </c>
      <c r="J97" s="28" t="str">
        <f t="shared" si="3"/>
        <v>OK</v>
      </c>
      <c r="K97" s="28" t="s">
        <v>4368</v>
      </c>
      <c r="L97" s="28"/>
    </row>
    <row r="98" spans="1:12">
      <c r="A98" s="28" t="s">
        <v>2739</v>
      </c>
      <c r="B98" s="28" t="s">
        <v>1622</v>
      </c>
      <c r="C98" s="28"/>
      <c r="D98" s="28" t="s">
        <v>391</v>
      </c>
      <c r="E98" s="29" t="str">
        <f>INDEX(목표문구!$G$1:$G$1000,MATCH($B98,목표문구!$A$1:$A$1000,0))</f>
        <v>생선 반찬 한 끼</v>
      </c>
      <c r="F98" s="36" t="s">
        <v>4018</v>
      </c>
      <c r="G98" s="28">
        <f t="shared" si="2"/>
        <v>19</v>
      </c>
      <c r="H98" s="28">
        <v>30</v>
      </c>
      <c r="I98" s="28">
        <v>36</v>
      </c>
      <c r="J98" s="28" t="str">
        <f t="shared" si="3"/>
        <v>OK</v>
      </c>
      <c r="K98" s="28" t="s">
        <v>4368</v>
      </c>
      <c r="L98" s="28"/>
    </row>
    <row r="99" spans="1:12">
      <c r="A99" s="28" t="s">
        <v>2739</v>
      </c>
      <c r="B99" s="28" t="s">
        <v>1625</v>
      </c>
      <c r="C99" s="28"/>
      <c r="D99" s="28" t="s">
        <v>391</v>
      </c>
      <c r="E99" s="29" t="str">
        <f>INDEX(목표문구!$G$1:$G$1000,MATCH($B99,목표문구!$A$1:$A$1000,0))</f>
        <v>두부 반찬 준비하기</v>
      </c>
      <c r="F99" s="36" t="s">
        <v>4019</v>
      </c>
      <c r="G99" s="28">
        <f t="shared" si="2"/>
        <v>16</v>
      </c>
      <c r="H99" s="28">
        <v>30</v>
      </c>
      <c r="I99" s="28">
        <v>36</v>
      </c>
      <c r="J99" s="28" t="str">
        <f t="shared" si="3"/>
        <v>OK</v>
      </c>
      <c r="K99" s="28" t="s">
        <v>4368</v>
      </c>
      <c r="L99" s="28"/>
    </row>
    <row r="100" spans="1:12">
      <c r="A100" s="28" t="s">
        <v>2739</v>
      </c>
      <c r="B100" s="28" t="s">
        <v>1628</v>
      </c>
      <c r="C100" s="28"/>
      <c r="D100" s="28" t="s">
        <v>391</v>
      </c>
      <c r="E100" s="29" t="str">
        <f>INDEX(목표문구!$G$1:$G$1000,MATCH($B100,목표문구!$A$1:$A$1000,0))</f>
        <v>끼니마다 단백질 바꾸기</v>
      </c>
      <c r="F100" s="36" t="s">
        <v>4020</v>
      </c>
      <c r="G100" s="28">
        <f t="shared" si="2"/>
        <v>27</v>
      </c>
      <c r="H100" s="28">
        <v>30</v>
      </c>
      <c r="I100" s="28">
        <v>36</v>
      </c>
      <c r="J100" s="28" t="str">
        <f t="shared" si="3"/>
        <v>OK</v>
      </c>
      <c r="K100" s="28" t="s">
        <v>4368</v>
      </c>
      <c r="L100" s="28"/>
    </row>
    <row r="101" spans="1:12">
      <c r="A101" s="28" t="s">
        <v>2739</v>
      </c>
      <c r="B101" s="28" t="s">
        <v>1631</v>
      </c>
      <c r="C101" s="28"/>
      <c r="D101" s="28" t="s">
        <v>391</v>
      </c>
      <c r="E101" s="29" t="str">
        <f>INDEX(목표문구!$G$1:$G$1000,MATCH($B101,목표문구!$A$1:$A$1000,0))</f>
        <v>튀김 대신 구이 · 찜</v>
      </c>
      <c r="F101" s="36" t="s">
        <v>4021</v>
      </c>
      <c r="G101" s="28">
        <f t="shared" si="2"/>
        <v>25</v>
      </c>
      <c r="H101" s="28">
        <v>30</v>
      </c>
      <c r="I101" s="28">
        <v>36</v>
      </c>
      <c r="J101" s="28" t="str">
        <f t="shared" si="3"/>
        <v>OK</v>
      </c>
      <c r="K101" s="28" t="s">
        <v>4368</v>
      </c>
      <c r="L101" s="28"/>
    </row>
    <row r="102" spans="1:12">
      <c r="A102" s="28" t="s">
        <v>2739</v>
      </c>
      <c r="B102" s="28" t="s">
        <v>1634</v>
      </c>
      <c r="C102" s="28"/>
      <c r="D102" s="28" t="s">
        <v>391</v>
      </c>
      <c r="E102" s="29" t="str">
        <f>INDEX(목표문구!$G$1:$G$1000,MATCH($B102,목표문구!$A$1:$A$1000,0))</f>
        <v>기름 적은 부위로 먹기</v>
      </c>
      <c r="F102" s="36" t="s">
        <v>4022</v>
      </c>
      <c r="G102" s="28">
        <f t="shared" si="2"/>
        <v>18</v>
      </c>
      <c r="H102" s="28">
        <v>30</v>
      </c>
      <c r="I102" s="28">
        <v>36</v>
      </c>
      <c r="J102" s="28" t="str">
        <f t="shared" si="3"/>
        <v>OK</v>
      </c>
      <c r="K102" s="28" t="s">
        <v>4368</v>
      </c>
      <c r="L102" s="28"/>
    </row>
    <row r="103" spans="1:12">
      <c r="A103" s="28" t="s">
        <v>2739</v>
      </c>
      <c r="B103" s="28" t="s">
        <v>1637</v>
      </c>
      <c r="C103" s="28"/>
      <c r="D103" s="28" t="s">
        <v>391</v>
      </c>
      <c r="E103" s="29" t="str">
        <f>INDEX(목표문구!$G$1:$G$1000,MATCH($B103,목표문구!$A$1:$A$1000,0))</f>
        <v>드레싱은 반만</v>
      </c>
      <c r="F103" s="36" t="s">
        <v>4023</v>
      </c>
      <c r="G103" s="28">
        <f t="shared" si="2"/>
        <v>21</v>
      </c>
      <c r="H103" s="28">
        <v>30</v>
      </c>
      <c r="I103" s="28">
        <v>36</v>
      </c>
      <c r="J103" s="28" t="str">
        <f t="shared" si="3"/>
        <v>OK</v>
      </c>
      <c r="K103" s="28" t="s">
        <v>4368</v>
      </c>
      <c r="L103" s="28"/>
    </row>
    <row r="104" spans="1:12">
      <c r="A104" s="28" t="s">
        <v>2739</v>
      </c>
      <c r="B104" s="28" t="s">
        <v>1640</v>
      </c>
      <c r="C104" s="28"/>
      <c r="D104" s="28" t="s">
        <v>391</v>
      </c>
      <c r="E104" s="29" t="str">
        <f>INDEX(목표문구!$G$1:$G$1000,MATCH($B104,목표문구!$A$1:$A$1000,0))</f>
        <v>라면 대신 국수 · 밥</v>
      </c>
      <c r="F104" s="36" t="s">
        <v>4024</v>
      </c>
      <c r="G104" s="28">
        <f t="shared" si="2"/>
        <v>26</v>
      </c>
      <c r="H104" s="28">
        <v>30</v>
      </c>
      <c r="I104" s="28">
        <v>36</v>
      </c>
      <c r="J104" s="28" t="str">
        <f t="shared" si="3"/>
        <v>OK</v>
      </c>
      <c r="K104" s="28" t="s">
        <v>4368</v>
      </c>
      <c r="L104" s="28"/>
    </row>
    <row r="105" spans="1:12">
      <c r="A105" s="28" t="s">
        <v>2739</v>
      </c>
      <c r="B105" s="28" t="s">
        <v>1643</v>
      </c>
      <c r="C105" s="28"/>
      <c r="D105" s="28" t="s">
        <v>391</v>
      </c>
      <c r="E105" s="29" t="str">
        <f>INDEX(목표문구!$G$1:$G$1000,MATCH($B105,목표문구!$A$1:$A$1000,0))</f>
        <v>튀김 없는 하루</v>
      </c>
      <c r="F105" s="36" t="s">
        <v>4025</v>
      </c>
      <c r="G105" s="28">
        <f t="shared" si="2"/>
        <v>14</v>
      </c>
      <c r="H105" s="28">
        <v>30</v>
      </c>
      <c r="I105" s="28">
        <v>36</v>
      </c>
      <c r="J105" s="28" t="str">
        <f t="shared" si="3"/>
        <v>OK</v>
      </c>
      <c r="K105" s="28" t="s">
        <v>4368</v>
      </c>
      <c r="L105" s="28"/>
    </row>
    <row r="106" spans="1:12">
      <c r="A106" s="28" t="s">
        <v>2739</v>
      </c>
      <c r="B106" s="28" t="s">
        <v>1646</v>
      </c>
      <c r="C106" s="28"/>
      <c r="D106" s="28" t="s">
        <v>391</v>
      </c>
      <c r="E106" s="29" t="str">
        <f>INDEX(목표문구!$G$1:$G$1000,MATCH($B106,목표문구!$A$1:$A$1000,0))</f>
        <v>식사에 우유 한 잔</v>
      </c>
      <c r="F106" s="36" t="s">
        <v>4026</v>
      </c>
      <c r="G106" s="28">
        <f t="shared" si="2"/>
        <v>26</v>
      </c>
      <c r="H106" s="28">
        <v>30</v>
      </c>
      <c r="I106" s="28">
        <v>36</v>
      </c>
      <c r="J106" s="28" t="str">
        <f t="shared" si="3"/>
        <v>OK</v>
      </c>
      <c r="K106" s="28" t="s">
        <v>4368</v>
      </c>
      <c r="L106" s="28"/>
    </row>
    <row r="107" spans="1:12">
      <c r="A107" s="28" t="s">
        <v>2739</v>
      </c>
      <c r="B107" s="28" t="s">
        <v>1649</v>
      </c>
      <c r="C107" s="28"/>
      <c r="D107" s="28" t="s">
        <v>391</v>
      </c>
      <c r="E107" s="29" t="str">
        <f>INDEX(목표문구!$G$1:$G$1000,MATCH($B107,목표문구!$A$1:$A$1000,0))</f>
        <v>커피 대신 무카페인 차</v>
      </c>
      <c r="F107" s="36" t="s">
        <v>4027</v>
      </c>
      <c r="G107" s="28">
        <f t="shared" si="2"/>
        <v>27</v>
      </c>
      <c r="H107" s="28">
        <v>30</v>
      </c>
      <c r="I107" s="28">
        <v>36</v>
      </c>
      <c r="J107" s="28" t="str">
        <f t="shared" si="3"/>
        <v>OK</v>
      </c>
      <c r="K107" s="28" t="s">
        <v>4368</v>
      </c>
      <c r="L107" s="28"/>
    </row>
    <row r="108" spans="1:12">
      <c r="A108" s="28" t="s">
        <v>2739</v>
      </c>
      <c r="B108" s="28" t="s">
        <v>1652</v>
      </c>
      <c r="C108" s="28"/>
      <c r="D108" s="28" t="s">
        <v>391</v>
      </c>
      <c r="E108" s="29" t="str">
        <f>INDEX(목표문구!$G$1:$G$1000,MATCH($B108,목표문구!$A$1:$A$1000,0))</f>
        <v>저녁은 가볍게 먹기</v>
      </c>
      <c r="F108" s="36" t="s">
        <v>4028</v>
      </c>
      <c r="G108" s="28">
        <f t="shared" si="2"/>
        <v>17</v>
      </c>
      <c r="H108" s="28">
        <v>30</v>
      </c>
      <c r="I108" s="28">
        <v>36</v>
      </c>
      <c r="J108" s="28" t="str">
        <f t="shared" si="3"/>
        <v>OK</v>
      </c>
      <c r="K108" s="28" t="s">
        <v>4368</v>
      </c>
      <c r="L108" s="28"/>
    </row>
    <row r="109" spans="1:12">
      <c r="A109" s="28" t="s">
        <v>2739</v>
      </c>
      <c r="B109" s="28" t="s">
        <v>1655</v>
      </c>
      <c r="C109" s="28"/>
      <c r="D109" s="28" t="s">
        <v>391</v>
      </c>
      <c r="E109" s="29" t="str">
        <f>INDEX(목표문구!$G$1:$G$1000,MATCH($B109,목표문구!$A$1:$A$1000,0))</f>
        <v>출근길에 아침 챙기기</v>
      </c>
      <c r="F109" s="36" t="s">
        <v>4029</v>
      </c>
      <c r="G109" s="28">
        <f t="shared" si="2"/>
        <v>29</v>
      </c>
      <c r="H109" s="28">
        <v>30</v>
      </c>
      <c r="I109" s="28">
        <v>36</v>
      </c>
      <c r="J109" s="28" t="str">
        <f t="shared" si="3"/>
        <v>OK</v>
      </c>
      <c r="K109" s="28" t="s">
        <v>4368</v>
      </c>
      <c r="L109" s="28"/>
    </row>
    <row r="110" spans="1:12">
      <c r="A110" s="28" t="s">
        <v>2739</v>
      </c>
      <c r="B110" s="28" t="s">
        <v>1658</v>
      </c>
      <c r="C110" s="28"/>
      <c r="D110" s="28" t="s">
        <v>391</v>
      </c>
      <c r="E110" s="29" t="str">
        <f>INDEX(목표문구!$G$1:$G$1000,MATCH($B110,목표문구!$A$1:$A$1000,0))</f>
        <v>세 끼 평소대로 먹기</v>
      </c>
      <c r="F110" s="36" t="s">
        <v>4030</v>
      </c>
      <c r="G110" s="28">
        <f t="shared" si="2"/>
        <v>21</v>
      </c>
      <c r="H110" s="28">
        <v>30</v>
      </c>
      <c r="I110" s="28">
        <v>36</v>
      </c>
      <c r="J110" s="28" t="str">
        <f t="shared" si="3"/>
        <v>OK</v>
      </c>
      <c r="K110" s="28" t="s">
        <v>4368</v>
      </c>
      <c r="L110" s="28"/>
    </row>
    <row r="111" spans="1:12">
      <c r="A111" s="28" t="s">
        <v>2739</v>
      </c>
      <c r="B111" s="28" t="s">
        <v>1661</v>
      </c>
      <c r="C111" s="28"/>
      <c r="D111" s="28" t="s">
        <v>391</v>
      </c>
      <c r="E111" s="29" t="str">
        <f>INDEX(목표문구!$G$1:$G$1000,MATCH($B111,목표문구!$A$1:$A$1000,0))</f>
        <v>국에 채소 한 줌</v>
      </c>
      <c r="F111" s="36" t="s">
        <v>4031</v>
      </c>
      <c r="G111" s="28">
        <f t="shared" si="2"/>
        <v>28</v>
      </c>
      <c r="H111" s="28">
        <v>30</v>
      </c>
      <c r="I111" s="28">
        <v>36</v>
      </c>
      <c r="J111" s="28" t="str">
        <f t="shared" si="3"/>
        <v>OK</v>
      </c>
      <c r="K111" s="28" t="s">
        <v>4368</v>
      </c>
      <c r="L111" s="28"/>
    </row>
    <row r="112" spans="1:12">
      <c r="A112" s="28" t="s">
        <v>2739</v>
      </c>
      <c r="B112" s="28" t="s">
        <v>1664</v>
      </c>
      <c r="C112" s="28"/>
      <c r="D112" s="28" t="s">
        <v>391</v>
      </c>
      <c r="E112" s="29" t="str">
        <f>INDEX(목표문구!$G$1:$G$1000,MATCH($B112,목표문구!$A$1:$A$1000,0))</f>
        <v>모든 끼니에 채소 넣기</v>
      </c>
      <c r="F112" s="36" t="s">
        <v>4032</v>
      </c>
      <c r="G112" s="28">
        <f t="shared" si="2"/>
        <v>25</v>
      </c>
      <c r="H112" s="28">
        <v>30</v>
      </c>
      <c r="I112" s="28">
        <v>36</v>
      </c>
      <c r="J112" s="28" t="str">
        <f t="shared" si="3"/>
        <v>OK</v>
      </c>
      <c r="K112" s="28" t="s">
        <v>4368</v>
      </c>
      <c r="L112" s="28"/>
    </row>
    <row r="113" spans="1:12">
      <c r="A113" s="28" t="s">
        <v>2739</v>
      </c>
      <c r="B113" s="28" t="s">
        <v>1667</v>
      </c>
      <c r="C113" s="28"/>
      <c r="D113" s="28" t="s">
        <v>391</v>
      </c>
      <c r="E113" s="29" t="str">
        <f>INDEX(목표문구!$G$1:$G$1000,MATCH($B113,목표문구!$A$1:$A$1000,0))</f>
        <v>저녁엔 채소 반찬 많이</v>
      </c>
      <c r="F113" s="36" t="s">
        <v>4033</v>
      </c>
      <c r="G113" s="28">
        <f t="shared" si="2"/>
        <v>30</v>
      </c>
      <c r="H113" s="28">
        <v>30</v>
      </c>
      <c r="I113" s="28">
        <v>36</v>
      </c>
      <c r="J113" s="28" t="str">
        <f t="shared" si="3"/>
        <v>OK</v>
      </c>
      <c r="K113" s="28" t="s">
        <v>4368</v>
      </c>
      <c r="L113" s="28"/>
    </row>
    <row r="114" spans="1:12">
      <c r="A114" s="28" t="s">
        <v>2739</v>
      </c>
      <c r="B114" s="28" t="s">
        <v>1670</v>
      </c>
      <c r="C114" s="28"/>
      <c r="D114" s="28" t="s">
        <v>391</v>
      </c>
      <c r="E114" s="29" t="str">
        <f>INDEX(목표문구!$G$1:$G$1000,MATCH($B114,목표문구!$A$1:$A$1000,0))</f>
        <v>디저트는 나눠 먹기</v>
      </c>
      <c r="F114" s="36" t="s">
        <v>4034</v>
      </c>
      <c r="G114" s="28">
        <f t="shared" si="2"/>
        <v>18</v>
      </c>
      <c r="H114" s="28">
        <v>30</v>
      </c>
      <c r="I114" s="28">
        <v>36</v>
      </c>
      <c r="J114" s="28" t="str">
        <f t="shared" si="3"/>
        <v>OK</v>
      </c>
      <c r="K114" s="28" t="s">
        <v>4368</v>
      </c>
      <c r="L114" s="28"/>
    </row>
    <row r="115" spans="1:12">
      <c r="A115" s="28" t="s">
        <v>2739</v>
      </c>
      <c r="B115" s="28" t="s">
        <v>1673</v>
      </c>
      <c r="C115" s="28"/>
      <c r="D115" s="28" t="s">
        <v>391</v>
      </c>
      <c r="E115" s="29" t="str">
        <f>INDEX(목표문구!$G$1:$G$1000,MATCH($B115,목표문구!$A$1:$A$1000,0))</f>
        <v>찌개는 건더기만</v>
      </c>
      <c r="F115" s="36" t="s">
        <v>4035</v>
      </c>
      <c r="G115" s="28">
        <f t="shared" si="2"/>
        <v>23</v>
      </c>
      <c r="H115" s="28">
        <v>30</v>
      </c>
      <c r="I115" s="28">
        <v>36</v>
      </c>
      <c r="J115" s="28" t="str">
        <f t="shared" si="3"/>
        <v>OK</v>
      </c>
      <c r="K115" s="28" t="s">
        <v>4368</v>
      </c>
      <c r="L115" s="28"/>
    </row>
    <row r="116" spans="1:12">
      <c r="A116" s="28" t="s">
        <v>2739</v>
      </c>
      <c r="B116" s="28" t="s">
        <v>1676</v>
      </c>
      <c r="C116" s="28"/>
      <c r="D116" s="28" t="s">
        <v>391</v>
      </c>
      <c r="E116" s="29" t="str">
        <f>INDEX(목표문구!$G$1:$G$1000,MATCH($B116,목표문구!$A$1:$A$1000,0))</f>
        <v>국은 반 그릇만 담기</v>
      </c>
      <c r="F116" s="36" t="s">
        <v>4036</v>
      </c>
      <c r="G116" s="28">
        <f t="shared" si="2"/>
        <v>19</v>
      </c>
      <c r="H116" s="28">
        <v>30</v>
      </c>
      <c r="I116" s="28">
        <v>36</v>
      </c>
      <c r="J116" s="28" t="str">
        <f t="shared" si="3"/>
        <v>OK</v>
      </c>
      <c r="K116" s="28" t="s">
        <v>4368</v>
      </c>
      <c r="L116" s="28"/>
    </row>
    <row r="117" spans="1:12">
      <c r="A117" s="28" t="s">
        <v>2739</v>
      </c>
      <c r="B117" s="28" t="s">
        <v>1679</v>
      </c>
      <c r="C117" s="28"/>
      <c r="D117" s="28" t="s">
        <v>391</v>
      </c>
      <c r="E117" s="29" t="str">
        <f>INDEX(목표문구!$G$1:$G$1000,MATCH($B117,목표문구!$A$1:$A$1000,0))</f>
        <v>짠 반찬은 한 가지만</v>
      </c>
      <c r="F117" s="36" t="s">
        <v>4037</v>
      </c>
      <c r="G117" s="28">
        <f t="shared" si="2"/>
        <v>19</v>
      </c>
      <c r="H117" s="28">
        <v>30</v>
      </c>
      <c r="I117" s="28">
        <v>36</v>
      </c>
      <c r="J117" s="28" t="str">
        <f t="shared" si="3"/>
        <v>OK</v>
      </c>
      <c r="K117" s="28" t="s">
        <v>4368</v>
      </c>
      <c r="L117" s="28"/>
    </row>
    <row r="118" spans="1:12">
      <c r="A118" s="28" t="s">
        <v>2739</v>
      </c>
      <c r="B118" s="28" t="s">
        <v>1682</v>
      </c>
      <c r="C118" s="28"/>
      <c r="D118" s="28" t="s">
        <v>391</v>
      </c>
      <c r="E118" s="29" t="str">
        <f>INDEX(목표문구!$G$1:$G$1000,MATCH($B118,목표문구!$A$1:$A$1000,0))</f>
        <v>볶음밥 대신 흰밥</v>
      </c>
      <c r="F118" s="36" t="s">
        <v>4038</v>
      </c>
      <c r="G118" s="28">
        <f t="shared" si="2"/>
        <v>26</v>
      </c>
      <c r="H118" s="28">
        <v>30</v>
      </c>
      <c r="I118" s="28">
        <v>36</v>
      </c>
      <c r="J118" s="28" t="str">
        <f t="shared" si="3"/>
        <v>OK</v>
      </c>
      <c r="K118" s="28" t="s">
        <v>4368</v>
      </c>
      <c r="L118" s="28"/>
    </row>
    <row r="119" spans="1:12">
      <c r="A119" s="28" t="s">
        <v>2739</v>
      </c>
      <c r="B119" s="28" t="s">
        <v>1685</v>
      </c>
      <c r="C119" s="28"/>
      <c r="D119" s="28" t="s">
        <v>391</v>
      </c>
      <c r="E119" s="29" t="str">
        <f>INDEX(목표문구!$G$1:$G$1000,MATCH($B119,목표문구!$A$1:$A$1000,0))</f>
        <v>김치는 접시에 덜기</v>
      </c>
      <c r="F119" s="36" t="s">
        <v>4039</v>
      </c>
      <c r="G119" s="28">
        <f t="shared" si="2"/>
        <v>27</v>
      </c>
      <c r="H119" s="28">
        <v>30</v>
      </c>
      <c r="I119" s="28">
        <v>36</v>
      </c>
      <c r="J119" s="28" t="str">
        <f t="shared" si="3"/>
        <v>OK</v>
      </c>
      <c r="K119" s="28" t="s">
        <v>4368</v>
      </c>
      <c r="L119" s="28"/>
    </row>
    <row r="120" spans="1:12">
      <c r="A120" s="28" t="s">
        <v>2739</v>
      </c>
      <c r="B120" s="28" t="s">
        <v>1688</v>
      </c>
      <c r="C120" s="28"/>
      <c r="D120" s="28" t="s">
        <v>391</v>
      </c>
      <c r="E120" s="29" t="str">
        <f>INDEX(목표문구!$G$1:$G$1000,MATCH($B120,목표문구!$A$1:$A$1000,0))</f>
        <v>저녁 어제처럼 먹기</v>
      </c>
      <c r="F120" s="36" t="s">
        <v>4040</v>
      </c>
      <c r="G120" s="28">
        <f t="shared" si="2"/>
        <v>25</v>
      </c>
      <c r="H120" s="28">
        <v>30</v>
      </c>
      <c r="I120" s="28">
        <v>36</v>
      </c>
      <c r="J120" s="28" t="str">
        <f t="shared" si="3"/>
        <v>OK</v>
      </c>
      <c r="K120" s="28" t="s">
        <v>4368</v>
      </c>
      <c r="L120" s="28"/>
    </row>
    <row r="121" spans="1:12">
      <c r="A121" s="28" t="s">
        <v>2739</v>
      </c>
      <c r="B121" s="28" t="s">
        <v>1691</v>
      </c>
      <c r="C121" s="28"/>
      <c r="D121" s="28" t="s">
        <v>391</v>
      </c>
      <c r="E121" s="29" t="str">
        <f>INDEX(목표문구!$G$1:$G$1000,MATCH($B121,목표문구!$A$1:$A$1000,0))</f>
        <v>한 숟갈 양을 절반으로</v>
      </c>
      <c r="F121" s="36" t="s">
        <v>4041</v>
      </c>
      <c r="G121" s="28">
        <f t="shared" si="2"/>
        <v>19</v>
      </c>
      <c r="H121" s="28">
        <v>30</v>
      </c>
      <c r="I121" s="28">
        <v>36</v>
      </c>
      <c r="J121" s="28" t="str">
        <f t="shared" si="3"/>
        <v>OK</v>
      </c>
      <c r="K121" s="28" t="s">
        <v>4368</v>
      </c>
      <c r="L121" s="28"/>
    </row>
    <row r="122" spans="1:12">
      <c r="A122" s="28" t="s">
        <v>2739</v>
      </c>
      <c r="B122" s="28" t="s">
        <v>1695</v>
      </c>
      <c r="C122" s="28"/>
      <c r="D122" s="28" t="s">
        <v>391</v>
      </c>
      <c r="E122" s="29" t="str">
        <f>INDEX(목표문구!$G$1:$G$1000,MATCH($B122,목표문구!$A$1:$A$1000,0))</f>
        <v>중간에 한 번 멈추기</v>
      </c>
      <c r="F122" s="36" t="s">
        <v>4042</v>
      </c>
      <c r="G122" s="28">
        <f t="shared" si="2"/>
        <v>19</v>
      </c>
      <c r="H122" s="28">
        <v>30</v>
      </c>
      <c r="I122" s="28">
        <v>36</v>
      </c>
      <c r="J122" s="28" t="str">
        <f t="shared" si="3"/>
        <v>OK</v>
      </c>
      <c r="K122" s="28" t="s">
        <v>4368</v>
      </c>
      <c r="L122" s="28"/>
    </row>
    <row r="123" spans="1:12">
      <c r="A123" s="28" t="s">
        <v>2739</v>
      </c>
      <c r="B123" s="28" t="s">
        <v>1698</v>
      </c>
      <c r="C123" s="28"/>
      <c r="D123" s="28" t="s">
        <v>391</v>
      </c>
      <c r="E123" s="29" t="str">
        <f>INDEX(목표문구!$G$1:$G$1000,MATCH($B123,목표문구!$A$1:$A$1000,0))</f>
        <v>배부르면 잠깐 멈추기</v>
      </c>
      <c r="F123" s="36" t="s">
        <v>4043</v>
      </c>
      <c r="G123" s="28">
        <f t="shared" si="2"/>
        <v>24</v>
      </c>
      <c r="H123" s="28">
        <v>30</v>
      </c>
      <c r="I123" s="28">
        <v>36</v>
      </c>
      <c r="J123" s="28" t="str">
        <f t="shared" si="3"/>
        <v>OK</v>
      </c>
      <c r="K123" s="28" t="s">
        <v>4368</v>
      </c>
      <c r="L123" s="28"/>
    </row>
    <row r="124" spans="1:12">
      <c r="A124" s="28" t="s">
        <v>2739</v>
      </c>
      <c r="B124" s="28" t="s">
        <v>1701</v>
      </c>
      <c r="C124" s="28"/>
      <c r="D124" s="28" t="s">
        <v>391</v>
      </c>
      <c r="E124" s="29" t="str">
        <f>INDEX(목표문구!$G$1:$G$1000,MATCH($B124,목표문구!$A$1:$A$1000,0))</f>
        <v>간식은 삶은 달걀</v>
      </c>
      <c r="F124" s="36" t="s">
        <v>4044</v>
      </c>
      <c r="G124" s="28">
        <f t="shared" si="2"/>
        <v>21</v>
      </c>
      <c r="H124" s="28">
        <v>30</v>
      </c>
      <c r="I124" s="28">
        <v>36</v>
      </c>
      <c r="J124" s="28" t="str">
        <f t="shared" si="3"/>
        <v>OK</v>
      </c>
      <c r="K124" s="28" t="s">
        <v>4368</v>
      </c>
      <c r="L124" s="28"/>
    </row>
    <row r="125" spans="1:12">
      <c r="A125" s="28" t="s">
        <v>2739</v>
      </c>
      <c r="B125" s="28" t="s">
        <v>1704</v>
      </c>
      <c r="C125" s="28"/>
      <c r="D125" s="28" t="s">
        <v>391</v>
      </c>
      <c r="E125" s="29" t="str">
        <f>INDEX(목표문구!$G$1:$G$1000,MATCH($B125,목표문구!$A$1:$A$1000,0))</f>
        <v>닭가슴살 · 살코기</v>
      </c>
      <c r="F125" s="36" t="s">
        <v>4045</v>
      </c>
      <c r="G125" s="28">
        <f t="shared" si="2"/>
        <v>27</v>
      </c>
      <c r="H125" s="28">
        <v>30</v>
      </c>
      <c r="I125" s="28">
        <v>36</v>
      </c>
      <c r="J125" s="28" t="str">
        <f t="shared" si="3"/>
        <v>OK</v>
      </c>
      <c r="K125" s="28" t="s">
        <v>4368</v>
      </c>
      <c r="L125" s="28"/>
    </row>
    <row r="126" spans="1:12">
      <c r="A126" s="28" t="s">
        <v>2739</v>
      </c>
      <c r="B126" s="28" t="s">
        <v>1707</v>
      </c>
      <c r="C126" s="28"/>
      <c r="D126" s="28" t="s">
        <v>391</v>
      </c>
      <c r="E126" s="29" t="str">
        <f>INDEX(목표문구!$G$1:$G$1000,MATCH($B126,목표문구!$A$1:$A$1000,0))</f>
        <v>콩 반찬 하나 챙기기</v>
      </c>
      <c r="F126" s="36" t="s">
        <v>4046</v>
      </c>
      <c r="G126" s="28">
        <f t="shared" si="2"/>
        <v>13</v>
      </c>
      <c r="H126" s="28">
        <v>30</v>
      </c>
      <c r="I126" s="28">
        <v>36</v>
      </c>
      <c r="J126" s="28" t="str">
        <f t="shared" si="3"/>
        <v>OK</v>
      </c>
      <c r="K126" s="28" t="s">
        <v>4368</v>
      </c>
      <c r="L126" s="28"/>
    </row>
    <row r="127" spans="1:12">
      <c r="A127" s="28" t="s">
        <v>2739</v>
      </c>
      <c r="B127" s="28" t="s">
        <v>1710</v>
      </c>
      <c r="C127" s="28"/>
      <c r="D127" s="28" t="s">
        <v>391</v>
      </c>
      <c r="E127" s="29" t="str">
        <f>INDEX(목표문구!$G$1:$G$1000,MATCH($B127,목표문구!$A$1:$A$1000,0))</f>
        <v>저녁은 생선 · 두부로</v>
      </c>
      <c r="F127" s="36" t="s">
        <v>4047</v>
      </c>
      <c r="G127" s="28">
        <f t="shared" si="2"/>
        <v>23</v>
      </c>
      <c r="H127" s="28">
        <v>30</v>
      </c>
      <c r="I127" s="28">
        <v>36</v>
      </c>
      <c r="J127" s="28" t="str">
        <f t="shared" si="3"/>
        <v>OK</v>
      </c>
      <c r="K127" s="28" t="s">
        <v>4368</v>
      </c>
      <c r="L127" s="28"/>
    </row>
    <row r="128" spans="1:12">
      <c r="A128" s="28" t="s">
        <v>2739</v>
      </c>
      <c r="B128" s="28" t="s">
        <v>1713</v>
      </c>
      <c r="C128" s="28"/>
      <c r="D128" s="28" t="s">
        <v>391</v>
      </c>
      <c r="E128" s="29" t="str">
        <f>INDEX(목표문구!$G$1:$G$1000,MATCH($B128,목표문구!$A$1:$A$1000,0))</f>
        <v>볶음 대신 데친 반찬</v>
      </c>
      <c r="F128" s="36" t="s">
        <v>4048</v>
      </c>
      <c r="G128" s="28">
        <f t="shared" si="2"/>
        <v>26</v>
      </c>
      <c r="H128" s="28">
        <v>30</v>
      </c>
      <c r="I128" s="28">
        <v>36</v>
      </c>
      <c r="J128" s="28" t="str">
        <f t="shared" si="3"/>
        <v>OK</v>
      </c>
      <c r="K128" s="28" t="s">
        <v>4368</v>
      </c>
      <c r="L128" s="28"/>
    </row>
    <row r="129" spans="1:12">
      <c r="A129" s="28" t="s">
        <v>2739</v>
      </c>
      <c r="B129" s="28" t="s">
        <v>1716</v>
      </c>
      <c r="C129" s="28"/>
      <c r="D129" s="28" t="s">
        <v>391</v>
      </c>
      <c r="E129" s="29" t="str">
        <f>INDEX(목표문구!$G$1:$G$1000,MATCH($B129,목표문구!$A$1:$A$1000,0))</f>
        <v>아침거리 꺼내 두기</v>
      </c>
      <c r="F129" s="36" t="s">
        <v>4049</v>
      </c>
      <c r="G129" s="28">
        <f t="shared" si="2"/>
        <v>28</v>
      </c>
      <c r="H129" s="28">
        <v>30</v>
      </c>
      <c r="I129" s="28">
        <v>36</v>
      </c>
      <c r="J129" s="28" t="str">
        <f t="shared" si="3"/>
        <v>OK</v>
      </c>
      <c r="K129" s="28" t="s">
        <v>4368</v>
      </c>
      <c r="L129" s="28"/>
    </row>
    <row r="130" spans="1:12">
      <c r="A130" s="28" t="s">
        <v>2739</v>
      </c>
      <c r="B130" s="28" t="s">
        <v>1719</v>
      </c>
      <c r="C130" s="28"/>
      <c r="D130" s="28" t="s">
        <v>391</v>
      </c>
      <c r="E130" s="29" t="str">
        <f>INDEX(목표문구!$G$1:$G$1000,MATCH($B130,목표문구!$A$1:$A$1000,0))</f>
        <v>연휴에도 제때 먹기</v>
      </c>
      <c r="F130" s="36" t="s">
        <v>4050</v>
      </c>
      <c r="G130" s="28">
        <f t="shared" ref="G130:G193" si="4">LEN(F130)</f>
        <v>28</v>
      </c>
      <c r="H130" s="28">
        <v>30</v>
      </c>
      <c r="I130" s="28">
        <v>36</v>
      </c>
      <c r="J130" s="28" t="str">
        <f t="shared" ref="J130:J193" si="5">IF(F130="","비어 있음",IF(G130&lt;=H130,"OK",IF(G130&lt;=I130,"길이 주의","상한 초과")))</f>
        <v>OK</v>
      </c>
      <c r="K130" s="28" t="s">
        <v>4368</v>
      </c>
      <c r="L130" s="28"/>
    </row>
    <row r="131" spans="1:12">
      <c r="A131" s="28" t="s">
        <v>2739</v>
      </c>
      <c r="B131" s="28" t="s">
        <v>1722</v>
      </c>
      <c r="C131" s="28"/>
      <c r="D131" s="28" t="s">
        <v>391</v>
      </c>
      <c r="E131" s="29" t="str">
        <f>INDEX(목표문구!$G$1:$G$1000,MATCH($B131,목표문구!$A$1:$A$1000,0))</f>
        <v>아침에도 채소 한 가지</v>
      </c>
      <c r="F131" s="36" t="s">
        <v>4051</v>
      </c>
      <c r="G131" s="28">
        <f t="shared" si="4"/>
        <v>25</v>
      </c>
      <c r="H131" s="28">
        <v>30</v>
      </c>
      <c r="I131" s="28">
        <v>36</v>
      </c>
      <c r="J131" s="28" t="str">
        <f t="shared" si="5"/>
        <v>OK</v>
      </c>
      <c r="K131" s="28" t="s">
        <v>4368</v>
      </c>
      <c r="L131" s="28"/>
    </row>
    <row r="132" spans="1:12">
      <c r="A132" s="28" t="s">
        <v>2739</v>
      </c>
      <c r="B132" s="28" t="s">
        <v>1725</v>
      </c>
      <c r="C132" s="28"/>
      <c r="D132" s="28" t="s">
        <v>391</v>
      </c>
      <c r="E132" s="29" t="str">
        <f>INDEX(목표문구!$G$1:$G$1000,MATCH($B132,목표문구!$A$1:$A$1000,0))</f>
        <v>명절상 나물부터 먹기</v>
      </c>
      <c r="F132" s="36" t="s">
        <v>4052</v>
      </c>
      <c r="G132" s="28">
        <f t="shared" si="4"/>
        <v>29</v>
      </c>
      <c r="H132" s="28">
        <v>30</v>
      </c>
      <c r="I132" s="28">
        <v>36</v>
      </c>
      <c r="J132" s="28" t="str">
        <f t="shared" si="5"/>
        <v>OK</v>
      </c>
      <c r="K132" s="28" t="s">
        <v>4368</v>
      </c>
      <c r="L132" s="28"/>
    </row>
    <row r="133" spans="1:12">
      <c r="A133" s="28" t="s">
        <v>2739</v>
      </c>
      <c r="B133" s="28" t="s">
        <v>1728</v>
      </c>
      <c r="C133" s="28"/>
      <c r="D133" s="28" t="s">
        <v>391</v>
      </c>
      <c r="E133" s="29" t="str">
        <f>INDEX(목표문구!$G$1:$G$1000,MATCH($B133,목표문구!$A$1:$A$1000,0))</f>
        <v>명절 음료는 무가당으로</v>
      </c>
      <c r="F133" s="36" t="s">
        <v>4053</v>
      </c>
      <c r="G133" s="28">
        <f t="shared" si="4"/>
        <v>27</v>
      </c>
      <c r="H133" s="28">
        <v>30</v>
      </c>
      <c r="I133" s="28">
        <v>36</v>
      </c>
      <c r="J133" s="28" t="str">
        <f t="shared" si="5"/>
        <v>OK</v>
      </c>
      <c r="K133" s="28" t="s">
        <v>4368</v>
      </c>
      <c r="L133" s="28"/>
    </row>
    <row r="134" spans="1:12">
      <c r="A134" s="28" t="s">
        <v>2739</v>
      </c>
      <c r="B134" s="28" t="s">
        <v>1732</v>
      </c>
      <c r="C134" s="28"/>
      <c r="D134" s="28" t="s">
        <v>391</v>
      </c>
      <c r="E134" s="29" t="str">
        <f>INDEX(목표문구!$G$1:$G$1000,MATCH($B134,목표문구!$A$1:$A$1000,0))</f>
        <v>달달한 커피 쉬기</v>
      </c>
      <c r="F134" s="36" t="s">
        <v>4054</v>
      </c>
      <c r="G134" s="28">
        <f t="shared" si="4"/>
        <v>30</v>
      </c>
      <c r="H134" s="28">
        <v>30</v>
      </c>
      <c r="I134" s="28">
        <v>36</v>
      </c>
      <c r="J134" s="28" t="str">
        <f t="shared" si="5"/>
        <v>OK</v>
      </c>
      <c r="K134" s="28" t="s">
        <v>4368</v>
      </c>
      <c r="L134" s="28"/>
    </row>
    <row r="135" spans="1:12">
      <c r="A135" s="28" t="s">
        <v>2739</v>
      </c>
      <c r="B135" s="28" t="s">
        <v>1735</v>
      </c>
      <c r="C135" s="28"/>
      <c r="D135" s="28" t="s">
        <v>391</v>
      </c>
      <c r="E135" s="29" t="str">
        <f>INDEX(목표문구!$G$1:$G$1000,MATCH($B135,목표문구!$A$1:$A$1000,0))</f>
        <v>후식 없이 식사 마치기</v>
      </c>
      <c r="F135" s="36" t="s">
        <v>4055</v>
      </c>
      <c r="G135" s="28">
        <f t="shared" si="4"/>
        <v>25</v>
      </c>
      <c r="H135" s="28">
        <v>30</v>
      </c>
      <c r="I135" s="28">
        <v>36</v>
      </c>
      <c r="J135" s="28" t="str">
        <f t="shared" si="5"/>
        <v>OK</v>
      </c>
      <c r="K135" s="28" t="s">
        <v>4368</v>
      </c>
      <c r="L135" s="28"/>
    </row>
    <row r="136" spans="1:12">
      <c r="A136" s="28" t="s">
        <v>2739</v>
      </c>
      <c r="B136" s="28" t="s">
        <v>1738</v>
      </c>
      <c r="C136" s="28"/>
      <c r="D136" s="28" t="s">
        <v>391</v>
      </c>
      <c r="E136" s="29" t="str">
        <f>INDEX(목표문구!$G$1:$G$1000,MATCH($B136,목표문구!$A$1:$A$1000,0))</f>
        <v>식탁에 소금 안 두기</v>
      </c>
      <c r="F136" s="36" t="s">
        <v>4056</v>
      </c>
      <c r="G136" s="28">
        <f t="shared" si="4"/>
        <v>23</v>
      </c>
      <c r="H136" s="28">
        <v>30</v>
      </c>
      <c r="I136" s="28">
        <v>36</v>
      </c>
      <c r="J136" s="28" t="str">
        <f t="shared" si="5"/>
        <v>OK</v>
      </c>
      <c r="K136" s="28" t="s">
        <v>4368</v>
      </c>
      <c r="L136" s="28"/>
    </row>
    <row r="137" spans="1:12">
      <c r="A137" s="28" t="s">
        <v>2739</v>
      </c>
      <c r="B137" s="28" t="s">
        <v>1741</v>
      </c>
      <c r="C137" s="28"/>
      <c r="D137" s="28" t="s">
        <v>391</v>
      </c>
      <c r="E137" s="29" t="str">
        <f>INDEX(목표문구!$G$1:$G$1000,MATCH($B137,목표문구!$A$1:$A$1000,0))</f>
        <v>국은 마지막에 간하기</v>
      </c>
      <c r="F137" s="36" t="s">
        <v>4057</v>
      </c>
      <c r="G137" s="28">
        <f t="shared" si="4"/>
        <v>22</v>
      </c>
      <c r="H137" s="28">
        <v>30</v>
      </c>
      <c r="I137" s="28">
        <v>36</v>
      </c>
      <c r="J137" s="28" t="str">
        <f t="shared" si="5"/>
        <v>OK</v>
      </c>
      <c r="K137" s="28" t="s">
        <v>4368</v>
      </c>
      <c r="L137" s="28"/>
    </row>
    <row r="138" spans="1:12">
      <c r="A138" s="28" t="s">
        <v>2739</v>
      </c>
      <c r="B138" s="28" t="s">
        <v>1744</v>
      </c>
      <c r="C138" s="28"/>
      <c r="D138" s="28" t="s">
        <v>391</v>
      </c>
      <c r="E138" s="29" t="str">
        <f>INDEX(목표문구!$G$1:$G$1000,MATCH($B138,목표문구!$A$1:$A$1000,0))</f>
        <v>즉석식품 오늘은 쉬기</v>
      </c>
      <c r="F138" s="36" t="s">
        <v>4058</v>
      </c>
      <c r="G138" s="28">
        <f t="shared" si="4"/>
        <v>23</v>
      </c>
      <c r="H138" s="28">
        <v>30</v>
      </c>
      <c r="I138" s="28">
        <v>36</v>
      </c>
      <c r="J138" s="28" t="str">
        <f t="shared" si="5"/>
        <v>OK</v>
      </c>
      <c r="K138" s="28" t="s">
        <v>4368</v>
      </c>
      <c r="L138" s="28"/>
    </row>
    <row r="139" spans="1:12">
      <c r="A139" s="28" t="s">
        <v>2739</v>
      </c>
      <c r="B139" s="28" t="s">
        <v>1747</v>
      </c>
      <c r="C139" s="28"/>
      <c r="D139" s="28" t="s">
        <v>391</v>
      </c>
      <c r="E139" s="29" t="str">
        <f>INDEX(목표문구!$G$1:$G$1000,MATCH($B139,목표문구!$A$1:$A$1000,0))</f>
        <v>명절엔 국물 덜 먹기</v>
      </c>
      <c r="F139" s="36" t="s">
        <v>4059</v>
      </c>
      <c r="G139" s="28">
        <f t="shared" si="4"/>
        <v>22</v>
      </c>
      <c r="H139" s="28">
        <v>30</v>
      </c>
      <c r="I139" s="28">
        <v>36</v>
      </c>
      <c r="J139" s="28" t="str">
        <f t="shared" si="5"/>
        <v>OK</v>
      </c>
      <c r="K139" s="28" t="s">
        <v>4368</v>
      </c>
      <c r="L139" s="28"/>
    </row>
    <row r="140" spans="1:12">
      <c r="A140" s="28" t="s">
        <v>2739</v>
      </c>
      <c r="B140" s="28" t="s">
        <v>1750</v>
      </c>
      <c r="C140" s="28"/>
      <c r="D140" s="28" t="s">
        <v>391</v>
      </c>
      <c r="E140" s="29" t="str">
        <f>INDEX(목표문구!$G$1:$G$1000,MATCH($B140,목표문구!$A$1:$A$1000,0))</f>
        <v>저녁 후 부엌 정리</v>
      </c>
      <c r="F140" s="36" t="s">
        <v>4060</v>
      </c>
      <c r="G140" s="28">
        <f t="shared" si="4"/>
        <v>29</v>
      </c>
      <c r="H140" s="28">
        <v>30</v>
      </c>
      <c r="I140" s="28">
        <v>36</v>
      </c>
      <c r="J140" s="28" t="str">
        <f t="shared" si="5"/>
        <v>OK</v>
      </c>
      <c r="K140" s="28" t="s">
        <v>4368</v>
      </c>
      <c r="L140" s="28"/>
    </row>
    <row r="141" spans="1:12">
      <c r="A141" s="28" t="s">
        <v>2739</v>
      </c>
      <c r="B141" s="28" t="s">
        <v>1753</v>
      </c>
      <c r="C141" s="28"/>
      <c r="D141" s="28" t="s">
        <v>391</v>
      </c>
      <c r="E141" s="29" t="str">
        <f>INDEX(목표문구!$G$1:$G$1000,MATCH($B141,목표문구!$A$1:$A$1000,0))</f>
        <v>주말 저녁도 제때 먹기</v>
      </c>
      <c r="F141" s="36" t="s">
        <v>4061</v>
      </c>
      <c r="G141" s="28">
        <f t="shared" si="4"/>
        <v>22</v>
      </c>
      <c r="H141" s="28">
        <v>30</v>
      </c>
      <c r="I141" s="28">
        <v>36</v>
      </c>
      <c r="J141" s="28" t="str">
        <f t="shared" si="5"/>
        <v>OK</v>
      </c>
      <c r="K141" s="28" t="s">
        <v>4368</v>
      </c>
      <c r="L141" s="28"/>
    </row>
    <row r="142" spans="1:12">
      <c r="A142" s="28" t="s">
        <v>2739</v>
      </c>
      <c r="B142" s="28" t="s">
        <v>1756</v>
      </c>
      <c r="C142" s="28"/>
      <c r="D142" s="28" t="s">
        <v>391</v>
      </c>
      <c r="E142" s="29" t="str">
        <f>INDEX(목표문구!$G$1:$G$1000,MATCH($B142,목표문구!$A$1:$A$1000,0))</f>
        <v>명절 음식 먹을 만큼만</v>
      </c>
      <c r="F142" s="36" t="s">
        <v>4062</v>
      </c>
      <c r="G142" s="28">
        <f t="shared" si="4"/>
        <v>26</v>
      </c>
      <c r="H142" s="28">
        <v>30</v>
      </c>
      <c r="I142" s="28">
        <v>36</v>
      </c>
      <c r="J142" s="28" t="str">
        <f t="shared" si="5"/>
        <v>OK</v>
      </c>
      <c r="K142" s="28" t="s">
        <v>4368</v>
      </c>
      <c r="L142" s="28"/>
    </row>
    <row r="143" spans="1:12">
      <c r="A143" s="28" t="s">
        <v>2739</v>
      </c>
      <c r="B143" s="28" t="s">
        <v>1759</v>
      </c>
      <c r="C143" s="28"/>
      <c r="D143" s="28" t="s">
        <v>391</v>
      </c>
      <c r="E143" s="29" t="str">
        <f>INDEX(목표문구!$G$1:$G$1000,MATCH($B143,목표문구!$A$1:$A$1000,0))</f>
        <v>저녁에 두부 한 가지</v>
      </c>
      <c r="F143" s="36" t="s">
        <v>4063</v>
      </c>
      <c r="G143" s="28">
        <f t="shared" si="4"/>
        <v>23</v>
      </c>
      <c r="H143" s="28">
        <v>30</v>
      </c>
      <c r="I143" s="28">
        <v>36</v>
      </c>
      <c r="J143" s="28" t="str">
        <f t="shared" si="5"/>
        <v>OK</v>
      </c>
      <c r="K143" s="28" t="s">
        <v>4368</v>
      </c>
      <c r="L143" s="28"/>
    </row>
    <row r="144" spans="1:12">
      <c r="A144" s="28" t="s">
        <v>2739</v>
      </c>
      <c r="B144" s="28" t="s">
        <v>1762</v>
      </c>
      <c r="C144" s="28"/>
      <c r="D144" s="28" t="s">
        <v>391</v>
      </c>
      <c r="E144" s="29" t="str">
        <f>INDEX(목표문구!$G$1:$G$1000,MATCH($B144,목표문구!$A$1:$A$1000,0))</f>
        <v>아침 단백질까지 챙기기</v>
      </c>
      <c r="F144" s="36" t="s">
        <v>4064</v>
      </c>
      <c r="G144" s="28">
        <f t="shared" si="4"/>
        <v>28</v>
      </c>
      <c r="H144" s="28">
        <v>30</v>
      </c>
      <c r="I144" s="28">
        <v>36</v>
      </c>
      <c r="J144" s="28" t="str">
        <f t="shared" si="5"/>
        <v>OK</v>
      </c>
      <c r="K144" s="28" t="s">
        <v>4368</v>
      </c>
      <c r="L144" s="28"/>
    </row>
    <row r="145" spans="1:12">
      <c r="A145" s="28" t="s">
        <v>2739</v>
      </c>
      <c r="B145" s="28" t="s">
        <v>1765</v>
      </c>
      <c r="C145" s="28"/>
      <c r="D145" s="28" t="s">
        <v>391</v>
      </c>
      <c r="E145" s="29" t="str">
        <f>INDEX(목표문구!$G$1:$G$1000,MATCH($B145,목표문구!$A$1:$A$1000,0))</f>
        <v>기름 없이 굽기</v>
      </c>
      <c r="F145" s="36" t="s">
        <v>4065</v>
      </c>
      <c r="G145" s="28">
        <f t="shared" si="4"/>
        <v>17</v>
      </c>
      <c r="H145" s="28">
        <v>30</v>
      </c>
      <c r="I145" s="28">
        <v>36</v>
      </c>
      <c r="J145" s="28" t="str">
        <f t="shared" si="5"/>
        <v>OK</v>
      </c>
      <c r="K145" s="28" t="s">
        <v>4368</v>
      </c>
      <c r="L145" s="28"/>
    </row>
    <row r="146" spans="1:12">
      <c r="A146" s="28" t="s">
        <v>2739</v>
      </c>
      <c r="B146" s="28" t="s">
        <v>1768</v>
      </c>
      <c r="C146" s="28"/>
      <c r="D146" s="28" t="s">
        <v>391</v>
      </c>
      <c r="E146" s="29" t="str">
        <f>INDEX(목표문구!$G$1:$G$1000,MATCH($B146,목표문구!$A$1:$A$1000,0))</f>
        <v>전 · 튀김은 한 접시</v>
      </c>
      <c r="F146" s="36" t="s">
        <v>4066</v>
      </c>
      <c r="G146" s="28">
        <f t="shared" si="4"/>
        <v>23</v>
      </c>
      <c r="H146" s="28">
        <v>30</v>
      </c>
      <c r="I146" s="28">
        <v>36</v>
      </c>
      <c r="J146" s="28" t="str">
        <f t="shared" si="5"/>
        <v>OK</v>
      </c>
      <c r="K146" s="28" t="s">
        <v>4368</v>
      </c>
      <c r="L146" s="28"/>
    </row>
    <row r="147" spans="1:12">
      <c r="A147" s="28" t="s">
        <v>2739</v>
      </c>
      <c r="B147" s="28" t="s">
        <v>1771</v>
      </c>
      <c r="C147" s="28"/>
      <c r="D147" s="28" t="s">
        <v>391</v>
      </c>
      <c r="E147" s="29" t="str">
        <f>INDEX(목표문구!$G$1:$G$1000,MATCH($B147,목표문구!$A$1:$A$1000,0))</f>
        <v>편한 음식으로 한 끼</v>
      </c>
      <c r="F147" s="36" t="s">
        <v>4067</v>
      </c>
      <c r="G147" s="28">
        <f t="shared" si="4"/>
        <v>20</v>
      </c>
      <c r="H147" s="28">
        <v>30</v>
      </c>
      <c r="I147" s="28">
        <v>36</v>
      </c>
      <c r="J147" s="28" t="str">
        <f t="shared" si="5"/>
        <v>OK</v>
      </c>
      <c r="K147" s="28" t="s">
        <v>4368</v>
      </c>
      <c r="L147" s="28"/>
    </row>
    <row r="148" spans="1:12">
      <c r="A148" s="28" t="s">
        <v>2739</v>
      </c>
      <c r="B148" s="28" t="s">
        <v>1774</v>
      </c>
      <c r="C148" s="28"/>
      <c r="D148" s="28" t="s">
        <v>391</v>
      </c>
      <c r="E148" s="29" t="str">
        <f>INDEX(목표문구!$G$1:$G$1000,MATCH($B148,목표문구!$A$1:$A$1000,0))</f>
        <v>먹을 수 있는 것 먹기</v>
      </c>
      <c r="F148" s="36" t="s">
        <v>4068</v>
      </c>
      <c r="G148" s="28">
        <f t="shared" si="4"/>
        <v>20</v>
      </c>
      <c r="H148" s="28">
        <v>30</v>
      </c>
      <c r="I148" s="28">
        <v>36</v>
      </c>
      <c r="J148" s="28" t="str">
        <f t="shared" si="5"/>
        <v>OK</v>
      </c>
      <c r="K148" s="28" t="s">
        <v>4368</v>
      </c>
      <c r="L148" s="28"/>
    </row>
    <row r="149" spans="1:12">
      <c r="A149" s="28" t="s">
        <v>2739</v>
      </c>
      <c r="B149" s="28" t="s">
        <v>1777</v>
      </c>
      <c r="C149" s="28"/>
      <c r="D149" s="28" t="s">
        <v>391</v>
      </c>
      <c r="E149" s="29" t="str">
        <f>INDEX(목표문구!$G$1:$G$1000,MATCH($B149,목표문구!$A$1:$A$1000,0))</f>
        <v>저녁에 익힌 채소 하나</v>
      </c>
      <c r="F149" s="36" t="s">
        <v>4069</v>
      </c>
      <c r="G149" s="28">
        <f t="shared" si="4"/>
        <v>27</v>
      </c>
      <c r="H149" s="28">
        <v>30</v>
      </c>
      <c r="I149" s="28">
        <v>36</v>
      </c>
      <c r="J149" s="28" t="str">
        <f t="shared" si="5"/>
        <v>OK</v>
      </c>
      <c r="K149" s="28" t="s">
        <v>4368</v>
      </c>
      <c r="L149" s="28"/>
    </row>
    <row r="150" spans="1:12">
      <c r="A150" s="28" t="s">
        <v>2739</v>
      </c>
      <c r="B150" s="28" t="s">
        <v>1780</v>
      </c>
      <c r="C150" s="28"/>
      <c r="D150" s="28" t="s">
        <v>391</v>
      </c>
      <c r="E150" s="29" t="str">
        <f>INDEX(목표문구!$G$1:$G$1000,MATCH($B150,목표문구!$A$1:$A$1000,0))</f>
        <v>늦은 저녁 국물 줄이기</v>
      </c>
      <c r="F150" s="36" t="s">
        <v>4070</v>
      </c>
      <c r="G150" s="28">
        <f t="shared" si="4"/>
        <v>24</v>
      </c>
      <c r="H150" s="28">
        <v>30</v>
      </c>
      <c r="I150" s="28">
        <v>36</v>
      </c>
      <c r="J150" s="28" t="str">
        <f t="shared" si="5"/>
        <v>OK</v>
      </c>
      <c r="K150" s="28" t="s">
        <v>4368</v>
      </c>
      <c r="L150" s="28"/>
    </row>
    <row r="151" spans="1:12">
      <c r="A151" s="28" t="s">
        <v>2739</v>
      </c>
      <c r="B151" s="28" t="s">
        <v>1783</v>
      </c>
      <c r="C151" s="28"/>
      <c r="D151" s="28" t="s">
        <v>391</v>
      </c>
      <c r="E151" s="29" t="str">
        <f>INDEX(목표문구!$G$1:$G$1000,MATCH($B151,목표문구!$A$1:$A$1000,0))</f>
        <v>저녁 30분 당기기</v>
      </c>
      <c r="F151" s="36" t="s">
        <v>4071</v>
      </c>
      <c r="G151" s="28">
        <f t="shared" si="4"/>
        <v>26</v>
      </c>
      <c r="H151" s="28">
        <v>30</v>
      </c>
      <c r="I151" s="28">
        <v>36</v>
      </c>
      <c r="J151" s="28" t="str">
        <f t="shared" si="5"/>
        <v>OK</v>
      </c>
      <c r="K151" s="28" t="s">
        <v>4368</v>
      </c>
      <c r="L151" s="28"/>
    </row>
    <row r="152" spans="1:12">
      <c r="A152" s="28" t="s">
        <v>2739</v>
      </c>
      <c r="B152" s="28" t="s">
        <v>1786</v>
      </c>
      <c r="C152" s="28"/>
      <c r="D152" s="28" t="s">
        <v>391</v>
      </c>
      <c r="E152" s="29" t="str">
        <f>INDEX(목표문구!$G$1:$G$1000,MATCH($B152,목표문구!$A$1:$A$1000,0))</f>
        <v>약속 날도 제때 먹기</v>
      </c>
      <c r="F152" s="36" t="s">
        <v>4072</v>
      </c>
      <c r="G152" s="28">
        <f t="shared" si="4"/>
        <v>24</v>
      </c>
      <c r="H152" s="28">
        <v>30</v>
      </c>
      <c r="I152" s="28">
        <v>36</v>
      </c>
      <c r="J152" s="28" t="str">
        <f t="shared" si="5"/>
        <v>OK</v>
      </c>
      <c r="K152" s="28" t="s">
        <v>4368</v>
      </c>
      <c r="L152" s="28"/>
    </row>
    <row r="153" spans="1:12">
      <c r="A153" s="28" t="s">
        <v>2739</v>
      </c>
      <c r="B153" s="28" t="s">
        <v>1789</v>
      </c>
      <c r="C153" s="28"/>
      <c r="D153" s="28" t="s">
        <v>391</v>
      </c>
      <c r="E153" s="29" t="str">
        <f>INDEX(목표문구!$G$1:$G$1000,MATCH($B153,목표문구!$A$1:$A$1000,0))</f>
        <v>간식도 단백질로 챙기기</v>
      </c>
      <c r="F153" s="36" t="s">
        <v>4073</v>
      </c>
      <c r="G153" s="28">
        <f t="shared" si="4"/>
        <v>18</v>
      </c>
      <c r="H153" s="28">
        <v>30</v>
      </c>
      <c r="I153" s="28">
        <v>36</v>
      </c>
      <c r="J153" s="28" t="str">
        <f t="shared" si="5"/>
        <v>OK</v>
      </c>
      <c r="K153" s="28" t="s">
        <v>4368</v>
      </c>
      <c r="L153" s="28"/>
    </row>
    <row r="154" spans="1:12">
      <c r="A154" s="28" t="s">
        <v>2739</v>
      </c>
      <c r="B154" s="28" t="s">
        <v>1792</v>
      </c>
      <c r="C154" s="28"/>
      <c r="D154" s="28" t="s">
        <v>391</v>
      </c>
      <c r="E154" s="29" t="str">
        <f>INDEX(목표문구!$G$1:$G$1000,MATCH($B154,목표문구!$A$1:$A$1000,0))</f>
        <v>붉은 고기 없는 하루</v>
      </c>
      <c r="F154" s="36" t="s">
        <v>4074</v>
      </c>
      <c r="G154" s="28">
        <f t="shared" si="4"/>
        <v>19</v>
      </c>
      <c r="H154" s="28">
        <v>30</v>
      </c>
      <c r="I154" s="28">
        <v>36</v>
      </c>
      <c r="J154" s="28" t="str">
        <f t="shared" si="5"/>
        <v>OK</v>
      </c>
      <c r="K154" s="28" t="s">
        <v>4368</v>
      </c>
      <c r="L154" s="28"/>
    </row>
    <row r="155" spans="1:12">
      <c r="A155" s="28" t="s">
        <v>2739</v>
      </c>
      <c r="B155" s="28" t="s">
        <v>1795</v>
      </c>
      <c r="C155" s="28"/>
      <c r="D155" s="28" t="s">
        <v>391</v>
      </c>
      <c r="E155" s="29" t="str">
        <f>INDEX(목표문구!$G$1:$G$1000,MATCH($B155,목표문구!$A$1:$A$1000,0))</f>
        <v>튀김 대신 굽거나 찌기</v>
      </c>
      <c r="F155" s="36" t="s">
        <v>4075</v>
      </c>
      <c r="G155" s="28">
        <f t="shared" si="4"/>
        <v>30</v>
      </c>
      <c r="H155" s="28">
        <v>30</v>
      </c>
      <c r="I155" s="28">
        <v>36</v>
      </c>
      <c r="J155" s="28" t="str">
        <f t="shared" si="5"/>
        <v>OK</v>
      </c>
      <c r="K155" s="28" t="s">
        <v>4368</v>
      </c>
      <c r="L155" s="28"/>
    </row>
    <row r="156" spans="1:12">
      <c r="A156" s="28" t="s">
        <v>2739</v>
      </c>
      <c r="B156" s="28" t="s">
        <v>1798</v>
      </c>
      <c r="C156" s="28"/>
      <c r="D156" s="28" t="s">
        <v>391</v>
      </c>
      <c r="E156" s="29" t="str">
        <f>INDEX(목표문구!$G$1:$G$1000,MATCH($B156,목표문구!$A$1:$A$1000,0))</f>
        <v>혼자여도 상 차려 먹기</v>
      </c>
      <c r="F156" s="36" t="s">
        <v>4076</v>
      </c>
      <c r="G156" s="28">
        <f t="shared" si="4"/>
        <v>23</v>
      </c>
      <c r="H156" s="28">
        <v>30</v>
      </c>
      <c r="I156" s="28">
        <v>36</v>
      </c>
      <c r="J156" s="28" t="str">
        <f t="shared" si="5"/>
        <v>OK</v>
      </c>
      <c r="K156" s="28" t="s">
        <v>4368</v>
      </c>
      <c r="L156" s="28"/>
    </row>
    <row r="157" spans="1:12">
      <c r="A157" s="28" t="s">
        <v>2739</v>
      </c>
      <c r="B157" s="28" t="s">
        <v>1801</v>
      </c>
      <c r="C157" s="28"/>
      <c r="D157" s="28" t="s">
        <v>391</v>
      </c>
      <c r="E157" s="29" t="str">
        <f>INDEX(목표문구!$G$1:$G$1000,MATCH($B157,목표문구!$A$1:$A$1000,0))</f>
        <v>혼밥도 그릇에 덜기</v>
      </c>
      <c r="F157" s="36" t="s">
        <v>4077</v>
      </c>
      <c r="G157" s="28">
        <f t="shared" si="4"/>
        <v>27</v>
      </c>
      <c r="H157" s="28">
        <v>30</v>
      </c>
      <c r="I157" s="28">
        <v>36</v>
      </c>
      <c r="J157" s="28" t="str">
        <f t="shared" si="5"/>
        <v>OK</v>
      </c>
      <c r="K157" s="28" t="s">
        <v>4368</v>
      </c>
      <c r="L157" s="28"/>
    </row>
    <row r="158" spans="1:12">
      <c r="A158" s="28" t="s">
        <v>2739</v>
      </c>
      <c r="B158" s="28" t="s">
        <v>1804</v>
      </c>
      <c r="C158" s="28"/>
      <c r="D158" s="28" t="s">
        <v>391</v>
      </c>
      <c r="E158" s="29" t="str">
        <f>INDEX(목표문구!$G$1:$G$1000,MATCH($B158,목표문구!$A$1:$A$1000,0))</f>
        <v>혼밥에도 채소 한 가지</v>
      </c>
      <c r="F158" s="36" t="s">
        <v>4078</v>
      </c>
      <c r="G158" s="28">
        <f t="shared" si="4"/>
        <v>25</v>
      </c>
      <c r="H158" s="28">
        <v>30</v>
      </c>
      <c r="I158" s="28">
        <v>36</v>
      </c>
      <c r="J158" s="28" t="str">
        <f t="shared" si="5"/>
        <v>OK</v>
      </c>
      <c r="K158" s="28" t="s">
        <v>4368</v>
      </c>
      <c r="L158" s="28"/>
    </row>
    <row r="159" spans="1:12">
      <c r="A159" s="28" t="s">
        <v>2739</v>
      </c>
      <c r="B159" s="28" t="s">
        <v>1807</v>
      </c>
      <c r="C159" s="28"/>
      <c r="D159" s="28" t="s">
        <v>391</v>
      </c>
      <c r="E159" s="29" t="str">
        <f>INDEX(목표문구!$G$1:$G$1000,MATCH($B159,목표문구!$A$1:$A$1000,0))</f>
        <v>혼밥에도 단백질 챙기기</v>
      </c>
      <c r="F159" s="36" t="s">
        <v>4079</v>
      </c>
      <c r="G159" s="28">
        <f t="shared" si="4"/>
        <v>24</v>
      </c>
      <c r="H159" s="28">
        <v>30</v>
      </c>
      <c r="I159" s="28">
        <v>36</v>
      </c>
      <c r="J159" s="28" t="str">
        <f t="shared" si="5"/>
        <v>OK</v>
      </c>
      <c r="K159" s="28" t="s">
        <v>4368</v>
      </c>
      <c r="L159" s="28"/>
    </row>
    <row r="160" spans="1:12">
      <c r="A160" s="28" t="s">
        <v>2739</v>
      </c>
      <c r="B160" s="28" t="s">
        <v>1810</v>
      </c>
      <c r="C160" s="28"/>
      <c r="D160" s="28" t="s">
        <v>391</v>
      </c>
      <c r="E160" s="29" t="str">
        <f>INDEX(목표문구!$G$1:$G$1000,MATCH($B160,목표문구!$A$1:$A$1000,0))</f>
        <v>도시락에 채소 한 칸</v>
      </c>
      <c r="F160" s="36" t="s">
        <v>4080</v>
      </c>
      <c r="G160" s="28">
        <f t="shared" si="4"/>
        <v>25</v>
      </c>
      <c r="H160" s="28">
        <v>30</v>
      </c>
      <c r="I160" s="28">
        <v>36</v>
      </c>
      <c r="J160" s="28" t="str">
        <f t="shared" si="5"/>
        <v>OK</v>
      </c>
      <c r="K160" s="28" t="s">
        <v>4368</v>
      </c>
      <c r="L160" s="28"/>
    </row>
    <row r="161" spans="1:12">
      <c r="A161" s="28" t="s">
        <v>2739</v>
      </c>
      <c r="B161" s="28" t="s">
        <v>1813</v>
      </c>
      <c r="C161" s="28"/>
      <c r="D161" s="28" t="s">
        <v>391</v>
      </c>
      <c r="E161" s="29" t="str">
        <f>INDEX(목표문구!$G$1:$G$1000,MATCH($B161,목표문구!$A$1:$A$1000,0))</f>
        <v>도시락에 달걀 하나</v>
      </c>
      <c r="F161" s="36" t="s">
        <v>4081</v>
      </c>
      <c r="G161" s="28">
        <f t="shared" si="4"/>
        <v>23</v>
      </c>
      <c r="H161" s="28">
        <v>30</v>
      </c>
      <c r="I161" s="28">
        <v>36</v>
      </c>
      <c r="J161" s="28" t="str">
        <f t="shared" si="5"/>
        <v>OK</v>
      </c>
      <c r="K161" s="28" t="s">
        <v>4368</v>
      </c>
      <c r="L161" s="28"/>
    </row>
    <row r="162" spans="1:12">
      <c r="A162" s="28" t="s">
        <v>2739</v>
      </c>
      <c r="B162" s="28" t="s">
        <v>1816</v>
      </c>
      <c r="C162" s="28"/>
      <c r="D162" s="28" t="s">
        <v>391</v>
      </c>
      <c r="E162" s="29" t="str">
        <f>INDEX(목표문구!$G$1:$G$1000,MATCH($B162,목표문구!$A$1:$A$1000,0))</f>
        <v>도시락 국물은 빼기</v>
      </c>
      <c r="F162" s="36" t="s">
        <v>4082</v>
      </c>
      <c r="G162" s="28">
        <f t="shared" si="4"/>
        <v>26</v>
      </c>
      <c r="H162" s="28">
        <v>30</v>
      </c>
      <c r="I162" s="28">
        <v>36</v>
      </c>
      <c r="J162" s="28" t="str">
        <f t="shared" si="5"/>
        <v>OK</v>
      </c>
      <c r="K162" s="28" t="s">
        <v>4368</v>
      </c>
      <c r="L162" s="28"/>
    </row>
    <row r="163" spans="1:12">
      <c r="A163" s="28" t="s">
        <v>2739</v>
      </c>
      <c r="B163" s="28" t="s">
        <v>1819</v>
      </c>
      <c r="C163" s="28"/>
      <c r="D163" s="28" t="s">
        <v>391</v>
      </c>
      <c r="E163" s="29" t="str">
        <f>INDEX(목표문구!$G$1:$G$1000,MATCH($B163,목표문구!$A$1:$A$1000,0))</f>
        <v>도시락 반찬은 구이로</v>
      </c>
      <c r="F163" s="36" t="s">
        <v>4083</v>
      </c>
      <c r="G163" s="28">
        <f t="shared" si="4"/>
        <v>26</v>
      </c>
      <c r="H163" s="28">
        <v>30</v>
      </c>
      <c r="I163" s="28">
        <v>36</v>
      </c>
      <c r="J163" s="28" t="str">
        <f t="shared" si="5"/>
        <v>OK</v>
      </c>
      <c r="K163" s="28" t="s">
        <v>4368</v>
      </c>
      <c r="L163" s="28"/>
    </row>
    <row r="164" spans="1:12">
      <c r="A164" s="28" t="s">
        <v>2739</v>
      </c>
      <c r="B164" s="28" t="s">
        <v>1822</v>
      </c>
      <c r="C164" s="28"/>
      <c r="D164" s="28" t="s">
        <v>391</v>
      </c>
      <c r="E164" s="29" t="str">
        <f>INDEX(목표문구!$G$1:$G$1000,MATCH($B164,목표문구!$A$1:$A$1000,0))</f>
        <v>가족 반찬에 채소 하나</v>
      </c>
      <c r="F164" s="36" t="s">
        <v>4084</v>
      </c>
      <c r="G164" s="28">
        <f t="shared" si="4"/>
        <v>25</v>
      </c>
      <c r="H164" s="28">
        <v>30</v>
      </c>
      <c r="I164" s="28">
        <v>36</v>
      </c>
      <c r="J164" s="28" t="str">
        <f t="shared" si="5"/>
        <v>OK</v>
      </c>
      <c r="K164" s="28" t="s">
        <v>4368</v>
      </c>
      <c r="L164" s="28"/>
    </row>
    <row r="165" spans="1:12">
      <c r="A165" s="28" t="s">
        <v>2739</v>
      </c>
      <c r="B165" s="28" t="s">
        <v>1825</v>
      </c>
      <c r="C165" s="28"/>
      <c r="D165" s="28" t="s">
        <v>391</v>
      </c>
      <c r="E165" s="29" t="str">
        <f>INDEX(목표문구!$G$1:$G$1000,MATCH($B165,목표문구!$A$1:$A$1000,0))</f>
        <v>국은 각자 그릇에 덜기</v>
      </c>
      <c r="F165" s="36" t="s">
        <v>4085</v>
      </c>
      <c r="G165" s="28">
        <f t="shared" si="4"/>
        <v>23</v>
      </c>
      <c r="H165" s="28">
        <v>30</v>
      </c>
      <c r="I165" s="28">
        <v>36</v>
      </c>
      <c r="J165" s="28" t="str">
        <f t="shared" si="5"/>
        <v>OK</v>
      </c>
      <c r="K165" s="28" t="s">
        <v>4368</v>
      </c>
      <c r="L165" s="28"/>
    </row>
    <row r="166" spans="1:12">
      <c r="A166" s="28" t="s">
        <v>2739</v>
      </c>
      <c r="B166" s="28" t="s">
        <v>1828</v>
      </c>
      <c r="C166" s="28"/>
      <c r="D166" s="28" t="s">
        <v>391</v>
      </c>
      <c r="E166" s="29" t="str">
        <f>INDEX(목표문구!$G$1:$G$1000,MATCH($B166,목표문구!$A$1:$A$1000,0))</f>
        <v>내 속도에 맞춰 먹기</v>
      </c>
      <c r="F166" s="36" t="s">
        <v>4086</v>
      </c>
      <c r="G166" s="28">
        <f t="shared" si="4"/>
        <v>20</v>
      </c>
      <c r="H166" s="28">
        <v>30</v>
      </c>
      <c r="I166" s="28">
        <v>36</v>
      </c>
      <c r="J166" s="28" t="str">
        <f t="shared" si="5"/>
        <v>OK</v>
      </c>
      <c r="K166" s="28" t="s">
        <v>4368</v>
      </c>
      <c r="L166" s="28"/>
    </row>
    <row r="167" spans="1:12">
      <c r="A167" s="28" t="s">
        <v>2739</v>
      </c>
      <c r="B167" s="28" t="s">
        <v>1831</v>
      </c>
      <c r="C167" s="28"/>
      <c r="D167" s="28" t="s">
        <v>391</v>
      </c>
      <c r="E167" s="29" t="str">
        <f>INDEX(목표문구!$G$1:$G$1000,MATCH($B167,목표문구!$A$1:$A$1000,0))</f>
        <v>냉면 국물은 반만</v>
      </c>
      <c r="F167" s="36" t="s">
        <v>4087</v>
      </c>
      <c r="G167" s="28">
        <f t="shared" si="4"/>
        <v>26</v>
      </c>
      <c r="H167" s="28">
        <v>30</v>
      </c>
      <c r="I167" s="28">
        <v>36</v>
      </c>
      <c r="J167" s="28" t="str">
        <f t="shared" si="5"/>
        <v>OK</v>
      </c>
      <c r="K167" s="28" t="s">
        <v>4368</v>
      </c>
      <c r="L167" s="28"/>
    </row>
    <row r="168" spans="1:12">
      <c r="A168" s="28" t="s">
        <v>2739</v>
      </c>
      <c r="B168" s="28" t="s">
        <v>1834</v>
      </c>
      <c r="C168" s="28"/>
      <c r="D168" s="28" t="s">
        <v>391</v>
      </c>
      <c r="E168" s="29" t="str">
        <f>INDEX(목표문구!$G$1:$G$1000,MATCH($B168,목표문구!$A$1:$A$1000,0))</f>
        <v>국물 기름 걷어내기</v>
      </c>
      <c r="F168" s="36" t="s">
        <v>4088</v>
      </c>
      <c r="G168" s="28">
        <f t="shared" si="4"/>
        <v>21</v>
      </c>
      <c r="H168" s="28">
        <v>30</v>
      </c>
      <c r="I168" s="28">
        <v>36</v>
      </c>
      <c r="J168" s="28" t="str">
        <f t="shared" si="5"/>
        <v>OK</v>
      </c>
      <c r="K168" s="28" t="s">
        <v>4368</v>
      </c>
      <c r="L168" s="28"/>
    </row>
    <row r="169" spans="1:12">
      <c r="A169" s="28" t="s">
        <v>2739</v>
      </c>
      <c r="B169" s="28" t="s">
        <v>1837</v>
      </c>
      <c r="C169" s="28"/>
      <c r="D169" s="28" t="s">
        <v>391</v>
      </c>
      <c r="E169" s="29" t="str">
        <f>INDEX(목표문구!$G$1:$G$1000,MATCH($B169,목표문구!$A$1:$A$1000,0))</f>
        <v>더운 날 물부터 마시기</v>
      </c>
      <c r="F169" s="36" t="s">
        <v>4089</v>
      </c>
      <c r="G169" s="28">
        <f t="shared" si="4"/>
        <v>29</v>
      </c>
      <c r="H169" s="28">
        <v>30</v>
      </c>
      <c r="I169" s="28">
        <v>36</v>
      </c>
      <c r="J169" s="28" t="str">
        <f t="shared" si="5"/>
        <v>OK</v>
      </c>
      <c r="K169" s="28" t="s">
        <v>4368</v>
      </c>
      <c r="L169" s="28"/>
    </row>
    <row r="170" spans="1:12">
      <c r="A170" s="28" t="s">
        <v>2739</v>
      </c>
      <c r="B170" s="28" t="s">
        <v>1840</v>
      </c>
      <c r="C170" s="28"/>
      <c r="D170" s="28" t="s">
        <v>391</v>
      </c>
      <c r="E170" s="29" t="str">
        <f>INDEX(목표문구!$G$1:$G$1000,MATCH($B170,목표문구!$A$1:$A$1000,0))</f>
        <v>식후 커피는 무가당으로</v>
      </c>
      <c r="F170" s="36" t="s">
        <v>4090</v>
      </c>
      <c r="G170" s="28">
        <f t="shared" si="4"/>
        <v>30</v>
      </c>
      <c r="H170" s="28">
        <v>30</v>
      </c>
      <c r="I170" s="28">
        <v>36</v>
      </c>
      <c r="J170" s="28" t="str">
        <f t="shared" si="5"/>
        <v>OK</v>
      </c>
      <c r="K170" s="28" t="s">
        <v>4368</v>
      </c>
      <c r="L170" s="28"/>
    </row>
    <row r="171" spans="1:12">
      <c r="A171" s="28" t="s">
        <v>2739</v>
      </c>
      <c r="B171" s="28" t="s">
        <v>1843</v>
      </c>
      <c r="C171" s="28"/>
      <c r="D171" s="28" t="s">
        <v>391</v>
      </c>
      <c r="E171" s="29" t="str">
        <f>INDEX(목표문구!$G$1:$G$1000,MATCH($B171,목표문구!$A$1:$A$1000,0))</f>
        <v>목마르면 물부터 마시기</v>
      </c>
      <c r="F171" s="36" t="s">
        <v>4091</v>
      </c>
      <c r="G171" s="28">
        <f t="shared" si="4"/>
        <v>24</v>
      </c>
      <c r="H171" s="28">
        <v>30</v>
      </c>
      <c r="I171" s="28">
        <v>36</v>
      </c>
      <c r="J171" s="28" t="str">
        <f t="shared" si="5"/>
        <v>OK</v>
      </c>
      <c r="K171" s="28" t="s">
        <v>4368</v>
      </c>
      <c r="L171" s="28"/>
    </row>
    <row r="172" spans="1:12">
      <c r="A172" s="28" t="s">
        <v>2739</v>
      </c>
      <c r="B172" s="28" t="s">
        <v>1846</v>
      </c>
      <c r="C172" s="28"/>
      <c r="D172" s="28" t="s">
        <v>391</v>
      </c>
      <c r="E172" s="29" t="str">
        <f>INDEX(목표문구!$G$1:$G$1000,MATCH($B172,목표문구!$A$1:$A$1000,0))</f>
        <v>조금씩 자주 나눠 먹기</v>
      </c>
      <c r="F172" s="36" t="s">
        <v>4092</v>
      </c>
      <c r="G172" s="28">
        <f t="shared" si="4"/>
        <v>25</v>
      </c>
      <c r="H172" s="28">
        <v>30</v>
      </c>
      <c r="I172" s="28">
        <v>36</v>
      </c>
      <c r="J172" s="28" t="str">
        <f t="shared" si="5"/>
        <v>OK</v>
      </c>
      <c r="K172" s="28" t="s">
        <v>4368</v>
      </c>
      <c r="L172" s="28"/>
    </row>
    <row r="173" spans="1:12">
      <c r="A173" s="28" t="s">
        <v>2739</v>
      </c>
      <c r="B173" s="28" t="s">
        <v>1849</v>
      </c>
      <c r="C173" s="28"/>
      <c r="D173" s="28" t="s">
        <v>391</v>
      </c>
      <c r="E173" s="29" t="str">
        <f>INDEX(목표문구!$G$1:$G$1000,MATCH($B173,목표문구!$A$1:$A$1000,0))</f>
        <v>저녁은 익숙한 음식으로</v>
      </c>
      <c r="F173" s="36" t="s">
        <v>4093</v>
      </c>
      <c r="G173" s="28">
        <f t="shared" si="4"/>
        <v>24</v>
      </c>
      <c r="H173" s="28">
        <v>30</v>
      </c>
      <c r="I173" s="28">
        <v>36</v>
      </c>
      <c r="J173" s="28" t="str">
        <f t="shared" si="5"/>
        <v>OK</v>
      </c>
      <c r="K173" s="28" t="s">
        <v>4368</v>
      </c>
      <c r="L173" s="28"/>
    </row>
    <row r="174" spans="1:12">
      <c r="A174" s="28" t="s">
        <v>2739</v>
      </c>
      <c r="B174" s="28" t="s">
        <v>1852</v>
      </c>
      <c r="C174" s="28"/>
      <c r="D174" s="28" t="s">
        <v>391</v>
      </c>
      <c r="E174" s="29" t="str">
        <f>INDEX(목표문구!$G$1:$G$1000,MATCH($B174,목표문구!$A$1:$A$1000,0))</f>
        <v>저녁은 간단한 것으로</v>
      </c>
      <c r="F174" s="36" t="s">
        <v>4094</v>
      </c>
      <c r="G174" s="28">
        <f t="shared" si="4"/>
        <v>18</v>
      </c>
      <c r="H174" s="28">
        <v>30</v>
      </c>
      <c r="I174" s="28">
        <v>36</v>
      </c>
      <c r="J174" s="28" t="str">
        <f t="shared" si="5"/>
        <v>OK</v>
      </c>
      <c r="K174" s="28" t="s">
        <v>4368</v>
      </c>
      <c r="L174" s="28"/>
    </row>
    <row r="175" spans="1:12">
      <c r="A175" s="28" t="s">
        <v>2739</v>
      </c>
      <c r="B175" s="28" t="s">
        <v>1855</v>
      </c>
      <c r="C175" s="28"/>
      <c r="D175" s="28" t="s">
        <v>391</v>
      </c>
      <c r="E175" s="29" t="str">
        <f>INDEX(목표문구!$G$1:$G$1000,MATCH($B175,목표문구!$A$1:$A$1000,0))</f>
        <v>마신 음료 적어 보기</v>
      </c>
      <c r="F175" s="36" t="s">
        <v>4095</v>
      </c>
      <c r="G175" s="28">
        <f t="shared" si="4"/>
        <v>18</v>
      </c>
      <c r="H175" s="28">
        <v>30</v>
      </c>
      <c r="I175" s="28">
        <v>36</v>
      </c>
      <c r="J175" s="28" t="str">
        <f t="shared" si="5"/>
        <v>OK</v>
      </c>
      <c r="K175" s="28" t="s">
        <v>4368</v>
      </c>
      <c r="L175" s="28"/>
    </row>
    <row r="176" spans="1:12">
      <c r="A176" s="28" t="s">
        <v>2739</v>
      </c>
      <c r="B176" s="28" t="s">
        <v>1860</v>
      </c>
      <c r="C176" s="28"/>
      <c r="D176" s="28" t="s">
        <v>391</v>
      </c>
      <c r="E176" s="29" t="str">
        <f>INDEX(목표문구!$G$1:$G$1000,MATCH($B176,목표문구!$A$1:$A$1000,0))</f>
        <v>음료는 당류 표시 보기</v>
      </c>
      <c r="F176" s="36" t="s">
        <v>4096</v>
      </c>
      <c r="G176" s="28">
        <f t="shared" si="4"/>
        <v>27</v>
      </c>
      <c r="H176" s="28">
        <v>30</v>
      </c>
      <c r="I176" s="28">
        <v>36</v>
      </c>
      <c r="J176" s="28" t="str">
        <f t="shared" si="5"/>
        <v>OK</v>
      </c>
      <c r="K176" s="28" t="s">
        <v>4368</v>
      </c>
      <c r="L176" s="28"/>
    </row>
    <row r="177" spans="1:12">
      <c r="A177" s="28" t="s">
        <v>2739</v>
      </c>
      <c r="B177" s="28" t="s">
        <v>1863</v>
      </c>
      <c r="C177" s="28"/>
      <c r="D177" s="28" t="s">
        <v>391</v>
      </c>
      <c r="E177" s="29" t="str">
        <f>INDEX(목표문구!$G$1:$G$1000,MATCH($B177,목표문구!$A$1:$A$1000,0))</f>
        <v>마실 것 미리 정하기</v>
      </c>
      <c r="F177" s="36" t="s">
        <v>4097</v>
      </c>
      <c r="G177" s="28">
        <f t="shared" si="4"/>
        <v>22</v>
      </c>
      <c r="H177" s="28">
        <v>30</v>
      </c>
      <c r="I177" s="28">
        <v>36</v>
      </c>
      <c r="J177" s="28" t="str">
        <f t="shared" si="5"/>
        <v>OK</v>
      </c>
      <c r="K177" s="28" t="s">
        <v>4368</v>
      </c>
      <c r="L177" s="28"/>
    </row>
    <row r="178" spans="1:12">
      <c r="A178" s="28" t="s">
        <v>2739</v>
      </c>
      <c r="B178" s="28" t="s">
        <v>1866</v>
      </c>
      <c r="C178" s="28"/>
      <c r="D178" s="28" t="s">
        <v>391</v>
      </c>
      <c r="E178" s="29" t="str">
        <f>INDEX(목표문구!$G$1:$G$1000,MATCH($B178,목표문구!$A$1:$A$1000,0))</f>
        <v>한 입마다 수저 놓기</v>
      </c>
      <c r="F178" s="36" t="s">
        <v>4098</v>
      </c>
      <c r="G178" s="28">
        <f t="shared" si="4"/>
        <v>27</v>
      </c>
      <c r="H178" s="28">
        <v>30</v>
      </c>
      <c r="I178" s="28">
        <v>36</v>
      </c>
      <c r="J178" s="28" t="str">
        <f t="shared" si="5"/>
        <v>OK</v>
      </c>
      <c r="K178" s="28" t="s">
        <v>4368</v>
      </c>
      <c r="L178" s="28"/>
    </row>
    <row r="179" spans="1:12">
      <c r="A179" s="28" t="s">
        <v>2739</v>
      </c>
      <c r="B179" s="28" t="s">
        <v>1870</v>
      </c>
      <c r="C179" s="28"/>
      <c r="D179" s="28" t="s">
        <v>391</v>
      </c>
      <c r="E179" s="29" t="str">
        <f>INDEX(목표문구!$G$1:$G$1000,MATCH($B179,목표문구!$A$1:$A$1000,0))</f>
        <v>세 끼 천천히 먹기</v>
      </c>
      <c r="F179" s="36" t="s">
        <v>4099</v>
      </c>
      <c r="G179" s="28">
        <f t="shared" si="4"/>
        <v>20</v>
      </c>
      <c r="H179" s="28">
        <v>30</v>
      </c>
      <c r="I179" s="28">
        <v>36</v>
      </c>
      <c r="J179" s="28" t="str">
        <f t="shared" si="5"/>
        <v>OK</v>
      </c>
      <c r="K179" s="28" t="s">
        <v>4368</v>
      </c>
      <c r="L179" s="28"/>
    </row>
    <row r="180" spans="1:12">
      <c r="A180" s="28" t="s">
        <v>2739</v>
      </c>
      <c r="B180" s="28" t="s">
        <v>1873</v>
      </c>
      <c r="C180" s="28"/>
      <c r="D180" s="28" t="s">
        <v>391</v>
      </c>
      <c r="E180" s="29" t="str">
        <f>INDEX(목표문구!$G$1:$G$1000,MATCH($B180,목표문구!$A$1:$A$1000,0))</f>
        <v>아침 먹을 자리 치우기</v>
      </c>
      <c r="F180" s="36" t="s">
        <v>4100</v>
      </c>
      <c r="G180" s="28">
        <f t="shared" si="4"/>
        <v>26</v>
      </c>
      <c r="H180" s="28">
        <v>30</v>
      </c>
      <c r="I180" s="28">
        <v>36</v>
      </c>
      <c r="J180" s="28" t="str">
        <f t="shared" si="5"/>
        <v>OK</v>
      </c>
      <c r="K180" s="28" t="s">
        <v>4368</v>
      </c>
      <c r="L180" s="28"/>
    </row>
    <row r="181" spans="1:12">
      <c r="A181" s="28" t="s">
        <v>2739</v>
      </c>
      <c r="B181" s="28" t="s">
        <v>1877</v>
      </c>
      <c r="C181" s="28"/>
      <c r="D181" s="28" t="s">
        <v>391</v>
      </c>
      <c r="E181" s="29" t="str">
        <f>INDEX(목표문구!$G$1:$G$1000,MATCH($B181,목표문구!$A$1:$A$1000,0))</f>
        <v>내일 아침 시각 정하기</v>
      </c>
      <c r="F181" s="36" t="s">
        <v>4101</v>
      </c>
      <c r="G181" s="28">
        <f t="shared" si="4"/>
        <v>29</v>
      </c>
      <c r="H181" s="28">
        <v>30</v>
      </c>
      <c r="I181" s="28">
        <v>36</v>
      </c>
      <c r="J181" s="28" t="str">
        <f t="shared" si="5"/>
        <v>OK</v>
      </c>
      <c r="K181" s="28" t="s">
        <v>4368</v>
      </c>
      <c r="L181" s="28"/>
    </row>
    <row r="182" spans="1:12">
      <c r="A182" s="28" t="s">
        <v>2739</v>
      </c>
      <c r="B182" s="28" t="s">
        <v>1880</v>
      </c>
      <c r="C182" s="28"/>
      <c r="D182" s="28" t="s">
        <v>391</v>
      </c>
      <c r="E182" s="29" t="str">
        <f>INDEX(목표문구!$G$1:$G$1000,MATCH($B182,목표문구!$A$1:$A$1000,0))</f>
        <v>채소 미리 씻어 두기</v>
      </c>
      <c r="F182" s="36" t="s">
        <v>4102</v>
      </c>
      <c r="G182" s="28">
        <f t="shared" si="4"/>
        <v>26</v>
      </c>
      <c r="H182" s="28">
        <v>30</v>
      </c>
      <c r="I182" s="28">
        <v>36</v>
      </c>
      <c r="J182" s="28" t="str">
        <f t="shared" si="5"/>
        <v>OK</v>
      </c>
      <c r="K182" s="28" t="s">
        <v>4368</v>
      </c>
      <c r="L182" s="28"/>
    </row>
    <row r="183" spans="1:12">
      <c r="A183" s="28" t="s">
        <v>2739</v>
      </c>
      <c r="B183" s="28" t="s">
        <v>1884</v>
      </c>
      <c r="C183" s="28"/>
      <c r="D183" s="28" t="s">
        <v>391</v>
      </c>
      <c r="E183" s="29" t="str">
        <f>INDEX(목표문구!$G$1:$G$1000,MATCH($B183,목표문구!$A$1:$A$1000,0))</f>
        <v>장볼 때 채소 적기</v>
      </c>
      <c r="F183" s="36" t="s">
        <v>4103</v>
      </c>
      <c r="G183" s="28">
        <f t="shared" si="4"/>
        <v>28</v>
      </c>
      <c r="H183" s="28">
        <v>30</v>
      </c>
      <c r="I183" s="28">
        <v>36</v>
      </c>
      <c r="J183" s="28" t="str">
        <f t="shared" si="5"/>
        <v>OK</v>
      </c>
      <c r="K183" s="28" t="s">
        <v>4368</v>
      </c>
      <c r="L183" s="28"/>
    </row>
    <row r="184" spans="1:12">
      <c r="A184" s="28" t="s">
        <v>2739</v>
      </c>
      <c r="B184" s="28" t="s">
        <v>1887</v>
      </c>
      <c r="C184" s="28"/>
      <c r="D184" s="28" t="s">
        <v>391</v>
      </c>
      <c r="E184" s="29" t="str">
        <f>INDEX(목표문구!$G$1:$G$1000,MATCH($B184,목표문구!$A$1:$A$1000,0))</f>
        <v>달걀 미리 삶아 두기</v>
      </c>
      <c r="F184" s="36" t="s">
        <v>4104</v>
      </c>
      <c r="G184" s="28">
        <f t="shared" si="4"/>
        <v>23</v>
      </c>
      <c r="H184" s="28">
        <v>30</v>
      </c>
      <c r="I184" s="28">
        <v>36</v>
      </c>
      <c r="J184" s="28" t="str">
        <f t="shared" si="5"/>
        <v>OK</v>
      </c>
      <c r="K184" s="28" t="s">
        <v>4368</v>
      </c>
      <c r="L184" s="28"/>
    </row>
    <row r="185" spans="1:12">
      <c r="A185" s="28" t="s">
        <v>2739</v>
      </c>
      <c r="B185" s="28" t="s">
        <v>1890</v>
      </c>
      <c r="C185" s="28"/>
      <c r="D185" s="28" t="s">
        <v>391</v>
      </c>
      <c r="E185" s="29" t="str">
        <f>INDEX(목표문구!$G$1:$G$1000,MATCH($B185,목표문구!$A$1:$A$1000,0))</f>
        <v>내일 쓸 두부 준비하기</v>
      </c>
      <c r="F185" s="36" t="s">
        <v>4105</v>
      </c>
      <c r="G185" s="28">
        <f t="shared" si="4"/>
        <v>20</v>
      </c>
      <c r="H185" s="28">
        <v>30</v>
      </c>
      <c r="I185" s="28">
        <v>36</v>
      </c>
      <c r="J185" s="28" t="str">
        <f t="shared" si="5"/>
        <v>OK</v>
      </c>
      <c r="K185" s="28" t="s">
        <v>4368</v>
      </c>
      <c r="L185" s="28"/>
    </row>
    <row r="186" spans="1:12">
      <c r="A186" s="28" t="s">
        <v>2739</v>
      </c>
      <c r="B186" s="28" t="s">
        <v>1893</v>
      </c>
      <c r="C186" s="28"/>
      <c r="D186" s="28" t="s">
        <v>391</v>
      </c>
      <c r="E186" s="29" t="str">
        <f>INDEX(목표문구!$G$1:$G$1000,MATCH($B186,목표문구!$A$1:$A$1000,0))</f>
        <v>무카페인 차 꺼내 두기</v>
      </c>
      <c r="F186" s="36" t="s">
        <v>4106</v>
      </c>
      <c r="G186" s="28">
        <f t="shared" si="4"/>
        <v>17</v>
      </c>
      <c r="H186" s="28">
        <v>30</v>
      </c>
      <c r="I186" s="28">
        <v>36</v>
      </c>
      <c r="J186" s="28" t="str">
        <f t="shared" si="5"/>
        <v>OK</v>
      </c>
      <c r="K186" s="28" t="s">
        <v>4368</v>
      </c>
      <c r="L186" s="28"/>
    </row>
    <row r="187" spans="1:12">
      <c r="A187" s="28" t="s">
        <v>2739</v>
      </c>
      <c r="B187" s="28" t="s">
        <v>1897</v>
      </c>
      <c r="C187" s="28"/>
      <c r="D187" s="28" t="s">
        <v>391</v>
      </c>
      <c r="E187" s="29" t="str">
        <f>INDEX(목표문구!$G$1:$G$1000,MATCH($B187,목표문구!$A$1:$A$1000,0))</f>
        <v>내일 아침 미리 정하기</v>
      </c>
      <c r="F187" s="36" t="s">
        <v>4107</v>
      </c>
      <c r="G187" s="28">
        <f t="shared" si="4"/>
        <v>25</v>
      </c>
      <c r="H187" s="28">
        <v>30</v>
      </c>
      <c r="I187" s="28">
        <v>36</v>
      </c>
      <c r="J187" s="28" t="str">
        <f t="shared" si="5"/>
        <v>OK</v>
      </c>
      <c r="K187" s="28" t="s">
        <v>4368</v>
      </c>
      <c r="L187" s="28"/>
    </row>
    <row r="188" spans="1:12">
      <c r="A188" s="28" t="s">
        <v>2739</v>
      </c>
      <c r="B188" s="28" t="s">
        <v>1900</v>
      </c>
      <c r="C188" s="28"/>
      <c r="D188" s="28" t="s">
        <v>391</v>
      </c>
      <c r="E188" s="29" t="str">
        <f>INDEX(목표문구!$G$1:$G$1000,MATCH($B188,목표문구!$A$1:$A$1000,0))</f>
        <v>먹을 양 먼저 정하기</v>
      </c>
      <c r="F188" s="36" t="s">
        <v>4108</v>
      </c>
      <c r="G188" s="28">
        <f t="shared" si="4"/>
        <v>25</v>
      </c>
      <c r="H188" s="28">
        <v>30</v>
      </c>
      <c r="I188" s="28">
        <v>36</v>
      </c>
      <c r="J188" s="28" t="str">
        <f t="shared" si="5"/>
        <v>OK</v>
      </c>
      <c r="K188" s="28" t="s">
        <v>4368</v>
      </c>
      <c r="L188" s="28"/>
    </row>
    <row r="189" spans="1:12">
      <c r="A189" s="28" t="s">
        <v>2739</v>
      </c>
      <c r="B189" s="28" t="s">
        <v>1902</v>
      </c>
      <c r="C189" s="28"/>
      <c r="D189" s="28" t="s">
        <v>391</v>
      </c>
      <c r="E189" s="29" t="str">
        <f>INDEX(목표문구!$G$1:$G$1000,MATCH($B189,목표문구!$A$1:$A$1000,0))</f>
        <v>꼭꼭 씹어 먹기</v>
      </c>
      <c r="F189" s="36" t="s">
        <v>4109</v>
      </c>
      <c r="G189" s="28">
        <f t="shared" si="4"/>
        <v>9</v>
      </c>
      <c r="H189" s="28">
        <v>30</v>
      </c>
      <c r="I189" s="28">
        <v>36</v>
      </c>
      <c r="J189" s="28" t="str">
        <f t="shared" si="5"/>
        <v>OK</v>
      </c>
      <c r="K189" s="28" t="s">
        <v>4368</v>
      </c>
      <c r="L189" s="28"/>
    </row>
    <row r="190" spans="1:12">
      <c r="A190" s="28" t="s">
        <v>2739</v>
      </c>
      <c r="B190" s="28" t="s">
        <v>1904</v>
      </c>
      <c r="C190" s="28"/>
      <c r="D190" s="28" t="s">
        <v>391</v>
      </c>
      <c r="E190" s="29" t="str">
        <f>INDEX(목표문구!$G$1:$G$1000,MATCH($B190,목표문구!$A$1:$A$1000,0))</f>
        <v>마가린·쇼트닝 빼기</v>
      </c>
      <c r="F190" s="36" t="s">
        <v>4110</v>
      </c>
      <c r="G190" s="28">
        <f t="shared" si="4"/>
        <v>29</v>
      </c>
      <c r="H190" s="28">
        <v>30</v>
      </c>
      <c r="I190" s="28">
        <v>36</v>
      </c>
      <c r="J190" s="28" t="str">
        <f t="shared" si="5"/>
        <v>OK</v>
      </c>
      <c r="K190" s="28" t="s">
        <v>4368</v>
      </c>
      <c r="L190" s="28"/>
    </row>
    <row r="191" spans="1:12">
      <c r="A191" s="28" t="s">
        <v>2739</v>
      </c>
      <c r="B191" s="28" t="s">
        <v>1906</v>
      </c>
      <c r="C191" s="28"/>
      <c r="D191" s="28" t="s">
        <v>391</v>
      </c>
      <c r="E191" s="29" t="str">
        <f>INDEX(목표문구!$G$1:$G$1000,MATCH($B191,목표문구!$A$1:$A$1000,0))</f>
        <v>고기 기름 떼고 먹기</v>
      </c>
      <c r="F191" s="36" t="s">
        <v>4111</v>
      </c>
      <c r="G191" s="28">
        <f t="shared" si="4"/>
        <v>22</v>
      </c>
      <c r="H191" s="28">
        <v>30</v>
      </c>
      <c r="I191" s="28">
        <v>36</v>
      </c>
      <c r="J191" s="28" t="str">
        <f t="shared" si="5"/>
        <v>OK</v>
      </c>
      <c r="K191" s="28" t="s">
        <v>4368</v>
      </c>
      <c r="L191" s="28"/>
    </row>
    <row r="192" spans="1:12">
      <c r="A192" s="28" t="s">
        <v>2739</v>
      </c>
      <c r="B192" s="28" t="s">
        <v>1907</v>
      </c>
      <c r="C192" s="28"/>
      <c r="D192" s="28" t="s">
        <v>391</v>
      </c>
      <c r="E192" s="29" t="str">
        <f>INDEX(목표문구!$G$1:$G$1000,MATCH($B192,목표문구!$A$1:$A$1000,0))</f>
        <v>포화지방 표시 보기</v>
      </c>
      <c r="F192" s="36" t="s">
        <v>4112</v>
      </c>
      <c r="G192" s="28">
        <f t="shared" si="4"/>
        <v>26</v>
      </c>
      <c r="H192" s="28">
        <v>30</v>
      </c>
      <c r="I192" s="28">
        <v>36</v>
      </c>
      <c r="J192" s="28" t="str">
        <f t="shared" si="5"/>
        <v>OK</v>
      </c>
      <c r="K192" s="28" t="s">
        <v>4368</v>
      </c>
      <c r="L192" s="28"/>
    </row>
    <row r="193" spans="1:12">
      <c r="A193" s="28" t="s">
        <v>2739</v>
      </c>
      <c r="B193" s="28" t="s">
        <v>1909</v>
      </c>
      <c r="C193" s="28"/>
      <c r="D193" s="28" t="s">
        <v>391</v>
      </c>
      <c r="E193" s="29" t="str">
        <f>INDEX(목표문구!$G$1:$G$1000,MATCH($B193,목표문구!$A$1:$A$1000,0))</f>
        <v>버섯·다시마로 맛내기</v>
      </c>
      <c r="F193" s="36" t="s">
        <v>4113</v>
      </c>
      <c r="G193" s="28">
        <f t="shared" si="4"/>
        <v>28</v>
      </c>
      <c r="H193" s="28">
        <v>30</v>
      </c>
      <c r="I193" s="28">
        <v>36</v>
      </c>
      <c r="J193" s="28" t="str">
        <f t="shared" si="5"/>
        <v>OK</v>
      </c>
      <c r="K193" s="28" t="s">
        <v>4368</v>
      </c>
      <c r="L193" s="28"/>
    </row>
    <row r="194" spans="1:12">
      <c r="A194" s="28" t="s">
        <v>2739</v>
      </c>
      <c r="B194" s="28" t="s">
        <v>1911</v>
      </c>
      <c r="C194" s="28"/>
      <c r="D194" s="28" t="s">
        <v>391</v>
      </c>
      <c r="E194" s="29" t="str">
        <f>INDEX(목표문구!$G$1:$G$1000,MATCH($B194,목표문구!$A$1:$A$1000,0))</f>
        <v>덜 짠 제품 고르기</v>
      </c>
      <c r="F194" s="36" t="s">
        <v>4114</v>
      </c>
      <c r="G194" s="28">
        <f t="shared" ref="G194:G221" si="6">LEN(F194)</f>
        <v>26</v>
      </c>
      <c r="H194" s="28">
        <v>30</v>
      </c>
      <c r="I194" s="28">
        <v>36</v>
      </c>
      <c r="J194" s="28" t="str">
        <f t="shared" ref="J194:J221" si="7">IF(F194="","비어 있음",IF(G194&lt;=H194,"OK",IF(G194&lt;=I194,"길이 주의","상한 초과")))</f>
        <v>OK</v>
      </c>
      <c r="K194" s="28" t="s">
        <v>4368</v>
      </c>
      <c r="L194" s="28"/>
    </row>
    <row r="195" spans="1:12">
      <c r="A195" s="28" t="s">
        <v>2739</v>
      </c>
      <c r="B195" s="28" t="s">
        <v>1912</v>
      </c>
      <c r="C195" s="28"/>
      <c r="D195" s="28" t="s">
        <v>391</v>
      </c>
      <c r="E195" s="29" t="str">
        <f>INDEX(목표문구!$G$1:$G$1000,MATCH($B195,목표문구!$A$1:$A$1000,0))</f>
        <v>반찬 하나는 콩·두부로</v>
      </c>
      <c r="F195" s="36" t="s">
        <v>4115</v>
      </c>
      <c r="G195" s="28">
        <f t="shared" si="6"/>
        <v>19</v>
      </c>
      <c r="H195" s="28">
        <v>30</v>
      </c>
      <c r="I195" s="28">
        <v>36</v>
      </c>
      <c r="J195" s="28" t="str">
        <f t="shared" si="7"/>
        <v>OK</v>
      </c>
      <c r="K195" s="28" t="s">
        <v>4368</v>
      </c>
      <c r="L195" s="28"/>
    </row>
    <row r="196" spans="1:12">
      <c r="A196" s="28" t="s">
        <v>2739</v>
      </c>
      <c r="B196" s="28" t="s">
        <v>1914</v>
      </c>
      <c r="C196" s="28"/>
      <c r="D196" s="28" t="s">
        <v>391</v>
      </c>
      <c r="E196" s="29" t="str">
        <f>INDEX(목표문구!$G$1:$G$1000,MATCH($B196,목표문구!$A$1:$A$1000,0))</f>
        <v>간식도 당류 표시 보기</v>
      </c>
      <c r="F196" s="36" t="s">
        <v>4116</v>
      </c>
      <c r="G196" s="28">
        <f t="shared" si="6"/>
        <v>27</v>
      </c>
      <c r="H196" s="28">
        <v>30</v>
      </c>
      <c r="I196" s="28">
        <v>36</v>
      </c>
      <c r="J196" s="28" t="str">
        <f t="shared" si="7"/>
        <v>OK</v>
      </c>
      <c r="K196" s="28" t="s">
        <v>4368</v>
      </c>
      <c r="L196" s="28"/>
    </row>
    <row r="197" spans="1:12">
      <c r="A197" s="28" t="s">
        <v>2739</v>
      </c>
      <c r="B197" s="28" t="s">
        <v>1916</v>
      </c>
      <c r="C197" s="28"/>
      <c r="D197" s="28" t="s">
        <v>391</v>
      </c>
      <c r="E197" s="29" t="str">
        <f>INDEX(목표문구!$G$1:$G$1000,MATCH($B197,목표문구!$A$1:$A$1000,0))</f>
        <v>세 끼 시간 정해 두기</v>
      </c>
      <c r="F197" s="36" t="s">
        <v>4117</v>
      </c>
      <c r="G197" s="28">
        <f t="shared" si="6"/>
        <v>25</v>
      </c>
      <c r="H197" s="28">
        <v>30</v>
      </c>
      <c r="I197" s="28">
        <v>36</v>
      </c>
      <c r="J197" s="28" t="str">
        <f t="shared" si="7"/>
        <v>OK</v>
      </c>
      <c r="K197" s="28" t="s">
        <v>4368</v>
      </c>
      <c r="L197" s="28"/>
    </row>
    <row r="198" spans="1:12">
      <c r="A198" s="28" t="s">
        <v>2739</v>
      </c>
      <c r="B198" s="28" t="s">
        <v>1917</v>
      </c>
      <c r="C198" s="28"/>
      <c r="D198" s="28" t="s">
        <v>391</v>
      </c>
      <c r="E198" s="29" t="str">
        <f>INDEX(목표문구!$G$1:$G$1000,MATCH($B198,목표문구!$A$1:$A$1000,0))</f>
        <v>아침 시간 정해 두기</v>
      </c>
      <c r="F198" s="36" t="s">
        <v>4118</v>
      </c>
      <c r="G198" s="28">
        <f t="shared" si="6"/>
        <v>20</v>
      </c>
      <c r="H198" s="28">
        <v>30</v>
      </c>
      <c r="I198" s="28">
        <v>36</v>
      </c>
      <c r="J198" s="28" t="str">
        <f t="shared" si="7"/>
        <v>OK</v>
      </c>
      <c r="K198" s="28" t="s">
        <v>4368</v>
      </c>
      <c r="L198" s="28"/>
    </row>
    <row r="199" spans="1:12">
      <c r="A199" s="28" t="s">
        <v>2739</v>
      </c>
      <c r="B199" s="28" t="s">
        <v>1918</v>
      </c>
      <c r="C199" s="28"/>
      <c r="D199" s="28" t="s">
        <v>391</v>
      </c>
      <c r="E199" s="29" t="str">
        <f>INDEX(목표문구!$G$1:$G$1000,MATCH($B199,목표문구!$A$1:$A$1000,0))</f>
        <v>야식도 그릇에 덜기</v>
      </c>
      <c r="F199" s="36" t="s">
        <v>4119</v>
      </c>
      <c r="G199" s="28">
        <f t="shared" si="6"/>
        <v>27</v>
      </c>
      <c r="H199" s="28">
        <v>30</v>
      </c>
      <c r="I199" s="28">
        <v>36</v>
      </c>
      <c r="J199" s="28" t="str">
        <f t="shared" si="7"/>
        <v>OK</v>
      </c>
      <c r="K199" s="28" t="s">
        <v>4368</v>
      </c>
      <c r="L199" s="28"/>
    </row>
    <row r="200" spans="1:12">
      <c r="A200" s="28" t="s">
        <v>2739</v>
      </c>
      <c r="B200" s="28" t="s">
        <v>1919</v>
      </c>
      <c r="C200" s="28"/>
      <c r="D200" s="28" t="s">
        <v>391</v>
      </c>
      <c r="E200" s="29" t="str">
        <f>INDEX(목표문구!$G$1:$G$1000,MATCH($B200,목표문구!$A$1:$A$1000,0))</f>
        <v>저녁 후 물 한 잔</v>
      </c>
      <c r="F200" s="36" t="s">
        <v>4120</v>
      </c>
      <c r="G200" s="28">
        <f t="shared" si="6"/>
        <v>29</v>
      </c>
      <c r="H200" s="28">
        <v>30</v>
      </c>
      <c r="I200" s="28">
        <v>36</v>
      </c>
      <c r="J200" s="28" t="str">
        <f t="shared" si="7"/>
        <v>OK</v>
      </c>
      <c r="K200" s="28" t="s">
        <v>4368</v>
      </c>
      <c r="L200" s="28"/>
    </row>
    <row r="201" spans="1:12">
      <c r="A201" s="28" t="s">
        <v>2739</v>
      </c>
      <c r="B201" s="28" t="s">
        <v>1920</v>
      </c>
      <c r="C201" s="28"/>
      <c r="D201" s="28" t="s">
        <v>391</v>
      </c>
      <c r="E201" s="29" t="str">
        <f>INDEX(목표문구!$G$1:$G$1000,MATCH($B201,목표문구!$A$1:$A$1000,0))</f>
        <v>반찬은 먹을 만큼만</v>
      </c>
      <c r="F201" s="36" t="s">
        <v>4121</v>
      </c>
      <c r="G201" s="28">
        <f t="shared" si="6"/>
        <v>25</v>
      </c>
      <c r="H201" s="28">
        <v>30</v>
      </c>
      <c r="I201" s="28">
        <v>36</v>
      </c>
      <c r="J201" s="28" t="str">
        <f t="shared" si="7"/>
        <v>OK</v>
      </c>
      <c r="K201" s="28" t="s">
        <v>4368</v>
      </c>
      <c r="L201" s="28"/>
    </row>
    <row r="202" spans="1:12">
      <c r="A202" s="28" t="s">
        <v>2739</v>
      </c>
      <c r="B202" s="28" t="s">
        <v>1921</v>
      </c>
      <c r="C202" s="28"/>
      <c r="D202" s="28" t="s">
        <v>391</v>
      </c>
      <c r="E202" s="29" t="str">
        <f>INDEX(목표문구!$G$1:$G$1000,MATCH($B202,목표문구!$A$1:$A$1000,0))</f>
        <v>버터 대신 올리브유</v>
      </c>
      <c r="F202" s="36" t="s">
        <v>4122</v>
      </c>
      <c r="G202" s="28">
        <f t="shared" si="6"/>
        <v>27</v>
      </c>
      <c r="H202" s="28">
        <v>30</v>
      </c>
      <c r="I202" s="28">
        <v>36</v>
      </c>
      <c r="J202" s="28" t="str">
        <f t="shared" si="7"/>
        <v>OK</v>
      </c>
      <c r="K202" s="28" t="s">
        <v>4368</v>
      </c>
      <c r="L202" s="28"/>
    </row>
    <row r="203" spans="1:12">
      <c r="A203" s="28" t="s">
        <v>2739</v>
      </c>
      <c r="B203" s="28" t="s">
        <v>1922</v>
      </c>
      <c r="C203" s="28"/>
      <c r="D203" s="28" t="s">
        <v>391</v>
      </c>
      <c r="E203" s="29" t="str">
        <f>INDEX(목표문구!$G$1:$G$1000,MATCH($B203,목표문구!$A$1:$A$1000,0))</f>
        <v>무침은 들기름으로</v>
      </c>
      <c r="F203" s="36" t="s">
        <v>4123</v>
      </c>
      <c r="G203" s="28">
        <f t="shared" si="6"/>
        <v>23</v>
      </c>
      <c r="H203" s="28">
        <v>30</v>
      </c>
      <c r="I203" s="28">
        <v>36</v>
      </c>
      <c r="J203" s="28" t="str">
        <f t="shared" si="7"/>
        <v>OK</v>
      </c>
      <c r="K203" s="28" t="s">
        <v>4368</v>
      </c>
      <c r="L203" s="28"/>
    </row>
    <row r="204" spans="1:12">
      <c r="A204" s="28" t="s">
        <v>2739</v>
      </c>
      <c r="B204" s="28" t="s">
        <v>1924</v>
      </c>
      <c r="C204" s="28"/>
      <c r="D204" s="28" t="s">
        <v>391</v>
      </c>
      <c r="E204" s="29" t="str">
        <f>INDEX(목표문구!$G$1:$G$1000,MATCH($B204,목표문구!$A$1:$A$1000,0))</f>
        <v>마요 대신 머스터드</v>
      </c>
      <c r="F204" s="36" t="s">
        <v>4124</v>
      </c>
      <c r="G204" s="28">
        <f t="shared" si="6"/>
        <v>23</v>
      </c>
      <c r="H204" s="28">
        <v>30</v>
      </c>
      <c r="I204" s="28">
        <v>36</v>
      </c>
      <c r="J204" s="28" t="str">
        <f t="shared" si="7"/>
        <v>OK</v>
      </c>
      <c r="K204" s="28" t="s">
        <v>4368</v>
      </c>
      <c r="L204" s="28"/>
    </row>
    <row r="205" spans="1:12">
      <c r="A205" s="28" t="s">
        <v>2739</v>
      </c>
      <c r="B205" s="28" t="s">
        <v>1925</v>
      </c>
      <c r="C205" s="28"/>
      <c r="D205" s="28" t="s">
        <v>391</v>
      </c>
      <c r="E205" s="29" t="str">
        <f>INDEX(목표문구!$G$1:$G$1000,MATCH($B205,목표문구!$A$1:$A$1000,0))</f>
        <v>크림소스 대신 토마토</v>
      </c>
      <c r="F205" s="36" t="s">
        <v>4125</v>
      </c>
      <c r="G205" s="28">
        <f t="shared" si="6"/>
        <v>23</v>
      </c>
      <c r="H205" s="28">
        <v>30</v>
      </c>
      <c r="I205" s="28">
        <v>36</v>
      </c>
      <c r="J205" s="28" t="str">
        <f t="shared" si="7"/>
        <v>OK</v>
      </c>
      <c r="K205" s="28" t="s">
        <v>4368</v>
      </c>
      <c r="L205" s="28"/>
    </row>
    <row r="206" spans="1:12">
      <c r="A206" s="28" t="s">
        <v>2739</v>
      </c>
      <c r="B206" s="28" t="s">
        <v>1926</v>
      </c>
      <c r="C206" s="28"/>
      <c r="D206" s="28" t="s">
        <v>391</v>
      </c>
      <c r="E206" s="29" t="str">
        <f>INDEX(목표문구!$G$1:$G$1000,MATCH($B206,목표문구!$A$1:$A$1000,0))</f>
        <v>닭은 껍질 빼고</v>
      </c>
      <c r="F206" s="36" t="s">
        <v>4126</v>
      </c>
      <c r="G206" s="28">
        <f t="shared" si="6"/>
        <v>21</v>
      </c>
      <c r="H206" s="28">
        <v>30</v>
      </c>
      <c r="I206" s="28">
        <v>36</v>
      </c>
      <c r="J206" s="28" t="str">
        <f t="shared" si="7"/>
        <v>OK</v>
      </c>
      <c r="K206" s="28" t="s">
        <v>4368</v>
      </c>
      <c r="L206" s="28"/>
    </row>
    <row r="207" spans="1:12">
      <c r="A207" s="28" t="s">
        <v>2739</v>
      </c>
      <c r="B207" s="28" t="s">
        <v>1927</v>
      </c>
      <c r="C207" s="28"/>
      <c r="D207" s="28" t="s">
        <v>391</v>
      </c>
      <c r="E207" s="29" t="str">
        <f>INDEX(목표문구!$G$1:$G$1000,MATCH($B207,목표문구!$A$1:$A$1000,0))</f>
        <v>가공육 대신 살코기</v>
      </c>
      <c r="F207" s="36" t="s">
        <v>4127</v>
      </c>
      <c r="G207" s="28">
        <f t="shared" si="6"/>
        <v>24</v>
      </c>
      <c r="H207" s="28">
        <v>30</v>
      </c>
      <c r="I207" s="28">
        <v>36</v>
      </c>
      <c r="J207" s="28" t="str">
        <f t="shared" si="7"/>
        <v>OK</v>
      </c>
      <c r="K207" s="28" t="s">
        <v>4368</v>
      </c>
      <c r="L207" s="28"/>
    </row>
    <row r="208" spans="1:12">
      <c r="A208" s="28" t="s">
        <v>2739</v>
      </c>
      <c r="B208" s="28" t="s">
        <v>1928</v>
      </c>
      <c r="C208" s="28"/>
      <c r="D208" s="28" t="s">
        <v>391</v>
      </c>
      <c r="E208" s="29" t="str">
        <f>INDEX(목표문구!$G$1:$G$1000,MATCH($B208,목표문구!$A$1:$A$1000,0))</f>
        <v>간장 대신 식초·레몬</v>
      </c>
      <c r="F208" s="36" t="s">
        <v>4128</v>
      </c>
      <c r="G208" s="28">
        <f t="shared" si="6"/>
        <v>30</v>
      </c>
      <c r="H208" s="28">
        <v>30</v>
      </c>
      <c r="I208" s="28">
        <v>36</v>
      </c>
      <c r="J208" s="28" t="str">
        <f t="shared" si="7"/>
        <v>OK</v>
      </c>
      <c r="K208" s="28" t="s">
        <v>4368</v>
      </c>
      <c r="L208" s="28"/>
    </row>
    <row r="209" spans="1:12">
      <c r="A209" s="28" t="s">
        <v>2739</v>
      </c>
      <c r="B209" s="28" t="s">
        <v>1929</v>
      </c>
      <c r="C209" s="28"/>
      <c r="D209" s="28" t="s">
        <v>391</v>
      </c>
      <c r="E209" s="29" t="str">
        <f>INDEX(목표문구!$G$1:$G$1000,MATCH($B209,목표문구!$A$1:$A$1000,0))</f>
        <v>소금 대신 후추·마늘</v>
      </c>
      <c r="F209" s="36" t="s">
        <v>4129</v>
      </c>
      <c r="G209" s="28">
        <f t="shared" si="6"/>
        <v>27</v>
      </c>
      <c r="H209" s="28">
        <v>30</v>
      </c>
      <c r="I209" s="28">
        <v>36</v>
      </c>
      <c r="J209" s="28" t="str">
        <f t="shared" si="7"/>
        <v>OK</v>
      </c>
      <c r="K209" s="28" t="s">
        <v>4368</v>
      </c>
      <c r="L209" s="28"/>
    </row>
    <row r="210" spans="1:12">
      <c r="A210" s="28" t="s">
        <v>2739</v>
      </c>
      <c r="B210" s="28" t="s">
        <v>1930</v>
      </c>
      <c r="C210" s="28"/>
      <c r="D210" s="28" t="s">
        <v>391</v>
      </c>
      <c r="E210" s="29" t="str">
        <f>INDEX(목표문구!$G$1:$G$1000,MATCH($B210,목표문구!$A$1:$A$1000,0))</f>
        <v>시럽 대신 계피 가루</v>
      </c>
      <c r="F210" s="36" t="s">
        <v>4130</v>
      </c>
      <c r="G210" s="28">
        <f t="shared" si="6"/>
        <v>25</v>
      </c>
      <c r="H210" s="28">
        <v>30</v>
      </c>
      <c r="I210" s="28">
        <v>36</v>
      </c>
      <c r="J210" s="28" t="str">
        <f t="shared" si="7"/>
        <v>OK</v>
      </c>
      <c r="K210" s="28" t="s">
        <v>4368</v>
      </c>
      <c r="L210" s="28"/>
    </row>
    <row r="211" spans="1:12">
      <c r="A211" s="28" t="s">
        <v>2739</v>
      </c>
      <c r="B211" s="28" t="s">
        <v>1931</v>
      </c>
      <c r="C211" s="28"/>
      <c r="D211" s="28" t="s">
        <v>391</v>
      </c>
      <c r="E211" s="29" t="str">
        <f>INDEX(목표문구!$G$1:$G$1000,MATCH($B211,목표문구!$A$1:$A$1000,0))</f>
        <v>드레싱은 조금만</v>
      </c>
      <c r="F211" s="36" t="s">
        <v>4131</v>
      </c>
      <c r="G211" s="28">
        <f t="shared" si="6"/>
        <v>20</v>
      </c>
      <c r="H211" s="28">
        <v>30</v>
      </c>
      <c r="I211" s="28">
        <v>36</v>
      </c>
      <c r="J211" s="28" t="str">
        <f t="shared" si="7"/>
        <v>OK</v>
      </c>
      <c r="K211" s="28" t="s">
        <v>4368</v>
      </c>
      <c r="L211" s="28"/>
    </row>
    <row r="212" spans="1:12">
      <c r="A212" s="28" t="s">
        <v>2739</v>
      </c>
      <c r="B212" s="28" t="s">
        <v>1932</v>
      </c>
      <c r="C212" s="28"/>
      <c r="D212" s="28" t="s">
        <v>391</v>
      </c>
      <c r="E212" s="29" t="str">
        <f>INDEX(목표문구!$G$1:$G$1000,MATCH($B212,목표문구!$A$1:$A$1000,0))</f>
        <v>주말도 아침 챙기기</v>
      </c>
      <c r="F212" s="36" t="s">
        <v>4132</v>
      </c>
      <c r="G212" s="28">
        <f t="shared" si="6"/>
        <v>29</v>
      </c>
      <c r="H212" s="28">
        <v>30</v>
      </c>
      <c r="I212" s="28">
        <v>36</v>
      </c>
      <c r="J212" s="28" t="str">
        <f t="shared" si="7"/>
        <v>OK</v>
      </c>
      <c r="K212" s="28" t="s">
        <v>4368</v>
      </c>
      <c r="L212" s="28"/>
    </row>
    <row r="213" spans="1:12">
      <c r="A213" s="28" t="s">
        <v>2739</v>
      </c>
      <c r="B213" s="28" t="s">
        <v>1933</v>
      </c>
      <c r="C213" s="28"/>
      <c r="D213" s="28" t="s">
        <v>391</v>
      </c>
      <c r="E213" s="29" t="str">
        <f>INDEX(목표문구!$G$1:$G$1000,MATCH($B213,목표문구!$A$1:$A$1000,0))</f>
        <v>퇴근 후 바로 저녁</v>
      </c>
      <c r="F213" s="36" t="s">
        <v>4133</v>
      </c>
      <c r="G213" s="28">
        <f t="shared" si="6"/>
        <v>23</v>
      </c>
      <c r="H213" s="28">
        <v>30</v>
      </c>
      <c r="I213" s="28">
        <v>36</v>
      </c>
      <c r="J213" s="28" t="str">
        <f t="shared" si="7"/>
        <v>OK</v>
      </c>
      <c r="K213" s="28" t="s">
        <v>4368</v>
      </c>
      <c r="L213" s="28"/>
    </row>
    <row r="214" spans="1:12">
      <c r="A214" s="28" t="s">
        <v>2739</v>
      </c>
      <c r="B214" s="28" t="s">
        <v>1934</v>
      </c>
      <c r="C214" s="28"/>
      <c r="D214" s="28" t="s">
        <v>391</v>
      </c>
      <c r="E214" s="29" t="str">
        <f>INDEX(목표문구!$G$1:$G$1000,MATCH($B214,목표문구!$A$1:$A$1000,0))</f>
        <v>늦은 끼니는 가볍게</v>
      </c>
      <c r="F214" s="36" t="s">
        <v>4134</v>
      </c>
      <c r="G214" s="28">
        <f t="shared" si="6"/>
        <v>21</v>
      </c>
      <c r="H214" s="28">
        <v>30</v>
      </c>
      <c r="I214" s="28">
        <v>36</v>
      </c>
      <c r="J214" s="28" t="str">
        <f t="shared" si="7"/>
        <v>OK</v>
      </c>
      <c r="K214" s="28" t="s">
        <v>4368</v>
      </c>
      <c r="L214" s="28"/>
    </row>
    <row r="215" spans="1:12">
      <c r="A215" s="28" t="s">
        <v>2739</v>
      </c>
      <c r="B215" s="28" t="s">
        <v>1935</v>
      </c>
      <c r="C215" s="28"/>
      <c r="D215" s="28" t="s">
        <v>391</v>
      </c>
      <c r="E215" s="29" t="str">
        <f>INDEX(목표문구!$G$1:$G$1000,MATCH($B215,목표문구!$A$1:$A$1000,0))</f>
        <v>오징어·새우로 한 끼</v>
      </c>
      <c r="F215" s="36" t="s">
        <v>4135</v>
      </c>
      <c r="G215" s="28">
        <f t="shared" si="6"/>
        <v>26</v>
      </c>
      <c r="H215" s="28">
        <v>30</v>
      </c>
      <c r="I215" s="28">
        <v>36</v>
      </c>
      <c r="J215" s="28" t="str">
        <f t="shared" si="7"/>
        <v>OK</v>
      </c>
      <c r="K215" s="28" t="s">
        <v>4368</v>
      </c>
      <c r="L215" s="28"/>
    </row>
    <row r="216" spans="1:12">
      <c r="A216" s="28" t="s">
        <v>2739</v>
      </c>
      <c r="B216" s="28" t="s">
        <v>1936</v>
      </c>
      <c r="C216" s="28"/>
      <c r="D216" s="28" t="s">
        <v>391</v>
      </c>
      <c r="E216" s="29" t="str">
        <f>INDEX(목표문구!$G$1:$G$1000,MATCH($B216,목표문구!$A$1:$A$1000,0))</f>
        <v>생선은 구이로</v>
      </c>
      <c r="F216" s="36" t="s">
        <v>4136</v>
      </c>
      <c r="G216" s="28">
        <f t="shared" si="6"/>
        <v>15</v>
      </c>
      <c r="H216" s="28">
        <v>30</v>
      </c>
      <c r="I216" s="28">
        <v>36</v>
      </c>
      <c r="J216" s="28" t="str">
        <f t="shared" si="7"/>
        <v>OK</v>
      </c>
      <c r="K216" s="28" t="s">
        <v>4368</v>
      </c>
      <c r="L216" s="28"/>
    </row>
    <row r="217" spans="1:12">
      <c r="A217" s="28" t="s">
        <v>2739</v>
      </c>
      <c r="B217" s="28" t="s">
        <v>1987</v>
      </c>
      <c r="C217" s="28"/>
      <c r="D217" s="28" t="s">
        <v>391</v>
      </c>
      <c r="E217" s="29" t="str">
        <f>INDEX(목표문구!$G$1:$G$1000,MATCH($B217,목표문구!$A$1:$A$1000,0))</f>
        <v>출출하면 가볍게 요기하기</v>
      </c>
      <c r="F217" s="36" t="s">
        <v>4137</v>
      </c>
      <c r="G217" s="28">
        <f t="shared" si="6"/>
        <v>28</v>
      </c>
      <c r="H217" s="28">
        <v>30</v>
      </c>
      <c r="I217" s="28">
        <v>36</v>
      </c>
      <c r="J217" s="28" t="str">
        <f t="shared" si="7"/>
        <v>OK</v>
      </c>
      <c r="K217" s="28" t="s">
        <v>4368</v>
      </c>
      <c r="L217" s="28"/>
    </row>
    <row r="218" spans="1:12">
      <c r="A218" s="28" t="s">
        <v>2739</v>
      </c>
      <c r="B218" s="28" t="s">
        <v>1988</v>
      </c>
      <c r="C218" s="28"/>
      <c r="D218" s="28" t="s">
        <v>391</v>
      </c>
      <c r="E218" s="29" t="str">
        <f>INDEX(목표문구!$G$1:$G$1000,MATCH($B218,목표문구!$A$1:$A$1000,0))</f>
        <v>따뜻한 우유나 두유 한 잔</v>
      </c>
      <c r="F218" s="36" t="s">
        <v>4138</v>
      </c>
      <c r="G218" s="28">
        <f t="shared" si="6"/>
        <v>30</v>
      </c>
      <c r="H218" s="28">
        <v>30</v>
      </c>
      <c r="I218" s="28">
        <v>36</v>
      </c>
      <c r="J218" s="28" t="str">
        <f t="shared" si="7"/>
        <v>OK</v>
      </c>
      <c r="K218" s="28" t="s">
        <v>4368</v>
      </c>
      <c r="L218" s="28"/>
    </row>
    <row r="219" spans="1:12">
      <c r="A219" s="28" t="s">
        <v>2739</v>
      </c>
      <c r="B219" s="28" t="s">
        <v>1989</v>
      </c>
      <c r="C219" s="28"/>
      <c r="D219" s="28" t="s">
        <v>391</v>
      </c>
      <c r="E219" s="29" t="str">
        <f>INDEX(목표문구!$G$1:$G$1000,MATCH($B219,목표문구!$A$1:$A$1000,0))</f>
        <v>내일 아침 챙길 것 준비하기</v>
      </c>
      <c r="F219" s="36" t="s">
        <v>4139</v>
      </c>
      <c r="G219" s="28">
        <f t="shared" si="6"/>
        <v>25</v>
      </c>
      <c r="H219" s="28">
        <v>30</v>
      </c>
      <c r="I219" s="28">
        <v>36</v>
      </c>
      <c r="J219" s="28" t="str">
        <f t="shared" si="7"/>
        <v>OK</v>
      </c>
      <c r="K219" s="28" t="s">
        <v>4368</v>
      </c>
      <c r="L219" s="28"/>
    </row>
    <row r="220" spans="1:12">
      <c r="A220" s="28" t="s">
        <v>2739</v>
      </c>
      <c r="B220" s="28" t="s">
        <v>1991</v>
      </c>
      <c r="C220" s="28"/>
      <c r="D220" s="28" t="s">
        <v>391</v>
      </c>
      <c r="E220" s="29" t="str">
        <f>INDEX(목표문구!$G$1:$G$1000,MATCH($B220,목표문구!$A$1:$A$1000,0))</f>
        <v>입맛 없는 날 적어 두기</v>
      </c>
      <c r="F220" s="36" t="s">
        <v>4140</v>
      </c>
      <c r="G220" s="28">
        <f t="shared" si="6"/>
        <v>27</v>
      </c>
      <c r="H220" s="28">
        <v>30</v>
      </c>
      <c r="I220" s="28">
        <v>36</v>
      </c>
      <c r="J220" s="28" t="str">
        <f t="shared" si="7"/>
        <v>OK</v>
      </c>
      <c r="K220" s="28" t="s">
        <v>4368</v>
      </c>
      <c r="L220" s="28"/>
    </row>
    <row r="221" spans="1:12">
      <c r="A221" s="28" t="s">
        <v>2739</v>
      </c>
      <c r="B221" s="28" t="s">
        <v>1992</v>
      </c>
      <c r="C221" s="28"/>
      <c r="D221" s="28" t="s">
        <v>391</v>
      </c>
      <c r="E221" s="29" t="str">
        <f>INDEX(목표문구!$G$1:$G$1000,MATCH($B221,목표문구!$A$1:$A$1000,0))</f>
        <v>식사 시간 정해 두기</v>
      </c>
      <c r="F221" s="36" t="s">
        <v>4141</v>
      </c>
      <c r="G221" s="28">
        <f t="shared" si="6"/>
        <v>21</v>
      </c>
      <c r="H221" s="28">
        <v>30</v>
      </c>
      <c r="I221" s="28">
        <v>36</v>
      </c>
      <c r="J221" s="28" t="str">
        <f t="shared" si="7"/>
        <v>OK</v>
      </c>
      <c r="K221" s="28" t="s">
        <v>4368</v>
      </c>
      <c r="L221" s="28"/>
    </row>
    <row r="222" spans="1:12">
      <c r="A222" s="37" t="s">
        <v>2739</v>
      </c>
      <c r="B222" s="37" t="s">
        <v>2781</v>
      </c>
      <c r="C222" s="37"/>
      <c r="D222" s="37" t="s">
        <v>391</v>
      </c>
      <c r="E222" s="30" t="str">
        <f>INDEX(목표문구!$G$1:$G$1000,MATCH($B222,목표문구!$A$1:$A$1000,0))</f>
        <v>아침 메뉴 미리 정하기</v>
      </c>
      <c r="F222" s="30" t="s">
        <v>4370</v>
      </c>
      <c r="G222" s="37">
        <f t="shared" ref="G222:G285" si="8">LEN(F222)</f>
        <v>30</v>
      </c>
      <c r="H222" s="37">
        <v>30</v>
      </c>
      <c r="I222" s="37">
        <v>36</v>
      </c>
      <c r="J222" s="37" t="str">
        <f t="shared" ref="J222:J285" si="9">IF(F222="","비어 있음",IF(G222&lt;=H222,"OK",IF(G222&lt;=I222,"길이 주의","상한 초과")))</f>
        <v>OK</v>
      </c>
      <c r="K222" s="37" t="s">
        <v>4369</v>
      </c>
      <c r="L222" s="28"/>
    </row>
    <row r="223" spans="1:12">
      <c r="A223" s="37" t="s">
        <v>2739</v>
      </c>
      <c r="B223" s="37" t="s">
        <v>2786</v>
      </c>
      <c r="C223" s="37"/>
      <c r="D223" s="37" t="s">
        <v>391</v>
      </c>
      <c r="E223" s="30" t="str">
        <f>INDEX(목표문구!$G$1:$G$1000,MATCH($B223,목표문구!$A$1:$A$1000,0))</f>
        <v>점심시간 적어 두기</v>
      </c>
      <c r="F223" s="30" t="s">
        <v>4142</v>
      </c>
      <c r="G223" s="37">
        <f t="shared" si="8"/>
        <v>26</v>
      </c>
      <c r="H223" s="37">
        <v>30</v>
      </c>
      <c r="I223" s="37">
        <v>36</v>
      </c>
      <c r="J223" s="37" t="str">
        <f t="shared" si="9"/>
        <v>OK</v>
      </c>
      <c r="K223" s="37" t="s">
        <v>4369</v>
      </c>
      <c r="L223" s="28"/>
    </row>
    <row r="224" spans="1:12">
      <c r="A224" s="37" t="s">
        <v>2739</v>
      </c>
      <c r="B224" s="37" t="s">
        <v>2791</v>
      </c>
      <c r="C224" s="37"/>
      <c r="D224" s="37" t="s">
        <v>391</v>
      </c>
      <c r="E224" s="30" t="str">
        <f>INDEX(목표문구!$G$1:$G$1000,MATCH($B224,목표문구!$A$1:$A$1000,0))</f>
        <v>내일 채소 꺼내 두기</v>
      </c>
      <c r="F224" s="30" t="s">
        <v>4143</v>
      </c>
      <c r="G224" s="37">
        <f t="shared" si="8"/>
        <v>28</v>
      </c>
      <c r="H224" s="37">
        <v>30</v>
      </c>
      <c r="I224" s="37">
        <v>36</v>
      </c>
      <c r="J224" s="37" t="str">
        <f t="shared" si="9"/>
        <v>OK</v>
      </c>
      <c r="K224" s="37" t="s">
        <v>4369</v>
      </c>
      <c r="L224" s="28"/>
    </row>
    <row r="225" spans="1:12">
      <c r="A225" s="37" t="s">
        <v>2739</v>
      </c>
      <c r="B225" s="37" t="s">
        <v>2797</v>
      </c>
      <c r="C225" s="37"/>
      <c r="D225" s="37" t="s">
        <v>391</v>
      </c>
      <c r="E225" s="30" t="str">
        <f>INDEX(목표문구!$G$1:$G$1000,MATCH($B225,목표문구!$A$1:$A$1000,0))</f>
        <v>채소 반찬 만들어 두기</v>
      </c>
      <c r="F225" s="30" t="s">
        <v>4144</v>
      </c>
      <c r="G225" s="37">
        <f t="shared" si="8"/>
        <v>24</v>
      </c>
      <c r="H225" s="37">
        <v>30</v>
      </c>
      <c r="I225" s="37">
        <v>36</v>
      </c>
      <c r="J225" s="37" t="str">
        <f t="shared" si="9"/>
        <v>OK</v>
      </c>
      <c r="K225" s="37" t="s">
        <v>4369</v>
      </c>
      <c r="L225" s="28"/>
    </row>
    <row r="226" spans="1:12">
      <c r="A226" s="37" t="s">
        <v>2739</v>
      </c>
      <c r="B226" s="37" t="s">
        <v>2802</v>
      </c>
      <c r="C226" s="37"/>
      <c r="D226" s="37" t="s">
        <v>391</v>
      </c>
      <c r="E226" s="30" t="str">
        <f>INDEX(목표문구!$G$1:$G$1000,MATCH($B226,목표문구!$A$1:$A$1000,0))</f>
        <v>점심 채소 반찬 2가지</v>
      </c>
      <c r="F226" s="30" t="s">
        <v>4145</v>
      </c>
      <c r="G226" s="37">
        <f t="shared" si="8"/>
        <v>25</v>
      </c>
      <c r="H226" s="37">
        <v>30</v>
      </c>
      <c r="I226" s="37">
        <v>36</v>
      </c>
      <c r="J226" s="37" t="str">
        <f t="shared" si="9"/>
        <v>OK</v>
      </c>
      <c r="K226" s="37" t="s">
        <v>4369</v>
      </c>
      <c r="L226" s="28"/>
    </row>
    <row r="227" spans="1:12">
      <c r="A227" s="37" t="s">
        <v>2739</v>
      </c>
      <c r="B227" s="37" t="s">
        <v>2807</v>
      </c>
      <c r="C227" s="37"/>
      <c r="D227" s="37" t="s">
        <v>391</v>
      </c>
      <c r="E227" s="30" t="str">
        <f>INDEX(목표문구!$G$1:$G$1000,MATCH($B227,목표문구!$A$1:$A$1000,0))</f>
        <v>단 간식 치워 두기</v>
      </c>
      <c r="F227" s="30" t="s">
        <v>4146</v>
      </c>
      <c r="G227" s="37">
        <f t="shared" si="8"/>
        <v>21</v>
      </c>
      <c r="H227" s="37">
        <v>30</v>
      </c>
      <c r="I227" s="37">
        <v>36</v>
      </c>
      <c r="J227" s="37" t="str">
        <f t="shared" si="9"/>
        <v>OK</v>
      </c>
      <c r="K227" s="37" t="s">
        <v>4369</v>
      </c>
      <c r="L227" s="28"/>
    </row>
    <row r="228" spans="1:12">
      <c r="A228" s="37" t="s">
        <v>2739</v>
      </c>
      <c r="B228" s="37" t="s">
        <v>2813</v>
      </c>
      <c r="C228" s="37"/>
      <c r="D228" s="37" t="s">
        <v>391</v>
      </c>
      <c r="E228" s="30" t="str">
        <f>INDEX(목표문구!$G$1:$G$1000,MATCH($B228,목표문구!$A$1:$A$1000,0))</f>
        <v>오늘 단 음료 돌아보기</v>
      </c>
      <c r="F228" s="30" t="s">
        <v>4147</v>
      </c>
      <c r="G228" s="37">
        <f t="shared" si="8"/>
        <v>27</v>
      </c>
      <c r="H228" s="37">
        <v>30</v>
      </c>
      <c r="I228" s="37">
        <v>36</v>
      </c>
      <c r="J228" s="37" t="str">
        <f t="shared" si="9"/>
        <v>OK</v>
      </c>
      <c r="K228" s="37" t="s">
        <v>4369</v>
      </c>
      <c r="L228" s="28"/>
    </row>
    <row r="229" spans="1:12">
      <c r="A229" s="37" t="s">
        <v>2739</v>
      </c>
      <c r="B229" s="37" t="s">
        <v>2818</v>
      </c>
      <c r="C229" s="37"/>
      <c r="D229" s="37" t="s">
        <v>391</v>
      </c>
      <c r="E229" s="30" t="str">
        <f>INDEX(목표문구!$G$1:$G$1000,MATCH($B229,목표문구!$A$1:$A$1000,0))</f>
        <v>작은 국그릇 쓰기</v>
      </c>
      <c r="F229" s="30" t="s">
        <v>4148</v>
      </c>
      <c r="G229" s="37">
        <f t="shared" si="8"/>
        <v>23</v>
      </c>
      <c r="H229" s="37">
        <v>30</v>
      </c>
      <c r="I229" s="37">
        <v>36</v>
      </c>
      <c r="J229" s="37" t="str">
        <f t="shared" si="9"/>
        <v>OK</v>
      </c>
      <c r="K229" s="37" t="s">
        <v>4369</v>
      </c>
      <c r="L229" s="28"/>
    </row>
    <row r="230" spans="1:12">
      <c r="A230" s="37" t="s">
        <v>2739</v>
      </c>
      <c r="B230" s="37" t="s">
        <v>2824</v>
      </c>
      <c r="C230" s="37"/>
      <c r="D230" s="37" t="s">
        <v>391</v>
      </c>
      <c r="E230" s="30" t="str">
        <f>INDEX(목표문구!$G$1:$G$1000,MATCH($B230,목표문구!$A$1:$A$1000,0))</f>
        <v>저염 제품 적어 두기</v>
      </c>
      <c r="F230" s="30" t="s">
        <v>4149</v>
      </c>
      <c r="G230" s="37">
        <f t="shared" si="8"/>
        <v>24</v>
      </c>
      <c r="H230" s="37">
        <v>30</v>
      </c>
      <c r="I230" s="37">
        <v>36</v>
      </c>
      <c r="J230" s="37" t="str">
        <f t="shared" si="9"/>
        <v>OK</v>
      </c>
      <c r="K230" s="37" t="s">
        <v>4369</v>
      </c>
      <c r="L230" s="28"/>
    </row>
    <row r="231" spans="1:12">
      <c r="A231" s="37" t="s">
        <v>2739</v>
      </c>
      <c r="B231" s="37" t="s">
        <v>2829</v>
      </c>
      <c r="C231" s="37"/>
      <c r="D231" s="37" t="s">
        <v>391</v>
      </c>
      <c r="E231" s="30" t="str">
        <f>INDEX(목표문구!$G$1:$G$1000,MATCH($B231,목표문구!$A$1:$A$1000,0))</f>
        <v>내일 저녁 시각 정하기</v>
      </c>
      <c r="F231" s="30" t="s">
        <v>4150</v>
      </c>
      <c r="G231" s="37">
        <f t="shared" si="8"/>
        <v>26</v>
      </c>
      <c r="H231" s="37">
        <v>30</v>
      </c>
      <c r="I231" s="37">
        <v>36</v>
      </c>
      <c r="J231" s="37" t="str">
        <f t="shared" si="9"/>
        <v>OK</v>
      </c>
      <c r="K231" s="37" t="s">
        <v>4369</v>
      </c>
      <c r="L231" s="28"/>
    </row>
    <row r="232" spans="1:12">
      <c r="A232" s="37" t="s">
        <v>2739</v>
      </c>
      <c r="B232" s="37" t="s">
        <v>2835</v>
      </c>
      <c r="C232" s="37"/>
      <c r="D232" s="37" t="s">
        <v>391</v>
      </c>
      <c r="E232" s="30" t="str">
        <f>INDEX(목표문구!$G$1:$G$1000,MATCH($B232,목표문구!$A$1:$A$1000,0))</f>
        <v>9시 후엔 주방 닫기</v>
      </c>
      <c r="F232" s="30" t="s">
        <v>4151</v>
      </c>
      <c r="G232" s="37">
        <f t="shared" si="8"/>
        <v>28</v>
      </c>
      <c r="H232" s="37">
        <v>30</v>
      </c>
      <c r="I232" s="37">
        <v>36</v>
      </c>
      <c r="J232" s="37" t="str">
        <f t="shared" si="9"/>
        <v>OK</v>
      </c>
      <c r="K232" s="37" t="s">
        <v>4369</v>
      </c>
      <c r="L232" s="28"/>
    </row>
    <row r="233" spans="1:12">
      <c r="A233" s="37" t="s">
        <v>2739</v>
      </c>
      <c r="B233" s="37" t="s">
        <v>2840</v>
      </c>
      <c r="C233" s="37"/>
      <c r="D233" s="37" t="s">
        <v>391</v>
      </c>
      <c r="E233" s="30" t="str">
        <f>INDEX(목표문구!$G$1:$G$1000,MATCH($B233,목표문구!$A$1:$A$1000,0))</f>
        <v>식사 속도 돌아보기</v>
      </c>
      <c r="F233" s="30" t="s">
        <v>4152</v>
      </c>
      <c r="G233" s="37">
        <f t="shared" si="8"/>
        <v>27</v>
      </c>
      <c r="H233" s="37">
        <v>30</v>
      </c>
      <c r="I233" s="37">
        <v>36</v>
      </c>
      <c r="J233" s="37" t="str">
        <f t="shared" si="9"/>
        <v>OK</v>
      </c>
      <c r="K233" s="37" t="s">
        <v>4369</v>
      </c>
      <c r="L233" s="28"/>
    </row>
    <row r="234" spans="1:12">
      <c r="A234" s="37" t="s">
        <v>2739</v>
      </c>
      <c r="B234" s="37" t="s">
        <v>2846</v>
      </c>
      <c r="C234" s="37"/>
      <c r="D234" s="37" t="s">
        <v>391</v>
      </c>
      <c r="E234" s="30" t="str">
        <f>INDEX(목표문구!$G$1:$G$1000,MATCH($B234,목표문구!$A$1:$A$1000,0))</f>
        <v>작은 그릇 꺼내 두기</v>
      </c>
      <c r="F234" s="30" t="s">
        <v>4153</v>
      </c>
      <c r="G234" s="37">
        <f t="shared" si="8"/>
        <v>23</v>
      </c>
      <c r="H234" s="37">
        <v>30</v>
      </c>
      <c r="I234" s="37">
        <v>36</v>
      </c>
      <c r="J234" s="37" t="str">
        <f t="shared" si="9"/>
        <v>OK</v>
      </c>
      <c r="K234" s="37" t="s">
        <v>4369</v>
      </c>
      <c r="L234" s="28"/>
    </row>
    <row r="235" spans="1:12">
      <c r="A235" s="37" t="s">
        <v>2739</v>
      </c>
      <c r="B235" s="37" t="s">
        <v>2851</v>
      </c>
      <c r="C235" s="37"/>
      <c r="D235" s="37" t="s">
        <v>391</v>
      </c>
      <c r="E235" s="30" t="str">
        <f>INDEX(목표문구!$G$1:$G$1000,MATCH($B235,목표문구!$A$1:$A$1000,0))</f>
        <v>내일 반찬은 두부조림</v>
      </c>
      <c r="F235" s="30" t="s">
        <v>4154</v>
      </c>
      <c r="G235" s="37">
        <f t="shared" si="8"/>
        <v>27</v>
      </c>
      <c r="H235" s="37">
        <v>30</v>
      </c>
      <c r="I235" s="37">
        <v>36</v>
      </c>
      <c r="J235" s="37" t="str">
        <f t="shared" si="9"/>
        <v>OK</v>
      </c>
      <c r="K235" s="37" t="s">
        <v>4369</v>
      </c>
      <c r="L235" s="28"/>
    </row>
    <row r="236" spans="1:12">
      <c r="A236" s="37" t="s">
        <v>2739</v>
      </c>
      <c r="B236" s="37" t="s">
        <v>2856</v>
      </c>
      <c r="C236" s="37"/>
      <c r="D236" s="37" t="s">
        <v>391</v>
      </c>
      <c r="E236" s="30" t="str">
        <f>INDEX(목표문구!$G$1:$G$1000,MATCH($B236,목표문구!$A$1:$A$1000,0))</f>
        <v>달걀 한 판 사 두기</v>
      </c>
      <c r="F236" s="30" t="s">
        <v>4155</v>
      </c>
      <c r="G236" s="37">
        <f t="shared" si="8"/>
        <v>18</v>
      </c>
      <c r="H236" s="37">
        <v>30</v>
      </c>
      <c r="I236" s="37">
        <v>36</v>
      </c>
      <c r="J236" s="37" t="str">
        <f t="shared" si="9"/>
        <v>OK</v>
      </c>
      <c r="K236" s="37" t="s">
        <v>4369</v>
      </c>
      <c r="L236" s="28"/>
    </row>
    <row r="237" spans="1:12">
      <c r="A237" s="37" t="s">
        <v>2739</v>
      </c>
      <c r="B237" s="37" t="s">
        <v>2861</v>
      </c>
      <c r="C237" s="37"/>
      <c r="D237" s="37" t="s">
        <v>391</v>
      </c>
      <c r="E237" s="30" t="str">
        <f>INDEX(목표문구!$G$1:$G$1000,MATCH($B237,목표문구!$A$1:$A$1000,0))</f>
        <v>내일 반찬은 고등어구이</v>
      </c>
      <c r="F237" s="30" t="s">
        <v>4156</v>
      </c>
      <c r="G237" s="37">
        <f t="shared" si="8"/>
        <v>29</v>
      </c>
      <c r="H237" s="37">
        <v>30</v>
      </c>
      <c r="I237" s="37">
        <v>36</v>
      </c>
      <c r="J237" s="37" t="str">
        <f t="shared" si="9"/>
        <v>OK</v>
      </c>
      <c r="K237" s="37" t="s">
        <v>4369</v>
      </c>
      <c r="L237" s="28"/>
    </row>
    <row r="238" spans="1:12">
      <c r="A238" s="37" t="s">
        <v>2739</v>
      </c>
      <c r="B238" s="37" t="s">
        <v>2867</v>
      </c>
      <c r="C238" s="37"/>
      <c r="D238" s="37" t="s">
        <v>391</v>
      </c>
      <c r="E238" s="30" t="str">
        <f>INDEX(목표문구!$G$1:$G$1000,MATCH($B238,목표문구!$A$1:$A$1000,0))</f>
        <v>튀김 대신 달걀찜</v>
      </c>
      <c r="F238" s="30" t="s">
        <v>4157</v>
      </c>
      <c r="G238" s="37">
        <f t="shared" si="8"/>
        <v>29</v>
      </c>
      <c r="H238" s="37">
        <v>30</v>
      </c>
      <c r="I238" s="37">
        <v>36</v>
      </c>
      <c r="J238" s="37" t="str">
        <f t="shared" si="9"/>
        <v>OK</v>
      </c>
      <c r="K238" s="37" t="s">
        <v>4369</v>
      </c>
      <c r="L238" s="28"/>
    </row>
    <row r="239" spans="1:12">
      <c r="A239" s="37" t="s">
        <v>2739</v>
      </c>
      <c r="B239" s="37" t="s">
        <v>2872</v>
      </c>
      <c r="C239" s="37"/>
      <c r="D239" s="37" t="s">
        <v>391</v>
      </c>
      <c r="E239" s="30" t="str">
        <f>INDEX(목표문구!$G$1:$G$1000,MATCH($B239,목표문구!$A$1:$A$1000,0))</f>
        <v>오늘 먹은 끼니 적기</v>
      </c>
      <c r="F239" s="30" t="s">
        <v>4158</v>
      </c>
      <c r="G239" s="37">
        <f t="shared" si="8"/>
        <v>22</v>
      </c>
      <c r="H239" s="37">
        <v>30</v>
      </c>
      <c r="I239" s="37">
        <v>36</v>
      </c>
      <c r="J239" s="37" t="str">
        <f t="shared" si="9"/>
        <v>OK</v>
      </c>
      <c r="K239" s="37" t="s">
        <v>4369</v>
      </c>
      <c r="L239" s="28"/>
    </row>
    <row r="240" spans="1:12">
      <c r="A240" s="37" t="s">
        <v>2739</v>
      </c>
      <c r="B240" s="37" t="s">
        <v>2877</v>
      </c>
      <c r="C240" s="37"/>
      <c r="D240" s="37" t="s">
        <v>391</v>
      </c>
      <c r="E240" s="30" t="str">
        <f>INDEX(목표문구!$G$1:$G$1000,MATCH($B240,목표문구!$A$1:$A$1000,0))</f>
        <v>먹기 편한 시간 적기</v>
      </c>
      <c r="F240" s="30" t="s">
        <v>4159</v>
      </c>
      <c r="G240" s="37">
        <f t="shared" si="8"/>
        <v>27</v>
      </c>
      <c r="H240" s="37">
        <v>30</v>
      </c>
      <c r="I240" s="37">
        <v>36</v>
      </c>
      <c r="J240" s="37" t="str">
        <f t="shared" si="9"/>
        <v>OK</v>
      </c>
      <c r="K240" s="37" t="s">
        <v>4369</v>
      </c>
      <c r="L240" s="28"/>
    </row>
    <row r="241" spans="1:12">
      <c r="A241" s="37" t="s">
        <v>2739</v>
      </c>
      <c r="B241" s="37" t="s">
        <v>2882</v>
      </c>
      <c r="C241" s="37"/>
      <c r="D241" s="37" t="s">
        <v>391</v>
      </c>
      <c r="E241" s="30" t="str">
        <f>INDEX(목표문구!$G$1:$G$1000,MATCH($B241,목표문구!$A$1:$A$1000,0))</f>
        <v>내일은 죽 한 그릇</v>
      </c>
      <c r="F241" s="30" t="s">
        <v>4160</v>
      </c>
      <c r="G241" s="37">
        <f t="shared" si="8"/>
        <v>32</v>
      </c>
      <c r="H241" s="37">
        <v>30</v>
      </c>
      <c r="I241" s="37">
        <v>36</v>
      </c>
      <c r="J241" s="37" t="str">
        <f t="shared" si="9"/>
        <v>길이 주의</v>
      </c>
      <c r="K241" s="37" t="s">
        <v>4369</v>
      </c>
      <c r="L241" s="28"/>
    </row>
    <row r="242" spans="1:12">
      <c r="A242" s="37" t="s">
        <v>2739</v>
      </c>
      <c r="B242" s="37" t="s">
        <v>2887</v>
      </c>
      <c r="C242" s="37"/>
      <c r="D242" s="37" t="s">
        <v>391</v>
      </c>
      <c r="E242" s="30" t="str">
        <f>INDEX(목표문구!$G$1:$G$1000,MATCH($B242,목표문구!$A$1:$A$1000,0))</f>
        <v>내일 세 끼 계획하기</v>
      </c>
      <c r="F242" s="30" t="s">
        <v>4161</v>
      </c>
      <c r="G242" s="37">
        <f t="shared" si="8"/>
        <v>27</v>
      </c>
      <c r="H242" s="37">
        <v>30</v>
      </c>
      <c r="I242" s="37">
        <v>36</v>
      </c>
      <c r="J242" s="37" t="str">
        <f t="shared" si="9"/>
        <v>OK</v>
      </c>
      <c r="K242" s="37" t="s">
        <v>4369</v>
      </c>
      <c r="L242" s="28"/>
    </row>
    <row r="243" spans="1:12">
      <c r="A243" s="37" t="s">
        <v>2739</v>
      </c>
      <c r="B243" s="37" t="s">
        <v>2892</v>
      </c>
      <c r="C243" s="37"/>
      <c r="D243" s="37" t="s">
        <v>391</v>
      </c>
      <c r="E243" s="30" t="str">
        <f>INDEX(목표문구!$G$1:$G$1000,MATCH($B243,목표문구!$A$1:$A$1000,0))</f>
        <v>거른 끼니 돌아보기</v>
      </c>
      <c r="F243" s="30" t="s">
        <v>4162</v>
      </c>
      <c r="G243" s="37">
        <f t="shared" si="8"/>
        <v>26</v>
      </c>
      <c r="H243" s="37">
        <v>30</v>
      </c>
      <c r="I243" s="37">
        <v>36</v>
      </c>
      <c r="J243" s="37" t="str">
        <f t="shared" si="9"/>
        <v>OK</v>
      </c>
      <c r="K243" s="37" t="s">
        <v>4369</v>
      </c>
      <c r="L243" s="28"/>
    </row>
    <row r="244" spans="1:12">
      <c r="A244" s="37" t="s">
        <v>2739</v>
      </c>
      <c r="B244" s="37" t="s">
        <v>2897</v>
      </c>
      <c r="C244" s="37"/>
      <c r="D244" s="37" t="s">
        <v>391</v>
      </c>
      <c r="E244" s="30" t="str">
        <f>INDEX(목표문구!$G$1:$G$1000,MATCH($B244,목표문구!$A$1:$A$1000,0))</f>
        <v>먹은 채소 돌아보기</v>
      </c>
      <c r="F244" s="30" t="s">
        <v>4163</v>
      </c>
      <c r="G244" s="37">
        <f t="shared" si="8"/>
        <v>28</v>
      </c>
      <c r="H244" s="37">
        <v>30</v>
      </c>
      <c r="I244" s="37">
        <v>36</v>
      </c>
      <c r="J244" s="37" t="str">
        <f t="shared" si="9"/>
        <v>OK</v>
      </c>
      <c r="K244" s="37" t="s">
        <v>4369</v>
      </c>
      <c r="L244" s="28"/>
    </row>
    <row r="245" spans="1:12">
      <c r="A245" s="37" t="s">
        <v>2739</v>
      </c>
      <c r="B245" s="37" t="s">
        <v>2902</v>
      </c>
      <c r="C245" s="37"/>
      <c r="D245" s="37" t="s">
        <v>391</v>
      </c>
      <c r="E245" s="30" t="str">
        <f>INDEX(목표문구!$G$1:$G$1000,MATCH($B245,목표문구!$A$1:$A$1000,0))</f>
        <v>제철 채소 2가지 사기</v>
      </c>
      <c r="F245" s="30" t="s">
        <v>4164</v>
      </c>
      <c r="G245" s="37">
        <f t="shared" si="8"/>
        <v>24</v>
      </c>
      <c r="H245" s="37">
        <v>30</v>
      </c>
      <c r="I245" s="37">
        <v>36</v>
      </c>
      <c r="J245" s="37" t="str">
        <f t="shared" si="9"/>
        <v>OK</v>
      </c>
      <c r="K245" s="37" t="s">
        <v>4369</v>
      </c>
      <c r="L245" s="28"/>
    </row>
    <row r="246" spans="1:12">
      <c r="A246" s="37" t="s">
        <v>2739</v>
      </c>
      <c r="B246" s="37" t="s">
        <v>2907</v>
      </c>
      <c r="C246" s="37"/>
      <c r="D246" s="37" t="s">
        <v>391</v>
      </c>
      <c r="E246" s="30" t="str">
        <f>INDEX(목표문구!$G$1:$G$1000,MATCH($B246,목표문구!$A$1:$A$1000,0))</f>
        <v>주스 대신 생수 한 병</v>
      </c>
      <c r="F246" s="30" t="s">
        <v>4165</v>
      </c>
      <c r="G246" s="37">
        <f t="shared" si="8"/>
        <v>30</v>
      </c>
      <c r="H246" s="37">
        <v>30</v>
      </c>
      <c r="I246" s="37">
        <v>36</v>
      </c>
      <c r="J246" s="37" t="str">
        <f t="shared" si="9"/>
        <v>OK</v>
      </c>
      <c r="K246" s="37" t="s">
        <v>4369</v>
      </c>
      <c r="L246" s="28"/>
    </row>
    <row r="247" spans="1:12">
      <c r="A247" s="37" t="s">
        <v>2739</v>
      </c>
      <c r="B247" s="37" t="s">
        <v>2912</v>
      </c>
      <c r="C247" s="37"/>
      <c r="D247" s="37" t="s">
        <v>391</v>
      </c>
      <c r="E247" s="30" t="str">
        <f>INDEX(목표문구!$G$1:$G$1000,MATCH($B247,목표문구!$A$1:$A$1000,0))</f>
        <v>과자 대신 찐 고구마</v>
      </c>
      <c r="F247" s="30" t="s">
        <v>4166</v>
      </c>
      <c r="G247" s="37">
        <f t="shared" si="8"/>
        <v>31</v>
      </c>
      <c r="H247" s="37">
        <v>30</v>
      </c>
      <c r="I247" s="37">
        <v>36</v>
      </c>
      <c r="J247" s="37" t="str">
        <f t="shared" si="9"/>
        <v>길이 주의</v>
      </c>
      <c r="K247" s="37" t="s">
        <v>4369</v>
      </c>
      <c r="L247" s="28"/>
    </row>
    <row r="248" spans="1:12">
      <c r="A248" s="37" t="s">
        <v>2739</v>
      </c>
      <c r="B248" s="37" t="s">
        <v>2917</v>
      </c>
      <c r="C248" s="37"/>
      <c r="D248" s="37" t="s">
        <v>391</v>
      </c>
      <c r="E248" s="30" t="str">
        <f>INDEX(목표문구!$G$1:$G$1000,MATCH($B248,목표문구!$A$1:$A$1000,0))</f>
        <v>먹은 국물 양 돌아보기</v>
      </c>
      <c r="F248" s="30" t="s">
        <v>4167</v>
      </c>
      <c r="G248" s="37">
        <f t="shared" si="8"/>
        <v>28</v>
      </c>
      <c r="H248" s="37">
        <v>30</v>
      </c>
      <c r="I248" s="37">
        <v>36</v>
      </c>
      <c r="J248" s="37" t="str">
        <f t="shared" si="9"/>
        <v>OK</v>
      </c>
      <c r="K248" s="37" t="s">
        <v>4369</v>
      </c>
      <c r="L248" s="28"/>
    </row>
    <row r="249" spans="1:12">
      <c r="A249" s="37" t="s">
        <v>2739</v>
      </c>
      <c r="B249" s="37" t="s">
        <v>2922</v>
      </c>
      <c r="C249" s="37"/>
      <c r="D249" s="37" t="s">
        <v>391</v>
      </c>
      <c r="E249" s="30" t="str">
        <f>INDEX(목표문구!$G$1:$G$1000,MATCH($B249,목표문구!$A$1:$A$1000,0))</f>
        <v>장아찌 대신 생채 반찬</v>
      </c>
      <c r="F249" s="30" t="s">
        <v>4168</v>
      </c>
      <c r="G249" s="37">
        <f t="shared" si="8"/>
        <v>29</v>
      </c>
      <c r="H249" s="37">
        <v>30</v>
      </c>
      <c r="I249" s="37">
        <v>36</v>
      </c>
      <c r="J249" s="37" t="str">
        <f t="shared" si="9"/>
        <v>OK</v>
      </c>
      <c r="K249" s="37" t="s">
        <v>4369</v>
      </c>
      <c r="L249" s="28"/>
    </row>
    <row r="250" spans="1:12">
      <c r="A250" s="37" t="s">
        <v>2739</v>
      </c>
      <c r="B250" s="37" t="s">
        <v>2927</v>
      </c>
      <c r="C250" s="37"/>
      <c r="D250" s="37" t="s">
        <v>391</v>
      </c>
      <c r="E250" s="30" t="str">
        <f>INDEX(목표문구!$G$1:$G$1000,MATCH($B250,목표문구!$A$1:$A$1000,0))</f>
        <v>저녁 8시까지 마치기</v>
      </c>
      <c r="F250" s="30" t="s">
        <v>4169</v>
      </c>
      <c r="G250" s="37">
        <f t="shared" si="8"/>
        <v>21</v>
      </c>
      <c r="H250" s="37">
        <v>30</v>
      </c>
      <c r="I250" s="37">
        <v>36</v>
      </c>
      <c r="J250" s="37" t="str">
        <f t="shared" si="9"/>
        <v>OK</v>
      </c>
      <c r="K250" s="37" t="s">
        <v>4369</v>
      </c>
      <c r="L250" s="28"/>
    </row>
    <row r="251" spans="1:12">
      <c r="A251" s="37" t="s">
        <v>2739</v>
      </c>
      <c r="B251" s="37" t="s">
        <v>2932</v>
      </c>
      <c r="C251" s="37"/>
      <c r="D251" s="37" t="s">
        <v>391</v>
      </c>
      <c r="E251" s="30" t="str">
        <f>INDEX(목표문구!$G$1:$G$1000,MATCH($B251,목표문구!$A$1:$A$1000,0))</f>
        <v>저녁 먹은 시각 적기</v>
      </c>
      <c r="F251" s="30" t="s">
        <v>4170</v>
      </c>
      <c r="G251" s="37">
        <f t="shared" si="8"/>
        <v>24</v>
      </c>
      <c r="H251" s="37">
        <v>30</v>
      </c>
      <c r="I251" s="37">
        <v>36</v>
      </c>
      <c r="J251" s="37" t="str">
        <f t="shared" si="9"/>
        <v>OK</v>
      </c>
      <c r="K251" s="37" t="s">
        <v>4369</v>
      </c>
      <c r="L251" s="28"/>
    </row>
    <row r="252" spans="1:12">
      <c r="A252" s="37" t="s">
        <v>2739</v>
      </c>
      <c r="B252" s="37" t="s">
        <v>2937</v>
      </c>
      <c r="C252" s="37"/>
      <c r="D252" s="37" t="s">
        <v>391</v>
      </c>
      <c r="E252" s="30" t="str">
        <f>INDEX(목표문구!$G$1:$G$1000,MATCH($B252,목표문구!$A$1:$A$1000,0))</f>
        <v>한 입에 30번 씹기</v>
      </c>
      <c r="F252" s="30" t="s">
        <v>4171</v>
      </c>
      <c r="G252" s="37">
        <f t="shared" si="8"/>
        <v>23</v>
      </c>
      <c r="H252" s="37">
        <v>30</v>
      </c>
      <c r="I252" s="37">
        <v>36</v>
      </c>
      <c r="J252" s="37" t="str">
        <f t="shared" si="9"/>
        <v>OK</v>
      </c>
      <c r="K252" s="37" t="s">
        <v>4369</v>
      </c>
      <c r="L252" s="28"/>
    </row>
    <row r="253" spans="1:12">
      <c r="A253" s="37" t="s">
        <v>2739</v>
      </c>
      <c r="B253" s="37" t="s">
        <v>2942</v>
      </c>
      <c r="C253" s="37"/>
      <c r="D253" s="37" t="s">
        <v>391</v>
      </c>
      <c r="E253" s="30" t="str">
        <f>INDEX(목표문구!$G$1:$G$1000,MATCH($B253,목표문구!$A$1:$A$1000,0))</f>
        <v>식탁에서 휴대폰 치우기</v>
      </c>
      <c r="F253" s="30" t="s">
        <v>4172</v>
      </c>
      <c r="G253" s="37">
        <f t="shared" si="8"/>
        <v>29</v>
      </c>
      <c r="H253" s="37">
        <v>30</v>
      </c>
      <c r="I253" s="37">
        <v>36</v>
      </c>
      <c r="J253" s="37" t="str">
        <f t="shared" si="9"/>
        <v>OK</v>
      </c>
      <c r="K253" s="37" t="s">
        <v>4369</v>
      </c>
      <c r="L253" s="28"/>
    </row>
    <row r="254" spans="1:12">
      <c r="A254" s="37" t="s">
        <v>2739</v>
      </c>
      <c r="B254" s="37" t="s">
        <v>2947</v>
      </c>
      <c r="C254" s="37"/>
      <c r="D254" s="37" t="s">
        <v>391</v>
      </c>
      <c r="E254" s="30" t="str">
        <f>INDEX(목표문구!$G$1:$G$1000,MATCH($B254,목표문구!$A$1:$A$1000,0))</f>
        <v>점심엔 닭가슴살 샐러드</v>
      </c>
      <c r="F254" s="30" t="s">
        <v>4173</v>
      </c>
      <c r="G254" s="37">
        <f t="shared" si="8"/>
        <v>23</v>
      </c>
      <c r="H254" s="37">
        <v>30</v>
      </c>
      <c r="I254" s="37">
        <v>36</v>
      </c>
      <c r="J254" s="37" t="str">
        <f t="shared" si="9"/>
        <v>OK</v>
      </c>
      <c r="K254" s="37" t="s">
        <v>4369</v>
      </c>
      <c r="L254" s="28"/>
    </row>
    <row r="255" spans="1:12">
      <c r="A255" s="37" t="s">
        <v>2739</v>
      </c>
      <c r="B255" s="37" t="s">
        <v>2952</v>
      </c>
      <c r="C255" s="37"/>
      <c r="D255" s="37" t="s">
        <v>391</v>
      </c>
      <c r="E255" s="30" t="str">
        <f>INDEX(목표문구!$G$1:$G$1000,MATCH($B255,목표문구!$A$1:$A$1000,0))</f>
        <v>먹은 단백질 돌아보기</v>
      </c>
      <c r="F255" s="30" t="s">
        <v>4174</v>
      </c>
      <c r="G255" s="37">
        <f t="shared" si="8"/>
        <v>28</v>
      </c>
      <c r="H255" s="37">
        <v>30</v>
      </c>
      <c r="I255" s="37">
        <v>36</v>
      </c>
      <c r="J255" s="37" t="str">
        <f t="shared" si="9"/>
        <v>OK</v>
      </c>
      <c r="K255" s="37" t="s">
        <v>4369</v>
      </c>
      <c r="L255" s="28"/>
    </row>
    <row r="256" spans="1:12">
      <c r="A256" s="37" t="s">
        <v>2739</v>
      </c>
      <c r="B256" s="37" t="s">
        <v>2957</v>
      </c>
      <c r="C256" s="37"/>
      <c r="D256" s="37" t="s">
        <v>391</v>
      </c>
      <c r="E256" s="30" t="str">
        <f>INDEX(목표문구!$G$1:$G$1000,MATCH($B256,목표문구!$A$1:$A$1000,0))</f>
        <v>전 대신 나물 반찬</v>
      </c>
      <c r="F256" s="30" t="s">
        <v>4175</v>
      </c>
      <c r="G256" s="37">
        <f t="shared" si="8"/>
        <v>26</v>
      </c>
      <c r="H256" s="37">
        <v>30</v>
      </c>
      <c r="I256" s="37">
        <v>36</v>
      </c>
      <c r="J256" s="37" t="str">
        <f t="shared" si="9"/>
        <v>OK</v>
      </c>
      <c r="K256" s="37" t="s">
        <v>4369</v>
      </c>
      <c r="L256" s="28"/>
    </row>
    <row r="257" spans="1:12">
      <c r="A257" s="37" t="s">
        <v>2739</v>
      </c>
      <c r="B257" s="37" t="s">
        <v>2962</v>
      </c>
      <c r="C257" s="37"/>
      <c r="D257" s="37" t="s">
        <v>391</v>
      </c>
      <c r="E257" s="30" t="str">
        <f>INDEX(목표문구!$G$1:$G$1000,MATCH($B257,목표문구!$A$1:$A$1000,0))</f>
        <v>먹은 튀김 돌아보기</v>
      </c>
      <c r="F257" s="30" t="s">
        <v>4176</v>
      </c>
      <c r="G257" s="37">
        <f t="shared" si="8"/>
        <v>23</v>
      </c>
      <c r="H257" s="37">
        <v>30</v>
      </c>
      <c r="I257" s="37">
        <v>36</v>
      </c>
      <c r="J257" s="37" t="str">
        <f t="shared" si="9"/>
        <v>OK</v>
      </c>
      <c r="K257" s="37" t="s">
        <v>4369</v>
      </c>
      <c r="L257" s="28"/>
    </row>
    <row r="258" spans="1:12">
      <c r="A258" s="37" t="s">
        <v>2739</v>
      </c>
      <c r="B258" s="37" t="s">
        <v>2966</v>
      </c>
      <c r="C258" s="37"/>
      <c r="D258" s="37" t="s">
        <v>391</v>
      </c>
      <c r="E258" s="30" t="str">
        <f>INDEX(목표문구!$G$1:$G$1000,MATCH($B258,목표문구!$A$1:$A$1000,0))</f>
        <v>입맛 돌 때 먹어 두기</v>
      </c>
      <c r="F258" s="30" t="s">
        <v>4177</v>
      </c>
      <c r="G258" s="37">
        <f t="shared" si="8"/>
        <v>30</v>
      </c>
      <c r="H258" s="37">
        <v>30</v>
      </c>
      <c r="I258" s="37">
        <v>36</v>
      </c>
      <c r="J258" s="37" t="str">
        <f t="shared" si="9"/>
        <v>OK</v>
      </c>
      <c r="K258" s="37" t="s">
        <v>4369</v>
      </c>
      <c r="L258" s="28"/>
    </row>
    <row r="259" spans="1:12">
      <c r="A259" s="37" t="s">
        <v>2739</v>
      </c>
      <c r="B259" s="37" t="s">
        <v>2971</v>
      </c>
      <c r="C259" s="37"/>
      <c r="D259" s="37" t="s">
        <v>391</v>
      </c>
      <c r="E259" s="30" t="str">
        <f>INDEX(목표문구!$G$1:$G$1000,MATCH($B259,목표문구!$A$1:$A$1000,0))</f>
        <v>첫 끼 시간 정하기</v>
      </c>
      <c r="F259" s="30" t="s">
        <v>4178</v>
      </c>
      <c r="G259" s="37">
        <f t="shared" si="8"/>
        <v>24</v>
      </c>
      <c r="H259" s="37">
        <v>30</v>
      </c>
      <c r="I259" s="37">
        <v>36</v>
      </c>
      <c r="J259" s="37" t="str">
        <f t="shared" si="9"/>
        <v>OK</v>
      </c>
      <c r="K259" s="37" t="s">
        <v>4369</v>
      </c>
      <c r="L259" s="28"/>
    </row>
    <row r="260" spans="1:12">
      <c r="A260" s="37" t="s">
        <v>2739</v>
      </c>
      <c r="B260" s="37" t="s">
        <v>2976</v>
      </c>
      <c r="C260" s="37"/>
      <c r="D260" s="37" t="s">
        <v>391</v>
      </c>
      <c r="E260" s="30" t="str">
        <f>INDEX(목표문구!$G$1:$G$1000,MATCH($B260,목표문구!$A$1:$A$1000,0))</f>
        <v>아침거리 사 두기</v>
      </c>
      <c r="F260" s="30" t="s">
        <v>4179</v>
      </c>
      <c r="G260" s="37">
        <f t="shared" si="8"/>
        <v>20</v>
      </c>
      <c r="H260" s="37">
        <v>30</v>
      </c>
      <c r="I260" s="37">
        <v>36</v>
      </c>
      <c r="J260" s="37" t="str">
        <f t="shared" si="9"/>
        <v>OK</v>
      </c>
      <c r="K260" s="37" t="s">
        <v>4369</v>
      </c>
      <c r="L260" s="28"/>
    </row>
    <row r="261" spans="1:12">
      <c r="A261" s="37" t="s">
        <v>2739</v>
      </c>
      <c r="B261" s="37" t="s">
        <v>2981</v>
      </c>
      <c r="C261" s="37"/>
      <c r="D261" s="37" t="s">
        <v>391</v>
      </c>
      <c r="E261" s="30" t="str">
        <f>INDEX(목표문구!$G$1:$G$1000,MATCH($B261,목표문구!$A$1:$A$1000,0))</f>
        <v>바쁜 날엔 김밥 한 줄</v>
      </c>
      <c r="F261" s="30" t="s">
        <v>4180</v>
      </c>
      <c r="G261" s="37">
        <f t="shared" si="8"/>
        <v>23</v>
      </c>
      <c r="H261" s="37">
        <v>30</v>
      </c>
      <c r="I261" s="37">
        <v>36</v>
      </c>
      <c r="J261" s="37" t="str">
        <f t="shared" si="9"/>
        <v>OK</v>
      </c>
      <c r="K261" s="37" t="s">
        <v>4369</v>
      </c>
      <c r="L261" s="28"/>
    </row>
    <row r="262" spans="1:12">
      <c r="A262" s="37" t="s">
        <v>2739</v>
      </c>
      <c r="B262" s="37" t="s">
        <v>2986</v>
      </c>
      <c r="C262" s="37"/>
      <c r="D262" s="37" t="s">
        <v>391</v>
      </c>
      <c r="E262" s="30" t="str">
        <f>INDEX(목표문구!$G$1:$G$1000,MATCH($B262,목표문구!$A$1:$A$1000,0))</f>
        <v>채소는 앞칸에 두기</v>
      </c>
      <c r="F262" s="30" t="s">
        <v>4181</v>
      </c>
      <c r="G262" s="37">
        <f t="shared" si="8"/>
        <v>29</v>
      </c>
      <c r="H262" s="37">
        <v>30</v>
      </c>
      <c r="I262" s="37">
        <v>36</v>
      </c>
      <c r="J262" s="37" t="str">
        <f t="shared" si="9"/>
        <v>OK</v>
      </c>
      <c r="K262" s="37" t="s">
        <v>4369</v>
      </c>
      <c r="L262" s="28"/>
    </row>
    <row r="263" spans="1:12">
      <c r="A263" s="37" t="s">
        <v>2739</v>
      </c>
      <c r="B263" s="37" t="s">
        <v>2991</v>
      </c>
      <c r="C263" s="37"/>
      <c r="D263" s="37" t="s">
        <v>391</v>
      </c>
      <c r="E263" s="30" t="str">
        <f>INDEX(목표문구!$G$1:$G$1000,MATCH($B263,목표문구!$A$1:$A$1000,0))</f>
        <v>내일 된장국에 애호박</v>
      </c>
      <c r="F263" s="30" t="s">
        <v>4182</v>
      </c>
      <c r="G263" s="37">
        <f t="shared" si="8"/>
        <v>27</v>
      </c>
      <c r="H263" s="37">
        <v>30</v>
      </c>
      <c r="I263" s="37">
        <v>36</v>
      </c>
      <c r="J263" s="37" t="str">
        <f t="shared" si="9"/>
        <v>OK</v>
      </c>
      <c r="K263" s="37" t="s">
        <v>4369</v>
      </c>
      <c r="L263" s="28"/>
    </row>
    <row r="264" spans="1:12">
      <c r="A264" s="37" t="s">
        <v>2739</v>
      </c>
      <c r="B264" s="37" t="s">
        <v>2996</v>
      </c>
      <c r="C264" s="37"/>
      <c r="D264" s="37" t="s">
        <v>391</v>
      </c>
      <c r="E264" s="30" t="str">
        <f>INDEX(목표문구!$G$1:$G$1000,MATCH($B264,목표문구!$A$1:$A$1000,0))</f>
        <v>매일 나물 한 가지</v>
      </c>
      <c r="F264" s="30" t="s">
        <v>4183</v>
      </c>
      <c r="G264" s="37">
        <f t="shared" si="8"/>
        <v>25</v>
      </c>
      <c r="H264" s="37">
        <v>30</v>
      </c>
      <c r="I264" s="37">
        <v>36</v>
      </c>
      <c r="J264" s="37" t="str">
        <f t="shared" si="9"/>
        <v>OK</v>
      </c>
      <c r="K264" s="37" t="s">
        <v>4369</v>
      </c>
      <c r="L264" s="28"/>
    </row>
    <row r="265" spans="1:12">
      <c r="A265" s="37" t="s">
        <v>2739</v>
      </c>
      <c r="B265" s="37" t="s">
        <v>3001</v>
      </c>
      <c r="C265" s="37"/>
      <c r="D265" s="37" t="s">
        <v>391</v>
      </c>
      <c r="E265" s="30" t="str">
        <f>INDEX(목표문구!$G$1:$G$1000,MATCH($B265,목표문구!$A$1:$A$1000,0))</f>
        <v>음료 당류 표시 보기</v>
      </c>
      <c r="F265" s="30" t="s">
        <v>4096</v>
      </c>
      <c r="G265" s="37">
        <f t="shared" si="8"/>
        <v>27</v>
      </c>
      <c r="H265" s="37">
        <v>30</v>
      </c>
      <c r="I265" s="37">
        <v>36</v>
      </c>
      <c r="J265" s="37" t="str">
        <f t="shared" si="9"/>
        <v>OK</v>
      </c>
      <c r="K265" s="37" t="s">
        <v>4369</v>
      </c>
      <c r="L265" s="28"/>
    </row>
    <row r="266" spans="1:12">
      <c r="A266" s="37" t="s">
        <v>2739</v>
      </c>
      <c r="B266" s="37" t="s">
        <v>3006</v>
      </c>
      <c r="C266" s="37"/>
      <c r="D266" s="37" t="s">
        <v>391</v>
      </c>
      <c r="E266" s="30" t="str">
        <f>INDEX(목표문구!$G$1:$G$1000,MATCH($B266,목표문구!$A$1:$A$1000,0))</f>
        <v>단 음료 사 두지 않기</v>
      </c>
      <c r="F266" s="30" t="s">
        <v>4184</v>
      </c>
      <c r="G266" s="37">
        <f t="shared" si="8"/>
        <v>24</v>
      </c>
      <c r="H266" s="37">
        <v>30</v>
      </c>
      <c r="I266" s="37">
        <v>36</v>
      </c>
      <c r="J266" s="37" t="str">
        <f t="shared" si="9"/>
        <v>OK</v>
      </c>
      <c r="K266" s="37" t="s">
        <v>4369</v>
      </c>
      <c r="L266" s="28"/>
    </row>
    <row r="267" spans="1:12">
      <c r="A267" s="37" t="s">
        <v>2739</v>
      </c>
      <c r="B267" s="37" t="s">
        <v>3011</v>
      </c>
      <c r="C267" s="37"/>
      <c r="D267" s="37" t="s">
        <v>391</v>
      </c>
      <c r="E267" s="30" t="str">
        <f>INDEX(목표문구!$G$1:$G$1000,MATCH($B267,목표문구!$A$1:$A$1000,0))</f>
        <v>주 3일 단 음료 쉬기</v>
      </c>
      <c r="F267" s="30" t="s">
        <v>4185</v>
      </c>
      <c r="G267" s="37">
        <f t="shared" si="8"/>
        <v>30</v>
      </c>
      <c r="H267" s="37">
        <v>30</v>
      </c>
      <c r="I267" s="37">
        <v>36</v>
      </c>
      <c r="J267" s="37" t="str">
        <f t="shared" si="9"/>
        <v>OK</v>
      </c>
      <c r="K267" s="37" t="s">
        <v>4369</v>
      </c>
      <c r="L267" s="28"/>
    </row>
    <row r="268" spans="1:12">
      <c r="A268" s="37" t="s">
        <v>2739</v>
      </c>
      <c r="B268" s="37" t="s">
        <v>3016</v>
      </c>
      <c r="C268" s="37"/>
      <c r="D268" s="37" t="s">
        <v>391</v>
      </c>
      <c r="E268" s="30" t="str">
        <f>INDEX(목표문구!$G$1:$G$1000,MATCH($B268,목표문구!$A$1:$A$1000,0))</f>
        <v>소금통 치워 두기</v>
      </c>
      <c r="F268" s="30" t="s">
        <v>4186</v>
      </c>
      <c r="G268" s="37">
        <f t="shared" si="8"/>
        <v>24</v>
      </c>
      <c r="H268" s="37">
        <v>30</v>
      </c>
      <c r="I268" s="37">
        <v>36</v>
      </c>
      <c r="J268" s="37" t="str">
        <f t="shared" si="9"/>
        <v>OK</v>
      </c>
      <c r="K268" s="37" t="s">
        <v>4369</v>
      </c>
      <c r="L268" s="28"/>
    </row>
    <row r="269" spans="1:12">
      <c r="A269" s="37" t="s">
        <v>2739</v>
      </c>
      <c r="B269" s="37" t="s">
        <v>3021</v>
      </c>
      <c r="C269" s="37"/>
      <c r="D269" s="37" t="s">
        <v>391</v>
      </c>
      <c r="E269" s="30" t="str">
        <f>INDEX(목표문구!$G$1:$G$1000,MATCH($B269,목표문구!$A$1:$A$1000,0))</f>
        <v>국은 건더기 위주로</v>
      </c>
      <c r="F269" s="30" t="s">
        <v>4187</v>
      </c>
      <c r="G269" s="37">
        <f t="shared" si="8"/>
        <v>22</v>
      </c>
      <c r="H269" s="37">
        <v>30</v>
      </c>
      <c r="I269" s="37">
        <v>36</v>
      </c>
      <c r="J269" s="37" t="str">
        <f t="shared" si="9"/>
        <v>OK</v>
      </c>
      <c r="K269" s="37" t="s">
        <v>4369</v>
      </c>
      <c r="L269" s="28"/>
    </row>
    <row r="270" spans="1:12">
      <c r="A270" s="37" t="s">
        <v>2739</v>
      </c>
      <c r="B270" s="37" t="s">
        <v>3026</v>
      </c>
      <c r="C270" s="37"/>
      <c r="D270" s="37" t="s">
        <v>391</v>
      </c>
      <c r="E270" s="30" t="str">
        <f>INDEX(목표문구!$G$1:$G$1000,MATCH($B270,목표문구!$A$1:$A$1000,0))</f>
        <v>나트륨 표시 비교하기</v>
      </c>
      <c r="F270" s="30" t="s">
        <v>4188</v>
      </c>
      <c r="G270" s="37">
        <f t="shared" si="8"/>
        <v>24</v>
      </c>
      <c r="H270" s="37">
        <v>30</v>
      </c>
      <c r="I270" s="37">
        <v>36</v>
      </c>
      <c r="J270" s="37" t="str">
        <f t="shared" si="9"/>
        <v>OK</v>
      </c>
      <c r="K270" s="37" t="s">
        <v>4369</v>
      </c>
      <c r="L270" s="28"/>
    </row>
    <row r="271" spans="1:12">
      <c r="A271" s="37" t="s">
        <v>2739</v>
      </c>
      <c r="B271" s="37" t="s">
        <v>3031</v>
      </c>
      <c r="C271" s="37"/>
      <c r="D271" s="37" t="s">
        <v>391</v>
      </c>
      <c r="E271" s="30" t="str">
        <f>INDEX(목표문구!$G$1:$G$1000,MATCH($B271,목표문구!$A$1:$A$1000,0))</f>
        <v>간식 자리 정리하기</v>
      </c>
      <c r="F271" s="30" t="s">
        <v>4189</v>
      </c>
      <c r="G271" s="37">
        <f t="shared" si="8"/>
        <v>21</v>
      </c>
      <c r="H271" s="37">
        <v>30</v>
      </c>
      <c r="I271" s="37">
        <v>36</v>
      </c>
      <c r="J271" s="37" t="str">
        <f t="shared" si="9"/>
        <v>OK</v>
      </c>
      <c r="K271" s="37" t="s">
        <v>4369</v>
      </c>
      <c r="L271" s="28"/>
    </row>
    <row r="272" spans="1:12">
      <c r="A272" s="37" t="s">
        <v>2739</v>
      </c>
      <c r="B272" s="37" t="s">
        <v>3036</v>
      </c>
      <c r="C272" s="37"/>
      <c r="D272" s="37" t="s">
        <v>391</v>
      </c>
      <c r="E272" s="30" t="str">
        <f>INDEX(목표문구!$G$1:$G$1000,MATCH($B272,목표문구!$A$1:$A$1000,0))</f>
        <v>저녁은 7시 전에</v>
      </c>
      <c r="F272" s="30" t="s">
        <v>4190</v>
      </c>
      <c r="G272" s="37">
        <f t="shared" si="8"/>
        <v>23</v>
      </c>
      <c r="H272" s="37">
        <v>30</v>
      </c>
      <c r="I272" s="37">
        <v>36</v>
      </c>
      <c r="J272" s="37" t="str">
        <f t="shared" si="9"/>
        <v>OK</v>
      </c>
      <c r="K272" s="37" t="s">
        <v>4369</v>
      </c>
      <c r="L272" s="28"/>
    </row>
    <row r="273" spans="1:12">
      <c r="A273" s="37" t="s">
        <v>2739</v>
      </c>
      <c r="B273" s="37" t="s">
        <v>3041</v>
      </c>
      <c r="C273" s="37"/>
      <c r="D273" s="37" t="s">
        <v>391</v>
      </c>
      <c r="E273" s="30" t="str">
        <f>INDEX(목표문구!$G$1:$G$1000,MATCH($B273,목표문구!$A$1:$A$1000,0))</f>
        <v>저녁은 매일 7시쯤</v>
      </c>
      <c r="F273" s="30" t="s">
        <v>4191</v>
      </c>
      <c r="G273" s="37">
        <f t="shared" si="8"/>
        <v>24</v>
      </c>
      <c r="H273" s="37">
        <v>30</v>
      </c>
      <c r="I273" s="37">
        <v>36</v>
      </c>
      <c r="J273" s="37" t="str">
        <f t="shared" si="9"/>
        <v>OK</v>
      </c>
      <c r="K273" s="37" t="s">
        <v>4369</v>
      </c>
      <c r="L273" s="28"/>
    </row>
    <row r="274" spans="1:12">
      <c r="A274" s="37" t="s">
        <v>2739</v>
      </c>
      <c r="B274" s="37" t="s">
        <v>3046</v>
      </c>
      <c r="C274" s="37"/>
      <c r="D274" s="37" t="s">
        <v>391</v>
      </c>
      <c r="E274" s="30" t="str">
        <f>INDEX(목표문구!$G$1:$G$1000,MATCH($B274,목표문구!$A$1:$A$1000,0))</f>
        <v>밥은 15분 넘게 먹기</v>
      </c>
      <c r="F274" s="30" t="s">
        <v>4192</v>
      </c>
      <c r="G274" s="37">
        <f t="shared" si="8"/>
        <v>23</v>
      </c>
      <c r="H274" s="37">
        <v>30</v>
      </c>
      <c r="I274" s="37">
        <v>36</v>
      </c>
      <c r="J274" s="37" t="str">
        <f t="shared" si="9"/>
        <v>OK</v>
      </c>
      <c r="K274" s="37" t="s">
        <v>4369</v>
      </c>
      <c r="L274" s="28"/>
    </row>
    <row r="275" spans="1:12">
      <c r="A275" s="37" t="s">
        <v>2739</v>
      </c>
      <c r="B275" s="37" t="s">
        <v>3051</v>
      </c>
      <c r="C275" s="37"/>
      <c r="D275" s="37" t="s">
        <v>391</v>
      </c>
      <c r="E275" s="30" t="str">
        <f>INDEX(목표문구!$G$1:$G$1000,MATCH($B275,목표문구!$A$1:$A$1000,0))</f>
        <v>TV 끄고 식사하기</v>
      </c>
      <c r="F275" s="30" t="s">
        <v>4193</v>
      </c>
      <c r="G275" s="37">
        <f t="shared" si="8"/>
        <v>19</v>
      </c>
      <c r="H275" s="37">
        <v>30</v>
      </c>
      <c r="I275" s="37">
        <v>36</v>
      </c>
      <c r="J275" s="37" t="str">
        <f t="shared" si="9"/>
        <v>OK</v>
      </c>
      <c r="K275" s="37" t="s">
        <v>4369</v>
      </c>
      <c r="L275" s="28"/>
    </row>
    <row r="276" spans="1:12">
      <c r="A276" s="37" t="s">
        <v>2739</v>
      </c>
      <c r="B276" s="37" t="s">
        <v>3056</v>
      </c>
      <c r="C276" s="37"/>
      <c r="D276" s="37" t="s">
        <v>391</v>
      </c>
      <c r="E276" s="30" t="str">
        <f>INDEX(목표문구!$G$1:$G$1000,MATCH($B276,목표문구!$A$1:$A$1000,0))</f>
        <v>함께 먹는 끼니 정하기</v>
      </c>
      <c r="F276" s="30" t="s">
        <v>4194</v>
      </c>
      <c r="G276" s="37">
        <f t="shared" si="8"/>
        <v>20</v>
      </c>
      <c r="H276" s="37">
        <v>30</v>
      </c>
      <c r="I276" s="37">
        <v>36</v>
      </c>
      <c r="J276" s="37" t="str">
        <f t="shared" si="9"/>
        <v>OK</v>
      </c>
      <c r="K276" s="37" t="s">
        <v>4369</v>
      </c>
      <c r="L276" s="28"/>
    </row>
    <row r="277" spans="1:12">
      <c r="A277" s="37" t="s">
        <v>2739</v>
      </c>
      <c r="B277" s="37" t="s">
        <v>3061</v>
      </c>
      <c r="C277" s="37"/>
      <c r="D277" s="37" t="s">
        <v>391</v>
      </c>
      <c r="E277" s="30" t="str">
        <f>INDEX(목표문구!$G$1:$G$1000,MATCH($B277,목표문구!$A$1:$A$1000,0))</f>
        <v>아침 달걀 꺼내 두기</v>
      </c>
      <c r="F277" s="30" t="s">
        <v>4195</v>
      </c>
      <c r="G277" s="37">
        <f t="shared" si="8"/>
        <v>26</v>
      </c>
      <c r="H277" s="37">
        <v>30</v>
      </c>
      <c r="I277" s="37">
        <v>36</v>
      </c>
      <c r="J277" s="37" t="str">
        <f t="shared" si="9"/>
        <v>OK</v>
      </c>
      <c r="K277" s="37" t="s">
        <v>4369</v>
      </c>
      <c r="L277" s="28"/>
    </row>
    <row r="278" spans="1:12">
      <c r="A278" s="37" t="s">
        <v>2739</v>
      </c>
      <c r="B278" s="37" t="s">
        <v>3066</v>
      </c>
      <c r="C278" s="37"/>
      <c r="D278" s="37" t="s">
        <v>391</v>
      </c>
      <c r="E278" s="30" t="str">
        <f>INDEX(목표문구!$G$1:$G$1000,MATCH($B278,목표문구!$A$1:$A$1000,0))</f>
        <v>주 2회 생선 먹기</v>
      </c>
      <c r="F278" s="30" t="s">
        <v>4196</v>
      </c>
      <c r="G278" s="37">
        <f t="shared" si="8"/>
        <v>17</v>
      </c>
      <c r="H278" s="37">
        <v>30</v>
      </c>
      <c r="I278" s="37">
        <v>36</v>
      </c>
      <c r="J278" s="37" t="str">
        <f t="shared" si="9"/>
        <v>OK</v>
      </c>
      <c r="K278" s="37" t="s">
        <v>4369</v>
      </c>
      <c r="L278" s="28"/>
    </row>
    <row r="279" spans="1:12">
      <c r="A279" s="37" t="s">
        <v>2739</v>
      </c>
      <c r="B279" s="37" t="s">
        <v>3071</v>
      </c>
      <c r="C279" s="37"/>
      <c r="D279" s="37" t="s">
        <v>391</v>
      </c>
      <c r="E279" s="30" t="str">
        <f>INDEX(목표문구!$G$1:$G$1000,MATCH($B279,목표문구!$A$1:$A$1000,0))</f>
        <v>두부부침 반찬 만들기</v>
      </c>
      <c r="F279" s="30" t="s">
        <v>4197</v>
      </c>
      <c r="G279" s="37">
        <f t="shared" si="8"/>
        <v>19</v>
      </c>
      <c r="H279" s="37">
        <v>30</v>
      </c>
      <c r="I279" s="37">
        <v>36</v>
      </c>
      <c r="J279" s="37" t="str">
        <f t="shared" si="9"/>
        <v>OK</v>
      </c>
      <c r="K279" s="37" t="s">
        <v>4369</v>
      </c>
      <c r="L279" s="28"/>
    </row>
    <row r="280" spans="1:12">
      <c r="A280" s="37" t="s">
        <v>2739</v>
      </c>
      <c r="B280" s="37" t="s">
        <v>3076</v>
      </c>
      <c r="C280" s="37"/>
      <c r="D280" s="37" t="s">
        <v>391</v>
      </c>
      <c r="E280" s="30" t="str">
        <f>INDEX(목표문구!$G$1:$G$1000,MATCH($B280,목표문구!$A$1:$A$1000,0))</f>
        <v>구워 먹을 재료 꺼내기</v>
      </c>
      <c r="F280" s="30" t="s">
        <v>4198</v>
      </c>
      <c r="G280" s="37">
        <f t="shared" si="8"/>
        <v>21</v>
      </c>
      <c r="H280" s="37">
        <v>30</v>
      </c>
      <c r="I280" s="37">
        <v>36</v>
      </c>
      <c r="J280" s="37" t="str">
        <f t="shared" si="9"/>
        <v>OK</v>
      </c>
      <c r="K280" s="37" t="s">
        <v>4369</v>
      </c>
      <c r="L280" s="28"/>
    </row>
    <row r="281" spans="1:12">
      <c r="A281" s="37" t="s">
        <v>2739</v>
      </c>
      <c r="B281" s="37" t="s">
        <v>3081</v>
      </c>
      <c r="C281" s="37"/>
      <c r="D281" s="37" t="s">
        <v>391</v>
      </c>
      <c r="E281" s="30" t="str">
        <f>INDEX(목표문구!$G$1:$G$1000,MATCH($B281,목표문구!$A$1:$A$1000,0))</f>
        <v>감자튀김 대신 찐 감자</v>
      </c>
      <c r="F281" s="30" t="s">
        <v>4199</v>
      </c>
      <c r="G281" s="37">
        <f t="shared" si="8"/>
        <v>25</v>
      </c>
      <c r="H281" s="37">
        <v>30</v>
      </c>
      <c r="I281" s="37">
        <v>36</v>
      </c>
      <c r="J281" s="37" t="str">
        <f t="shared" si="9"/>
        <v>OK</v>
      </c>
      <c r="K281" s="37" t="s">
        <v>4369</v>
      </c>
      <c r="L281" s="28"/>
    </row>
    <row r="282" spans="1:12">
      <c r="A282" s="37" t="s">
        <v>2739</v>
      </c>
      <c r="B282" s="37" t="s">
        <v>3086</v>
      </c>
      <c r="C282" s="37"/>
      <c r="D282" s="37" t="s">
        <v>391</v>
      </c>
      <c r="E282" s="30" t="str">
        <f>INDEX(목표문구!$G$1:$G$1000,MATCH($B282,목표문구!$A$1:$A$1000,0))</f>
        <v>돼지갈비 대신 생선찜</v>
      </c>
      <c r="F282" s="30" t="s">
        <v>4200</v>
      </c>
      <c r="G282" s="37">
        <f t="shared" si="8"/>
        <v>27</v>
      </c>
      <c r="H282" s="37">
        <v>30</v>
      </c>
      <c r="I282" s="37">
        <v>36</v>
      </c>
      <c r="J282" s="37" t="str">
        <f t="shared" si="9"/>
        <v>OK</v>
      </c>
      <c r="K282" s="37" t="s">
        <v>4369</v>
      </c>
      <c r="L282" s="28"/>
    </row>
    <row r="283" spans="1:12">
      <c r="A283" s="37" t="s">
        <v>2739</v>
      </c>
      <c r="B283" s="37" t="s">
        <v>3091</v>
      </c>
      <c r="C283" s="37"/>
      <c r="D283" s="37" t="s">
        <v>391</v>
      </c>
      <c r="E283" s="30" t="str">
        <f>INDEX(목표문구!$G$1:$G$1000,MATCH($B283,목표문구!$A$1:$A$1000,0))</f>
        <v>따뜻한 국에 밥 말기</v>
      </c>
      <c r="F283" s="30" t="s">
        <v>4201</v>
      </c>
      <c r="G283" s="37">
        <f t="shared" si="8"/>
        <v>19</v>
      </c>
      <c r="H283" s="37">
        <v>30</v>
      </c>
      <c r="I283" s="37">
        <v>36</v>
      </c>
      <c r="J283" s="37" t="str">
        <f t="shared" si="9"/>
        <v>OK</v>
      </c>
      <c r="K283" s="37" t="s">
        <v>4369</v>
      </c>
      <c r="L283" s="28"/>
    </row>
    <row r="284" spans="1:12">
      <c r="A284" s="37" t="s">
        <v>2739</v>
      </c>
      <c r="B284" s="37" t="s">
        <v>3096</v>
      </c>
      <c r="C284" s="37"/>
      <c r="D284" s="37" t="s">
        <v>391</v>
      </c>
      <c r="E284" s="30" t="str">
        <f>INDEX(목표문구!$G$1:$G$1000,MATCH($B284,목표문구!$A$1:$A$1000,0))</f>
        <v>식사 느낌 한 줄 적기</v>
      </c>
      <c r="F284" s="30" t="s">
        <v>4202</v>
      </c>
      <c r="G284" s="37">
        <f t="shared" si="8"/>
        <v>28</v>
      </c>
      <c r="H284" s="37">
        <v>30</v>
      </c>
      <c r="I284" s="37">
        <v>36</v>
      </c>
      <c r="J284" s="37" t="str">
        <f t="shared" si="9"/>
        <v>OK</v>
      </c>
      <c r="K284" s="37" t="s">
        <v>4369</v>
      </c>
      <c r="L284" s="28"/>
    </row>
    <row r="285" spans="1:12">
      <c r="A285" s="37" t="s">
        <v>2739</v>
      </c>
      <c r="B285" s="37" t="s">
        <v>3101</v>
      </c>
      <c r="C285" s="37"/>
      <c r="D285" s="37" t="s">
        <v>391</v>
      </c>
      <c r="E285" s="30" t="str">
        <f>INDEX(목표문구!$G$1:$G$1000,MATCH($B285,목표문구!$A$1:$A$1000,0))</f>
        <v>점심 알림 12시로</v>
      </c>
      <c r="F285" s="30" t="s">
        <v>4203</v>
      </c>
      <c r="G285" s="37">
        <f t="shared" si="8"/>
        <v>26</v>
      </c>
      <c r="H285" s="37">
        <v>30</v>
      </c>
      <c r="I285" s="37">
        <v>36</v>
      </c>
      <c r="J285" s="37" t="str">
        <f t="shared" si="9"/>
        <v>OK</v>
      </c>
      <c r="K285" s="37" t="s">
        <v>4369</v>
      </c>
      <c r="L285" s="28"/>
    </row>
    <row r="286" spans="1:12">
      <c r="A286" s="37" t="s">
        <v>2739</v>
      </c>
      <c r="B286" s="37" t="s">
        <v>3106</v>
      </c>
      <c r="C286" s="37"/>
      <c r="D286" s="37" t="s">
        <v>391</v>
      </c>
      <c r="E286" s="30" t="str">
        <f>INDEX(목표문구!$G$1:$G$1000,MATCH($B286,목표문구!$A$1:$A$1000,0))</f>
        <v>식사 시간 달력에 적기</v>
      </c>
      <c r="F286" s="30" t="s">
        <v>4204</v>
      </c>
      <c r="G286" s="37">
        <f t="shared" ref="G286:G349" si="10">LEN(F286)</f>
        <v>31</v>
      </c>
      <c r="H286" s="37">
        <v>30</v>
      </c>
      <c r="I286" s="37">
        <v>36</v>
      </c>
      <c r="J286" s="37" t="str">
        <f t="shared" ref="J286:J349" si="11">IF(F286="","비어 있음",IF(G286&lt;=H286,"OK",IF(G286&lt;=I286,"길이 주의","상한 초과")))</f>
        <v>길이 주의</v>
      </c>
      <c r="K286" s="37" t="s">
        <v>4369</v>
      </c>
      <c r="L286" s="28"/>
    </row>
    <row r="287" spans="1:12">
      <c r="A287" s="37" t="s">
        <v>2739</v>
      </c>
      <c r="B287" s="37" t="s">
        <v>3111</v>
      </c>
      <c r="C287" s="37"/>
      <c r="D287" s="37" t="s">
        <v>391</v>
      </c>
      <c r="E287" s="30" t="str">
        <f>INDEX(목표문구!$G$1:$G$1000,MATCH($B287,목표문구!$A$1:$A$1000,0))</f>
        <v>4시간마다 끼니 챙기기</v>
      </c>
      <c r="F287" s="30" t="s">
        <v>4205</v>
      </c>
      <c r="G287" s="37">
        <f t="shared" si="10"/>
        <v>17</v>
      </c>
      <c r="H287" s="37">
        <v>30</v>
      </c>
      <c r="I287" s="37">
        <v>36</v>
      </c>
      <c r="J287" s="37" t="str">
        <f t="shared" si="11"/>
        <v>OK</v>
      </c>
      <c r="K287" s="37" t="s">
        <v>4369</v>
      </c>
      <c r="L287" s="28"/>
    </row>
    <row r="288" spans="1:12">
      <c r="A288" s="37" t="s">
        <v>2739</v>
      </c>
      <c r="B288" s="37" t="s">
        <v>3116</v>
      </c>
      <c r="C288" s="37"/>
      <c r="D288" s="37" t="s">
        <v>391</v>
      </c>
      <c r="E288" s="30" t="str">
        <f>INDEX(목표문구!$G$1:$G$1000,MATCH($B288,목표문구!$A$1:$A$1000,0))</f>
        <v>요깃거리 챙겨 나가기</v>
      </c>
      <c r="F288" s="30" t="s">
        <v>4206</v>
      </c>
      <c r="G288" s="37">
        <f t="shared" si="10"/>
        <v>29</v>
      </c>
      <c r="H288" s="37">
        <v>30</v>
      </c>
      <c r="I288" s="37">
        <v>36</v>
      </c>
      <c r="J288" s="37" t="str">
        <f t="shared" si="11"/>
        <v>OK</v>
      </c>
      <c r="K288" s="37" t="s">
        <v>4369</v>
      </c>
      <c r="L288" s="28"/>
    </row>
    <row r="289" spans="1:12">
      <c r="A289" s="37" t="s">
        <v>2739</v>
      </c>
      <c r="B289" s="37" t="s">
        <v>3121</v>
      </c>
      <c r="C289" s="37"/>
      <c r="D289" s="37" t="s">
        <v>391</v>
      </c>
      <c r="E289" s="30" t="str">
        <f>INDEX(목표문구!$G$1:$G$1000,MATCH($B289,목표문구!$A$1:$A$1000,0))</f>
        <v>아침 그릇 꺼내 두기</v>
      </c>
      <c r="F289" s="30" t="s">
        <v>4207</v>
      </c>
      <c r="G289" s="37">
        <f t="shared" si="10"/>
        <v>24</v>
      </c>
      <c r="H289" s="37">
        <v>30</v>
      </c>
      <c r="I289" s="37">
        <v>36</v>
      </c>
      <c r="J289" s="37" t="str">
        <f t="shared" si="11"/>
        <v>OK</v>
      </c>
      <c r="K289" s="37" t="s">
        <v>4369</v>
      </c>
      <c r="L289" s="28"/>
    </row>
    <row r="290" spans="1:12">
      <c r="A290" s="37" t="s">
        <v>2739</v>
      </c>
      <c r="B290" s="37" t="s">
        <v>3126</v>
      </c>
      <c r="C290" s="37"/>
      <c r="D290" s="37" t="s">
        <v>391</v>
      </c>
      <c r="E290" s="30" t="str">
        <f>INDEX(목표문구!$G$1:$G$1000,MATCH($B290,목표문구!$A$1:$A$1000,0))</f>
        <v>내일 첫 끼 떠올리기</v>
      </c>
      <c r="F290" s="30" t="s">
        <v>4208</v>
      </c>
      <c r="G290" s="37">
        <f t="shared" si="10"/>
        <v>30</v>
      </c>
      <c r="H290" s="37">
        <v>30</v>
      </c>
      <c r="I290" s="37">
        <v>36</v>
      </c>
      <c r="J290" s="37" t="str">
        <f t="shared" si="11"/>
        <v>OK</v>
      </c>
      <c r="K290" s="37" t="s">
        <v>4369</v>
      </c>
      <c r="L290" s="28"/>
    </row>
    <row r="291" spans="1:12">
      <c r="A291" s="37" t="s">
        <v>2739</v>
      </c>
      <c r="B291" s="37" t="s">
        <v>3131</v>
      </c>
      <c r="C291" s="37"/>
      <c r="D291" s="37" t="s">
        <v>391</v>
      </c>
      <c r="E291" s="30" t="str">
        <f>INDEX(목표문구!$G$1:$G$1000,MATCH($B291,목표문구!$A$1:$A$1000,0))</f>
        <v>채소 반찬 먼저 고르기</v>
      </c>
      <c r="F291" s="30" t="s">
        <v>4209</v>
      </c>
      <c r="G291" s="37">
        <f t="shared" si="10"/>
        <v>26</v>
      </c>
      <c r="H291" s="37">
        <v>30</v>
      </c>
      <c r="I291" s="37">
        <v>36</v>
      </c>
      <c r="J291" s="37" t="str">
        <f t="shared" si="11"/>
        <v>OK</v>
      </c>
      <c r="K291" s="37" t="s">
        <v>4369</v>
      </c>
      <c r="L291" s="28"/>
    </row>
    <row r="292" spans="1:12">
      <c r="A292" s="37" t="s">
        <v>2739</v>
      </c>
      <c r="B292" s="37" t="s">
        <v>3136</v>
      </c>
      <c r="C292" s="37"/>
      <c r="D292" s="37" t="s">
        <v>391</v>
      </c>
      <c r="E292" s="30" t="str">
        <f>INDEX(목표문구!$G$1:$G$1000,MATCH($B292,목표문구!$A$1:$A$1000,0))</f>
        <v>라면에 채소 넣기</v>
      </c>
      <c r="F292" s="30" t="s">
        <v>4210</v>
      </c>
      <c r="G292" s="37">
        <f t="shared" si="10"/>
        <v>25</v>
      </c>
      <c r="H292" s="37">
        <v>30</v>
      </c>
      <c r="I292" s="37">
        <v>36</v>
      </c>
      <c r="J292" s="37" t="str">
        <f t="shared" si="11"/>
        <v>OK</v>
      </c>
      <c r="K292" s="37" t="s">
        <v>4369</v>
      </c>
      <c r="L292" s="28"/>
    </row>
    <row r="293" spans="1:12">
      <c r="A293" s="37" t="s">
        <v>2739</v>
      </c>
      <c r="B293" s="37" t="s">
        <v>3141</v>
      </c>
      <c r="C293" s="37"/>
      <c r="D293" s="37" t="s">
        <v>391</v>
      </c>
      <c r="E293" s="30" t="str">
        <f>INDEX(목표문구!$G$1:$G$1000,MATCH($B293,목표문구!$A$1:$A$1000,0))</f>
        <v>채소 많은 김밥 고르기</v>
      </c>
      <c r="F293" s="30" t="s">
        <v>4211</v>
      </c>
      <c r="G293" s="37">
        <f t="shared" si="10"/>
        <v>29</v>
      </c>
      <c r="H293" s="37">
        <v>30</v>
      </c>
      <c r="I293" s="37">
        <v>36</v>
      </c>
      <c r="J293" s="37" t="str">
        <f t="shared" si="11"/>
        <v>OK</v>
      </c>
      <c r="K293" s="37" t="s">
        <v>4369</v>
      </c>
      <c r="L293" s="28"/>
    </row>
    <row r="294" spans="1:12">
      <c r="A294" s="37" t="s">
        <v>2739</v>
      </c>
      <c r="B294" s="37" t="s">
        <v>3146</v>
      </c>
      <c r="C294" s="37"/>
      <c r="D294" s="37" t="s">
        <v>391</v>
      </c>
      <c r="E294" s="30" t="str">
        <f>INDEX(목표문구!$G$1:$G$1000,MATCH($B294,목표문구!$A$1:$A$1000,0))</f>
        <v>오이·당근 간식 챙기기</v>
      </c>
      <c r="F294" s="30" t="s">
        <v>4212</v>
      </c>
      <c r="G294" s="37">
        <f t="shared" si="10"/>
        <v>30</v>
      </c>
      <c r="H294" s="37">
        <v>30</v>
      </c>
      <c r="I294" s="37">
        <v>36</v>
      </c>
      <c r="J294" s="37" t="str">
        <f t="shared" si="11"/>
        <v>OK</v>
      </c>
      <c r="K294" s="37" t="s">
        <v>4369</v>
      </c>
      <c r="L294" s="28"/>
    </row>
    <row r="295" spans="1:12">
      <c r="A295" s="37" t="s">
        <v>2739</v>
      </c>
      <c r="B295" s="37" t="s">
        <v>3151</v>
      </c>
      <c r="C295" s="37"/>
      <c r="D295" s="37" t="s">
        <v>391</v>
      </c>
      <c r="E295" s="30" t="str">
        <f>INDEX(목표문구!$G$1:$G$1000,MATCH($B295,목표문구!$A$1:$A$1000,0))</f>
        <v>내일 쓸 채소 손질하기</v>
      </c>
      <c r="F295" s="30" t="s">
        <v>4213</v>
      </c>
      <c r="G295" s="37">
        <f t="shared" si="10"/>
        <v>25</v>
      </c>
      <c r="H295" s="37">
        <v>30</v>
      </c>
      <c r="I295" s="37">
        <v>36</v>
      </c>
      <c r="J295" s="37" t="str">
        <f t="shared" si="11"/>
        <v>OK</v>
      </c>
      <c r="K295" s="37" t="s">
        <v>4369</v>
      </c>
      <c r="L295" s="28"/>
    </row>
    <row r="296" spans="1:12">
      <c r="A296" s="37" t="s">
        <v>2739</v>
      </c>
      <c r="B296" s="37" t="s">
        <v>3156</v>
      </c>
      <c r="C296" s="37"/>
      <c r="D296" s="37" t="s">
        <v>391</v>
      </c>
      <c r="E296" s="30" t="str">
        <f>INDEX(목표문구!$G$1:$G$1000,MATCH($B296,목표문구!$A$1:$A$1000,0))</f>
        <v>샐러드 채소 씻어 두기</v>
      </c>
      <c r="F296" s="30" t="s">
        <v>4214</v>
      </c>
      <c r="G296" s="37">
        <f t="shared" si="10"/>
        <v>23</v>
      </c>
      <c r="H296" s="37">
        <v>30</v>
      </c>
      <c r="I296" s="37">
        <v>36</v>
      </c>
      <c r="J296" s="37" t="str">
        <f t="shared" si="11"/>
        <v>OK</v>
      </c>
      <c r="K296" s="37" t="s">
        <v>4369</v>
      </c>
      <c r="L296" s="28"/>
    </row>
    <row r="297" spans="1:12">
      <c r="A297" s="37" t="s">
        <v>2739</v>
      </c>
      <c r="B297" s="37" t="s">
        <v>3161</v>
      </c>
      <c r="C297" s="37"/>
      <c r="D297" s="37" t="s">
        <v>391</v>
      </c>
      <c r="E297" s="30" t="str">
        <f>INDEX(목표문구!$G$1:$G$1000,MATCH($B297,목표문구!$A$1:$A$1000,0))</f>
        <v>시럽 뺀 커피 고르기</v>
      </c>
      <c r="F297" s="30" t="s">
        <v>4215</v>
      </c>
      <c r="G297" s="37">
        <f t="shared" si="10"/>
        <v>26</v>
      </c>
      <c r="H297" s="37">
        <v>30</v>
      </c>
      <c r="I297" s="37">
        <v>36</v>
      </c>
      <c r="J297" s="37" t="str">
        <f t="shared" si="11"/>
        <v>OK</v>
      </c>
      <c r="K297" s="37" t="s">
        <v>4369</v>
      </c>
      <c r="L297" s="28"/>
    </row>
    <row r="298" spans="1:12">
      <c r="A298" s="37" t="s">
        <v>2739</v>
      </c>
      <c r="B298" s="37" t="s">
        <v>3166</v>
      </c>
      <c r="C298" s="37"/>
      <c r="D298" s="37" t="s">
        <v>391</v>
      </c>
      <c r="E298" s="30" t="str">
        <f>INDEX(목표문구!$G$1:$G$1000,MATCH($B298,목표문구!$A$1:$A$1000,0))</f>
        <v>무가당 음료 고르기</v>
      </c>
      <c r="F298" s="30" t="s">
        <v>4216</v>
      </c>
      <c r="G298" s="37">
        <f t="shared" si="10"/>
        <v>25</v>
      </c>
      <c r="H298" s="37">
        <v>30</v>
      </c>
      <c r="I298" s="37">
        <v>36</v>
      </c>
      <c r="J298" s="37" t="str">
        <f t="shared" si="11"/>
        <v>OK</v>
      </c>
      <c r="K298" s="37" t="s">
        <v>4369</v>
      </c>
      <c r="L298" s="28"/>
    </row>
    <row r="299" spans="1:12">
      <c r="A299" s="37" t="s">
        <v>2739</v>
      </c>
      <c r="B299" s="37" t="s">
        <v>3171</v>
      </c>
      <c r="C299" s="37"/>
      <c r="D299" s="37" t="s">
        <v>391</v>
      </c>
      <c r="E299" s="30" t="str">
        <f>INDEX(목표문구!$G$1:$G$1000,MATCH($B299,목표문구!$A$1:$A$1000,0))</f>
        <v>덜 단 빵 고르기</v>
      </c>
      <c r="F299" s="30" t="s">
        <v>4217</v>
      </c>
      <c r="G299" s="37">
        <f t="shared" si="10"/>
        <v>23</v>
      </c>
      <c r="H299" s="37">
        <v>30</v>
      </c>
      <c r="I299" s="37">
        <v>36</v>
      </c>
      <c r="J299" s="37" t="str">
        <f t="shared" si="11"/>
        <v>OK</v>
      </c>
      <c r="K299" s="37" t="s">
        <v>4369</v>
      </c>
      <c r="L299" s="28"/>
    </row>
    <row r="300" spans="1:12">
      <c r="A300" s="37" t="s">
        <v>2739</v>
      </c>
      <c r="B300" s="37" t="s">
        <v>3176</v>
      </c>
      <c r="C300" s="37"/>
      <c r="D300" s="37" t="s">
        <v>391</v>
      </c>
      <c r="E300" s="30" t="str">
        <f>INDEX(목표문구!$G$1:$G$1000,MATCH($B300,목표문구!$A$1:$A$1000,0))</f>
        <v>물병 챙겨 다니기</v>
      </c>
      <c r="F300" s="30" t="s">
        <v>4218</v>
      </c>
      <c r="G300" s="37">
        <f t="shared" si="10"/>
        <v>20</v>
      </c>
      <c r="H300" s="37">
        <v>30</v>
      </c>
      <c r="I300" s="37">
        <v>36</v>
      </c>
      <c r="J300" s="37" t="str">
        <f t="shared" si="11"/>
        <v>OK</v>
      </c>
      <c r="K300" s="37" t="s">
        <v>4369</v>
      </c>
      <c r="L300" s="28"/>
    </row>
    <row r="301" spans="1:12">
      <c r="A301" s="37" t="s">
        <v>2739</v>
      </c>
      <c r="B301" s="37" t="s">
        <v>3181</v>
      </c>
      <c r="C301" s="37"/>
      <c r="D301" s="37" t="s">
        <v>391</v>
      </c>
      <c r="E301" s="30" t="str">
        <f>INDEX(목표문구!$G$1:$G$1000,MATCH($B301,목표문구!$A$1:$A$1000,0))</f>
        <v>보리차 끓여 두기</v>
      </c>
      <c r="F301" s="30" t="s">
        <v>4219</v>
      </c>
      <c r="G301" s="37">
        <f t="shared" si="10"/>
        <v>21</v>
      </c>
      <c r="H301" s="37">
        <v>30</v>
      </c>
      <c r="I301" s="37">
        <v>36</v>
      </c>
      <c r="J301" s="37" t="str">
        <f t="shared" si="11"/>
        <v>OK</v>
      </c>
      <c r="K301" s="37" t="s">
        <v>4369</v>
      </c>
      <c r="L301" s="28"/>
    </row>
    <row r="302" spans="1:12">
      <c r="A302" s="37" t="s">
        <v>2739</v>
      </c>
      <c r="B302" s="37" t="s">
        <v>3186</v>
      </c>
      <c r="C302" s="37"/>
      <c r="D302" s="37" t="s">
        <v>391</v>
      </c>
      <c r="E302" s="30" t="str">
        <f>INDEX(목표문구!$G$1:$G$1000,MATCH($B302,목표문구!$A$1:$A$1000,0))</f>
        <v>단 간식 빼고 장보기</v>
      </c>
      <c r="F302" s="30" t="s">
        <v>4220</v>
      </c>
      <c r="G302" s="37">
        <f t="shared" si="10"/>
        <v>25</v>
      </c>
      <c r="H302" s="37">
        <v>30</v>
      </c>
      <c r="I302" s="37">
        <v>36</v>
      </c>
      <c r="J302" s="37" t="str">
        <f t="shared" si="11"/>
        <v>OK</v>
      </c>
      <c r="K302" s="37" t="s">
        <v>4369</v>
      </c>
      <c r="L302" s="28"/>
    </row>
    <row r="303" spans="1:12">
      <c r="A303" s="37" t="s">
        <v>2739</v>
      </c>
      <c r="B303" s="37" t="s">
        <v>3191</v>
      </c>
      <c r="C303" s="37"/>
      <c r="D303" s="37" t="s">
        <v>391</v>
      </c>
      <c r="E303" s="30" t="str">
        <f>INDEX(목표문구!$G$1:$G$1000,MATCH($B303,목표문구!$A$1:$A$1000,0))</f>
        <v>국은 건더기부터 먹기</v>
      </c>
      <c r="F303" s="30" t="s">
        <v>4221</v>
      </c>
      <c r="G303" s="37">
        <f t="shared" si="10"/>
        <v>21</v>
      </c>
      <c r="H303" s="37">
        <v>30</v>
      </c>
      <c r="I303" s="37">
        <v>36</v>
      </c>
      <c r="J303" s="37" t="str">
        <f t="shared" si="11"/>
        <v>OK</v>
      </c>
      <c r="K303" s="37" t="s">
        <v>4369</v>
      </c>
      <c r="L303" s="28"/>
    </row>
    <row r="304" spans="1:12">
      <c r="A304" s="37" t="s">
        <v>2739</v>
      </c>
      <c r="B304" s="37" t="s">
        <v>3196</v>
      </c>
      <c r="C304" s="37"/>
      <c r="D304" s="37" t="s">
        <v>391</v>
      </c>
      <c r="E304" s="30" t="str">
        <f>INDEX(목표문구!$G$1:$G$1000,MATCH($B304,목표문구!$A$1:$A$1000,0))</f>
        <v>소금 더 넣지 않기</v>
      </c>
      <c r="F304" s="30" t="s">
        <v>4222</v>
      </c>
      <c r="G304" s="37">
        <f t="shared" si="10"/>
        <v>19</v>
      </c>
      <c r="H304" s="37">
        <v>30</v>
      </c>
      <c r="I304" s="37">
        <v>36</v>
      </c>
      <c r="J304" s="37" t="str">
        <f t="shared" si="11"/>
        <v>OK</v>
      </c>
      <c r="K304" s="37" t="s">
        <v>4369</v>
      </c>
      <c r="L304" s="28"/>
    </row>
    <row r="305" spans="1:12">
      <c r="A305" s="37" t="s">
        <v>2739</v>
      </c>
      <c r="B305" s="37" t="s">
        <v>3201</v>
      </c>
      <c r="C305" s="37"/>
      <c r="D305" s="37" t="s">
        <v>391</v>
      </c>
      <c r="E305" s="30" t="str">
        <f>INDEX(목표문구!$G$1:$G$1000,MATCH($B305,목표문구!$A$1:$A$1000,0))</f>
        <v>소스는 한 번만 찍기</v>
      </c>
      <c r="F305" s="30" t="s">
        <v>4223</v>
      </c>
      <c r="G305" s="37">
        <f t="shared" si="10"/>
        <v>22</v>
      </c>
      <c r="H305" s="37">
        <v>30</v>
      </c>
      <c r="I305" s="37">
        <v>36</v>
      </c>
      <c r="J305" s="37" t="str">
        <f t="shared" si="11"/>
        <v>OK</v>
      </c>
      <c r="K305" s="37" t="s">
        <v>4369</v>
      </c>
      <c r="L305" s="28"/>
    </row>
    <row r="306" spans="1:12">
      <c r="A306" s="37" t="s">
        <v>2739</v>
      </c>
      <c r="B306" s="37" t="s">
        <v>3206</v>
      </c>
      <c r="C306" s="37"/>
      <c r="D306" s="37" t="s">
        <v>391</v>
      </c>
      <c r="E306" s="30" t="str">
        <f>INDEX(목표문구!$G$1:$G$1000,MATCH($B306,목표문구!$A$1:$A$1000,0))</f>
        <v>국은 덜 짜게 끓이기</v>
      </c>
      <c r="F306" s="30" t="s">
        <v>4224</v>
      </c>
      <c r="G306" s="37">
        <f t="shared" si="10"/>
        <v>20</v>
      </c>
      <c r="H306" s="37">
        <v>30</v>
      </c>
      <c r="I306" s="37">
        <v>36</v>
      </c>
      <c r="J306" s="37" t="str">
        <f t="shared" si="11"/>
        <v>OK</v>
      </c>
      <c r="K306" s="37" t="s">
        <v>4369</v>
      </c>
      <c r="L306" s="28"/>
    </row>
    <row r="307" spans="1:12">
      <c r="A307" s="37" t="s">
        <v>2739</v>
      </c>
      <c r="B307" s="37" t="s">
        <v>3211</v>
      </c>
      <c r="C307" s="37"/>
      <c r="D307" s="37" t="s">
        <v>391</v>
      </c>
      <c r="E307" s="30" t="str">
        <f>INDEX(목표문구!$G$1:$G$1000,MATCH($B307,목표문구!$A$1:$A$1000,0))</f>
        <v>내일은 맑은 콩나물국</v>
      </c>
      <c r="F307" s="30" t="s">
        <v>4225</v>
      </c>
      <c r="G307" s="37">
        <f t="shared" si="10"/>
        <v>31</v>
      </c>
      <c r="H307" s="37">
        <v>30</v>
      </c>
      <c r="I307" s="37">
        <v>36</v>
      </c>
      <c r="J307" s="37" t="str">
        <f t="shared" si="11"/>
        <v>길이 주의</v>
      </c>
      <c r="K307" s="37" t="s">
        <v>4369</v>
      </c>
      <c r="L307" s="28"/>
    </row>
    <row r="308" spans="1:12">
      <c r="A308" s="37" t="s">
        <v>2739</v>
      </c>
      <c r="B308" s="37" t="s">
        <v>3216</v>
      </c>
      <c r="C308" s="37"/>
      <c r="D308" s="37" t="s">
        <v>391</v>
      </c>
      <c r="E308" s="30" t="str">
        <f>INDEX(목표문구!$G$1:$G$1000,MATCH($B308,목표문구!$A$1:$A$1000,0))</f>
        <v>저염 간장 사 두기</v>
      </c>
      <c r="F308" s="30" t="s">
        <v>4226</v>
      </c>
      <c r="G308" s="37">
        <f t="shared" si="10"/>
        <v>24</v>
      </c>
      <c r="H308" s="37">
        <v>30</v>
      </c>
      <c r="I308" s="37">
        <v>36</v>
      </c>
      <c r="J308" s="37" t="str">
        <f t="shared" si="11"/>
        <v>OK</v>
      </c>
      <c r="K308" s="37" t="s">
        <v>4369</v>
      </c>
      <c r="L308" s="28"/>
    </row>
    <row r="309" spans="1:12">
      <c r="A309" s="37" t="s">
        <v>2739</v>
      </c>
      <c r="B309" s="37" t="s">
        <v>3221</v>
      </c>
      <c r="C309" s="37"/>
      <c r="D309" s="37" t="s">
        <v>391</v>
      </c>
      <c r="E309" s="30" t="str">
        <f>INDEX(목표문구!$G$1:$G$1000,MATCH($B309,목표문구!$A$1:$A$1000,0))</f>
        <v>간식 시간 정해 두기</v>
      </c>
      <c r="F309" s="30" t="s">
        <v>4227</v>
      </c>
      <c r="G309" s="37">
        <f t="shared" si="10"/>
        <v>16</v>
      </c>
      <c r="H309" s="37">
        <v>30</v>
      </c>
      <c r="I309" s="37">
        <v>36</v>
      </c>
      <c r="J309" s="37" t="str">
        <f t="shared" si="11"/>
        <v>OK</v>
      </c>
      <c r="K309" s="37" t="s">
        <v>4369</v>
      </c>
      <c r="L309" s="28"/>
    </row>
    <row r="310" spans="1:12">
      <c r="A310" s="37" t="s">
        <v>2739</v>
      </c>
      <c r="B310" s="37" t="s">
        <v>3226</v>
      </c>
      <c r="C310" s="37"/>
      <c r="D310" s="37" t="s">
        <v>391</v>
      </c>
      <c r="E310" s="30" t="str">
        <f>INDEX(목표문구!$G$1:$G$1000,MATCH($B310,목표문구!$A$1:$A$1000,0))</f>
        <v>저녁 시간 미리 정하기</v>
      </c>
      <c r="F310" s="30" t="s">
        <v>4228</v>
      </c>
      <c r="G310" s="37">
        <f t="shared" si="10"/>
        <v>26</v>
      </c>
      <c r="H310" s="37">
        <v>30</v>
      </c>
      <c r="I310" s="37">
        <v>36</v>
      </c>
      <c r="J310" s="37" t="str">
        <f t="shared" si="11"/>
        <v>OK</v>
      </c>
      <c r="K310" s="37" t="s">
        <v>4369</v>
      </c>
      <c r="L310" s="28"/>
    </row>
    <row r="311" spans="1:12">
      <c r="A311" s="37" t="s">
        <v>2739</v>
      </c>
      <c r="B311" s="37" t="s">
        <v>3231</v>
      </c>
      <c r="C311" s="37"/>
      <c r="D311" s="37" t="s">
        <v>391</v>
      </c>
      <c r="E311" s="30" t="str">
        <f>INDEX(목표문구!$G$1:$G$1000,MATCH($B311,목표문구!$A$1:$A$1000,0))</f>
        <v>아침 먹을 시간 비우기</v>
      </c>
      <c r="F311" s="30" t="s">
        <v>4229</v>
      </c>
      <c r="G311" s="37">
        <f t="shared" si="10"/>
        <v>23</v>
      </c>
      <c r="H311" s="37">
        <v>30</v>
      </c>
      <c r="I311" s="37">
        <v>36</v>
      </c>
      <c r="J311" s="37" t="str">
        <f t="shared" si="11"/>
        <v>OK</v>
      </c>
      <c r="K311" s="37" t="s">
        <v>4369</v>
      </c>
      <c r="L311" s="28"/>
    </row>
    <row r="312" spans="1:12">
      <c r="A312" s="37" t="s">
        <v>2739</v>
      </c>
      <c r="B312" s="37" t="s">
        <v>3236</v>
      </c>
      <c r="C312" s="37"/>
      <c r="D312" s="37" t="s">
        <v>391</v>
      </c>
      <c r="E312" s="30" t="str">
        <f>INDEX(목표문구!$G$1:$G$1000,MATCH($B312,목표문구!$A$1:$A$1000,0))</f>
        <v>끼니 시간 맞춰 먹기</v>
      </c>
      <c r="F312" s="30" t="s">
        <v>4230</v>
      </c>
      <c r="G312" s="37">
        <f t="shared" si="10"/>
        <v>20</v>
      </c>
      <c r="H312" s="37">
        <v>30</v>
      </c>
      <c r="I312" s="37">
        <v>36</v>
      </c>
      <c r="J312" s="37" t="str">
        <f t="shared" si="11"/>
        <v>OK</v>
      </c>
      <c r="K312" s="37" t="s">
        <v>4369</v>
      </c>
      <c r="L312" s="28"/>
    </row>
    <row r="313" spans="1:12">
      <c r="A313" s="37" t="s">
        <v>2739</v>
      </c>
      <c r="B313" s="37" t="s">
        <v>3241</v>
      </c>
      <c r="C313" s="37"/>
      <c r="D313" s="37" t="s">
        <v>391</v>
      </c>
      <c r="E313" s="30" t="str">
        <f>INDEX(목표문구!$G$1:$G$1000,MATCH($B313,목표문구!$A$1:$A$1000,0))</f>
        <v>야식 대신 물 한 잔</v>
      </c>
      <c r="F313" s="30" t="s">
        <v>4231</v>
      </c>
      <c r="G313" s="37">
        <f t="shared" si="10"/>
        <v>29</v>
      </c>
      <c r="H313" s="37">
        <v>30</v>
      </c>
      <c r="I313" s="37">
        <v>36</v>
      </c>
      <c r="J313" s="37" t="str">
        <f t="shared" si="11"/>
        <v>OK</v>
      </c>
      <c r="K313" s="37" t="s">
        <v>4369</v>
      </c>
      <c r="L313" s="28"/>
    </row>
    <row r="314" spans="1:12">
      <c r="A314" s="37" t="s">
        <v>2739</v>
      </c>
      <c r="B314" s="37" t="s">
        <v>3246</v>
      </c>
      <c r="C314" s="37"/>
      <c r="D314" s="37" t="s">
        <v>391</v>
      </c>
      <c r="E314" s="30" t="str">
        <f>INDEX(목표문구!$G$1:$G$1000,MATCH($B314,목표문구!$A$1:$A$1000,0))</f>
        <v>야식 없이 잠들기</v>
      </c>
      <c r="F314" s="30" t="s">
        <v>4232</v>
      </c>
      <c r="G314" s="37">
        <f t="shared" si="10"/>
        <v>30</v>
      </c>
      <c r="H314" s="37">
        <v>30</v>
      </c>
      <c r="I314" s="37">
        <v>36</v>
      </c>
      <c r="J314" s="37" t="str">
        <f t="shared" si="11"/>
        <v>OK</v>
      </c>
      <c r="K314" s="37" t="s">
        <v>4369</v>
      </c>
      <c r="L314" s="28"/>
    </row>
    <row r="315" spans="1:12">
      <c r="A315" s="37" t="s">
        <v>2739</v>
      </c>
      <c r="B315" s="37" t="s">
        <v>3250</v>
      </c>
      <c r="C315" s="37"/>
      <c r="D315" s="37" t="s">
        <v>391</v>
      </c>
      <c r="E315" s="30" t="str">
        <f>INDEX(목표문구!$G$1:$G$1000,MATCH($B315,목표문구!$A$1:$A$1000,0))</f>
        <v>한 입마다 10초 쉬기</v>
      </c>
      <c r="F315" s="30" t="s">
        <v>4233</v>
      </c>
      <c r="G315" s="37">
        <f t="shared" si="10"/>
        <v>25</v>
      </c>
      <c r="H315" s="37">
        <v>30</v>
      </c>
      <c r="I315" s="37">
        <v>36</v>
      </c>
      <c r="J315" s="37" t="str">
        <f t="shared" si="11"/>
        <v>OK</v>
      </c>
      <c r="K315" s="37" t="s">
        <v>4369</v>
      </c>
      <c r="L315" s="28"/>
    </row>
    <row r="316" spans="1:12">
      <c r="A316" s="37" t="s">
        <v>2739</v>
      </c>
      <c r="B316" s="37" t="s">
        <v>3255</v>
      </c>
      <c r="C316" s="37"/>
      <c r="D316" s="37" t="s">
        <v>391</v>
      </c>
      <c r="E316" s="30" t="str">
        <f>INDEX(목표문구!$G$1:$G$1000,MATCH($B316,목표문구!$A$1:$A$1000,0))</f>
        <v>물 마시며 쉬어 가기</v>
      </c>
      <c r="F316" s="30" t="s">
        <v>4234</v>
      </c>
      <c r="G316" s="37">
        <f t="shared" si="10"/>
        <v>25</v>
      </c>
      <c r="H316" s="37">
        <v>30</v>
      </c>
      <c r="I316" s="37">
        <v>36</v>
      </c>
      <c r="J316" s="37" t="str">
        <f t="shared" si="11"/>
        <v>OK</v>
      </c>
      <c r="K316" s="37" t="s">
        <v>4369</v>
      </c>
      <c r="L316" s="28"/>
    </row>
    <row r="317" spans="1:12">
      <c r="A317" s="37" t="s">
        <v>2739</v>
      </c>
      <c r="B317" s="37" t="s">
        <v>3260</v>
      </c>
      <c r="C317" s="37"/>
      <c r="D317" s="37" t="s">
        <v>391</v>
      </c>
      <c r="E317" s="30" t="str">
        <f>INDEX(목표문구!$G$1:$G$1000,MATCH($B317,목표문구!$A$1:$A$1000,0))</f>
        <v>밥은 평소 그릇으로</v>
      </c>
      <c r="F317" s="30" t="s">
        <v>4235</v>
      </c>
      <c r="G317" s="37">
        <f t="shared" si="10"/>
        <v>24</v>
      </c>
      <c r="H317" s="37">
        <v>30</v>
      </c>
      <c r="I317" s="37">
        <v>36</v>
      </c>
      <c r="J317" s="37" t="str">
        <f t="shared" si="11"/>
        <v>OK</v>
      </c>
      <c r="K317" s="37" t="s">
        <v>4369</v>
      </c>
      <c r="L317" s="28"/>
    </row>
    <row r="318" spans="1:12">
      <c r="A318" s="37" t="s">
        <v>2739</v>
      </c>
      <c r="B318" s="37" t="s">
        <v>3265</v>
      </c>
      <c r="C318" s="37"/>
      <c r="D318" s="37" t="s">
        <v>391</v>
      </c>
      <c r="E318" s="30" t="str">
        <f>INDEX(목표문구!$G$1:$G$1000,MATCH($B318,목표문구!$A$1:$A$1000,0))</f>
        <v>배고픈 정도 살피기</v>
      </c>
      <c r="F318" s="30" t="s">
        <v>4236</v>
      </c>
      <c r="G318" s="37">
        <f t="shared" si="10"/>
        <v>24</v>
      </c>
      <c r="H318" s="37">
        <v>30</v>
      </c>
      <c r="I318" s="37">
        <v>36</v>
      </c>
      <c r="J318" s="37" t="str">
        <f t="shared" si="11"/>
        <v>OK</v>
      </c>
      <c r="K318" s="37" t="s">
        <v>4369</v>
      </c>
      <c r="L318" s="28"/>
    </row>
    <row r="319" spans="1:12">
      <c r="A319" s="37" t="s">
        <v>2739</v>
      </c>
      <c r="B319" s="37" t="s">
        <v>3270</v>
      </c>
      <c r="C319" s="37"/>
      <c r="D319" s="37" t="s">
        <v>391</v>
      </c>
      <c r="E319" s="30" t="str">
        <f>INDEX(목표문구!$G$1:$G$1000,MATCH($B319,목표문구!$A$1:$A$1000,0))</f>
        <v>배부른 정도 돌아보기</v>
      </c>
      <c r="F319" s="30" t="s">
        <v>4237</v>
      </c>
      <c r="G319" s="37">
        <f t="shared" si="10"/>
        <v>27</v>
      </c>
      <c r="H319" s="37">
        <v>30</v>
      </c>
      <c r="I319" s="37">
        <v>36</v>
      </c>
      <c r="J319" s="37" t="str">
        <f t="shared" si="11"/>
        <v>OK</v>
      </c>
      <c r="K319" s="37" t="s">
        <v>4369</v>
      </c>
      <c r="L319" s="28"/>
    </row>
    <row r="320" spans="1:12">
      <c r="A320" s="37" t="s">
        <v>2739</v>
      </c>
      <c r="B320" s="37" t="s">
        <v>3275</v>
      </c>
      <c r="C320" s="37"/>
      <c r="D320" s="37" t="s">
        <v>391</v>
      </c>
      <c r="E320" s="30" t="str">
        <f>INDEX(목표문구!$G$1:$G$1000,MATCH($B320,목표문구!$A$1:$A$1000,0))</f>
        <v>내일 먹을 양 정하기</v>
      </c>
      <c r="F320" s="30" t="s">
        <v>4238</v>
      </c>
      <c r="G320" s="37">
        <f t="shared" si="10"/>
        <v>26</v>
      </c>
      <c r="H320" s="37">
        <v>30</v>
      </c>
      <c r="I320" s="37">
        <v>36</v>
      </c>
      <c r="J320" s="37" t="str">
        <f t="shared" si="11"/>
        <v>OK</v>
      </c>
      <c r="K320" s="37" t="s">
        <v>4369</v>
      </c>
      <c r="L320" s="28"/>
    </row>
    <row r="321" spans="1:12">
      <c r="A321" s="37" t="s">
        <v>2739</v>
      </c>
      <c r="B321" s="37" t="s">
        <v>3280</v>
      </c>
      <c r="C321" s="37"/>
      <c r="D321" s="37" t="s">
        <v>391</v>
      </c>
      <c r="E321" s="30" t="str">
        <f>INDEX(목표문구!$G$1:$G$1000,MATCH($B321,목표문구!$A$1:$A$1000,0))</f>
        <v>점심에 단백질 고르기</v>
      </c>
      <c r="F321" s="30" t="s">
        <v>4239</v>
      </c>
      <c r="G321" s="37">
        <f t="shared" si="10"/>
        <v>24</v>
      </c>
      <c r="H321" s="37">
        <v>30</v>
      </c>
      <c r="I321" s="37">
        <v>36</v>
      </c>
      <c r="J321" s="37" t="str">
        <f t="shared" si="11"/>
        <v>OK</v>
      </c>
      <c r="K321" s="37" t="s">
        <v>4369</v>
      </c>
      <c r="L321" s="28"/>
    </row>
    <row r="322" spans="1:12">
      <c r="A322" s="37" t="s">
        <v>2739</v>
      </c>
      <c r="B322" s="37" t="s">
        <v>3285</v>
      </c>
      <c r="C322" s="37"/>
      <c r="D322" s="37" t="s">
        <v>391</v>
      </c>
      <c r="E322" s="30" t="str">
        <f>INDEX(목표문구!$G$1:$G$1000,MATCH($B322,목표문구!$A$1:$A$1000,0))</f>
        <v>두유 한 팩 챙기기</v>
      </c>
      <c r="F322" s="30" t="s">
        <v>4240</v>
      </c>
      <c r="G322" s="37">
        <f t="shared" si="10"/>
        <v>26</v>
      </c>
      <c r="H322" s="37">
        <v>30</v>
      </c>
      <c r="I322" s="37">
        <v>36</v>
      </c>
      <c r="J322" s="37" t="str">
        <f t="shared" si="11"/>
        <v>OK</v>
      </c>
      <c r="K322" s="37" t="s">
        <v>4369</v>
      </c>
      <c r="L322" s="28"/>
    </row>
    <row r="323" spans="1:12">
      <c r="A323" s="37" t="s">
        <v>2739</v>
      </c>
      <c r="B323" s="37" t="s">
        <v>3290</v>
      </c>
      <c r="C323" s="37"/>
      <c r="D323" s="37" t="s">
        <v>391</v>
      </c>
      <c r="E323" s="30" t="str">
        <f>INDEX(목표문구!$G$1:$G$1000,MATCH($B323,목표문구!$A$1:$A$1000,0))</f>
        <v>아침엔 두유 한 잔</v>
      </c>
      <c r="F323" s="30" t="s">
        <v>4241</v>
      </c>
      <c r="G323" s="37">
        <f t="shared" si="10"/>
        <v>22</v>
      </c>
      <c r="H323" s="37">
        <v>30</v>
      </c>
      <c r="I323" s="37">
        <v>36</v>
      </c>
      <c r="J323" s="37" t="str">
        <f t="shared" si="11"/>
        <v>OK</v>
      </c>
      <c r="K323" s="37" t="s">
        <v>4369</v>
      </c>
      <c r="L323" s="28"/>
    </row>
    <row r="324" spans="1:12">
      <c r="A324" s="37" t="s">
        <v>2739</v>
      </c>
      <c r="B324" s="37" t="s">
        <v>3295</v>
      </c>
      <c r="C324" s="37"/>
      <c r="D324" s="37" t="s">
        <v>391</v>
      </c>
      <c r="E324" s="30" t="str">
        <f>INDEX(목표문구!$G$1:$G$1000,MATCH($B324,목표문구!$A$1:$A$1000,0))</f>
        <v>국에 두부 반 모</v>
      </c>
      <c r="F324" s="30" t="s">
        <v>4242</v>
      </c>
      <c r="G324" s="37">
        <f t="shared" si="10"/>
        <v>28</v>
      </c>
      <c r="H324" s="37">
        <v>30</v>
      </c>
      <c r="I324" s="37">
        <v>36</v>
      </c>
      <c r="J324" s="37" t="str">
        <f t="shared" si="11"/>
        <v>OK</v>
      </c>
      <c r="K324" s="37" t="s">
        <v>4369</v>
      </c>
      <c r="L324" s="28"/>
    </row>
    <row r="325" spans="1:12">
      <c r="A325" s="37" t="s">
        <v>2739</v>
      </c>
      <c r="B325" s="37" t="s">
        <v>3300</v>
      </c>
      <c r="C325" s="37"/>
      <c r="D325" s="37" t="s">
        <v>391</v>
      </c>
      <c r="E325" s="30" t="str">
        <f>INDEX(목표문구!$G$1:$G$1000,MATCH($B325,목표문구!$A$1:$A$1000,0))</f>
        <v>내일 아침 두부 썰기</v>
      </c>
      <c r="F325" s="30" t="s">
        <v>4243</v>
      </c>
      <c r="G325" s="37">
        <f t="shared" si="10"/>
        <v>24</v>
      </c>
      <c r="H325" s="37">
        <v>30</v>
      </c>
      <c r="I325" s="37">
        <v>36</v>
      </c>
      <c r="J325" s="37" t="str">
        <f t="shared" si="11"/>
        <v>OK</v>
      </c>
      <c r="K325" s="37" t="s">
        <v>4369</v>
      </c>
      <c r="L325" s="28"/>
    </row>
    <row r="326" spans="1:12">
      <c r="A326" s="37" t="s">
        <v>2739</v>
      </c>
      <c r="B326" s="37" t="s">
        <v>3305</v>
      </c>
      <c r="C326" s="37"/>
      <c r="D326" s="37" t="s">
        <v>391</v>
      </c>
      <c r="E326" s="30" t="str">
        <f>INDEX(목표문구!$G$1:$G$1000,MATCH($B326,목표문구!$A$1:$A$1000,0))</f>
        <v>도시락에 단백질 담기</v>
      </c>
      <c r="F326" s="30" t="s">
        <v>4244</v>
      </c>
      <c r="G326" s="37">
        <f t="shared" si="10"/>
        <v>26</v>
      </c>
      <c r="H326" s="37">
        <v>30</v>
      </c>
      <c r="I326" s="37">
        <v>36</v>
      </c>
      <c r="J326" s="37" t="str">
        <f t="shared" si="11"/>
        <v>OK</v>
      </c>
      <c r="K326" s="37" t="s">
        <v>4369</v>
      </c>
      <c r="L326" s="28"/>
    </row>
    <row r="327" spans="1:12">
      <c r="A327" s="37" t="s">
        <v>2739</v>
      </c>
      <c r="B327" s="37" t="s">
        <v>3310</v>
      </c>
      <c r="C327" s="37"/>
      <c r="D327" s="37" t="s">
        <v>391</v>
      </c>
      <c r="E327" s="30" t="str">
        <f>INDEX(목표문구!$G$1:$G$1000,MATCH($B327,목표문구!$A$1:$A$1000,0))</f>
        <v>삼겹살 대신 보쌈</v>
      </c>
      <c r="F327" s="30" t="s">
        <v>4245</v>
      </c>
      <c r="G327" s="37">
        <f t="shared" si="10"/>
        <v>27</v>
      </c>
      <c r="H327" s="37">
        <v>30</v>
      </c>
      <c r="I327" s="37">
        <v>36</v>
      </c>
      <c r="J327" s="37" t="str">
        <f t="shared" si="11"/>
        <v>OK</v>
      </c>
      <c r="K327" s="37" t="s">
        <v>4369</v>
      </c>
      <c r="L327" s="28"/>
    </row>
    <row r="328" spans="1:12">
      <c r="A328" s="37" t="s">
        <v>2739</v>
      </c>
      <c r="B328" s="37" t="s">
        <v>3315</v>
      </c>
      <c r="C328" s="37"/>
      <c r="D328" s="37" t="s">
        <v>391</v>
      </c>
      <c r="E328" s="30" t="str">
        <f>INDEX(목표문구!$G$1:$G$1000,MATCH($B328,목표문구!$A$1:$A$1000,0))</f>
        <v>잡채 대신 나물무침</v>
      </c>
      <c r="F328" s="30" t="s">
        <v>4246</v>
      </c>
      <c r="G328" s="37">
        <f t="shared" si="10"/>
        <v>25</v>
      </c>
      <c r="H328" s="37">
        <v>30</v>
      </c>
      <c r="I328" s="37">
        <v>36</v>
      </c>
      <c r="J328" s="37" t="str">
        <f t="shared" si="11"/>
        <v>OK</v>
      </c>
      <c r="K328" s="37" t="s">
        <v>4369</v>
      </c>
      <c r="L328" s="28"/>
    </row>
    <row r="329" spans="1:12">
      <c r="A329" s="37" t="s">
        <v>2739</v>
      </c>
      <c r="B329" s="37" t="s">
        <v>3320</v>
      </c>
      <c r="C329" s="37"/>
      <c r="D329" s="37" t="s">
        <v>391</v>
      </c>
      <c r="E329" s="30" t="str">
        <f>INDEX(목표문구!$G$1:$G$1000,MATCH($B329,목표문구!$A$1:$A$1000,0))</f>
        <v>튀김옷은 벗겨서 먹기</v>
      </c>
      <c r="F329" s="30" t="s">
        <v>4247</v>
      </c>
      <c r="G329" s="37">
        <f t="shared" si="10"/>
        <v>19</v>
      </c>
      <c r="H329" s="37">
        <v>30</v>
      </c>
      <c r="I329" s="37">
        <v>36</v>
      </c>
      <c r="J329" s="37" t="str">
        <f t="shared" si="11"/>
        <v>OK</v>
      </c>
      <c r="K329" s="37" t="s">
        <v>4369</v>
      </c>
      <c r="L329" s="28"/>
    </row>
    <row r="330" spans="1:12">
      <c r="A330" s="37" t="s">
        <v>2739</v>
      </c>
      <c r="B330" s="37" t="s">
        <v>3325</v>
      </c>
      <c r="C330" s="37"/>
      <c r="D330" s="37" t="s">
        <v>391</v>
      </c>
      <c r="E330" s="30" t="str">
        <f>INDEX(목표문구!$G$1:$G$1000,MATCH($B330,목표문구!$A$1:$A$1000,0))</f>
        <v>샐러드 소스 1스푼</v>
      </c>
      <c r="F330" s="30" t="s">
        <v>4248</v>
      </c>
      <c r="G330" s="37">
        <f t="shared" si="10"/>
        <v>25</v>
      </c>
      <c r="H330" s="37">
        <v>30</v>
      </c>
      <c r="I330" s="37">
        <v>36</v>
      </c>
      <c r="J330" s="37" t="str">
        <f t="shared" si="11"/>
        <v>OK</v>
      </c>
      <c r="K330" s="37" t="s">
        <v>4369</v>
      </c>
      <c r="L330" s="28"/>
    </row>
    <row r="331" spans="1:12">
      <c r="A331" s="37" t="s">
        <v>2739</v>
      </c>
      <c r="B331" s="37" t="s">
        <v>3330</v>
      </c>
      <c r="C331" s="37"/>
      <c r="D331" s="37" t="s">
        <v>391</v>
      </c>
      <c r="E331" s="30" t="str">
        <f>INDEX(목표문구!$G$1:$G$1000,MATCH($B331,목표문구!$A$1:$A$1000,0))</f>
        <v>내일 반찬은 콩나물무침</v>
      </c>
      <c r="F331" s="30" t="s">
        <v>4249</v>
      </c>
      <c r="G331" s="37">
        <f t="shared" si="10"/>
        <v>29</v>
      </c>
      <c r="H331" s="37">
        <v>30</v>
      </c>
      <c r="I331" s="37">
        <v>36</v>
      </c>
      <c r="J331" s="37" t="str">
        <f t="shared" si="11"/>
        <v>OK</v>
      </c>
      <c r="K331" s="37" t="s">
        <v>4369</v>
      </c>
      <c r="L331" s="28"/>
    </row>
    <row r="332" spans="1:12">
      <c r="A332" s="37" t="s">
        <v>2739</v>
      </c>
      <c r="B332" s="37" t="s">
        <v>3335</v>
      </c>
      <c r="C332" s="37"/>
      <c r="D332" s="37" t="s">
        <v>391</v>
      </c>
      <c r="E332" s="30" t="str">
        <f>INDEX(목표문구!$G$1:$G$1000,MATCH($B332,목표문구!$A$1:$A$1000,0))</f>
        <v>제육볶음 대신 수육</v>
      </c>
      <c r="F332" s="30" t="s">
        <v>4250</v>
      </c>
      <c r="G332" s="37">
        <f t="shared" si="10"/>
        <v>31</v>
      </c>
      <c r="H332" s="37">
        <v>30</v>
      </c>
      <c r="I332" s="37">
        <v>36</v>
      </c>
      <c r="J332" s="37" t="str">
        <f t="shared" si="11"/>
        <v>길이 주의</v>
      </c>
      <c r="K332" s="37" t="s">
        <v>4369</v>
      </c>
      <c r="L332" s="28"/>
    </row>
    <row r="333" spans="1:12">
      <c r="A333" s="37" t="s">
        <v>2739</v>
      </c>
      <c r="B333" s="37" t="s">
        <v>3340</v>
      </c>
      <c r="C333" s="37"/>
      <c r="D333" s="37" t="s">
        <v>391</v>
      </c>
      <c r="E333" s="30" t="str">
        <f>INDEX(목표문구!$G$1:$G$1000,MATCH($B333,목표문구!$A$1:$A$1000,0))</f>
        <v>돈가스 대신 생선구이</v>
      </c>
      <c r="F333" s="30" t="s">
        <v>4251</v>
      </c>
      <c r="G333" s="37">
        <f t="shared" si="10"/>
        <v>29</v>
      </c>
      <c r="H333" s="37">
        <v>30</v>
      </c>
      <c r="I333" s="37">
        <v>36</v>
      </c>
      <c r="J333" s="37" t="str">
        <f t="shared" si="11"/>
        <v>OK</v>
      </c>
      <c r="K333" s="37" t="s">
        <v>4369</v>
      </c>
      <c r="L333" s="28"/>
    </row>
    <row r="334" spans="1:12">
      <c r="A334" s="37" t="s">
        <v>2739</v>
      </c>
      <c r="B334" s="37" t="s">
        <v>3345</v>
      </c>
      <c r="C334" s="37"/>
      <c r="D334" s="37" t="s">
        <v>391</v>
      </c>
      <c r="E334" s="30" t="str">
        <f>INDEX(목표문구!$G$1:$G$1000,MATCH($B334,목표문구!$A$1:$A$1000,0))</f>
        <v>치킨 대신 닭백숙</v>
      </c>
      <c r="F334" s="30" t="s">
        <v>4252</v>
      </c>
      <c r="G334" s="37">
        <f t="shared" si="10"/>
        <v>26</v>
      </c>
      <c r="H334" s="37">
        <v>30</v>
      </c>
      <c r="I334" s="37">
        <v>36</v>
      </c>
      <c r="J334" s="37" t="str">
        <f t="shared" si="11"/>
        <v>OK</v>
      </c>
      <c r="K334" s="37" t="s">
        <v>4369</v>
      </c>
      <c r="L334" s="28"/>
    </row>
    <row r="335" spans="1:12">
      <c r="A335" s="37" t="s">
        <v>2739</v>
      </c>
      <c r="B335" s="37" t="s">
        <v>3350</v>
      </c>
      <c r="C335" s="37"/>
      <c r="D335" s="37" t="s">
        <v>391</v>
      </c>
      <c r="E335" s="30" t="str">
        <f>INDEX(목표문구!$G$1:$G$1000,MATCH($B335,목표문구!$A$1:$A$1000,0))</f>
        <v>김치찌개 대신 맑은 국</v>
      </c>
      <c r="F335" s="30" t="s">
        <v>4253</v>
      </c>
      <c r="G335" s="37">
        <f t="shared" si="10"/>
        <v>27</v>
      </c>
      <c r="H335" s="37">
        <v>30</v>
      </c>
      <c r="I335" s="37">
        <v>36</v>
      </c>
      <c r="J335" s="37" t="str">
        <f t="shared" si="11"/>
        <v>OK</v>
      </c>
      <c r="K335" s="37" t="s">
        <v>4369</v>
      </c>
      <c r="L335" s="28"/>
    </row>
    <row r="336" spans="1:12">
      <c r="A336" s="37" t="s">
        <v>2739</v>
      </c>
      <c r="B336" s="37" t="s">
        <v>3355</v>
      </c>
      <c r="C336" s="37"/>
      <c r="D336" s="37" t="s">
        <v>391</v>
      </c>
      <c r="E336" s="30" t="str">
        <f>INDEX(목표문구!$G$1:$G$1000,MATCH($B336,목표문구!$A$1:$A$1000,0))</f>
        <v>믹스 대신 블랙커피</v>
      </c>
      <c r="F336" s="30" t="s">
        <v>4254</v>
      </c>
      <c r="G336" s="37">
        <f t="shared" si="10"/>
        <v>29</v>
      </c>
      <c r="H336" s="37">
        <v>30</v>
      </c>
      <c r="I336" s="37">
        <v>36</v>
      </c>
      <c r="J336" s="37" t="str">
        <f t="shared" si="11"/>
        <v>OK</v>
      </c>
      <c r="K336" s="37" t="s">
        <v>4369</v>
      </c>
      <c r="L336" s="28"/>
    </row>
    <row r="337" spans="1:12">
      <c r="A337" s="37" t="s">
        <v>2739</v>
      </c>
      <c r="B337" s="37" t="s">
        <v>3360</v>
      </c>
      <c r="C337" s="37"/>
      <c r="D337" s="37" t="s">
        <v>391</v>
      </c>
      <c r="E337" s="30" t="str">
        <f>INDEX(목표문구!$G$1:$G$1000,MATCH($B337,목표문구!$A$1:$A$1000,0))</f>
        <v>케이크 대신 요거트</v>
      </c>
      <c r="F337" s="30" t="s">
        <v>4255</v>
      </c>
      <c r="G337" s="37">
        <f t="shared" si="10"/>
        <v>22</v>
      </c>
      <c r="H337" s="37">
        <v>30</v>
      </c>
      <c r="I337" s="37">
        <v>36</v>
      </c>
      <c r="J337" s="37" t="str">
        <f t="shared" si="11"/>
        <v>OK</v>
      </c>
      <c r="K337" s="37" t="s">
        <v>4369</v>
      </c>
      <c r="L337" s="28"/>
    </row>
    <row r="338" spans="1:12">
      <c r="A338" s="37" t="s">
        <v>2739</v>
      </c>
      <c r="B338" s="37" t="s">
        <v>3365</v>
      </c>
      <c r="C338" s="37"/>
      <c r="D338" s="37" t="s">
        <v>391</v>
      </c>
      <c r="E338" s="30" t="str">
        <f>INDEX(목표문구!$G$1:$G$1000,MATCH($B338,목표문구!$A$1:$A$1000,0))</f>
        <v>짜장면 대신 비빔밥</v>
      </c>
      <c r="F338" s="30" t="s">
        <v>4256</v>
      </c>
      <c r="G338" s="37">
        <f t="shared" si="10"/>
        <v>27</v>
      </c>
      <c r="H338" s="37">
        <v>30</v>
      </c>
      <c r="I338" s="37">
        <v>36</v>
      </c>
      <c r="J338" s="37" t="str">
        <f t="shared" si="11"/>
        <v>OK</v>
      </c>
      <c r="K338" s="37" t="s">
        <v>4369</v>
      </c>
      <c r="L338" s="28"/>
    </row>
    <row r="339" spans="1:12">
      <c r="A339" s="37" t="s">
        <v>2739</v>
      </c>
      <c r="B339" s="37" t="s">
        <v>3370</v>
      </c>
      <c r="C339" s="37"/>
      <c r="D339" s="37" t="s">
        <v>391</v>
      </c>
      <c r="E339" s="30" t="str">
        <f>INDEX(목표문구!$G$1:$G$1000,MATCH($B339,목표문구!$A$1:$A$1000,0))</f>
        <v>오후엔 카페인 쉬기</v>
      </c>
      <c r="F339" s="30" t="s">
        <v>4257</v>
      </c>
      <c r="G339" s="37">
        <f t="shared" si="10"/>
        <v>22</v>
      </c>
      <c r="H339" s="37">
        <v>30</v>
      </c>
      <c r="I339" s="37">
        <v>36</v>
      </c>
      <c r="J339" s="37" t="str">
        <f t="shared" si="11"/>
        <v>OK</v>
      </c>
      <c r="K339" s="37" t="s">
        <v>4369</v>
      </c>
      <c r="L339" s="28"/>
    </row>
    <row r="340" spans="1:12">
      <c r="A340" s="37" t="s">
        <v>2739</v>
      </c>
      <c r="B340" s="37" t="s">
        <v>3375</v>
      </c>
      <c r="C340" s="37"/>
      <c r="D340" s="37" t="s">
        <v>391</v>
      </c>
      <c r="E340" s="30" t="str">
        <f>INDEX(목표문구!$G$1:$G$1000,MATCH($B340,목표문구!$A$1:$A$1000,0))</f>
        <v>아침엔 누룽지 한 그릇</v>
      </c>
      <c r="F340" s="30" t="s">
        <v>4258</v>
      </c>
      <c r="G340" s="37">
        <f t="shared" si="10"/>
        <v>31</v>
      </c>
      <c r="H340" s="37">
        <v>30</v>
      </c>
      <c r="I340" s="37">
        <v>36</v>
      </c>
      <c r="J340" s="37" t="str">
        <f t="shared" si="11"/>
        <v>길이 주의</v>
      </c>
      <c r="K340" s="37" t="s">
        <v>4369</v>
      </c>
      <c r="L340" s="28"/>
    </row>
    <row r="341" spans="1:12">
      <c r="A341" s="37" t="s">
        <v>2739</v>
      </c>
      <c r="B341" s="37" t="s">
        <v>3380</v>
      </c>
      <c r="C341" s="37"/>
      <c r="D341" s="37" t="s">
        <v>391</v>
      </c>
      <c r="E341" s="30" t="str">
        <f>INDEX(목표문구!$G$1:$G$1000,MATCH($B341,목표문구!$A$1:$A$1000,0))</f>
        <v>바쁜 아침엔 삶은 달걀</v>
      </c>
      <c r="F341" s="30" t="s">
        <v>4259</v>
      </c>
      <c r="G341" s="37">
        <f t="shared" si="10"/>
        <v>26</v>
      </c>
      <c r="H341" s="37">
        <v>30</v>
      </c>
      <c r="I341" s="37">
        <v>36</v>
      </c>
      <c r="J341" s="37" t="str">
        <f t="shared" si="11"/>
        <v>OK</v>
      </c>
      <c r="K341" s="37" t="s">
        <v>4369</v>
      </c>
      <c r="L341" s="28"/>
    </row>
    <row r="342" spans="1:12">
      <c r="A342" s="37" t="s">
        <v>2739</v>
      </c>
      <c r="B342" s="37" t="s">
        <v>3385</v>
      </c>
      <c r="C342" s="37"/>
      <c r="D342" s="37" t="s">
        <v>391</v>
      </c>
      <c r="E342" s="30" t="str">
        <f>INDEX(목표문구!$G$1:$G$1000,MATCH($B342,목표문구!$A$1:$A$1000,0))</f>
        <v>라면엔 콩나물 한 줌</v>
      </c>
      <c r="F342" s="30" t="s">
        <v>4260</v>
      </c>
      <c r="G342" s="37">
        <f t="shared" si="10"/>
        <v>29</v>
      </c>
      <c r="H342" s="37">
        <v>30</v>
      </c>
      <c r="I342" s="37">
        <v>36</v>
      </c>
      <c r="J342" s="37" t="str">
        <f t="shared" si="11"/>
        <v>OK</v>
      </c>
      <c r="K342" s="37" t="s">
        <v>4369</v>
      </c>
      <c r="L342" s="28"/>
    </row>
    <row r="343" spans="1:12">
      <c r="A343" s="37" t="s">
        <v>2739</v>
      </c>
      <c r="B343" s="37" t="s">
        <v>3390</v>
      </c>
      <c r="C343" s="37"/>
      <c r="D343" s="37" t="s">
        <v>391</v>
      </c>
      <c r="E343" s="30" t="str">
        <f>INDEX(목표문구!$G$1:$G$1000,MATCH($B343,목표문구!$A$1:$A$1000,0))</f>
        <v>비빔밥은 나물 듬뿍</v>
      </c>
      <c r="F343" s="30" t="s">
        <v>4261</v>
      </c>
      <c r="G343" s="37">
        <f t="shared" si="10"/>
        <v>30</v>
      </c>
      <c r="H343" s="37">
        <v>30</v>
      </c>
      <c r="I343" s="37">
        <v>36</v>
      </c>
      <c r="J343" s="37" t="str">
        <f t="shared" si="11"/>
        <v>OK</v>
      </c>
      <c r="K343" s="37" t="s">
        <v>4369</v>
      </c>
      <c r="L343" s="28"/>
    </row>
    <row r="344" spans="1:12">
      <c r="A344" s="37" t="s">
        <v>2739</v>
      </c>
      <c r="B344" s="37" t="s">
        <v>3395</v>
      </c>
      <c r="C344" s="37"/>
      <c r="D344" s="37" t="s">
        <v>391</v>
      </c>
      <c r="E344" s="30" t="str">
        <f>INDEX(목표문구!$G$1:$G$1000,MATCH($B344,목표문구!$A$1:$A$1000,0))</f>
        <v>달걀말이에 부추 넣기</v>
      </c>
      <c r="F344" s="30" t="s">
        <v>4262</v>
      </c>
      <c r="G344" s="37">
        <f t="shared" si="10"/>
        <v>25</v>
      </c>
      <c r="H344" s="37">
        <v>30</v>
      </c>
      <c r="I344" s="37">
        <v>36</v>
      </c>
      <c r="J344" s="37" t="str">
        <f t="shared" si="11"/>
        <v>OK</v>
      </c>
      <c r="K344" s="37" t="s">
        <v>4369</v>
      </c>
      <c r="L344" s="28"/>
    </row>
    <row r="345" spans="1:12">
      <c r="A345" s="37" t="s">
        <v>2739</v>
      </c>
      <c r="B345" s="37" t="s">
        <v>3400</v>
      </c>
      <c r="C345" s="37"/>
      <c r="D345" s="37" t="s">
        <v>391</v>
      </c>
      <c r="E345" s="30" t="str">
        <f>INDEX(목표문구!$G$1:$G$1000,MATCH($B345,목표문구!$A$1:$A$1000,0))</f>
        <v>라면에 달걀 하나</v>
      </c>
      <c r="F345" s="30" t="s">
        <v>4263</v>
      </c>
      <c r="G345" s="37">
        <f t="shared" si="10"/>
        <v>24</v>
      </c>
      <c r="H345" s="37">
        <v>30</v>
      </c>
      <c r="I345" s="37">
        <v>36</v>
      </c>
      <c r="J345" s="37" t="str">
        <f t="shared" si="11"/>
        <v>OK</v>
      </c>
      <c r="K345" s="37" t="s">
        <v>4369</v>
      </c>
      <c r="L345" s="28"/>
    </row>
    <row r="346" spans="1:12">
      <c r="A346" s="37" t="s">
        <v>2739</v>
      </c>
      <c r="B346" s="37" t="s">
        <v>3405</v>
      </c>
      <c r="C346" s="37"/>
      <c r="D346" s="37" t="s">
        <v>391</v>
      </c>
      <c r="E346" s="30" t="str">
        <f>INDEX(목표문구!$G$1:$G$1000,MATCH($B346,목표문구!$A$1:$A$1000,0))</f>
        <v>김밥은 참치·계란으로</v>
      </c>
      <c r="F346" s="30" t="s">
        <v>4264</v>
      </c>
      <c r="G346" s="37">
        <f t="shared" si="10"/>
        <v>18</v>
      </c>
      <c r="H346" s="37">
        <v>30</v>
      </c>
      <c r="I346" s="37">
        <v>36</v>
      </c>
      <c r="J346" s="37" t="str">
        <f t="shared" si="11"/>
        <v>OK</v>
      </c>
      <c r="K346" s="37" t="s">
        <v>4369</v>
      </c>
      <c r="L346" s="28"/>
    </row>
    <row r="347" spans="1:12">
      <c r="A347" s="37" t="s">
        <v>2739</v>
      </c>
      <c r="B347" s="37" t="s">
        <v>3410</v>
      </c>
      <c r="C347" s="37"/>
      <c r="D347" s="37" t="s">
        <v>391</v>
      </c>
      <c r="E347" s="30" t="str">
        <f>INDEX(목표문구!$G$1:$G$1000,MATCH($B347,목표문구!$A$1:$A$1000,0))</f>
        <v>샐러드엔 삶은 달걀</v>
      </c>
      <c r="F347" s="30" t="s">
        <v>4265</v>
      </c>
      <c r="G347" s="37">
        <f t="shared" si="10"/>
        <v>26</v>
      </c>
      <c r="H347" s="37">
        <v>30</v>
      </c>
      <c r="I347" s="37">
        <v>36</v>
      </c>
      <c r="J347" s="37" t="str">
        <f t="shared" si="11"/>
        <v>OK</v>
      </c>
      <c r="K347" s="37" t="s">
        <v>4369</v>
      </c>
      <c r="L347" s="28"/>
    </row>
    <row r="348" spans="1:12">
      <c r="A348" s="37" t="s">
        <v>2739</v>
      </c>
      <c r="B348" s="37" t="s">
        <v>3415</v>
      </c>
      <c r="C348" s="37"/>
      <c r="D348" s="37" t="s">
        <v>391</v>
      </c>
      <c r="E348" s="30" t="str">
        <f>INDEX(목표문구!$G$1:$G$1000,MATCH($B348,목표문구!$A$1:$A$1000,0))</f>
        <v>식혜 대신 보리차</v>
      </c>
      <c r="F348" s="30" t="s">
        <v>4266</v>
      </c>
      <c r="G348" s="37">
        <f t="shared" si="10"/>
        <v>32</v>
      </c>
      <c r="H348" s="37">
        <v>30</v>
      </c>
      <c r="I348" s="37">
        <v>36</v>
      </c>
      <c r="J348" s="37" t="str">
        <f t="shared" si="11"/>
        <v>길이 주의</v>
      </c>
      <c r="K348" s="37" t="s">
        <v>4369</v>
      </c>
      <c r="L348" s="28"/>
    </row>
    <row r="349" spans="1:12">
      <c r="A349" s="37" t="s">
        <v>2739</v>
      </c>
      <c r="B349" s="37" t="s">
        <v>3420</v>
      </c>
      <c r="C349" s="37"/>
      <c r="D349" s="37" t="s">
        <v>391</v>
      </c>
      <c r="E349" s="30" t="str">
        <f>INDEX(목표문구!$G$1:$G$1000,MATCH($B349,목표문구!$A$1:$A$1000,0))</f>
        <v>라떼는 시럽 빼고</v>
      </c>
      <c r="F349" s="30" t="s">
        <v>4267</v>
      </c>
      <c r="G349" s="37">
        <f t="shared" si="10"/>
        <v>19</v>
      </c>
      <c r="H349" s="37">
        <v>30</v>
      </c>
      <c r="I349" s="37">
        <v>36</v>
      </c>
      <c r="J349" s="37" t="str">
        <f t="shared" si="11"/>
        <v>OK</v>
      </c>
      <c r="K349" s="37" t="s">
        <v>4369</v>
      </c>
      <c r="L349" s="28"/>
    </row>
    <row r="350" spans="1:12">
      <c r="A350" s="37" t="s">
        <v>2739</v>
      </c>
      <c r="B350" s="37" t="s">
        <v>3425</v>
      </c>
      <c r="C350" s="37"/>
      <c r="D350" s="37" t="s">
        <v>391</v>
      </c>
      <c r="E350" s="30" t="str">
        <f>INDEX(목표문구!$G$1:$G$1000,MATCH($B350,목표문구!$A$1:$A$1000,0))</f>
        <v>믹스커피는 반 봉지만</v>
      </c>
      <c r="F350" s="30" t="s">
        <v>4268</v>
      </c>
      <c r="G350" s="37">
        <f t="shared" ref="G350:G413" si="12">LEN(F350)</f>
        <v>31</v>
      </c>
      <c r="H350" s="37">
        <v>30</v>
      </c>
      <c r="I350" s="37">
        <v>36</v>
      </c>
      <c r="J350" s="37" t="str">
        <f t="shared" ref="J350:J413" si="13">IF(F350="","비어 있음",IF(G350&lt;=H350,"OK",IF(G350&lt;=I350,"길이 주의","상한 초과")))</f>
        <v>길이 주의</v>
      </c>
      <c r="K350" s="37" t="s">
        <v>4369</v>
      </c>
      <c r="L350" s="28"/>
    </row>
    <row r="351" spans="1:12">
      <c r="A351" s="37" t="s">
        <v>2739</v>
      </c>
      <c r="B351" s="37" t="s">
        <v>3430</v>
      </c>
      <c r="C351" s="37"/>
      <c r="D351" s="37" t="s">
        <v>391</v>
      </c>
      <c r="E351" s="30" t="str">
        <f>INDEX(목표문구!$G$1:$G$1000,MATCH($B351,목표문구!$A$1:$A$1000,0))</f>
        <v>라면 스프는 반만</v>
      </c>
      <c r="F351" s="30" t="s">
        <v>4269</v>
      </c>
      <c r="G351" s="37">
        <f t="shared" si="12"/>
        <v>28</v>
      </c>
      <c r="H351" s="37">
        <v>30</v>
      </c>
      <c r="I351" s="37">
        <v>36</v>
      </c>
      <c r="J351" s="37" t="str">
        <f t="shared" si="13"/>
        <v>OK</v>
      </c>
      <c r="K351" s="37" t="s">
        <v>4369</v>
      </c>
      <c r="L351" s="28"/>
    </row>
    <row r="352" spans="1:12">
      <c r="A352" s="37" t="s">
        <v>2739</v>
      </c>
      <c r="B352" s="37" t="s">
        <v>3435</v>
      </c>
      <c r="C352" s="37"/>
      <c r="D352" s="37" t="s">
        <v>391</v>
      </c>
      <c r="E352" s="30" t="str">
        <f>INDEX(목표문구!$G$1:$G$1000,MATCH($B352,목표문구!$A$1:$A$1000,0))</f>
        <v>김치는 백김치로</v>
      </c>
      <c r="F352" s="30" t="s">
        <v>4270</v>
      </c>
      <c r="G352" s="37">
        <f t="shared" si="12"/>
        <v>26</v>
      </c>
      <c r="H352" s="37">
        <v>30</v>
      </c>
      <c r="I352" s="37">
        <v>36</v>
      </c>
      <c r="J352" s="37" t="str">
        <f t="shared" si="13"/>
        <v>OK</v>
      </c>
      <c r="K352" s="37" t="s">
        <v>4369</v>
      </c>
      <c r="L352" s="28"/>
    </row>
    <row r="353" spans="1:12">
      <c r="A353" s="37" t="s">
        <v>2739</v>
      </c>
      <c r="B353" s="37" t="s">
        <v>3440</v>
      </c>
      <c r="C353" s="37"/>
      <c r="D353" s="37" t="s">
        <v>391</v>
      </c>
      <c r="E353" s="30" t="str">
        <f>INDEX(목표문구!$G$1:$G$1000,MATCH($B353,목표문구!$A$1:$A$1000,0))</f>
        <v>오징어튀김 대신 숙회</v>
      </c>
      <c r="F353" s="30" t="s">
        <v>4271</v>
      </c>
      <c r="G353" s="37">
        <f t="shared" si="12"/>
        <v>25</v>
      </c>
      <c r="H353" s="37">
        <v>30</v>
      </c>
      <c r="I353" s="37">
        <v>36</v>
      </c>
      <c r="J353" s="37" t="str">
        <f t="shared" si="13"/>
        <v>OK</v>
      </c>
      <c r="K353" s="37" t="s">
        <v>4369</v>
      </c>
      <c r="L353" s="28"/>
    </row>
    <row r="354" spans="1:12">
      <c r="A354" s="37" t="s">
        <v>2739</v>
      </c>
      <c r="B354" s="37" t="s">
        <v>3445</v>
      </c>
      <c r="C354" s="37"/>
      <c r="D354" s="37" t="s">
        <v>391</v>
      </c>
      <c r="E354" s="30" t="str">
        <f>INDEX(목표문구!$G$1:$G$1000,MATCH($B354,목표문구!$A$1:$A$1000,0))</f>
        <v>치킨은 오븐구이로</v>
      </c>
      <c r="F354" s="30" t="s">
        <v>4272</v>
      </c>
      <c r="G354" s="37">
        <f t="shared" si="12"/>
        <v>29</v>
      </c>
      <c r="H354" s="37">
        <v>30</v>
      </c>
      <c r="I354" s="37">
        <v>36</v>
      </c>
      <c r="J354" s="37" t="str">
        <f t="shared" si="13"/>
        <v>OK</v>
      </c>
      <c r="K354" s="37" t="s">
        <v>4369</v>
      </c>
      <c r="L354" s="28"/>
    </row>
    <row r="355" spans="1:12">
      <c r="A355" s="37" t="s">
        <v>2739</v>
      </c>
      <c r="B355" s="37" t="s">
        <v>3450</v>
      </c>
      <c r="C355" s="37"/>
      <c r="D355" s="37" t="s">
        <v>391</v>
      </c>
      <c r="E355" s="30" t="str">
        <f>INDEX(목표문구!$G$1:$G$1000,MATCH($B355,목표문구!$A$1:$A$1000,0))</f>
        <v>야식 대신 따뜻한 차</v>
      </c>
      <c r="F355" s="30" t="s">
        <v>4273</v>
      </c>
      <c r="G355" s="37">
        <f t="shared" si="12"/>
        <v>27</v>
      </c>
      <c r="H355" s="37">
        <v>30</v>
      </c>
      <c r="I355" s="37">
        <v>36</v>
      </c>
      <c r="J355" s="37" t="str">
        <f t="shared" si="13"/>
        <v>OK</v>
      </c>
      <c r="K355" s="37" t="s">
        <v>4369</v>
      </c>
      <c r="L355" s="28"/>
    </row>
    <row r="356" spans="1:12">
      <c r="A356" s="37" t="s">
        <v>2739</v>
      </c>
      <c r="B356" s="37" t="s">
        <v>3455</v>
      </c>
      <c r="C356" s="37"/>
      <c r="D356" s="37" t="s">
        <v>391</v>
      </c>
      <c r="E356" s="30" t="str">
        <f>INDEX(목표문구!$G$1:$G$1000,MATCH($B356,목표문구!$A$1:$A$1000,0))</f>
        <v>잠들기 전 양치 먼저</v>
      </c>
      <c r="F356" s="30" t="s">
        <v>4274</v>
      </c>
      <c r="G356" s="37">
        <f t="shared" si="12"/>
        <v>27</v>
      </c>
      <c r="H356" s="37">
        <v>30</v>
      </c>
      <c r="I356" s="37">
        <v>36</v>
      </c>
      <c r="J356" s="37" t="str">
        <f t="shared" si="13"/>
        <v>OK</v>
      </c>
      <c r="K356" s="37" t="s">
        <v>4369</v>
      </c>
      <c r="L356" s="28"/>
    </row>
    <row r="357" spans="1:12">
      <c r="A357" s="37" t="s">
        <v>2739</v>
      </c>
      <c r="B357" s="37" t="s">
        <v>3460</v>
      </c>
      <c r="C357" s="37"/>
      <c r="D357" s="37" t="s">
        <v>391</v>
      </c>
      <c r="E357" s="30" t="str">
        <f>INDEX(목표문구!$G$1:$G$1000,MATCH($B357,목표문구!$A$1:$A$1000,0))</f>
        <v>한 숟갈 뒤 숨 고르기</v>
      </c>
      <c r="F357" s="30" t="s">
        <v>4275</v>
      </c>
      <c r="G357" s="37">
        <f t="shared" si="12"/>
        <v>27</v>
      </c>
      <c r="H357" s="37">
        <v>30</v>
      </c>
      <c r="I357" s="37">
        <v>36</v>
      </c>
      <c r="J357" s="37" t="str">
        <f t="shared" si="13"/>
        <v>OK</v>
      </c>
      <c r="K357" s="37" t="s">
        <v>4369</v>
      </c>
      <c r="L357" s="28"/>
    </row>
    <row r="358" spans="1:12">
      <c r="A358" s="37" t="s">
        <v>2739</v>
      </c>
      <c r="B358" s="37" t="s">
        <v>3465</v>
      </c>
      <c r="C358" s="37"/>
      <c r="D358" s="37" t="s">
        <v>391</v>
      </c>
      <c r="E358" s="30" t="str">
        <f>INDEX(목표문구!$G$1:$G$1000,MATCH($B358,목표문구!$A$1:$A$1000,0))</f>
        <v>밥은 작은 공기에</v>
      </c>
      <c r="F358" s="30" t="s">
        <v>4276</v>
      </c>
      <c r="G358" s="37">
        <f t="shared" si="12"/>
        <v>21</v>
      </c>
      <c r="H358" s="37">
        <v>30</v>
      </c>
      <c r="I358" s="37">
        <v>36</v>
      </c>
      <c r="J358" s="37" t="str">
        <f t="shared" si="13"/>
        <v>OK</v>
      </c>
      <c r="K358" s="37" t="s">
        <v>4369</v>
      </c>
      <c r="L358" s="28"/>
    </row>
    <row r="359" spans="1:12">
      <c r="A359" s="37" t="s">
        <v>2739</v>
      </c>
      <c r="B359" s="37" t="s">
        <v>3470</v>
      </c>
      <c r="C359" s="37"/>
      <c r="D359" s="37" t="s">
        <v>391</v>
      </c>
      <c r="E359" s="30" t="str">
        <f>INDEX(목표문구!$G$1:$G$1000,MATCH($B359,목표문구!$A$1:$A$1000,0))</f>
        <v>면은 꼭꼭 씹어 먹기</v>
      </c>
      <c r="F359" s="30" t="s">
        <v>4277</v>
      </c>
      <c r="G359" s="37">
        <f t="shared" si="12"/>
        <v>19</v>
      </c>
      <c r="H359" s="37">
        <v>30</v>
      </c>
      <c r="I359" s="37">
        <v>36</v>
      </c>
      <c r="J359" s="37" t="str">
        <f t="shared" si="13"/>
        <v>OK</v>
      </c>
      <c r="K359" s="37" t="s">
        <v>4369</v>
      </c>
      <c r="L359" s="28"/>
    </row>
    <row r="360" spans="1:12">
      <c r="A360" s="37" t="s">
        <v>2739</v>
      </c>
      <c r="B360" s="37" t="s">
        <v>3475</v>
      </c>
      <c r="C360" s="37"/>
      <c r="D360" s="37" t="s">
        <v>391</v>
      </c>
      <c r="E360" s="30" t="str">
        <f>INDEX(목표문구!$G$1:$G$1000,MATCH($B360,목표문구!$A$1:$A$1000,0))</f>
        <v>아침추천: 현미밥+나물</v>
      </c>
      <c r="F360" s="30" t="s">
        <v>4278</v>
      </c>
      <c r="G360" s="37">
        <f t="shared" si="12"/>
        <v>30</v>
      </c>
      <c r="H360" s="37">
        <v>30</v>
      </c>
      <c r="I360" s="37">
        <v>36</v>
      </c>
      <c r="J360" s="37" t="str">
        <f t="shared" si="13"/>
        <v>OK</v>
      </c>
      <c r="K360" s="37" t="s">
        <v>4369</v>
      </c>
      <c r="L360" s="28"/>
    </row>
    <row r="361" spans="1:12">
      <c r="A361" s="37" t="s">
        <v>2739</v>
      </c>
      <c r="B361" s="37" t="s">
        <v>3481</v>
      </c>
      <c r="C361" s="37"/>
      <c r="D361" s="37" t="s">
        <v>391</v>
      </c>
      <c r="E361" s="30" t="str">
        <f>INDEX(목표문구!$G$1:$G$1000,MATCH($B361,목표문구!$A$1:$A$1000,0))</f>
        <v>아침추천: 잡곡밥+두부</v>
      </c>
      <c r="F361" s="30" t="s">
        <v>4279</v>
      </c>
      <c r="G361" s="37">
        <f t="shared" si="12"/>
        <v>28</v>
      </c>
      <c r="H361" s="37">
        <v>30</v>
      </c>
      <c r="I361" s="37">
        <v>36</v>
      </c>
      <c r="J361" s="37" t="str">
        <f t="shared" si="13"/>
        <v>OK</v>
      </c>
      <c r="K361" s="37" t="s">
        <v>4369</v>
      </c>
      <c r="L361" s="28"/>
    </row>
    <row r="362" spans="1:12">
      <c r="A362" s="37" t="s">
        <v>2739</v>
      </c>
      <c r="B362" s="37" t="s">
        <v>3486</v>
      </c>
      <c r="C362" s="37"/>
      <c r="D362" s="37" t="s">
        <v>391</v>
      </c>
      <c r="E362" s="30" t="str">
        <f>INDEX(목표문구!$G$1:$G$1000,MATCH($B362,목표문구!$A$1:$A$1000,0))</f>
        <v>아침추천: 오트밀+우유</v>
      </c>
      <c r="F362" s="30" t="s">
        <v>4280</v>
      </c>
      <c r="G362" s="37">
        <f t="shared" si="12"/>
        <v>25</v>
      </c>
      <c r="H362" s="37">
        <v>30</v>
      </c>
      <c r="I362" s="37">
        <v>36</v>
      </c>
      <c r="J362" s="37" t="str">
        <f t="shared" si="13"/>
        <v>OK</v>
      </c>
      <c r="K362" s="37" t="s">
        <v>4369</v>
      </c>
      <c r="L362" s="28"/>
    </row>
    <row r="363" spans="1:12">
      <c r="A363" s="37" t="s">
        <v>2739</v>
      </c>
      <c r="B363" s="37" t="s">
        <v>3491</v>
      </c>
      <c r="C363" s="37"/>
      <c r="D363" s="37" t="s">
        <v>391</v>
      </c>
      <c r="E363" s="30" t="str">
        <f>INDEX(목표문구!$G$1:$G$1000,MATCH($B363,목표문구!$A$1:$A$1000,0))</f>
        <v>아침추천: 고구마+두유</v>
      </c>
      <c r="F363" s="30" t="s">
        <v>4281</v>
      </c>
      <c r="G363" s="37">
        <f t="shared" si="12"/>
        <v>29</v>
      </c>
      <c r="H363" s="37">
        <v>30</v>
      </c>
      <c r="I363" s="37">
        <v>36</v>
      </c>
      <c r="J363" s="37" t="str">
        <f t="shared" si="13"/>
        <v>OK</v>
      </c>
      <c r="K363" s="37" t="s">
        <v>4369</v>
      </c>
      <c r="L363" s="28"/>
    </row>
    <row r="364" spans="1:12">
      <c r="A364" s="37" t="s">
        <v>2739</v>
      </c>
      <c r="B364" s="37" t="s">
        <v>3496</v>
      </c>
      <c r="C364" s="37"/>
      <c r="D364" s="37" t="s">
        <v>391</v>
      </c>
      <c r="E364" s="30" t="str">
        <f>INDEX(목표문구!$G$1:$G$1000,MATCH($B364,목표문구!$A$1:$A$1000,0))</f>
        <v>아침추천: 현미밥+생선</v>
      </c>
      <c r="F364" s="30" t="s">
        <v>4282</v>
      </c>
      <c r="G364" s="37">
        <f t="shared" si="12"/>
        <v>28</v>
      </c>
      <c r="H364" s="37">
        <v>30</v>
      </c>
      <c r="I364" s="37">
        <v>36</v>
      </c>
      <c r="J364" s="37" t="str">
        <f t="shared" si="13"/>
        <v>OK</v>
      </c>
      <c r="K364" s="37" t="s">
        <v>4369</v>
      </c>
      <c r="L364" s="28"/>
    </row>
    <row r="365" spans="1:12">
      <c r="A365" s="37" t="s">
        <v>2739</v>
      </c>
      <c r="B365" s="37" t="s">
        <v>3501</v>
      </c>
      <c r="C365" s="37"/>
      <c r="D365" s="37" t="s">
        <v>391</v>
      </c>
      <c r="E365" s="30" t="str">
        <f>INDEX(목표문구!$G$1:$G$1000,MATCH($B365,목표문구!$A$1:$A$1000,0))</f>
        <v>아침추천: 시금치/오이</v>
      </c>
      <c r="F365" s="30" t="s">
        <v>4283</v>
      </c>
      <c r="G365" s="37">
        <f t="shared" si="12"/>
        <v>30</v>
      </c>
      <c r="H365" s="37">
        <v>30</v>
      </c>
      <c r="I365" s="37">
        <v>36</v>
      </c>
      <c r="J365" s="37" t="str">
        <f t="shared" si="13"/>
        <v>OK</v>
      </c>
      <c r="K365" s="37" t="s">
        <v>4369</v>
      </c>
      <c r="L365" s="28"/>
    </row>
    <row r="366" spans="1:12">
      <c r="A366" s="37" t="s">
        <v>2739</v>
      </c>
      <c r="B366" s="37" t="s">
        <v>3506</v>
      </c>
      <c r="C366" s="37"/>
      <c r="D366" s="37" t="s">
        <v>391</v>
      </c>
      <c r="E366" s="30" t="str">
        <f>INDEX(목표문구!$G$1:$G$1000,MATCH($B366,목표문구!$A$1:$A$1000,0))</f>
        <v>아침추천: 배추쌈/오이</v>
      </c>
      <c r="F366" s="30" t="s">
        <v>4284</v>
      </c>
      <c r="G366" s="37">
        <f t="shared" si="12"/>
        <v>24</v>
      </c>
      <c r="H366" s="37">
        <v>30</v>
      </c>
      <c r="I366" s="37">
        <v>36</v>
      </c>
      <c r="J366" s="37" t="str">
        <f t="shared" si="13"/>
        <v>OK</v>
      </c>
      <c r="K366" s="37" t="s">
        <v>4369</v>
      </c>
      <c r="L366" s="28"/>
    </row>
    <row r="367" spans="1:12">
      <c r="A367" s="37" t="s">
        <v>2739</v>
      </c>
      <c r="B367" s="37" t="s">
        <v>3511</v>
      </c>
      <c r="C367" s="37"/>
      <c r="D367" s="37" t="s">
        <v>391</v>
      </c>
      <c r="E367" s="30" t="str">
        <f>INDEX(목표문구!$G$1:$G$1000,MATCH($B367,목표문구!$A$1:$A$1000,0))</f>
        <v>아침추천: 애호박/가지</v>
      </c>
      <c r="F367" s="30" t="s">
        <v>4285</v>
      </c>
      <c r="G367" s="37">
        <f t="shared" si="12"/>
        <v>31</v>
      </c>
      <c r="H367" s="37">
        <v>30</v>
      </c>
      <c r="I367" s="37">
        <v>36</v>
      </c>
      <c r="J367" s="37" t="str">
        <f t="shared" si="13"/>
        <v>길이 주의</v>
      </c>
      <c r="K367" s="37" t="s">
        <v>4369</v>
      </c>
      <c r="L367" s="28"/>
    </row>
    <row r="368" spans="1:12">
      <c r="A368" s="37" t="s">
        <v>2739</v>
      </c>
      <c r="B368" s="37" t="s">
        <v>3516</v>
      </c>
      <c r="C368" s="37"/>
      <c r="D368" s="37" t="s">
        <v>391</v>
      </c>
      <c r="E368" s="30" t="str">
        <f>INDEX(목표문구!$G$1:$G$1000,MATCH($B368,목표문구!$A$1:$A$1000,0))</f>
        <v>아침추천: 비빔밥/쌈밥</v>
      </c>
      <c r="F368" s="30" t="s">
        <v>4286</v>
      </c>
      <c r="G368" s="37">
        <f t="shared" si="12"/>
        <v>28</v>
      </c>
      <c r="H368" s="37">
        <v>30</v>
      </c>
      <c r="I368" s="37">
        <v>36</v>
      </c>
      <c r="J368" s="37" t="str">
        <f t="shared" si="13"/>
        <v>OK</v>
      </c>
      <c r="K368" s="37" t="s">
        <v>4369</v>
      </c>
      <c r="L368" s="28"/>
    </row>
    <row r="369" spans="1:12">
      <c r="A369" s="37" t="s">
        <v>2739</v>
      </c>
      <c r="B369" s="37" t="s">
        <v>3521</v>
      </c>
      <c r="C369" s="37"/>
      <c r="D369" s="37" t="s">
        <v>391</v>
      </c>
      <c r="E369" s="30" t="str">
        <f>INDEX(목표문구!$G$1:$G$1000,MATCH($B369,목표문구!$A$1:$A$1000,0))</f>
        <v>두부샐러드+1/2소스</v>
      </c>
      <c r="F369" s="30" t="s">
        <v>4287</v>
      </c>
      <c r="G369" s="37">
        <f t="shared" si="12"/>
        <v>25</v>
      </c>
      <c r="H369" s="37">
        <v>30</v>
      </c>
      <c r="I369" s="37">
        <v>36</v>
      </c>
      <c r="J369" s="37" t="str">
        <f t="shared" si="13"/>
        <v>OK</v>
      </c>
      <c r="K369" s="37" t="s">
        <v>4369</v>
      </c>
      <c r="L369" s="28"/>
    </row>
    <row r="370" spans="1:12">
      <c r="A370" s="37" t="s">
        <v>2739</v>
      </c>
      <c r="B370" s="37" t="s">
        <v>3526</v>
      </c>
      <c r="C370" s="37"/>
      <c r="D370" s="37" t="s">
        <v>391</v>
      </c>
      <c r="E370" s="30" t="str">
        <f>INDEX(목표문구!$G$1:$G$1000,MATCH($B370,목표문구!$A$1:$A$1000,0))</f>
        <v>아침추천: 달걀찜/두부</v>
      </c>
      <c r="F370" s="30" t="s">
        <v>4288</v>
      </c>
      <c r="G370" s="37">
        <f t="shared" si="12"/>
        <v>30</v>
      </c>
      <c r="H370" s="37">
        <v>30</v>
      </c>
      <c r="I370" s="37">
        <v>36</v>
      </c>
      <c r="J370" s="37" t="str">
        <f t="shared" si="13"/>
        <v>OK</v>
      </c>
      <c r="K370" s="37" t="s">
        <v>4369</v>
      </c>
      <c r="L370" s="28"/>
    </row>
    <row r="371" spans="1:12">
      <c r="A371" s="37" t="s">
        <v>2739</v>
      </c>
      <c r="B371" s="37" t="s">
        <v>3531</v>
      </c>
      <c r="C371" s="37"/>
      <c r="D371" s="37" t="s">
        <v>391</v>
      </c>
      <c r="E371" s="30" t="str">
        <f>INDEX(목표문구!$G$1:$G$1000,MATCH($B371,목표문구!$A$1:$A$1000,0))</f>
        <v>아침추천: 순두부/두유</v>
      </c>
      <c r="F371" s="30" t="s">
        <v>4289</v>
      </c>
      <c r="G371" s="37">
        <f t="shared" si="12"/>
        <v>32</v>
      </c>
      <c r="H371" s="37">
        <v>30</v>
      </c>
      <c r="I371" s="37">
        <v>36</v>
      </c>
      <c r="J371" s="37" t="str">
        <f t="shared" si="13"/>
        <v>길이 주의</v>
      </c>
      <c r="K371" s="37" t="s">
        <v>4369</v>
      </c>
      <c r="L371" s="28"/>
    </row>
    <row r="372" spans="1:12">
      <c r="A372" s="37" t="s">
        <v>2739</v>
      </c>
      <c r="B372" s="37" t="s">
        <v>3536</v>
      </c>
      <c r="C372" s="37"/>
      <c r="D372" s="37" t="s">
        <v>391</v>
      </c>
      <c r="E372" s="30" t="str">
        <f>INDEX(목표문구!$G$1:$G$1000,MATCH($B372,목표문구!$A$1:$A$1000,0))</f>
        <v>아침추천: 두유/우유</v>
      </c>
      <c r="F372" s="30" t="s">
        <v>4290</v>
      </c>
      <c r="G372" s="37">
        <f t="shared" si="12"/>
        <v>27</v>
      </c>
      <c r="H372" s="37">
        <v>30</v>
      </c>
      <c r="I372" s="37">
        <v>36</v>
      </c>
      <c r="J372" s="37" t="str">
        <f t="shared" si="13"/>
        <v>OK</v>
      </c>
      <c r="K372" s="37" t="s">
        <v>4369</v>
      </c>
      <c r="L372" s="28"/>
    </row>
    <row r="373" spans="1:12">
      <c r="A373" s="37" t="s">
        <v>2739</v>
      </c>
      <c r="B373" s="37" t="s">
        <v>3541</v>
      </c>
      <c r="C373" s="37"/>
      <c r="D373" s="37" t="s">
        <v>391</v>
      </c>
      <c r="E373" s="30" t="str">
        <f>INDEX(목표문구!$G$1:$G$1000,MATCH($B373,목표문구!$A$1:$A$1000,0))</f>
        <v>아침추천: 달걀/두유</v>
      </c>
      <c r="F373" s="30" t="s">
        <v>4291</v>
      </c>
      <c r="G373" s="37">
        <f t="shared" si="12"/>
        <v>26</v>
      </c>
      <c r="H373" s="37">
        <v>30</v>
      </c>
      <c r="I373" s="37">
        <v>36</v>
      </c>
      <c r="J373" s="37" t="str">
        <f t="shared" si="13"/>
        <v>OK</v>
      </c>
      <c r="K373" s="37" t="s">
        <v>4369</v>
      </c>
      <c r="L373" s="28"/>
    </row>
    <row r="374" spans="1:12">
      <c r="A374" s="37" t="s">
        <v>2739</v>
      </c>
      <c r="B374" s="37" t="s">
        <v>3546</v>
      </c>
      <c r="C374" s="37"/>
      <c r="D374" s="37" t="s">
        <v>391</v>
      </c>
      <c r="E374" s="30" t="str">
        <f>INDEX(목표문구!$G$1:$G$1000,MATCH($B374,목표문구!$A$1:$A$1000,0))</f>
        <v>아침추천: 연두부/두유</v>
      </c>
      <c r="F374" s="30" t="s">
        <v>4292</v>
      </c>
      <c r="G374" s="37">
        <f t="shared" si="12"/>
        <v>29</v>
      </c>
      <c r="H374" s="37">
        <v>30</v>
      </c>
      <c r="I374" s="37">
        <v>36</v>
      </c>
      <c r="J374" s="37" t="str">
        <f t="shared" si="13"/>
        <v>OK</v>
      </c>
      <c r="K374" s="37" t="s">
        <v>4369</v>
      </c>
      <c r="L374" s="28"/>
    </row>
    <row r="375" spans="1:12">
      <c r="A375" s="37" t="s">
        <v>2739</v>
      </c>
      <c r="B375" s="37" t="s">
        <v>3551</v>
      </c>
      <c r="C375" s="37"/>
      <c r="D375" s="37" t="s">
        <v>391</v>
      </c>
      <c r="E375" s="30" t="str">
        <f>INDEX(목표문구!$G$1:$G$1000,MATCH($B375,목표문구!$A$1:$A$1000,0))</f>
        <v>아침추천: 연어/두부</v>
      </c>
      <c r="F375" s="30" t="s">
        <v>4293</v>
      </c>
      <c r="G375" s="37">
        <f t="shared" si="12"/>
        <v>25</v>
      </c>
      <c r="H375" s="37">
        <v>30</v>
      </c>
      <c r="I375" s="37">
        <v>36</v>
      </c>
      <c r="J375" s="37" t="str">
        <f t="shared" si="13"/>
        <v>OK</v>
      </c>
      <c r="K375" s="37" t="s">
        <v>4369</v>
      </c>
      <c r="L375" s="28"/>
    </row>
    <row r="376" spans="1:12">
      <c r="A376" s="37" t="s">
        <v>2739</v>
      </c>
      <c r="B376" s="37" t="s">
        <v>3556</v>
      </c>
      <c r="C376" s="37"/>
      <c r="D376" s="37" t="s">
        <v>391</v>
      </c>
      <c r="E376" s="30" t="str">
        <f>INDEX(목표문구!$G$1:$G$1000,MATCH($B376,목표문구!$A$1:$A$1000,0))</f>
        <v>아침추천: 생선/나물</v>
      </c>
      <c r="F376" s="30" t="s">
        <v>4294</v>
      </c>
      <c r="G376" s="37">
        <f t="shared" si="12"/>
        <v>25</v>
      </c>
      <c r="H376" s="37">
        <v>30</v>
      </c>
      <c r="I376" s="37">
        <v>36</v>
      </c>
      <c r="J376" s="37" t="str">
        <f t="shared" si="13"/>
        <v>OK</v>
      </c>
      <c r="K376" s="37" t="s">
        <v>4369</v>
      </c>
      <c r="L376" s="28"/>
    </row>
    <row r="377" spans="1:12">
      <c r="A377" s="37" t="s">
        <v>2739</v>
      </c>
      <c r="B377" s="37" t="s">
        <v>3561</v>
      </c>
      <c r="C377" s="37"/>
      <c r="D377" s="37" t="s">
        <v>391</v>
      </c>
      <c r="E377" s="30" t="str">
        <f>INDEX(목표문구!$G$1:$G$1000,MATCH($B377,목표문구!$A$1:$A$1000,0))</f>
        <v>아침추천: 생채/샐러드</v>
      </c>
      <c r="F377" s="30" t="s">
        <v>4295</v>
      </c>
      <c r="G377" s="37">
        <f t="shared" si="12"/>
        <v>30</v>
      </c>
      <c r="H377" s="37">
        <v>30</v>
      </c>
      <c r="I377" s="37">
        <v>36</v>
      </c>
      <c r="J377" s="37" t="str">
        <f t="shared" si="13"/>
        <v>OK</v>
      </c>
      <c r="K377" s="37" t="s">
        <v>4369</v>
      </c>
      <c r="L377" s="28"/>
    </row>
    <row r="378" spans="1:12">
      <c r="A378" s="37" t="s">
        <v>2739</v>
      </c>
      <c r="B378" s="37" t="s">
        <v>3566</v>
      </c>
      <c r="C378" s="37"/>
      <c r="D378" s="37" t="s">
        <v>391</v>
      </c>
      <c r="E378" s="30" t="str">
        <f>INDEX(목표문구!$G$1:$G$1000,MATCH($B378,목표문구!$A$1:$A$1000,0))</f>
        <v>저녁추천: 생선/수육</v>
      </c>
      <c r="F378" s="30" t="s">
        <v>4296</v>
      </c>
      <c r="G378" s="37">
        <f t="shared" si="12"/>
        <v>27</v>
      </c>
      <c r="H378" s="37">
        <v>30</v>
      </c>
      <c r="I378" s="37">
        <v>36</v>
      </c>
      <c r="J378" s="37" t="str">
        <f t="shared" si="13"/>
        <v>OK</v>
      </c>
      <c r="K378" s="37" t="s">
        <v>4369</v>
      </c>
      <c r="L378" s="28"/>
    </row>
    <row r="379" spans="1:12">
      <c r="A379" s="37" t="s">
        <v>2739</v>
      </c>
      <c r="B379" s="37" t="s">
        <v>3571</v>
      </c>
      <c r="C379" s="37"/>
      <c r="D379" s="37" t="s">
        <v>391</v>
      </c>
      <c r="E379" s="30" t="str">
        <f>INDEX(목표문구!$G$1:$G$1000,MATCH($B379,목표문구!$A$1:$A$1000,0))</f>
        <v>저녁추천: 수육/닭찜</v>
      </c>
      <c r="F379" s="30" t="s">
        <v>4297</v>
      </c>
      <c r="G379" s="37">
        <f t="shared" si="12"/>
        <v>30</v>
      </c>
      <c r="H379" s="37">
        <v>30</v>
      </c>
      <c r="I379" s="37">
        <v>36</v>
      </c>
      <c r="J379" s="37" t="str">
        <f t="shared" si="13"/>
        <v>OK</v>
      </c>
      <c r="K379" s="37" t="s">
        <v>4369</v>
      </c>
      <c r="L379" s="28"/>
    </row>
    <row r="380" spans="1:12">
      <c r="A380" s="37" t="s">
        <v>2739</v>
      </c>
      <c r="B380" s="37" t="s">
        <v>3576</v>
      </c>
      <c r="C380" s="37"/>
      <c r="D380" s="37" t="s">
        <v>391</v>
      </c>
      <c r="E380" s="30" t="str">
        <f>INDEX(목표문구!$G$1:$G$1000,MATCH($B380,목표문구!$A$1:$A$1000,0))</f>
        <v>저녁추천: 백숙/닭구이</v>
      </c>
      <c r="F380" s="30" t="s">
        <v>4298</v>
      </c>
      <c r="G380" s="37">
        <f t="shared" si="12"/>
        <v>34</v>
      </c>
      <c r="H380" s="37">
        <v>30</v>
      </c>
      <c r="I380" s="37">
        <v>36</v>
      </c>
      <c r="J380" s="37" t="str">
        <f t="shared" si="13"/>
        <v>길이 주의</v>
      </c>
      <c r="K380" s="37" t="s">
        <v>4369</v>
      </c>
      <c r="L380" s="28"/>
    </row>
    <row r="381" spans="1:12">
      <c r="A381" s="37" t="s">
        <v>2739</v>
      </c>
      <c r="B381" s="37" t="s">
        <v>3581</v>
      </c>
      <c r="C381" s="37"/>
      <c r="D381" s="37" t="s">
        <v>391</v>
      </c>
      <c r="E381" s="30" t="str">
        <f>INDEX(목표문구!$G$1:$G$1000,MATCH($B381,목표문구!$A$1:$A$1000,0))</f>
        <v>저녁추천: 숙회/수육</v>
      </c>
      <c r="F381" s="30" t="s">
        <v>4299</v>
      </c>
      <c r="G381" s="37">
        <f t="shared" si="12"/>
        <v>30</v>
      </c>
      <c r="H381" s="37">
        <v>30</v>
      </c>
      <c r="I381" s="37">
        <v>36</v>
      </c>
      <c r="J381" s="37" t="str">
        <f t="shared" si="13"/>
        <v>OK</v>
      </c>
      <c r="K381" s="37" t="s">
        <v>4369</v>
      </c>
      <c r="L381" s="28"/>
    </row>
    <row r="382" spans="1:12">
      <c r="A382" s="37" t="s">
        <v>2739</v>
      </c>
      <c r="B382" s="37" t="s">
        <v>3586</v>
      </c>
      <c r="C382" s="37"/>
      <c r="D382" s="37" t="s">
        <v>391</v>
      </c>
      <c r="E382" s="30" t="str">
        <f>INDEX(목표문구!$G$1:$G$1000,MATCH($B382,목표문구!$A$1:$A$1000,0))</f>
        <v>저녁추천: 고등어/갈치</v>
      </c>
      <c r="F382" s="30" t="s">
        <v>4300</v>
      </c>
      <c r="G382" s="37">
        <f t="shared" si="12"/>
        <v>28</v>
      </c>
      <c r="H382" s="37">
        <v>30</v>
      </c>
      <c r="I382" s="37">
        <v>36</v>
      </c>
      <c r="J382" s="37" t="str">
        <f t="shared" si="13"/>
        <v>OK</v>
      </c>
      <c r="K382" s="37" t="s">
        <v>4369</v>
      </c>
      <c r="L382" s="28"/>
    </row>
    <row r="383" spans="1:12">
      <c r="A383" s="37" t="s">
        <v>2739</v>
      </c>
      <c r="B383" s="37" t="s">
        <v>3591</v>
      </c>
      <c r="C383" s="37"/>
      <c r="D383" s="37" t="s">
        <v>391</v>
      </c>
      <c r="E383" s="30" t="str">
        <f>INDEX(목표문구!$G$1:$G$1000,MATCH($B383,목표문구!$A$1:$A$1000,0))</f>
        <v>저녁추천: 삼치/조기</v>
      </c>
      <c r="F383" s="30" t="s">
        <v>4301</v>
      </c>
      <c r="G383" s="37">
        <f t="shared" si="12"/>
        <v>26</v>
      </c>
      <c r="H383" s="37">
        <v>30</v>
      </c>
      <c r="I383" s="37">
        <v>36</v>
      </c>
      <c r="J383" s="37" t="str">
        <f t="shared" si="13"/>
        <v>OK</v>
      </c>
      <c r="K383" s="37" t="s">
        <v>4369</v>
      </c>
      <c r="L383" s="28"/>
    </row>
    <row r="384" spans="1:12">
      <c r="A384" s="37" t="s">
        <v>2739</v>
      </c>
      <c r="B384" s="37" t="s">
        <v>3596</v>
      </c>
      <c r="C384" s="37"/>
      <c r="D384" s="37" t="s">
        <v>391</v>
      </c>
      <c r="E384" s="30" t="str">
        <f>INDEX(목표문구!$G$1:$G$1000,MATCH($B384,목표문구!$A$1:$A$1000,0))</f>
        <v>저녁추천: 두부/달걀찜</v>
      </c>
      <c r="F384" s="30" t="s">
        <v>4302</v>
      </c>
      <c r="G384" s="37">
        <f t="shared" si="12"/>
        <v>27</v>
      </c>
      <c r="H384" s="37">
        <v>30</v>
      </c>
      <c r="I384" s="37">
        <v>36</v>
      </c>
      <c r="J384" s="37" t="str">
        <f t="shared" si="13"/>
        <v>OK</v>
      </c>
      <c r="K384" s="37" t="s">
        <v>4369</v>
      </c>
      <c r="L384" s="28"/>
    </row>
    <row r="385" spans="1:12">
      <c r="A385" s="37" t="s">
        <v>2739</v>
      </c>
      <c r="B385" s="37" t="s">
        <v>3601</v>
      </c>
      <c r="C385" s="37"/>
      <c r="D385" s="37" t="s">
        <v>391</v>
      </c>
      <c r="E385" s="30" t="str">
        <f>INDEX(목표문구!$G$1:$G$1000,MATCH($B385,목표문구!$A$1:$A$1000,0))</f>
        <v>저녁추천: 연어/닭안심</v>
      </c>
      <c r="F385" s="30" t="s">
        <v>4303</v>
      </c>
      <c r="G385" s="37">
        <f t="shared" si="12"/>
        <v>25</v>
      </c>
      <c r="H385" s="37">
        <v>30</v>
      </c>
      <c r="I385" s="37">
        <v>36</v>
      </c>
      <c r="J385" s="37" t="str">
        <f t="shared" si="13"/>
        <v>OK</v>
      </c>
      <c r="K385" s="37" t="s">
        <v>4369</v>
      </c>
      <c r="L385" s="28"/>
    </row>
    <row r="386" spans="1:12">
      <c r="A386" s="37" t="s">
        <v>2739</v>
      </c>
      <c r="B386" s="37" t="s">
        <v>3606</v>
      </c>
      <c r="C386" s="37"/>
      <c r="D386" s="37" t="s">
        <v>391</v>
      </c>
      <c r="E386" s="30" t="str">
        <f>INDEX(목표문구!$G$1:$G$1000,MATCH($B386,목표문구!$A$1:$A$1000,0))</f>
        <v>저녁추천: 닭안심/두부</v>
      </c>
      <c r="F386" s="30" t="s">
        <v>4304</v>
      </c>
      <c r="G386" s="37">
        <f t="shared" si="12"/>
        <v>23</v>
      </c>
      <c r="H386" s="37">
        <v>30</v>
      </c>
      <c r="I386" s="37">
        <v>36</v>
      </c>
      <c r="J386" s="37" t="str">
        <f t="shared" si="13"/>
        <v>OK</v>
      </c>
      <c r="K386" s="37" t="s">
        <v>4369</v>
      </c>
      <c r="L386" s="28"/>
    </row>
    <row r="387" spans="1:12">
      <c r="A387" s="37" t="s">
        <v>2739</v>
      </c>
      <c r="B387" s="37" t="s">
        <v>3611</v>
      </c>
      <c r="C387" s="37"/>
      <c r="D387" s="37" t="s">
        <v>391</v>
      </c>
      <c r="E387" s="30" t="str">
        <f>INDEX(목표문구!$G$1:$G$1000,MATCH($B387,목표문구!$A$1:$A$1000,0))</f>
        <v>저녁추천: 두부/백숙</v>
      </c>
      <c r="F387" s="30" t="s">
        <v>4305</v>
      </c>
      <c r="G387" s="37">
        <f t="shared" si="12"/>
        <v>31</v>
      </c>
      <c r="H387" s="37">
        <v>30</v>
      </c>
      <c r="I387" s="37">
        <v>36</v>
      </c>
      <c r="J387" s="37" t="str">
        <f t="shared" si="13"/>
        <v>길이 주의</v>
      </c>
      <c r="K387" s="37" t="s">
        <v>4369</v>
      </c>
      <c r="L387" s="28"/>
    </row>
    <row r="388" spans="1:12">
      <c r="A388" s="37" t="s">
        <v>2739</v>
      </c>
      <c r="B388" s="37" t="s">
        <v>3616</v>
      </c>
      <c r="C388" s="37"/>
      <c r="D388" s="37" t="s">
        <v>391</v>
      </c>
      <c r="E388" s="30" t="str">
        <f>INDEX(목표문구!$G$1:$G$1000,MATCH($B388,목표문구!$A$1:$A$1000,0))</f>
        <v>저녁추천: 두부/생선찜</v>
      </c>
      <c r="F388" s="30" t="s">
        <v>4306</v>
      </c>
      <c r="G388" s="37">
        <f t="shared" si="12"/>
        <v>28</v>
      </c>
      <c r="H388" s="37">
        <v>30</v>
      </c>
      <c r="I388" s="37">
        <v>36</v>
      </c>
      <c r="J388" s="37" t="str">
        <f t="shared" si="13"/>
        <v>OK</v>
      </c>
      <c r="K388" s="37" t="s">
        <v>4369</v>
      </c>
      <c r="L388" s="28"/>
    </row>
    <row r="389" spans="1:12">
      <c r="A389" s="37" t="s">
        <v>2739</v>
      </c>
      <c r="B389" s="37" t="s">
        <v>3621</v>
      </c>
      <c r="C389" s="37"/>
      <c r="D389" s="37" t="s">
        <v>391</v>
      </c>
      <c r="E389" s="30" t="str">
        <f>INDEX(목표문구!$G$1:$G$1000,MATCH($B389,목표문구!$A$1:$A$1000,0))</f>
        <v>저녁추천: 샤브샤브/쌈</v>
      </c>
      <c r="F389" s="30" t="s">
        <v>4307</v>
      </c>
      <c r="G389" s="37">
        <f t="shared" si="12"/>
        <v>28</v>
      </c>
      <c r="H389" s="37">
        <v>30</v>
      </c>
      <c r="I389" s="37">
        <v>36</v>
      </c>
      <c r="J389" s="37" t="str">
        <f t="shared" si="13"/>
        <v>OK</v>
      </c>
      <c r="K389" s="37" t="s">
        <v>4369</v>
      </c>
      <c r="L389" s="28"/>
    </row>
    <row r="390" spans="1:12">
      <c r="A390" s="37" t="s">
        <v>2739</v>
      </c>
      <c r="B390" s="37" t="s">
        <v>3626</v>
      </c>
      <c r="C390" s="37"/>
      <c r="D390" s="37" t="s">
        <v>391</v>
      </c>
      <c r="E390" s="30" t="str">
        <f>INDEX(목표문구!$G$1:$G$1000,MATCH($B390,목표문구!$A$1:$A$1000,0))</f>
        <v>저녁추천: 월남쌈/쌈밥</v>
      </c>
      <c r="F390" s="30" t="s">
        <v>4308</v>
      </c>
      <c r="G390" s="37">
        <f t="shared" si="12"/>
        <v>24</v>
      </c>
      <c r="H390" s="37">
        <v>30</v>
      </c>
      <c r="I390" s="37">
        <v>36</v>
      </c>
      <c r="J390" s="37" t="str">
        <f t="shared" si="13"/>
        <v>OK</v>
      </c>
      <c r="K390" s="37" t="s">
        <v>4369</v>
      </c>
      <c r="L390" s="28"/>
    </row>
    <row r="391" spans="1:12">
      <c r="A391" s="37" t="s">
        <v>2739</v>
      </c>
      <c r="B391" s="37" t="s">
        <v>3631</v>
      </c>
      <c r="C391" s="37"/>
      <c r="D391" s="37" t="s">
        <v>391</v>
      </c>
      <c r="E391" s="30" t="str">
        <f>INDEX(목표문구!$G$1:$G$1000,MATCH($B391,목표문구!$A$1:$A$1000,0))</f>
        <v>저녁추천: 가지/버섯</v>
      </c>
      <c r="F391" s="30" t="s">
        <v>4309</v>
      </c>
      <c r="G391" s="37">
        <f t="shared" si="12"/>
        <v>29</v>
      </c>
      <c r="H391" s="37">
        <v>30</v>
      </c>
      <c r="I391" s="37">
        <v>36</v>
      </c>
      <c r="J391" s="37" t="str">
        <f t="shared" si="13"/>
        <v>OK</v>
      </c>
      <c r="K391" s="37" t="s">
        <v>4369</v>
      </c>
      <c r="L391" s="28"/>
    </row>
    <row r="392" spans="1:12">
      <c r="A392" s="37" t="s">
        <v>2739</v>
      </c>
      <c r="B392" s="37" t="s">
        <v>3636</v>
      </c>
      <c r="C392" s="37"/>
      <c r="D392" s="37" t="s">
        <v>391</v>
      </c>
      <c r="E392" s="30" t="str">
        <f>INDEX(목표문구!$G$1:$G$1000,MATCH($B392,목표문구!$A$1:$A$1000,0))</f>
        <v>저녁추천: 나물/생채</v>
      </c>
      <c r="F392" s="30" t="s">
        <v>4310</v>
      </c>
      <c r="G392" s="37">
        <f t="shared" si="12"/>
        <v>28</v>
      </c>
      <c r="H392" s="37">
        <v>30</v>
      </c>
      <c r="I392" s="37">
        <v>36</v>
      </c>
      <c r="J392" s="37" t="str">
        <f t="shared" si="13"/>
        <v>OK</v>
      </c>
      <c r="K392" s="37" t="s">
        <v>4369</v>
      </c>
      <c r="L392" s="28"/>
    </row>
    <row r="393" spans="1:12">
      <c r="A393" s="37" t="s">
        <v>2739</v>
      </c>
      <c r="B393" s="37" t="s">
        <v>3641</v>
      </c>
      <c r="C393" s="37"/>
      <c r="D393" s="37" t="s">
        <v>391</v>
      </c>
      <c r="E393" s="30" t="str">
        <f>INDEX(목표문구!$G$1:$G$1000,MATCH($B393,목표문구!$A$1:$A$1000,0))</f>
        <v>저녁추천: 숙주/시금치</v>
      </c>
      <c r="F393" s="30" t="s">
        <v>4311</v>
      </c>
      <c r="G393" s="37">
        <f t="shared" si="12"/>
        <v>31</v>
      </c>
      <c r="H393" s="37">
        <v>30</v>
      </c>
      <c r="I393" s="37">
        <v>36</v>
      </c>
      <c r="J393" s="37" t="str">
        <f t="shared" si="13"/>
        <v>길이 주의</v>
      </c>
      <c r="K393" s="37" t="s">
        <v>4369</v>
      </c>
      <c r="L393" s="28"/>
    </row>
    <row r="394" spans="1:12">
      <c r="A394" s="37" t="s">
        <v>2739</v>
      </c>
      <c r="B394" s="37" t="s">
        <v>3646</v>
      </c>
      <c r="C394" s="37"/>
      <c r="D394" s="37" t="s">
        <v>391</v>
      </c>
      <c r="E394" s="30" t="str">
        <f>INDEX(목표문구!$G$1:$G$1000,MATCH($B394,목표문구!$A$1:$A$1000,0))</f>
        <v>저녁추천: 쌈/나물무침</v>
      </c>
      <c r="F394" s="30" t="s">
        <v>4312</v>
      </c>
      <c r="G394" s="37">
        <f t="shared" si="12"/>
        <v>31</v>
      </c>
      <c r="H394" s="37">
        <v>30</v>
      </c>
      <c r="I394" s="37">
        <v>36</v>
      </c>
      <c r="J394" s="37" t="str">
        <f t="shared" si="13"/>
        <v>길이 주의</v>
      </c>
      <c r="K394" s="37" t="s">
        <v>4369</v>
      </c>
      <c r="L394" s="28"/>
    </row>
    <row r="395" spans="1:12">
      <c r="A395" s="37" t="s">
        <v>2739</v>
      </c>
      <c r="B395" s="37" t="s">
        <v>3651</v>
      </c>
      <c r="C395" s="37"/>
      <c r="D395" s="37" t="s">
        <v>391</v>
      </c>
      <c r="E395" s="30" t="str">
        <f>INDEX(목표문구!$G$1:$G$1000,MATCH($B395,목표문구!$A$1:$A$1000,0))</f>
        <v>저녁추천: 생선찜/생채</v>
      </c>
      <c r="F395" s="30" t="s">
        <v>4313</v>
      </c>
      <c r="G395" s="37">
        <f t="shared" si="12"/>
        <v>27</v>
      </c>
      <c r="H395" s="37">
        <v>30</v>
      </c>
      <c r="I395" s="37">
        <v>36</v>
      </c>
      <c r="J395" s="37" t="str">
        <f t="shared" si="13"/>
        <v>OK</v>
      </c>
      <c r="K395" s="37" t="s">
        <v>4369</v>
      </c>
      <c r="L395" s="28"/>
    </row>
    <row r="396" spans="1:12">
      <c r="A396" s="37" t="s">
        <v>2739</v>
      </c>
      <c r="B396" s="37" t="s">
        <v>3656</v>
      </c>
      <c r="C396" s="37"/>
      <c r="D396" s="37" t="s">
        <v>391</v>
      </c>
      <c r="E396" s="30" t="str">
        <f>INDEX(목표문구!$G$1:$G$1000,MATCH($B396,목표문구!$A$1:$A$1000,0))</f>
        <v>저녁추천: 두부찜/생채</v>
      </c>
      <c r="F396" s="30" t="s">
        <v>4314</v>
      </c>
      <c r="G396" s="37">
        <f t="shared" si="12"/>
        <v>27</v>
      </c>
      <c r="H396" s="37">
        <v>30</v>
      </c>
      <c r="I396" s="37">
        <v>36</v>
      </c>
      <c r="J396" s="37" t="str">
        <f t="shared" si="13"/>
        <v>OK</v>
      </c>
      <c r="K396" s="37" t="s">
        <v>4369</v>
      </c>
      <c r="L396" s="28"/>
    </row>
    <row r="397" spans="1:12">
      <c r="A397" s="37" t="s">
        <v>2739</v>
      </c>
      <c r="B397" s="37" t="s">
        <v>3661</v>
      </c>
      <c r="C397" s="37"/>
      <c r="D397" s="37" t="s">
        <v>391</v>
      </c>
      <c r="E397" s="30" t="str">
        <f>INDEX(목표문구!$G$1:$G$1000,MATCH($B397,목표문구!$A$1:$A$1000,0))</f>
        <v>저녁추천: 잡곡밥/쌈밥</v>
      </c>
      <c r="F397" s="30" t="s">
        <v>4315</v>
      </c>
      <c r="G397" s="37">
        <f t="shared" si="12"/>
        <v>26</v>
      </c>
      <c r="H397" s="37">
        <v>30</v>
      </c>
      <c r="I397" s="37">
        <v>36</v>
      </c>
      <c r="J397" s="37" t="str">
        <f t="shared" si="13"/>
        <v>OK</v>
      </c>
      <c r="K397" s="37" t="s">
        <v>4369</v>
      </c>
      <c r="L397" s="28"/>
    </row>
    <row r="398" spans="1:12">
      <c r="A398" s="37" t="s">
        <v>2739</v>
      </c>
      <c r="B398" s="37" t="s">
        <v>3666</v>
      </c>
      <c r="C398" s="37"/>
      <c r="D398" s="37" t="s">
        <v>391</v>
      </c>
      <c r="E398" s="30" t="str">
        <f>INDEX(목표문구!$G$1:$G$1000,MATCH($B398,목표문구!$A$1:$A$1000,0))</f>
        <v>저녁추천: 닭찜/수육</v>
      </c>
      <c r="F398" s="30" t="s">
        <v>4316</v>
      </c>
      <c r="G398" s="37">
        <f t="shared" si="12"/>
        <v>31</v>
      </c>
      <c r="H398" s="37">
        <v>30</v>
      </c>
      <c r="I398" s="37">
        <v>36</v>
      </c>
      <c r="J398" s="37" t="str">
        <f t="shared" si="13"/>
        <v>길이 주의</v>
      </c>
      <c r="K398" s="37" t="s">
        <v>4369</v>
      </c>
      <c r="L398" s="28"/>
    </row>
    <row r="399" spans="1:12">
      <c r="A399" s="37" t="s">
        <v>2739</v>
      </c>
      <c r="B399" s="37" t="s">
        <v>3671</v>
      </c>
      <c r="C399" s="37"/>
      <c r="D399" s="37" t="s">
        <v>391</v>
      </c>
      <c r="E399" s="30" t="str">
        <f>INDEX(목표문구!$G$1:$G$1000,MATCH($B399,목표문구!$A$1:$A$1000,0))</f>
        <v>저녁추천: 가자미/조기</v>
      </c>
      <c r="F399" s="30" t="s">
        <v>4317</v>
      </c>
      <c r="G399" s="37">
        <f t="shared" si="12"/>
        <v>27</v>
      </c>
      <c r="H399" s="37">
        <v>30</v>
      </c>
      <c r="I399" s="37">
        <v>36</v>
      </c>
      <c r="J399" s="37" t="str">
        <f t="shared" si="13"/>
        <v>OK</v>
      </c>
      <c r="K399" s="37" t="s">
        <v>4369</v>
      </c>
      <c r="L399" s="28"/>
    </row>
    <row r="400" spans="1:12">
      <c r="A400" s="37" t="s">
        <v>2739</v>
      </c>
      <c r="B400" s="37" t="s">
        <v>3676</v>
      </c>
      <c r="C400" s="37"/>
      <c r="D400" s="37" t="s">
        <v>391</v>
      </c>
      <c r="E400" s="30" t="str">
        <f>INDEX(목표문구!$G$1:$G$1000,MATCH($B400,목표문구!$A$1:$A$1000,0))</f>
        <v>저녁추천: 임연수/삼치</v>
      </c>
      <c r="F400" s="30" t="s">
        <v>4318</v>
      </c>
      <c r="G400" s="37">
        <f t="shared" si="12"/>
        <v>24</v>
      </c>
      <c r="H400" s="37">
        <v>30</v>
      </c>
      <c r="I400" s="37">
        <v>36</v>
      </c>
      <c r="J400" s="37" t="str">
        <f t="shared" si="13"/>
        <v>OK</v>
      </c>
      <c r="K400" s="37" t="s">
        <v>4369</v>
      </c>
      <c r="L400" s="28"/>
    </row>
    <row r="401" spans="1:12">
      <c r="A401" s="37" t="s">
        <v>2739</v>
      </c>
      <c r="B401" s="37" t="s">
        <v>3681</v>
      </c>
      <c r="C401" s="37"/>
      <c r="D401" s="37" t="s">
        <v>391</v>
      </c>
      <c r="E401" s="30" t="str">
        <f>INDEX(목표문구!$G$1:$G$1000,MATCH($B401,목표문구!$A$1:$A$1000,0))</f>
        <v>저녁추천: 닭구이/수육</v>
      </c>
      <c r="F401" s="30" t="s">
        <v>4319</v>
      </c>
      <c r="G401" s="37">
        <f t="shared" si="12"/>
        <v>31</v>
      </c>
      <c r="H401" s="37">
        <v>30</v>
      </c>
      <c r="I401" s="37">
        <v>36</v>
      </c>
      <c r="J401" s="37" t="str">
        <f t="shared" si="13"/>
        <v>길이 주의</v>
      </c>
      <c r="K401" s="37" t="s">
        <v>4369</v>
      </c>
      <c r="L401" s="28"/>
    </row>
    <row r="402" spans="1:12">
      <c r="A402" s="37" t="s">
        <v>2739</v>
      </c>
      <c r="B402" s="37" t="s">
        <v>3686</v>
      </c>
      <c r="C402" s="37"/>
      <c r="D402" s="37" t="s">
        <v>391</v>
      </c>
      <c r="E402" s="30" t="str">
        <f>INDEX(목표문구!$G$1:$G$1000,MATCH($B402,목표문구!$A$1:$A$1000,0))</f>
        <v>저녁추천: 새우/오징어</v>
      </c>
      <c r="F402" s="30" t="s">
        <v>4320</v>
      </c>
      <c r="G402" s="37">
        <f t="shared" si="12"/>
        <v>23</v>
      </c>
      <c r="H402" s="37">
        <v>30</v>
      </c>
      <c r="I402" s="37">
        <v>36</v>
      </c>
      <c r="J402" s="37" t="str">
        <f t="shared" si="13"/>
        <v>OK</v>
      </c>
      <c r="K402" s="37" t="s">
        <v>4369</v>
      </c>
      <c r="L402" s="28"/>
    </row>
    <row r="403" spans="1:12">
      <c r="A403" s="37" t="s">
        <v>2739</v>
      </c>
      <c r="B403" s="37" t="s">
        <v>3691</v>
      </c>
      <c r="C403" s="37"/>
      <c r="D403" s="37" t="s">
        <v>391</v>
      </c>
      <c r="E403" s="30" t="str">
        <f>INDEX(목표문구!$G$1:$G$1000,MATCH($B403,목표문구!$A$1:$A$1000,0))</f>
        <v>저녁추천: 살코기/생선</v>
      </c>
      <c r="F403" s="30" t="s">
        <v>4321</v>
      </c>
      <c r="G403" s="37">
        <f t="shared" si="12"/>
        <v>25</v>
      </c>
      <c r="H403" s="37">
        <v>30</v>
      </c>
      <c r="I403" s="37">
        <v>36</v>
      </c>
      <c r="J403" s="37" t="str">
        <f t="shared" si="13"/>
        <v>OK</v>
      </c>
      <c r="K403" s="37" t="s">
        <v>4369</v>
      </c>
      <c r="L403" s="28"/>
    </row>
    <row r="404" spans="1:12">
      <c r="A404" s="37" t="s">
        <v>2739</v>
      </c>
      <c r="B404" s="37" t="s">
        <v>3696</v>
      </c>
      <c r="C404" s="37"/>
      <c r="D404" s="37" t="s">
        <v>391</v>
      </c>
      <c r="E404" s="30" t="str">
        <f>INDEX(목표문구!$G$1:$G$1000,MATCH($B404,목표문구!$A$1:$A$1000,0))</f>
        <v>저녁추천: 조개/생선</v>
      </c>
      <c r="F404" s="30" t="s">
        <v>4322</v>
      </c>
      <c r="G404" s="37">
        <f t="shared" si="12"/>
        <v>21</v>
      </c>
      <c r="H404" s="37">
        <v>30</v>
      </c>
      <c r="I404" s="37">
        <v>36</v>
      </c>
      <c r="J404" s="37" t="str">
        <f t="shared" si="13"/>
        <v>OK</v>
      </c>
      <c r="K404" s="37" t="s">
        <v>4369</v>
      </c>
      <c r="L404" s="28"/>
    </row>
    <row r="405" spans="1:12">
      <c r="A405" s="37" t="s">
        <v>2739</v>
      </c>
      <c r="B405" s="37" t="s">
        <v>3701</v>
      </c>
      <c r="C405" s="37"/>
      <c r="D405" s="37" t="s">
        <v>391</v>
      </c>
      <c r="E405" s="30" t="str">
        <f>INDEX(목표문구!$G$1:$G$1000,MATCH($B405,목표문구!$A$1:$A$1000,0))</f>
        <v>저녁추천: 두부/닭찜</v>
      </c>
      <c r="F405" s="30" t="s">
        <v>4323</v>
      </c>
      <c r="G405" s="37">
        <f t="shared" si="12"/>
        <v>31</v>
      </c>
      <c r="H405" s="37">
        <v>30</v>
      </c>
      <c r="I405" s="37">
        <v>36</v>
      </c>
      <c r="J405" s="37" t="str">
        <f t="shared" si="13"/>
        <v>길이 주의</v>
      </c>
      <c r="K405" s="37" t="s">
        <v>4369</v>
      </c>
      <c r="L405" s="28"/>
    </row>
    <row r="406" spans="1:12">
      <c r="A406" s="37" t="s">
        <v>2739</v>
      </c>
      <c r="B406" s="37" t="s">
        <v>3706</v>
      </c>
      <c r="C406" s="37"/>
      <c r="D406" s="37" t="s">
        <v>391</v>
      </c>
      <c r="E406" s="30" t="str">
        <f>INDEX(목표문구!$G$1:$G$1000,MATCH($B406,목표문구!$A$1:$A$1000,0))</f>
        <v>저녁추천: 곤드레밥/쌈</v>
      </c>
      <c r="F406" s="30" t="s">
        <v>4324</v>
      </c>
      <c r="G406" s="37">
        <f t="shared" si="12"/>
        <v>27</v>
      </c>
      <c r="H406" s="37">
        <v>30</v>
      </c>
      <c r="I406" s="37">
        <v>36</v>
      </c>
      <c r="J406" s="37" t="str">
        <f t="shared" si="13"/>
        <v>OK</v>
      </c>
      <c r="K406" s="37" t="s">
        <v>4369</v>
      </c>
      <c r="L406" s="28"/>
    </row>
    <row r="407" spans="1:12">
      <c r="A407" s="37" t="s">
        <v>2739</v>
      </c>
      <c r="B407" s="37" t="s">
        <v>3711</v>
      </c>
      <c r="C407" s="37"/>
      <c r="D407" s="37" t="s">
        <v>391</v>
      </c>
      <c r="E407" s="30" t="str">
        <f>INDEX(목표문구!$G$1:$G$1000,MATCH($B407,목표문구!$A$1:$A$1000,0))</f>
        <v>저녁추천: 버섯밥/쌈</v>
      </c>
      <c r="F407" s="30" t="s">
        <v>4325</v>
      </c>
      <c r="G407" s="37">
        <f t="shared" si="12"/>
        <v>29</v>
      </c>
      <c r="H407" s="37">
        <v>30</v>
      </c>
      <c r="I407" s="37">
        <v>36</v>
      </c>
      <c r="J407" s="37" t="str">
        <f t="shared" si="13"/>
        <v>OK</v>
      </c>
      <c r="K407" s="37" t="s">
        <v>4369</v>
      </c>
      <c r="L407" s="28"/>
    </row>
    <row r="408" spans="1:12">
      <c r="A408" s="37" t="s">
        <v>2739</v>
      </c>
      <c r="B408" s="37" t="s">
        <v>3716</v>
      </c>
      <c r="C408" s="37"/>
      <c r="D408" s="37" t="s">
        <v>391</v>
      </c>
      <c r="E408" s="30" t="str">
        <f>INDEX(목표문구!$G$1:$G$1000,MATCH($B408,목표문구!$A$1:$A$1000,0))</f>
        <v>저녁추천: 가지/호박</v>
      </c>
      <c r="F408" s="30" t="s">
        <v>4326</v>
      </c>
      <c r="G408" s="37">
        <f t="shared" si="12"/>
        <v>28</v>
      </c>
      <c r="H408" s="37">
        <v>30</v>
      </c>
      <c r="I408" s="37">
        <v>36</v>
      </c>
      <c r="J408" s="37" t="str">
        <f t="shared" si="13"/>
        <v>OK</v>
      </c>
      <c r="K408" s="37" t="s">
        <v>4369</v>
      </c>
      <c r="L408" s="28"/>
    </row>
    <row r="409" spans="1:12">
      <c r="A409" s="37" t="s">
        <v>2739</v>
      </c>
      <c r="B409" s="37" t="s">
        <v>3721</v>
      </c>
      <c r="C409" s="37"/>
      <c r="D409" s="37" t="s">
        <v>391</v>
      </c>
      <c r="E409" s="30" t="str">
        <f>INDEX(목표문구!$G$1:$G$1000,MATCH($B409,목표문구!$A$1:$A$1000,0))</f>
        <v>연어샐러드+1/2소스</v>
      </c>
      <c r="F409" s="30" t="s">
        <v>4327</v>
      </c>
      <c r="G409" s="37">
        <f t="shared" si="12"/>
        <v>27</v>
      </c>
      <c r="H409" s="37">
        <v>30</v>
      </c>
      <c r="I409" s="37">
        <v>36</v>
      </c>
      <c r="J409" s="37" t="str">
        <f t="shared" si="13"/>
        <v>OK</v>
      </c>
      <c r="K409" s="37" t="s">
        <v>4369</v>
      </c>
      <c r="L409" s="28"/>
    </row>
    <row r="410" spans="1:12">
      <c r="A410" s="37" t="s">
        <v>2739</v>
      </c>
      <c r="B410" s="37" t="s">
        <v>3726</v>
      </c>
      <c r="C410" s="37"/>
      <c r="D410" s="37" t="s">
        <v>391</v>
      </c>
      <c r="E410" s="30" t="str">
        <f>INDEX(목표문구!$G$1:$G$1000,MATCH($B410,목표문구!$A$1:$A$1000,0))</f>
        <v>저녁추천: 청경채/버섯</v>
      </c>
      <c r="F410" s="30" t="s">
        <v>4328</v>
      </c>
      <c r="G410" s="37">
        <f t="shared" si="12"/>
        <v>29</v>
      </c>
      <c r="H410" s="37">
        <v>30</v>
      </c>
      <c r="I410" s="37">
        <v>36</v>
      </c>
      <c r="J410" s="37" t="str">
        <f t="shared" si="13"/>
        <v>OK</v>
      </c>
      <c r="K410" s="37" t="s">
        <v>4369</v>
      </c>
      <c r="L410" s="28"/>
    </row>
    <row r="411" spans="1:12">
      <c r="A411" s="37" t="s">
        <v>2739</v>
      </c>
      <c r="B411" s="37" t="s">
        <v>3731</v>
      </c>
      <c r="C411" s="37"/>
      <c r="D411" s="37" t="s">
        <v>391</v>
      </c>
      <c r="E411" s="30" t="str">
        <f>INDEX(목표문구!$G$1:$G$1000,MATCH($B411,목표문구!$A$1:$A$1000,0))</f>
        <v>저녁추천: 브로콜리/쌈</v>
      </c>
      <c r="F411" s="30" t="s">
        <v>4329</v>
      </c>
      <c r="G411" s="37">
        <f t="shared" si="12"/>
        <v>25</v>
      </c>
      <c r="H411" s="37">
        <v>30</v>
      </c>
      <c r="I411" s="37">
        <v>36</v>
      </c>
      <c r="J411" s="37" t="str">
        <f t="shared" si="13"/>
        <v>OK</v>
      </c>
      <c r="K411" s="37" t="s">
        <v>4369</v>
      </c>
      <c r="L411" s="28"/>
    </row>
    <row r="412" spans="1:12">
      <c r="A412" s="37" t="s">
        <v>2739</v>
      </c>
      <c r="B412" s="37" t="s">
        <v>3736</v>
      </c>
      <c r="C412" s="37"/>
      <c r="D412" s="37" t="s">
        <v>391</v>
      </c>
      <c r="E412" s="30" t="str">
        <f>INDEX(목표문구!$G$1:$G$1000,MATCH($B412,목표문구!$A$1:$A$1000,0))</f>
        <v>저녁추천: 양배추/나물</v>
      </c>
      <c r="F412" s="30" t="s">
        <v>4330</v>
      </c>
      <c r="G412" s="37">
        <f t="shared" si="12"/>
        <v>25</v>
      </c>
      <c r="H412" s="37">
        <v>30</v>
      </c>
      <c r="I412" s="37">
        <v>36</v>
      </c>
      <c r="J412" s="37" t="str">
        <f t="shared" si="13"/>
        <v>OK</v>
      </c>
      <c r="K412" s="37" t="s">
        <v>4369</v>
      </c>
      <c r="L412" s="28"/>
    </row>
    <row r="413" spans="1:12">
      <c r="A413" s="37" t="s">
        <v>2739</v>
      </c>
      <c r="B413" s="37" t="s">
        <v>3741</v>
      </c>
      <c r="C413" s="37"/>
      <c r="D413" s="37" t="s">
        <v>391</v>
      </c>
      <c r="E413" s="30" t="str">
        <f>INDEX(목표문구!$G$1:$G$1000,MATCH($B413,목표문구!$A$1:$A$1000,0))</f>
        <v>저녁추천: 미나리/숙주</v>
      </c>
      <c r="F413" s="30" t="s">
        <v>4331</v>
      </c>
      <c r="G413" s="37">
        <f t="shared" si="12"/>
        <v>32</v>
      </c>
      <c r="H413" s="37">
        <v>30</v>
      </c>
      <c r="I413" s="37">
        <v>36</v>
      </c>
      <c r="J413" s="37" t="str">
        <f t="shared" si="13"/>
        <v>길이 주의</v>
      </c>
      <c r="K413" s="37" t="s">
        <v>4369</v>
      </c>
      <c r="L413" s="28"/>
    </row>
    <row r="414" spans="1:12">
      <c r="A414" s="37" t="s">
        <v>2739</v>
      </c>
      <c r="B414" s="37" t="s">
        <v>3746</v>
      </c>
      <c r="C414" s="37"/>
      <c r="D414" s="37" t="s">
        <v>391</v>
      </c>
      <c r="E414" s="30" t="str">
        <f>INDEX(목표문구!$G$1:$G$1000,MATCH($B414,목표문구!$A$1:$A$1000,0))</f>
        <v>저녁추천: 상추쌈/나물</v>
      </c>
      <c r="F414" s="30" t="s">
        <v>4332</v>
      </c>
      <c r="G414" s="37">
        <f t="shared" ref="G414:G448" si="14">LEN(F414)</f>
        <v>30</v>
      </c>
      <c r="H414" s="37">
        <v>30</v>
      </c>
      <c r="I414" s="37">
        <v>36</v>
      </c>
      <c r="J414" s="37" t="str">
        <f t="shared" ref="J414:J448" si="15">IF(F414="","비어 있음",IF(G414&lt;=H414,"OK",IF(G414&lt;=I414,"길이 주의","상한 초과")))</f>
        <v>OK</v>
      </c>
      <c r="K414" s="37" t="s">
        <v>4369</v>
      </c>
      <c r="L414" s="28"/>
    </row>
    <row r="415" spans="1:12">
      <c r="A415" s="37" t="s">
        <v>2739</v>
      </c>
      <c r="B415" s="37" t="s">
        <v>3751</v>
      </c>
      <c r="C415" s="37"/>
      <c r="D415" s="37" t="s">
        <v>391</v>
      </c>
      <c r="E415" s="30" t="str">
        <f>INDEX(목표문구!$G$1:$G$1000,MATCH($B415,목표문구!$A$1:$A$1000,0))</f>
        <v>저녁추천: 생선/두부찜</v>
      </c>
      <c r="F415" s="30" t="s">
        <v>4333</v>
      </c>
      <c r="G415" s="37">
        <f t="shared" si="14"/>
        <v>28</v>
      </c>
      <c r="H415" s="37">
        <v>30</v>
      </c>
      <c r="I415" s="37">
        <v>36</v>
      </c>
      <c r="J415" s="37" t="str">
        <f t="shared" si="15"/>
        <v>OK</v>
      </c>
      <c r="K415" s="37" t="s">
        <v>4369</v>
      </c>
      <c r="L415" s="28"/>
    </row>
    <row r="416" spans="1:12">
      <c r="A416" s="37" t="s">
        <v>2739</v>
      </c>
      <c r="B416" s="37" t="s">
        <v>3756</v>
      </c>
      <c r="C416" s="37"/>
      <c r="D416" s="37" t="s">
        <v>391</v>
      </c>
      <c r="E416" s="30" t="str">
        <f>INDEX(목표문구!$G$1:$G$1000,MATCH($B416,목표문구!$A$1:$A$1000,0))</f>
        <v>저녁추천: 생채소/쌈</v>
      </c>
      <c r="F416" s="30" t="s">
        <v>4334</v>
      </c>
      <c r="G416" s="37">
        <f t="shared" si="14"/>
        <v>26</v>
      </c>
      <c r="H416" s="37">
        <v>30</v>
      </c>
      <c r="I416" s="37">
        <v>36</v>
      </c>
      <c r="J416" s="37" t="str">
        <f t="shared" si="15"/>
        <v>OK</v>
      </c>
      <c r="K416" s="37" t="s">
        <v>4369</v>
      </c>
      <c r="L416" s="28"/>
    </row>
    <row r="417" spans="1:12">
      <c r="A417" s="37" t="s">
        <v>2739</v>
      </c>
      <c r="B417" s="37" t="s">
        <v>3761</v>
      </c>
      <c r="C417" s="37"/>
      <c r="D417" s="37" t="s">
        <v>391</v>
      </c>
      <c r="E417" s="30" t="str">
        <f>INDEX(목표문구!$G$1:$G$1000,MATCH($B417,목표문구!$A$1:$A$1000,0))</f>
        <v>저녁추천: 생선찜/구이</v>
      </c>
      <c r="F417" s="30" t="s">
        <v>4335</v>
      </c>
      <c r="G417" s="37">
        <f t="shared" si="14"/>
        <v>31</v>
      </c>
      <c r="H417" s="37">
        <v>30</v>
      </c>
      <c r="I417" s="37">
        <v>36</v>
      </c>
      <c r="J417" s="37" t="str">
        <f t="shared" si="15"/>
        <v>길이 주의</v>
      </c>
      <c r="K417" s="37" t="s">
        <v>4369</v>
      </c>
      <c r="L417" s="28"/>
    </row>
    <row r="418" spans="1:12">
      <c r="A418" s="37" t="s">
        <v>2739</v>
      </c>
      <c r="B418" s="37" t="s">
        <v>3766</v>
      </c>
      <c r="C418" s="37"/>
      <c r="D418" s="37" t="s">
        <v>391</v>
      </c>
      <c r="E418" s="30" t="str">
        <f>INDEX(목표문구!$G$1:$G$1000,MATCH($B418,목표문구!$A$1:$A$1000,0))</f>
        <v>저녁추천: 보리밥/쌈밥</v>
      </c>
      <c r="F418" s="30" t="s">
        <v>4336</v>
      </c>
      <c r="G418" s="37">
        <f t="shared" si="14"/>
        <v>27</v>
      </c>
      <c r="H418" s="37">
        <v>30</v>
      </c>
      <c r="I418" s="37">
        <v>36</v>
      </c>
      <c r="J418" s="37" t="str">
        <f t="shared" si="15"/>
        <v>OK</v>
      </c>
      <c r="K418" s="37" t="s">
        <v>4369</v>
      </c>
      <c r="L418" s="28"/>
    </row>
    <row r="419" spans="1:12">
      <c r="A419" s="37" t="s">
        <v>2739</v>
      </c>
      <c r="B419" s="37" t="s">
        <v>3771</v>
      </c>
      <c r="C419" s="37"/>
      <c r="D419" s="37" t="s">
        <v>391</v>
      </c>
      <c r="E419" s="30" t="str">
        <f>INDEX(목표문구!$G$1:$G$1000,MATCH($B419,목표문구!$A$1:$A$1000,0))</f>
        <v>아침추천: 감자+요거트</v>
      </c>
      <c r="F419" s="30" t="s">
        <v>4337</v>
      </c>
      <c r="G419" s="37">
        <f t="shared" si="14"/>
        <v>26</v>
      </c>
      <c r="H419" s="37">
        <v>30</v>
      </c>
      <c r="I419" s="37">
        <v>36</v>
      </c>
      <c r="J419" s="37" t="str">
        <f t="shared" si="15"/>
        <v>OK</v>
      </c>
      <c r="K419" s="37" t="s">
        <v>4369</v>
      </c>
      <c r="L419" s="28"/>
    </row>
    <row r="420" spans="1:12">
      <c r="A420" s="37" t="s">
        <v>2739</v>
      </c>
      <c r="B420" s="37" t="s">
        <v>3776</v>
      </c>
      <c r="C420" s="37"/>
      <c r="D420" s="37" t="s">
        <v>391</v>
      </c>
      <c r="E420" s="30" t="str">
        <f>INDEX(목표문구!$G$1:$G$1000,MATCH($B420,목표문구!$A$1:$A$1000,0))</f>
        <v>아침추천: 통밀빵+채소</v>
      </c>
      <c r="F420" s="30" t="s">
        <v>4338</v>
      </c>
      <c r="G420" s="37">
        <f t="shared" si="14"/>
        <v>32</v>
      </c>
      <c r="H420" s="37">
        <v>30</v>
      </c>
      <c r="I420" s="37">
        <v>36</v>
      </c>
      <c r="J420" s="37" t="str">
        <f t="shared" si="15"/>
        <v>길이 주의</v>
      </c>
      <c r="K420" s="37" t="s">
        <v>4369</v>
      </c>
      <c r="L420" s="28"/>
    </row>
    <row r="421" spans="1:12">
      <c r="A421" s="37" t="s">
        <v>2739</v>
      </c>
      <c r="B421" s="37" t="s">
        <v>3781</v>
      </c>
      <c r="C421" s="37"/>
      <c r="D421" s="37" t="s">
        <v>391</v>
      </c>
      <c r="E421" s="30" t="str">
        <f>INDEX(목표문구!$G$1:$G$1000,MATCH($B421,목표문구!$A$1:$A$1000,0))</f>
        <v>아침추천: 단호박+우유</v>
      </c>
      <c r="F421" s="30" t="s">
        <v>4339</v>
      </c>
      <c r="G421" s="37">
        <f t="shared" si="14"/>
        <v>24</v>
      </c>
      <c r="H421" s="37">
        <v>30</v>
      </c>
      <c r="I421" s="37">
        <v>36</v>
      </c>
      <c r="J421" s="37" t="str">
        <f t="shared" si="15"/>
        <v>OK</v>
      </c>
      <c r="K421" s="37" t="s">
        <v>4369</v>
      </c>
      <c r="L421" s="28"/>
    </row>
    <row r="422" spans="1:12">
      <c r="A422" s="37" t="s">
        <v>2739</v>
      </c>
      <c r="B422" s="37" t="s">
        <v>3786</v>
      </c>
      <c r="C422" s="37"/>
      <c r="D422" s="37" t="s">
        <v>391</v>
      </c>
      <c r="E422" s="30" t="str">
        <f>INDEX(목표문구!$G$1:$G$1000,MATCH($B422,목표문구!$A$1:$A$1000,0))</f>
        <v>아침추천: 흑미밥+나물</v>
      </c>
      <c r="F422" s="30" t="s">
        <v>4340</v>
      </c>
      <c r="G422" s="37">
        <f t="shared" si="14"/>
        <v>30</v>
      </c>
      <c r="H422" s="37">
        <v>30</v>
      </c>
      <c r="I422" s="37">
        <v>36</v>
      </c>
      <c r="J422" s="37" t="str">
        <f t="shared" si="15"/>
        <v>OK</v>
      </c>
      <c r="K422" s="37" t="s">
        <v>4369</v>
      </c>
      <c r="L422" s="28"/>
    </row>
    <row r="423" spans="1:12">
      <c r="A423" s="37" t="s">
        <v>2739</v>
      </c>
      <c r="B423" s="37" t="s">
        <v>3791</v>
      </c>
      <c r="C423" s="37"/>
      <c r="D423" s="37" t="s">
        <v>391</v>
      </c>
      <c r="E423" s="30" t="str">
        <f>INDEX(목표문구!$G$1:$G$1000,MATCH($B423,목표문구!$A$1:$A$1000,0))</f>
        <v>아침추천: 시금치/쌈</v>
      </c>
      <c r="F423" s="30" t="s">
        <v>4341</v>
      </c>
      <c r="G423" s="37">
        <f t="shared" si="14"/>
        <v>27</v>
      </c>
      <c r="H423" s="37">
        <v>30</v>
      </c>
      <c r="I423" s="37">
        <v>36</v>
      </c>
      <c r="J423" s="37" t="str">
        <f t="shared" si="15"/>
        <v>OK</v>
      </c>
      <c r="K423" s="37" t="s">
        <v>4369</v>
      </c>
      <c r="L423" s="28"/>
    </row>
    <row r="424" spans="1:12">
      <c r="A424" s="37" t="s">
        <v>2739</v>
      </c>
      <c r="B424" s="37" t="s">
        <v>3796</v>
      </c>
      <c r="C424" s="37"/>
      <c r="D424" s="37" t="s">
        <v>391</v>
      </c>
      <c r="E424" s="30" t="str">
        <f>INDEX(목표문구!$G$1:$G$1000,MATCH($B424,목표문구!$A$1:$A$1000,0))</f>
        <v>양배추샐러드+1/2소스</v>
      </c>
      <c r="F424" s="30" t="s">
        <v>4342</v>
      </c>
      <c r="G424" s="37">
        <f t="shared" si="14"/>
        <v>28</v>
      </c>
      <c r="H424" s="37">
        <v>30</v>
      </c>
      <c r="I424" s="37">
        <v>36</v>
      </c>
      <c r="J424" s="37" t="str">
        <f t="shared" si="15"/>
        <v>OK</v>
      </c>
      <c r="K424" s="37" t="s">
        <v>4369</v>
      </c>
      <c r="L424" s="28"/>
    </row>
    <row r="425" spans="1:12">
      <c r="A425" s="37" t="s">
        <v>2739</v>
      </c>
      <c r="B425" s="37" t="s">
        <v>3801</v>
      </c>
      <c r="C425" s="37"/>
      <c r="D425" s="37" t="s">
        <v>391</v>
      </c>
      <c r="E425" s="30" t="str">
        <f>INDEX(목표문구!$G$1:$G$1000,MATCH($B425,목표문구!$A$1:$A$1000,0))</f>
        <v>아침추천: 비빔밥/나물</v>
      </c>
      <c r="F425" s="30" t="s">
        <v>4343</v>
      </c>
      <c r="G425" s="37">
        <f t="shared" si="14"/>
        <v>29</v>
      </c>
      <c r="H425" s="37">
        <v>30</v>
      </c>
      <c r="I425" s="37">
        <v>36</v>
      </c>
      <c r="J425" s="37" t="str">
        <f t="shared" si="15"/>
        <v>OK</v>
      </c>
      <c r="K425" s="37" t="s">
        <v>4369</v>
      </c>
      <c r="L425" s="28"/>
    </row>
    <row r="426" spans="1:12">
      <c r="A426" s="37" t="s">
        <v>2739</v>
      </c>
      <c r="B426" s="37" t="s">
        <v>3806</v>
      </c>
      <c r="C426" s="37"/>
      <c r="D426" s="37" t="s">
        <v>391</v>
      </c>
      <c r="E426" s="30" t="str">
        <f>INDEX(목표문구!$G$1:$G$1000,MATCH($B426,목표문구!$A$1:$A$1000,0))</f>
        <v>아침추천: 요거트/두유</v>
      </c>
      <c r="F426" s="30" t="s">
        <v>4344</v>
      </c>
      <c r="G426" s="37">
        <f t="shared" si="14"/>
        <v>29</v>
      </c>
      <c r="H426" s="37">
        <v>30</v>
      </c>
      <c r="I426" s="37">
        <v>36</v>
      </c>
      <c r="J426" s="37" t="str">
        <f t="shared" si="15"/>
        <v>OK</v>
      </c>
      <c r="K426" s="37" t="s">
        <v>4369</v>
      </c>
      <c r="L426" s="28"/>
    </row>
    <row r="427" spans="1:12">
      <c r="A427" s="37" t="s">
        <v>2739</v>
      </c>
      <c r="B427" s="37" t="s">
        <v>3811</v>
      </c>
      <c r="C427" s="37"/>
      <c r="D427" s="37" t="s">
        <v>391</v>
      </c>
      <c r="E427" s="30" t="str">
        <f>INDEX(목표문구!$G$1:$G$1000,MATCH($B427,목표문구!$A$1:$A$1000,0))</f>
        <v>아침추천: 우유/요거트</v>
      </c>
      <c r="F427" s="30" t="s">
        <v>4345</v>
      </c>
      <c r="G427" s="37">
        <f t="shared" si="14"/>
        <v>25</v>
      </c>
      <c r="H427" s="37">
        <v>30</v>
      </c>
      <c r="I427" s="37">
        <v>36</v>
      </c>
      <c r="J427" s="37" t="str">
        <f t="shared" si="15"/>
        <v>OK</v>
      </c>
      <c r="K427" s="37" t="s">
        <v>4369</v>
      </c>
      <c r="L427" s="28"/>
    </row>
    <row r="428" spans="1:12">
      <c r="A428" s="37" t="s">
        <v>2739</v>
      </c>
      <c r="B428" s="37" t="s">
        <v>3816</v>
      </c>
      <c r="C428" s="37"/>
      <c r="D428" s="37" t="s">
        <v>391</v>
      </c>
      <c r="E428" s="30" t="str">
        <f>INDEX(목표문구!$G$1:$G$1000,MATCH($B428,목표문구!$A$1:$A$1000,0))</f>
        <v>아침추천: 닭안심/두유</v>
      </c>
      <c r="F428" s="30" t="s">
        <v>4346</v>
      </c>
      <c r="G428" s="37">
        <f t="shared" si="14"/>
        <v>30</v>
      </c>
      <c r="H428" s="37">
        <v>30</v>
      </c>
      <c r="I428" s="37">
        <v>36</v>
      </c>
      <c r="J428" s="37" t="str">
        <f t="shared" si="15"/>
        <v>OK</v>
      </c>
      <c r="K428" s="37" t="s">
        <v>4369</v>
      </c>
      <c r="L428" s="28"/>
    </row>
    <row r="429" spans="1:12">
      <c r="A429" s="37" t="s">
        <v>2739</v>
      </c>
      <c r="B429" s="37" t="s">
        <v>3821</v>
      </c>
      <c r="C429" s="37"/>
      <c r="D429" s="37" t="s">
        <v>391</v>
      </c>
      <c r="E429" s="30" t="str">
        <f>INDEX(목표문구!$G$1:$G$1000,MATCH($B429,목표문구!$A$1:$A$1000,0))</f>
        <v>아침추천: 생선/두부</v>
      </c>
      <c r="F429" s="30" t="s">
        <v>4347</v>
      </c>
      <c r="G429" s="37">
        <f t="shared" si="14"/>
        <v>23</v>
      </c>
      <c r="H429" s="37">
        <v>30</v>
      </c>
      <c r="I429" s="37">
        <v>36</v>
      </c>
      <c r="J429" s="37" t="str">
        <f t="shared" si="15"/>
        <v>OK</v>
      </c>
      <c r="K429" s="37" t="s">
        <v>4369</v>
      </c>
      <c r="L429" s="28"/>
    </row>
    <row r="430" spans="1:12">
      <c r="A430" s="37" t="s">
        <v>2739</v>
      </c>
      <c r="B430" s="37" t="s">
        <v>3826</v>
      </c>
      <c r="C430" s="37"/>
      <c r="D430" s="37" t="s">
        <v>391</v>
      </c>
      <c r="E430" s="30" t="str">
        <f>INDEX(목표문구!$G$1:$G$1000,MATCH($B430,목표문구!$A$1:$A$1000,0))</f>
        <v>아침추천: 생선찜/두부</v>
      </c>
      <c r="F430" s="30" t="s">
        <v>4348</v>
      </c>
      <c r="G430" s="37">
        <f t="shared" si="14"/>
        <v>31</v>
      </c>
      <c r="H430" s="37">
        <v>30</v>
      </c>
      <c r="I430" s="37">
        <v>36</v>
      </c>
      <c r="J430" s="37" t="str">
        <f t="shared" si="15"/>
        <v>길이 주의</v>
      </c>
      <c r="K430" s="37" t="s">
        <v>4369</v>
      </c>
      <c r="L430" s="28"/>
    </row>
    <row r="431" spans="1:12">
      <c r="A431" s="37" t="s">
        <v>2739</v>
      </c>
      <c r="B431" s="37" t="s">
        <v>3831</v>
      </c>
      <c r="C431" s="37"/>
      <c r="D431" s="37" t="s">
        <v>391</v>
      </c>
      <c r="E431" s="30" t="str">
        <f>INDEX(목표문구!$G$1:$G$1000,MATCH($B431,목표문구!$A$1:$A$1000,0))</f>
        <v>아침추천: 오이/생채</v>
      </c>
      <c r="F431" s="30" t="s">
        <v>4349</v>
      </c>
      <c r="G431" s="37">
        <f t="shared" si="14"/>
        <v>27</v>
      </c>
      <c r="H431" s="37">
        <v>30</v>
      </c>
      <c r="I431" s="37">
        <v>36</v>
      </c>
      <c r="J431" s="37" t="str">
        <f t="shared" si="15"/>
        <v>OK</v>
      </c>
      <c r="K431" s="37" t="s">
        <v>4369</v>
      </c>
      <c r="L431" s="28"/>
    </row>
    <row r="432" spans="1:12">
      <c r="A432" s="37" t="s">
        <v>2739</v>
      </c>
      <c r="B432" s="37" t="s">
        <v>3836</v>
      </c>
      <c r="C432" s="37"/>
      <c r="D432" s="37" t="s">
        <v>391</v>
      </c>
      <c r="E432" s="30" t="str">
        <f>INDEX(목표문구!$G$1:$G$1000,MATCH($B432,목표문구!$A$1:$A$1000,0))</f>
        <v>아침추천: 무생채/나물</v>
      </c>
      <c r="F432" s="30" t="s">
        <v>4350</v>
      </c>
      <c r="G432" s="37">
        <f t="shared" si="14"/>
        <v>32</v>
      </c>
      <c r="H432" s="37">
        <v>30</v>
      </c>
      <c r="I432" s="37">
        <v>36</v>
      </c>
      <c r="J432" s="37" t="str">
        <f t="shared" si="15"/>
        <v>길이 주의</v>
      </c>
      <c r="K432" s="37" t="s">
        <v>4369</v>
      </c>
      <c r="L432" s="28"/>
    </row>
    <row r="433" spans="1:12">
      <c r="A433" s="37" t="s">
        <v>2739</v>
      </c>
      <c r="B433" s="37" t="s">
        <v>3841</v>
      </c>
      <c r="C433" s="37"/>
      <c r="D433" s="37" t="s">
        <v>391</v>
      </c>
      <c r="E433" s="30" t="str">
        <f>INDEX(목표문구!$G$1:$G$1000,MATCH($B433,목표문구!$A$1:$A$1000,0))</f>
        <v>아침추천: 옥수수+두유</v>
      </c>
      <c r="F433" s="30" t="s">
        <v>4351</v>
      </c>
      <c r="G433" s="37">
        <f t="shared" si="14"/>
        <v>26</v>
      </c>
      <c r="H433" s="37">
        <v>30</v>
      </c>
      <c r="I433" s="37">
        <v>36</v>
      </c>
      <c r="J433" s="37" t="str">
        <f t="shared" si="15"/>
        <v>OK</v>
      </c>
      <c r="K433" s="37" t="s">
        <v>4369</v>
      </c>
      <c r="L433" s="28"/>
    </row>
    <row r="434" spans="1:12">
      <c r="A434" s="37" t="s">
        <v>2739</v>
      </c>
      <c r="B434" s="37" t="s">
        <v>3846</v>
      </c>
      <c r="C434" s="37"/>
      <c r="D434" s="37" t="s">
        <v>391</v>
      </c>
      <c r="E434" s="30" t="str">
        <f>INDEX(목표문구!$G$1:$G$1000,MATCH($B434,목표문구!$A$1:$A$1000,0))</f>
        <v>아침추천: 보리밥+나물</v>
      </c>
      <c r="F434" s="30" t="s">
        <v>4352</v>
      </c>
      <c r="G434" s="37">
        <f t="shared" si="14"/>
        <v>31</v>
      </c>
      <c r="H434" s="37">
        <v>30</v>
      </c>
      <c r="I434" s="37">
        <v>36</v>
      </c>
      <c r="J434" s="37" t="str">
        <f t="shared" si="15"/>
        <v>길이 주의</v>
      </c>
      <c r="K434" s="37" t="s">
        <v>4369</v>
      </c>
      <c r="L434" s="28"/>
    </row>
    <row r="435" spans="1:12">
      <c r="A435" s="37" t="s">
        <v>2739</v>
      </c>
      <c r="B435" s="37" t="s">
        <v>3851</v>
      </c>
      <c r="C435" s="37"/>
      <c r="D435" s="37" t="s">
        <v>391</v>
      </c>
      <c r="E435" s="30" t="str">
        <f>INDEX(목표문구!$G$1:$G$1000,MATCH($B435,목표문구!$A$1:$A$1000,0))</f>
        <v>아침추천: 콩나물/쌈</v>
      </c>
      <c r="F435" s="30" t="s">
        <v>4353</v>
      </c>
      <c r="G435" s="37">
        <f t="shared" si="14"/>
        <v>27</v>
      </c>
      <c r="H435" s="37">
        <v>30</v>
      </c>
      <c r="I435" s="37">
        <v>36</v>
      </c>
      <c r="J435" s="37" t="str">
        <f t="shared" si="15"/>
        <v>OK</v>
      </c>
      <c r="K435" s="37" t="s">
        <v>4369</v>
      </c>
      <c r="L435" s="28"/>
    </row>
    <row r="436" spans="1:12">
      <c r="A436" s="37" t="s">
        <v>2739</v>
      </c>
      <c r="B436" s="37" t="s">
        <v>3856</v>
      </c>
      <c r="C436" s="37"/>
      <c r="D436" s="37" t="s">
        <v>391</v>
      </c>
      <c r="E436" s="30" t="str">
        <f>INDEX(목표문구!$G$1:$G$1000,MATCH($B436,목표문구!$A$1:$A$1000,0))</f>
        <v>아침추천: 호박/나물</v>
      </c>
      <c r="F436" s="30" t="s">
        <v>4354</v>
      </c>
      <c r="G436" s="37">
        <f t="shared" si="14"/>
        <v>27</v>
      </c>
      <c r="H436" s="37">
        <v>30</v>
      </c>
      <c r="I436" s="37">
        <v>36</v>
      </c>
      <c r="J436" s="37" t="str">
        <f t="shared" si="15"/>
        <v>OK</v>
      </c>
      <c r="K436" s="37" t="s">
        <v>4369</v>
      </c>
      <c r="L436" s="28"/>
    </row>
    <row r="437" spans="1:12">
      <c r="A437" s="37" t="s">
        <v>2739</v>
      </c>
      <c r="B437" s="37" t="s">
        <v>3861</v>
      </c>
      <c r="C437" s="37"/>
      <c r="D437" s="37" t="s">
        <v>391</v>
      </c>
      <c r="E437" s="30" t="str">
        <f>INDEX(목표문구!$G$1:$G$1000,MATCH($B437,목표문구!$A$1:$A$1000,0))</f>
        <v>아침추천: 양배추/오이</v>
      </c>
      <c r="F437" s="30" t="s">
        <v>4355</v>
      </c>
      <c r="G437" s="37">
        <f t="shared" si="14"/>
        <v>30</v>
      </c>
      <c r="H437" s="37">
        <v>30</v>
      </c>
      <c r="I437" s="37">
        <v>36</v>
      </c>
      <c r="J437" s="37" t="str">
        <f t="shared" si="15"/>
        <v>OK</v>
      </c>
      <c r="K437" s="37" t="s">
        <v>4369</v>
      </c>
      <c r="L437" s="28"/>
    </row>
    <row r="438" spans="1:12">
      <c r="A438" s="37" t="s">
        <v>2739</v>
      </c>
      <c r="B438" s="37" t="s">
        <v>3866</v>
      </c>
      <c r="C438" s="37"/>
      <c r="D438" s="37" t="s">
        <v>391</v>
      </c>
      <c r="E438" s="30" t="str">
        <f>INDEX(목표문구!$G$1:$G$1000,MATCH($B438,목표문구!$A$1:$A$1000,0))</f>
        <v>아침추천: 요거트/두부</v>
      </c>
      <c r="F438" s="30" t="s">
        <v>4356</v>
      </c>
      <c r="G438" s="37">
        <f t="shared" si="14"/>
        <v>25</v>
      </c>
      <c r="H438" s="37">
        <v>30</v>
      </c>
      <c r="I438" s="37">
        <v>36</v>
      </c>
      <c r="J438" s="37" t="str">
        <f t="shared" si="15"/>
        <v>OK</v>
      </c>
      <c r="K438" s="37" t="s">
        <v>4369</v>
      </c>
      <c r="L438" s="28"/>
    </row>
    <row r="439" spans="1:12">
      <c r="A439" s="37" t="s">
        <v>2739</v>
      </c>
      <c r="B439" s="37" t="s">
        <v>3871</v>
      </c>
      <c r="C439" s="37"/>
      <c r="D439" s="37" t="s">
        <v>391</v>
      </c>
      <c r="E439" s="30" t="str">
        <f>INDEX(목표문구!$G$1:$G$1000,MATCH($B439,목표문구!$A$1:$A$1000,0))</f>
        <v>아침추천: 순두부/우유</v>
      </c>
      <c r="F439" s="30" t="s">
        <v>4357</v>
      </c>
      <c r="G439" s="37">
        <f t="shared" si="14"/>
        <v>28</v>
      </c>
      <c r="H439" s="37">
        <v>30</v>
      </c>
      <c r="I439" s="37">
        <v>36</v>
      </c>
      <c r="J439" s="37" t="str">
        <f t="shared" si="15"/>
        <v>OK</v>
      </c>
      <c r="K439" s="37" t="s">
        <v>4369</v>
      </c>
      <c r="L439" s="28"/>
    </row>
    <row r="440" spans="1:12">
      <c r="A440" s="37" t="s">
        <v>2739</v>
      </c>
      <c r="B440" s="37" t="s">
        <v>3876</v>
      </c>
      <c r="C440" s="37"/>
      <c r="D440" s="37" t="s">
        <v>391</v>
      </c>
      <c r="E440" s="30" t="str">
        <f>INDEX(목표문구!$G$1:$G$1000,MATCH($B440,목표문구!$A$1:$A$1000,0))</f>
        <v>아침추천: 닭안심/두부</v>
      </c>
      <c r="F440" s="30" t="s">
        <v>4358</v>
      </c>
      <c r="G440" s="37">
        <f t="shared" si="14"/>
        <v>26</v>
      </c>
      <c r="H440" s="37">
        <v>30</v>
      </c>
      <c r="I440" s="37">
        <v>36</v>
      </c>
      <c r="J440" s="37" t="str">
        <f t="shared" si="15"/>
        <v>OK</v>
      </c>
      <c r="K440" s="37" t="s">
        <v>4369</v>
      </c>
      <c r="L440" s="28"/>
    </row>
    <row r="441" spans="1:12">
      <c r="A441" s="37" t="s">
        <v>2739</v>
      </c>
      <c r="B441" s="37" t="s">
        <v>3880</v>
      </c>
      <c r="C441" s="37"/>
      <c r="D441" s="37" t="s">
        <v>391</v>
      </c>
      <c r="E441" s="30" t="str">
        <f>INDEX(목표문구!$G$1:$G$1000,MATCH($B441,목표문구!$A$1:$A$1000,0))</f>
        <v>오이샐러드+1/2소스</v>
      </c>
      <c r="F441" s="30" t="s">
        <v>4359</v>
      </c>
      <c r="G441" s="37">
        <f t="shared" si="14"/>
        <v>29</v>
      </c>
      <c r="H441" s="37">
        <v>30</v>
      </c>
      <c r="I441" s="37">
        <v>36</v>
      </c>
      <c r="J441" s="37" t="str">
        <f t="shared" si="15"/>
        <v>OK</v>
      </c>
      <c r="K441" s="37" t="s">
        <v>4369</v>
      </c>
      <c r="L441" s="28"/>
    </row>
    <row r="442" spans="1:12">
      <c r="A442" s="37" t="s">
        <v>2739</v>
      </c>
      <c r="B442" s="37" t="s">
        <v>3885</v>
      </c>
      <c r="C442" s="37"/>
      <c r="D442" s="37" t="s">
        <v>391</v>
      </c>
      <c r="E442" s="30" t="str">
        <f>INDEX(목표문구!$G$1:$G$1000,MATCH($B442,목표문구!$A$1:$A$1000,0))</f>
        <v>연두부샐러드+1/2소스</v>
      </c>
      <c r="F442" s="30" t="s">
        <v>4360</v>
      </c>
      <c r="G442" s="37">
        <f t="shared" si="14"/>
        <v>32</v>
      </c>
      <c r="H442" s="37">
        <v>30</v>
      </c>
      <c r="I442" s="37">
        <v>36</v>
      </c>
      <c r="J442" s="37" t="str">
        <f t="shared" si="15"/>
        <v>길이 주의</v>
      </c>
      <c r="K442" s="37" t="s">
        <v>4369</v>
      </c>
      <c r="L442" s="28"/>
    </row>
    <row r="443" spans="1:12">
      <c r="A443" s="37" t="s">
        <v>2739</v>
      </c>
      <c r="B443" s="37" t="s">
        <v>3890</v>
      </c>
      <c r="C443" s="37"/>
      <c r="D443" s="37" t="s">
        <v>391</v>
      </c>
      <c r="E443" s="30" t="str">
        <f>INDEX(목표문구!$G$1:$G$1000,MATCH($B443,목표문구!$A$1:$A$1000,0))</f>
        <v>버섯샐러드+1/2소스</v>
      </c>
      <c r="F443" s="30" t="s">
        <v>4361</v>
      </c>
      <c r="G443" s="37">
        <f t="shared" si="14"/>
        <v>29</v>
      </c>
      <c r="H443" s="37">
        <v>30</v>
      </c>
      <c r="I443" s="37">
        <v>36</v>
      </c>
      <c r="J443" s="37" t="str">
        <f t="shared" si="15"/>
        <v>OK</v>
      </c>
      <c r="K443" s="37" t="s">
        <v>4369</v>
      </c>
      <c r="L443" s="28"/>
    </row>
    <row r="444" spans="1:12">
      <c r="A444" s="37" t="s">
        <v>2739</v>
      </c>
      <c r="B444" s="37" t="s">
        <v>3895</v>
      </c>
      <c r="C444" s="37"/>
      <c r="D444" s="37" t="s">
        <v>391</v>
      </c>
      <c r="E444" s="30" t="str">
        <f>INDEX(목표문구!$G$1:$G$1000,MATCH($B444,목표문구!$A$1:$A$1000,0))</f>
        <v>가지샐러드+1/2소스</v>
      </c>
      <c r="F444" s="30" t="s">
        <v>4362</v>
      </c>
      <c r="G444" s="37">
        <f t="shared" si="14"/>
        <v>29</v>
      </c>
      <c r="H444" s="37">
        <v>30</v>
      </c>
      <c r="I444" s="37">
        <v>36</v>
      </c>
      <c r="J444" s="37" t="str">
        <f t="shared" si="15"/>
        <v>OK</v>
      </c>
      <c r="K444" s="37" t="s">
        <v>4369</v>
      </c>
      <c r="L444" s="28"/>
    </row>
    <row r="445" spans="1:12">
      <c r="A445" s="37" t="s">
        <v>2739</v>
      </c>
      <c r="B445" s="37" t="s">
        <v>3900</v>
      </c>
      <c r="C445" s="37"/>
      <c r="D445" s="37" t="s">
        <v>391</v>
      </c>
      <c r="E445" s="30" t="str">
        <f>INDEX(목표문구!$G$1:$G$1000,MATCH($B445,목표문구!$A$1:$A$1000,0))</f>
        <v>닭샐러드+1/2소스</v>
      </c>
      <c r="F445" s="30" t="s">
        <v>4363</v>
      </c>
      <c r="G445" s="37">
        <f t="shared" si="14"/>
        <v>28</v>
      </c>
      <c r="H445" s="37">
        <v>30</v>
      </c>
      <c r="I445" s="37">
        <v>36</v>
      </c>
      <c r="J445" s="37" t="str">
        <f t="shared" si="15"/>
        <v>OK</v>
      </c>
      <c r="K445" s="37" t="s">
        <v>4369</v>
      </c>
      <c r="L445" s="28"/>
    </row>
    <row r="446" spans="1:12">
      <c r="A446" s="37" t="s">
        <v>2739</v>
      </c>
      <c r="B446" s="37" t="s">
        <v>3905</v>
      </c>
      <c r="C446" s="37"/>
      <c r="D446" s="37" t="s">
        <v>391</v>
      </c>
      <c r="E446" s="30" t="str">
        <f>INDEX(목표문구!$G$1:$G$1000,MATCH($B446,목표문구!$A$1:$A$1000,0))</f>
        <v>새우샐러드+1/2소스</v>
      </c>
      <c r="F446" s="30" t="s">
        <v>4364</v>
      </c>
      <c r="G446" s="37">
        <f t="shared" si="14"/>
        <v>27</v>
      </c>
      <c r="H446" s="37">
        <v>30</v>
      </c>
      <c r="I446" s="37">
        <v>36</v>
      </c>
      <c r="J446" s="37" t="str">
        <f t="shared" si="15"/>
        <v>OK</v>
      </c>
      <c r="K446" s="37" t="s">
        <v>4369</v>
      </c>
      <c r="L446" s="28"/>
    </row>
    <row r="447" spans="1:12">
      <c r="A447" s="37" t="s">
        <v>2739</v>
      </c>
      <c r="B447" s="37" t="s">
        <v>3910</v>
      </c>
      <c r="C447" s="37"/>
      <c r="D447" s="37" t="s">
        <v>391</v>
      </c>
      <c r="E447" s="30" t="str">
        <f>INDEX(목표문구!$G$1:$G$1000,MATCH($B447,목표문구!$A$1:$A$1000,0))</f>
        <v>해초샐러드+1/2소스</v>
      </c>
      <c r="F447" s="30" t="s">
        <v>4365</v>
      </c>
      <c r="G447" s="37">
        <f t="shared" si="14"/>
        <v>28</v>
      </c>
      <c r="H447" s="37">
        <v>30</v>
      </c>
      <c r="I447" s="37">
        <v>36</v>
      </c>
      <c r="J447" s="37" t="str">
        <f t="shared" si="15"/>
        <v>OK</v>
      </c>
      <c r="K447" s="37" t="s">
        <v>4369</v>
      </c>
      <c r="L447" s="28"/>
    </row>
    <row r="448" spans="1:12">
      <c r="A448" s="37" t="s">
        <v>2739</v>
      </c>
      <c r="B448" s="37" t="s">
        <v>3915</v>
      </c>
      <c r="C448" s="37"/>
      <c r="D448" s="37" t="s">
        <v>391</v>
      </c>
      <c r="E448" s="30" t="str">
        <f>INDEX(목표문구!$G$1:$G$1000,MATCH($B448,목표문구!$A$1:$A$1000,0))</f>
        <v>참치샐러드+1/2소스</v>
      </c>
      <c r="F448" s="30" t="s">
        <v>4366</v>
      </c>
      <c r="G448" s="37">
        <f t="shared" si="14"/>
        <v>25</v>
      </c>
      <c r="H448" s="37">
        <v>30</v>
      </c>
      <c r="I448" s="37">
        <v>36</v>
      </c>
      <c r="J448" s="37" t="str">
        <f t="shared" si="15"/>
        <v>OK</v>
      </c>
      <c r="K448" s="37" t="s">
        <v>4369</v>
      </c>
      <c r="L448" s="28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2026-10-13T07:35:49Z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
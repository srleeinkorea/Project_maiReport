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사라\Documents\Project_maiReport\outputs\mai-report-policy\식이\"/>
    </mc:Choice>
  </mc:AlternateContent>
  <xr:revisionPtr revIDLastSave="0" documentId="13_ncr:1_{A0AE80AF-A015-4802-B311-A32AB42086A3}" xr6:coauthVersionLast="47" xr6:coauthVersionMax="47" xr10:uidLastSave="{00000000-0000-0000-0000-000000000000}"/>
  <bookViews>
    <workbookView xWindow="38290" yWindow="-810" windowWidth="38620" windowHeight="21100" xr2:uid="{E53919E9-E904-4308-8260-B4355B6CA0A6}"/>
  </bookViews>
  <sheets>
    <sheet name="안내" sheetId="1" r:id="rId1"/>
    <sheet name="검수결과" sheetId="2" r:id="rId2"/>
    <sheet name="신규금지규칙" sheetId="3" r:id="rId3"/>
    <sheet name="쟁점" sheetId="4" r:id="rId4"/>
  </sheets>
  <definedNames>
    <definedName name="_xlnm._FilterDatabase" localSheetId="1" hidden="1">검수결과!$A$1:$N$1</definedName>
    <definedName name="_xlnm._FilterDatabase" localSheetId="2" hidden="1">신규금지규칙!$A$1:$E$1</definedName>
    <definedName name="_xlnm._FilterDatabase" localSheetId="3" hidden="1">쟁점!$A$1:$E$1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452" i="2" l="1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C10" i="1"/>
  <c r="C9" i="1"/>
  <c r="C8" i="1"/>
  <c r="C7" i="1"/>
  <c r="C6" i="1"/>
  <c r="C5" i="1"/>
  <c r="C11" i="1" l="1"/>
</calcChain>
</file>

<file path=xl/sharedStrings.xml><?xml version="1.0" encoding="utf-8"?>
<sst xmlns="http://schemas.openxmlformats.org/spreadsheetml/2006/main" count="6302" uniqueCount="2502">
  <si>
    <t>ID</t>
  </si>
  <si>
    <t>묶음</t>
  </si>
  <si>
    <t>축</t>
  </si>
  <si>
    <t>단계</t>
  </si>
  <si>
    <t>원안 문구</t>
  </si>
  <si>
    <t>검수 후 문구</t>
  </si>
  <si>
    <t>자</t>
  </si>
  <si>
    <t>이유 한 줄</t>
  </si>
  <si>
    <t>표시</t>
  </si>
  <si>
    <t>근거</t>
  </si>
  <si>
    <t>기존 제한</t>
  </si>
  <si>
    <t>판정</t>
  </si>
  <si>
    <t>추가 제한</t>
  </si>
  <si>
    <t>검수 의견</t>
  </si>
  <si>
    <t>N1</t>
  </si>
  <si>
    <t>1차</t>
  </si>
  <si>
    <t>끼니 규칙</t>
  </si>
  <si>
    <t>입문</t>
  </si>
  <si>
    <t>아침에 우유나 두유 한 잔</t>
  </si>
  <si>
    <t>마실 것 하나라도 아침 끼니가 돼요.</t>
  </si>
  <si>
    <t>오전 진입</t>
  </si>
  <si>
    <t>식생활지침 수칙 1 · 5</t>
  </si>
  <si>
    <t>—</t>
  </si>
  <si>
    <t>승인</t>
  </si>
  <si>
    <t>N2</t>
  </si>
  <si>
    <t>아침에 과일 한 조각</t>
  </si>
  <si>
    <t>손이 가는 것부터 아침을 시작해요.</t>
  </si>
  <si>
    <t>삭제</t>
  </si>
  <si>
    <t>과일을 「더 먹기」로 권하는 문구다. 대체 맥락이 아니어서 당뇨 · 비만 사용자에게는 열량과 당이 순증한다. 빈속에 과일만 먹으면 식후 혈당도 크게 오른다. 끼니 규칙 입문 칸에는 N1(우유 · 두유) · N47 · N94가 이미 있어 빼도 칸이 빈다고 보기 어렵다.</t>
  </si>
  <si>
    <t>N3</t>
  </si>
  <si>
    <t>기본</t>
  </si>
  <si>
    <t>점심이 늦어지면 저녁까지 몰아 먹게 돼요.</t>
  </si>
  <si>
    <t>식생활지침 수칙 4</t>
  </si>
  <si>
    <t>N4</t>
  </si>
  <si>
    <t>도전</t>
  </si>
  <si>
    <t>세 끼가 다 있으면 한 끼 양이 자연히 줄어요.</t>
  </si>
  <si>
    <t>식생활지침 수칙 1 · 4</t>
  </si>
  <si>
    <t>식생활지침 수칙 5</t>
  </si>
  <si>
    <t>N6</t>
  </si>
  <si>
    <t>채소</t>
  </si>
  <si>
    <t>국물 자리에 채소를 넣으면 나트륨도 함께 줄어요.</t>
  </si>
  <si>
    <t>식생활지침 수칙 1 · 2</t>
  </si>
  <si>
    <t>신장 3기↑</t>
  </si>
  <si>
    <t>N7</t>
  </si>
  <si>
    <t>쌈 채소는 가장 쉽게 채소를 더하는 방법이에요.</t>
  </si>
  <si>
    <t>식생활지침 수칙 1</t>
  </si>
  <si>
    <t>N8</t>
  </si>
  <si>
    <t>외식은 채소가 가장 빠지기 쉬운 끼니예요.</t>
  </si>
  <si>
    <t>식생활지침 수칙 1 · WHO 400g</t>
  </si>
  <si>
    <t>N9</t>
  </si>
  <si>
    <t>끼니마다 두 가지면 하루 다섯 접시에 가까워져요.</t>
  </si>
  <si>
    <t>WHO 400g(5접시)</t>
  </si>
  <si>
    <t>N10</t>
  </si>
  <si>
    <t>점심도 채소부터 먼저</t>
  </si>
  <si>
    <t>저녁뿐 아니라 점심에도 순서를 바꿔 보는 단계예요.</t>
  </si>
  <si>
    <t>식사 순서 무작위 대조 연구</t>
  </si>
  <si>
    <t>N11</t>
  </si>
  <si>
    <t>단 음료 · 단 간식</t>
  </si>
  <si>
    <t>커피 한 잔의 시럽이 하루 당 권고량의 절반이에요.</t>
  </si>
  <si>
    <t>WHO 당류 지침</t>
  </si>
  <si>
    <t>N12</t>
  </si>
  <si>
    <t>탄산음료 대신 탄산수</t>
  </si>
  <si>
    <t>톡 쏘는 느낌은 그대로, 당만 빠져요.</t>
  </si>
  <si>
    <t>N13</t>
  </si>
  <si>
    <t>요구르트는 무가당으로</t>
  </si>
  <si>
    <t>가당 요구르트 한 개에 각설탕 세 개 분량이 들어 있어요.</t>
  </si>
  <si>
    <t>WHO 당류 지침 · 식약처 당류 표시</t>
  </si>
  <si>
    <t>N14</t>
  </si>
  <si>
    <t>과일주스 대신 생과일</t>
  </si>
  <si>
    <t>주스는 과일의 당만 남고 섬유질은 빠져요.</t>
  </si>
  <si>
    <t>WHO 당류 지침(주스는 유리당)</t>
  </si>
  <si>
    <t>N15</t>
  </si>
  <si>
    <t>간식의 당은 끼니보다 눈에 안 띄게 쌓여요.</t>
  </si>
  <si>
    <t>섭식장애 임신·수유</t>
  </si>
  <si>
    <t>N16</t>
  </si>
  <si>
    <t>짠맛 · 국물</t>
  </si>
  <si>
    <t>라면 국물은 남기기</t>
  </si>
  <si>
    <t>라면 나트륨의 3분의 2는 국물에 있어요.</t>
  </si>
  <si>
    <t>식약처 나트륨 실측</t>
  </si>
  <si>
    <t>N17</t>
  </si>
  <si>
    <t>찍어 먹는 간장이 반찬 하나만큼 짜요.</t>
  </si>
  <si>
    <t>고혈압학회 2022(식탁 소금 추가 금지)</t>
  </si>
  <si>
    <t>N18</t>
  </si>
  <si>
    <t>김치는 평소의 절반</t>
  </si>
  <si>
    <t>한국인 나트륨의 첫째 급원이 김치예요.</t>
  </si>
  <si>
    <t>국민건강영양조사 나트륨 급원 · WHO</t>
  </si>
  <si>
    <t>N19</t>
  </si>
  <si>
    <t>절임 반찬 한 젓가락이 국 한 그릇만큼 짜요.</t>
  </si>
  <si>
    <t>N20</t>
  </si>
  <si>
    <t>따로 받으면 양을 내가 정할 수 있어요.</t>
  </si>
  <si>
    <t>고혈압학회 2022</t>
  </si>
  <si>
    <t>N21</t>
  </si>
  <si>
    <t>국물을 하루 끊으면 나트륨이 절반 가까이 줄어요.</t>
  </si>
  <si>
    <t>식약처 실측 · WHO</t>
  </si>
  <si>
    <t>N22</t>
  </si>
  <si>
    <t>저녁 술 없이 보내기</t>
  </si>
  <si>
    <t>절주는 혈압 · 간 · 요산 모두에 첫 번째 권고예요.</t>
  </si>
  <si>
    <t>저녁 연결 전용</t>
  </si>
  <si>
    <t>고혈압학회 2022 · 대한간학회 지방간 지침 · 통풍 지침</t>
  </si>
  <si>
    <t>임신·수유 (금주 문구로 대체 검토)</t>
  </si>
  <si>
    <t>N23</t>
  </si>
  <si>
    <t>반주는 한 잔까지</t>
  </si>
  <si>
    <t>하루 한 잔을 넘기면 혈압과 중성지방이 함께 올라요.</t>
  </si>
  <si>
    <t>고혈압학회 2022(남 2잔 · 여 1잔 이하)</t>
  </si>
  <si>
    <t>임신·수유 간질환</t>
  </si>
  <si>
    <t>N24</t>
  </si>
  <si>
    <t>식사 시각</t>
  </si>
  <si>
    <t>밤 9시 이후엔 물만</t>
  </si>
  <si>
    <t>시각을 하나 정해 두면 야식 결정이 쉬워져요.</t>
  </si>
  <si>
    <t>저녁</t>
  </si>
  <si>
    <t>비만학회 식사요법(야식 회피) 약함</t>
  </si>
  <si>
    <t>섭식장애</t>
  </si>
  <si>
    <t>N75(잠들기 전 2시간은 물만) · N165와 같은 행동이며, 「밤 9시」는 취침 시각이 제각각인 사용자에게 임의값이다. 취침 기준인 N75를 남긴다.</t>
  </si>
  <si>
    <t>N25</t>
  </si>
  <si>
    <t>저녁은 8시 전에 마치기</t>
  </si>
  <si>
    <t>저녁이 늦어질수록 야식과 수면 둘 다 영향을 받아요.</t>
  </si>
  <si>
    <t>ACG 위식도역류 지침 · 관찰 연구</t>
  </si>
  <si>
    <t>N26</t>
  </si>
  <si>
    <t>야식 대신 일찍 잠자리로</t>
  </si>
  <si>
    <t>늦은 허기는 졸림과 헷갈리기 쉬워요.</t>
  </si>
  <si>
    <t>수면위생 약함</t>
  </si>
  <si>
    <t>보류</t>
  </si>
  <si>
    <t>식이 축 문구인데 실제 행동은 취침이다. 수면 목표와 같은 행동이 두 타일에 나갈 수 있다. 수면 축 설계 후 어디에 둘지 정한다.</t>
  </si>
  <si>
    <t>N27</t>
  </si>
  <si>
    <t>저녁 뒤엔 먹지 않고 마무리</t>
  </si>
  <si>
    <t>저녁이 하루의 마지막 끼니가 되게 하는 단계예요.</t>
  </si>
  <si>
    <t>비만학회 식사요법 · 관찰 연구</t>
  </si>
  <si>
    <t>조건부</t>
  </si>
  <si>
    <t>당뇨병</t>
  </si>
  <si>
    <t>야간 공복을 늘리는 행동이다. 인슐린 · 설포닐우레아 사용자는 야간 저혈당 위험이 있는데 처방 정보가 없어 약물을 알 수 없다. 기존 당뇨 금지와 같은 원칙으로 확진 전원에 적용한다. N122에는 이미 표시돼 있다.</t>
  </si>
  <si>
    <t>N28</t>
  </si>
  <si>
    <t>식사 속도 · 양</t>
  </si>
  <si>
    <t>밥은 작은 그릇에 담기</t>
  </si>
  <si>
    <t>그릇이 작아지면 양은 줄고 포만감은 같아요.</t>
  </si>
  <si>
    <t>비만학회 행동치료(자극 조절)</t>
  </si>
  <si>
    <t>N29</t>
  </si>
  <si>
    <t>화면을 보며 먹으면 얼마나 먹었는지 놓쳐요.</t>
  </si>
  <si>
    <t>N30</t>
  </si>
  <si>
    <t>한 입에 스무 번 씹기</t>
  </si>
  <si>
    <t>씹는 횟수가 늘면 속도가 자연히 느려져요.</t>
  </si>
  <si>
    <t>식사 속도 메타분석 · 20회는 통용값</t>
  </si>
  <si>
    <t>확인 필요</t>
  </si>
  <si>
    <t>연하곤란 · 뇌졸중 후유증</t>
  </si>
  <si>
    <t>해롭지는 않으나 수행이 불가능한 집단이 있다. 연하곤란(R13)은 진단 층에서 제외돼 있고 뇌졸중 후유증(I69)은 심혈관질환 연결에 포함된다. 서비스 대상 정책에서 함께 볼 항목.</t>
  </si>
  <si>
    <t>N31</t>
  </si>
  <si>
    <t>밥은 젓가락으로 먹기</t>
  </si>
  <si>
    <t>젓가락은 한 번에 덜 뜨게 해서 속도를 늦춰요.</t>
  </si>
  <si>
    <t>식사 속도 메타분석</t>
  </si>
  <si>
    <t>N32</t>
  </si>
  <si>
    <t>밥 더 담지 않기</t>
  </si>
  <si>
    <t>한 그릇에서 멈추는 습관이 과식을 막아요.</t>
  </si>
  <si>
    <t>섭식장애 임신·수유 암 치료 중</t>
  </si>
  <si>
    <t>N33</t>
  </si>
  <si>
    <t>단백질</t>
  </si>
  <si>
    <t>아침에 달걀 하나</t>
  </si>
  <si>
    <t>달걀 하나로 아침 단백질이 채워져요.</t>
  </si>
  <si>
    <t>영양소 섭취기준 · 식생활지침 수칙 1</t>
  </si>
  <si>
    <t>신장질환</t>
  </si>
  <si>
    <t>N34</t>
  </si>
  <si>
    <t>마시는 단백질은 반찬이 없어도 챙길 수 있어요.</t>
  </si>
  <si>
    <t>식생활지침 수칙 1(우유 · 유제품)</t>
  </si>
  <si>
    <t>N35</t>
  </si>
  <si>
    <t>생선 반찬 한 끼</t>
  </si>
  <si>
    <t>생선은 단백질과 좋은 지방을 함께 줘요.</t>
  </si>
  <si>
    <t>식생활지침 수칙 1 · 지질동맥경화학회 5판</t>
  </si>
  <si>
    <t>신장질환 통풍(2차)</t>
  </si>
  <si>
    <t>N36</t>
  </si>
  <si>
    <t>두부 반 모 반찬으로</t>
  </si>
  <si>
    <t>두부 반 모가 고기 한 접시 단백질과 비슷해요.</t>
  </si>
  <si>
    <t>영양소 섭취기준(콩류)</t>
  </si>
  <si>
    <t>N37</t>
  </si>
  <si>
    <t>고기 · 생선 · 달걀 · 콩을 돌리면 영양이 고르게 돼요.</t>
  </si>
  <si>
    <t>N38</t>
  </si>
  <si>
    <t>기름진 음식</t>
  </si>
  <si>
    <t>조리법만 바꿔도 지방이 절반 이하로 줘요.</t>
  </si>
  <si>
    <t>식생활지침 수칙 2 · 지질학회 5판</t>
  </si>
  <si>
    <t>N39</t>
  </si>
  <si>
    <t>같은 고기라도 부위로 포화지방이 크게 달라요.</t>
  </si>
  <si>
    <t>지질학회 5판(포화지방)</t>
  </si>
  <si>
    <t>N40</t>
  </si>
  <si>
    <t>샐러드의 지방은 대부분 드레싱에서 와요.</t>
  </si>
  <si>
    <t>WHO 건강식(지방 30% 미만)</t>
  </si>
  <si>
    <t>N41</t>
  </si>
  <si>
    <t>라면 한 봉지 지방이 하루 권고의 4분의 1이에요.</t>
  </si>
  <si>
    <t>식약처 영양표시 · WHO</t>
  </si>
  <si>
    <t>N42</t>
  </si>
  <si>
    <t>튀김 없는 하루</t>
  </si>
  <si>
    <t>튀김을 하루 끊는 것이 포화지방을 줄이는 가장 큰 한 걸음이에요.</t>
  </si>
  <si>
    <t>지질학회 5판</t>
  </si>
  <si>
    <t>N43</t>
  </si>
  <si>
    <t>기름진 음식은 점심에만</t>
  </si>
  <si>
    <t>저녁 지방은 활동으로 쓰이지 못하고 남아요.</t>
  </si>
  <si>
    <t>열량 배분 연구 · 지질학회 약함</t>
  </si>
  <si>
    <t>수정</t>
  </si>
  <si>
    <t>이유 문장 완화 필요. 열량 배분 연구는 총열량 · 체중에 대한 것이지 지방을 낮에 먹으면 낫다는 근거가 아니다. 「낮에 먹는 쪽이 체중 관리에 유리했어요」 수준으로 낮춘다.</t>
  </si>
  <si>
    <t>N44</t>
  </si>
  <si>
    <t>회복 풀</t>
  </si>
  <si>
    <t>회복</t>
  </si>
  <si>
    <t>따뜻한 물 한 잔으로 시작</t>
  </si>
  <si>
    <t>못 먹은 뒤엔 물부터 채우는 게 부담이 없어요.</t>
  </si>
  <si>
    <t>식생활지침 수칙 3(물) 약함</t>
  </si>
  <si>
    <t>심부전 · 투석</t>
  </si>
  <si>
    <t>수분 섭취를 늘리는 행동이다. 심부전(I50)과 투석(Z49 · Z99.2)은 수분 제한 대상이라 역방향이 된다. 상병코드 추천 ⑤가 「오늘 물 6잔류 문구가 있다면 제외 — 현재 세트에 없음」이라 적었는데, 확장으로 생겼다.</t>
  </si>
  <si>
    <t>N45</t>
  </si>
  <si>
    <t>과일 한 조각으로 빈 끼 메우기</t>
  </si>
  <si>
    <t>빈 끼는 우유나 두유 한 잔</t>
  </si>
  <si>
    <t>과일은 준비 없이 바로 먹을 수 있는 회복 끼니예요.</t>
  </si>
  <si>
    <t>오후 진입</t>
  </si>
  <si>
    <t>신장 3기↑ (칼륨)</t>
  </si>
  <si>
    <t>신장 3기↑(칼륨) · 당뇨병</t>
  </si>
  <si>
    <t>회복 풀은 결식을 메우는 자리인데 과일만으로는 단백질과 열량이 모자란다. 같은 회복 맥락에서 우유 · 두유가 낫다.</t>
  </si>
  <si>
    <t>N46</t>
  </si>
  <si>
    <t>부담 줄이기 풀</t>
  </si>
  <si>
    <t>부담</t>
  </si>
  <si>
    <t>커피 대신 따뜻한 차 한 잔</t>
  </si>
  <si>
    <t>피곤한 날 카페인은 잠을 더 밀어내요.</t>
  </si>
  <si>
    <t>카페인 · 수면 실험(2013)</t>
  </si>
  <si>
    <t>N47</t>
  </si>
  <si>
    <t>2차</t>
  </si>
  <si>
    <t>일어나서 한 시간 안에 한 입</t>
  </si>
  <si>
    <t>시간을 정해 두면 아침을 건너뛰기 어려워져요.</t>
  </si>
  <si>
    <t>N48</t>
  </si>
  <si>
    <t>아침 대신 바나나 하나</t>
  </si>
  <si>
    <t>준비 없이 먹을 수 있는 아침 대용이에요.</t>
  </si>
  <si>
    <t>바나나는 혈당지수가 높고 칼륨도 많다. 아침을 대체하는 단독 과일로는 식후 혈당이 크게 오른다.</t>
  </si>
  <si>
    <t>N49</t>
  </si>
  <si>
    <t>회의 · 일정 사이 점심 챙기기</t>
  </si>
  <si>
    <t>바쁜 날 거른 점심은 저녁 과식으로 돌아와요.</t>
  </si>
  <si>
    <t>사무실</t>
  </si>
  <si>
    <t>N50</t>
  </si>
  <si>
    <t>늦은 저녁을 거르면 야식으로 이어지기 쉬워요.</t>
  </si>
  <si>
    <t>N51</t>
  </si>
  <si>
    <t>집에서 못 먹었어도 아침은 챙길 수 있어요.</t>
  </si>
  <si>
    <t>오전 진입 평일</t>
  </si>
  <si>
    <t>N52</t>
  </si>
  <si>
    <t>끼니 시각이 고정되면 허기의 리듬도 고정돼요.</t>
  </si>
  <si>
    <t>관찰 연구 약함</t>
  </si>
  <si>
    <t>N53</t>
  </si>
  <si>
    <t>편의점 끼니엔 샐러드 하나 추가</t>
  </si>
  <si>
    <t>편의점 끼니는 채소가 가장 빠지는 자리예요.</t>
  </si>
  <si>
    <t>편의점</t>
  </si>
  <si>
    <t>N54</t>
  </si>
  <si>
    <t>배달 주문에 채소 메뉴 하나</t>
  </si>
  <si>
    <t>배달은 채소 메뉴를 따로 고르지 않으면 없어요.</t>
  </si>
  <si>
    <t>배달</t>
  </si>
  <si>
    <t>N55</t>
  </si>
  <si>
    <t>회식 안주는 채소부터</t>
  </si>
  <si>
    <t>채소를 먼저 먹으면 술과 기름진 안주가 줄어요.</t>
  </si>
  <si>
    <t>저녁 회식</t>
  </si>
  <si>
    <t>식사 순서 연구 · 식생활지침 수칙 1</t>
  </si>
  <si>
    <t>N56</t>
  </si>
  <si>
    <t>끓이는 국에 채소를 더하면 나트륨 대비 채소 비율이 올라요.</t>
  </si>
  <si>
    <t>N57</t>
  </si>
  <si>
    <t>세 끼 모두 채소가 있으면 하루 권고량에 닿아요.</t>
  </si>
  <si>
    <t>WHO 400g</t>
  </si>
  <si>
    <t>N58</t>
  </si>
  <si>
    <t>저녁 접시의 절반을 채소로 채우는 것이 권고 형태예요.</t>
  </si>
  <si>
    <t>식생활지침 · WHO(접시 절반 채소)</t>
  </si>
  <si>
    <t>N59</t>
  </si>
  <si>
    <t>편의점에선 물이나 무가당 차</t>
  </si>
  <si>
    <t>편의점 음료 코너의 대부분이 가당 음료예요.</t>
  </si>
  <si>
    <t>N60</t>
  </si>
  <si>
    <t>카페 음료는 한 사이즈 작게</t>
  </si>
  <si>
    <t>사이즈 하나 차이가 각설탕 두세 개 차이예요.</t>
  </si>
  <si>
    <t>카페</t>
  </si>
  <si>
    <t>N61</t>
  </si>
  <si>
    <t>사무실 단 간식은 한 번만</t>
  </si>
  <si>
    <t>사무실 간식은 세지 않으면 하루 서너 번이 돼요.</t>
  </si>
  <si>
    <t>N62</t>
  </si>
  <si>
    <t>운동 후 스포츠음료 대신 물</t>
  </si>
  <si>
    <t>한 시간 안 운동엔 물로 충분해요.</t>
  </si>
  <si>
    <t>N63</t>
  </si>
  <si>
    <t>디저트는 나눠 먹기</t>
  </si>
  <si>
    <t>반만 먹어도 맛은 그대로, 당은 절반이에요.</t>
  </si>
  <si>
    <t>N64</t>
  </si>
  <si>
    <t>빵 · 케이크 대신 과일 한 줌</t>
  </si>
  <si>
    <t>같은 단맛이라도 과일은 섬유질이 따라와요.</t>
  </si>
  <si>
    <t>N65</t>
  </si>
  <si>
    <t>앞접시로 옮기면 국물을 자연히 덜 먹게 돼요.</t>
  </si>
  <si>
    <t>N66</t>
  </si>
  <si>
    <t>국은 반 그릇만 담기</t>
  </si>
  <si>
    <t>담는 양을 줄이는 게 남기는 것보다 쉬워요.</t>
  </si>
  <si>
    <t>WHO 나트륨</t>
  </si>
  <si>
    <t>N67</t>
  </si>
  <si>
    <t>김치 · 장아찌 · 젓갈이 겹치면 한 끼에 하루치가 돼요.</t>
  </si>
  <si>
    <t>국민건강영양조사 나트륨 급원</t>
  </si>
  <si>
    <t>N68</t>
  </si>
  <si>
    <t>볶음밥 한 그릇은 흰밥 한 끼보다 나트륨이 두 배예요.</t>
  </si>
  <si>
    <t>N69</t>
  </si>
  <si>
    <t>배달 음식엔 소스 반만</t>
  </si>
  <si>
    <t>배달 음식 나트륨의 절반은 함께 오는 소스에 있어요.</t>
  </si>
  <si>
    <t>N70</t>
  </si>
  <si>
    <t>오늘 김치는 한 접시만</t>
  </si>
  <si>
    <t>김치 한 접시면 하루 나트륨 권고의 3분의 1이에요.</t>
  </si>
  <si>
    <t>국민건강영양조사 · WHO</t>
  </si>
  <si>
    <t>N71</t>
  </si>
  <si>
    <t>저녁 먹고 바로 양치</t>
  </si>
  <si>
    <t>양치를 하면 다시 먹을 마음이 줄어요.</t>
  </si>
  <si>
    <t>행동치료 자극 조절 약함</t>
  </si>
  <si>
    <t>N72</t>
  </si>
  <si>
    <t>야식 생각나면 물 한 잔 먼저</t>
  </si>
  <si>
    <t>물 한 잔 뒤에도 배고프면 그때 정해요.</t>
  </si>
  <si>
    <t>대체 행동 약함</t>
  </si>
  <si>
    <t>N73</t>
  </si>
  <si>
    <t>저녁 시각 어제와 같게</t>
  </si>
  <si>
    <t>저녁 시각이 일정하면 야식 욕구도 일정해져요.</t>
  </si>
  <si>
    <t>N74</t>
  </si>
  <si>
    <t>회식 뒤 2차 음식은 건너뛰기</t>
  </si>
  <si>
    <t>회식 후 라면 · 국수가 하루 중 가장 늦은 열량이에요.</t>
  </si>
  <si>
    <t>비만학회 식사요법(야식 회피)</t>
  </si>
  <si>
    <t>N75</t>
  </si>
  <si>
    <t>잠들기 전 2시간은 물만</t>
  </si>
  <si>
    <t>취침 전 2시간 공복이 역류와 수면에 좋아요.</t>
  </si>
  <si>
    <t>ACG 위식도역류 지침(2~3시간)</t>
  </si>
  <si>
    <t>N76</t>
  </si>
  <si>
    <t>첫 숟갈 뒤 물 한 모금</t>
  </si>
  <si>
    <t>시작을 늦추면 식사 전체가 느려져요.</t>
  </si>
  <si>
    <t>N77</t>
  </si>
  <si>
    <t>한 숟갈 양을 절반으로</t>
  </si>
  <si>
    <t>숟갈이 작아지면 씹는 시간이 늘어요.</t>
  </si>
  <si>
    <t>N78</t>
  </si>
  <si>
    <t>중간에 멈추면 배부른지 확인할 틈이 생겨요.</t>
  </si>
  <si>
    <t>비만학회 행동치료</t>
  </si>
  <si>
    <t>N79</t>
  </si>
  <si>
    <t>배달 음식은 접시에 옮겨 담기</t>
  </si>
  <si>
    <t>용기째 먹으면 얼마나 먹었는지 안 보여요.</t>
  </si>
  <si>
    <t>N80</t>
  </si>
  <si>
    <t>뷔페 · 회식에선 한 접시만</t>
  </si>
  <si>
    <t>한 접시로 정하면 양을 세지 않아도 돼요.</t>
  </si>
  <si>
    <t>회식 · 뷔페</t>
  </si>
  <si>
    <t>N81</t>
  </si>
  <si>
    <t>배부르면 남기기</t>
  </si>
  <si>
    <t>남기는 것이 과식보다 나아요.</t>
  </si>
  <si>
    <t>식생활지침 수칙 4 · 6(필요한 만큼만)</t>
  </si>
  <si>
    <t>N82</t>
  </si>
  <si>
    <t>과자 대신 달걀은 배도 오래 차요.</t>
  </si>
  <si>
    <t>영양소 섭취기준</t>
  </si>
  <si>
    <t>N83</t>
  </si>
  <si>
    <t>편의점 끼니엔 달걀 · 두부 추가</t>
  </si>
  <si>
    <t>편의점 끼니는 탄수화물만 남기 쉬워요.</t>
  </si>
  <si>
    <t>N84</t>
  </si>
  <si>
    <t>기름 적은 고기가 단백질을 채우는 가장 쉬운 길이에요.</t>
  </si>
  <si>
    <t>영양소 섭취기준 · 지질학회 5판</t>
  </si>
  <si>
    <t>N85</t>
  </si>
  <si>
    <t>콩은 고기 없이도 단백질을 채워요.</t>
  </si>
  <si>
    <t>식생활지침 수칙 1(콩류)</t>
  </si>
  <si>
    <t>N86</t>
  </si>
  <si>
    <t>매 끼니 단백질 손바닥 크기</t>
  </si>
  <si>
    <t>손바닥 크기가 한 끼 단백질 권고량의 눈대중이에요.</t>
  </si>
  <si>
    <t>영양소 섭취기준(성인 끼니 20g 안팎)</t>
  </si>
  <si>
    <t>N87</t>
  </si>
  <si>
    <t>저녁엔 소화가 가벼운 단백질이 좋아요.</t>
  </si>
  <si>
    <t>지질학회 5판 · 식생활지침</t>
  </si>
  <si>
    <t>N88</t>
  </si>
  <si>
    <t>치킨은 껍질 빼고</t>
  </si>
  <si>
    <t>치킨 지방의 절반은 껍질에 있어요.</t>
  </si>
  <si>
    <t>N89</t>
  </si>
  <si>
    <t>데치면 기름이 거의 들어가지 않아요.</t>
  </si>
  <si>
    <t>식생활지침 수칙 2</t>
  </si>
  <si>
    <t>N90</t>
  </si>
  <si>
    <t>삼겹살 대신 수육</t>
  </si>
  <si>
    <t>삶으면 기름이 빠져 같은 고기라도 지방이 줄어요.</t>
  </si>
  <si>
    <t>N91</t>
  </si>
  <si>
    <t>패스트푸드 대신 한식 한 끼</t>
  </si>
  <si>
    <t>한식 백반이 햄버거 세트보다 포화지방이 적어요.</t>
  </si>
  <si>
    <t>N92</t>
  </si>
  <si>
    <t>배달 음식 없는 하루</t>
  </si>
  <si>
    <t>배달 메뉴 대부분이 튀김 · 볶음이에요.</t>
  </si>
  <si>
    <t>지질학회 5판 · 식생활지침 수칙 2</t>
  </si>
  <si>
    <t>N93</t>
  </si>
  <si>
    <t>저녁은 기름 없이 조리한 것만</t>
  </si>
  <si>
    <t>저녁 포화지방은 밤새 남아요.</t>
  </si>
  <si>
    <t>지질학회 5판 약함</t>
  </si>
  <si>
    <t>N94</t>
  </si>
  <si>
    <t>3차</t>
  </si>
  <si>
    <t>전날 밤에 아침거리 꺼내 두기</t>
  </si>
  <si>
    <t>아침에 고민할 일이 없으면 덜 거르게 돼요.</t>
  </si>
  <si>
    <t>N95</t>
  </si>
  <si>
    <t>점심 시각 알림 맞춰 두기</t>
  </si>
  <si>
    <t>바쁜 날엔 알림 하나가 끼니를 지켜 줘요.</t>
  </si>
  <si>
    <t>식생활지침 수칙 4 약함</t>
  </si>
  <si>
    <t>N96</t>
  </si>
  <si>
    <t>구내식당 점심 챙기기</t>
  </si>
  <si>
    <t>정해진 시각에 나오는 끼니가 리듬을 만들어요.</t>
  </si>
  <si>
    <t>급식</t>
  </si>
  <si>
    <t>N97</t>
  </si>
  <si>
    <t>출장 · 여행에도 아침 챙기기</t>
  </si>
  <si>
    <t>일정이 바뀌어도 첫 끼는 지킬 수 있어요.</t>
  </si>
  <si>
    <t>오전 진입 여행</t>
  </si>
  <si>
    <t>N98</t>
  </si>
  <si>
    <t>야근하는 날에도 저녁 제때</t>
  </si>
  <si>
    <t>늦춘 저녁은 야식 한 끼로 바뀌어요.</t>
  </si>
  <si>
    <t>저녁 야근</t>
  </si>
  <si>
    <t>N99</t>
  </si>
  <si>
    <t>연휴에 무너진 리듬은 되돌리는 데 더 걸려요.</t>
  </si>
  <si>
    <t>명절 · 연휴</t>
  </si>
  <si>
    <t>N100</t>
  </si>
  <si>
    <t>장 볼 때 채소 한 가지 담기</t>
  </si>
  <si>
    <t>집에 있어야 끼니에 올라와요.</t>
  </si>
  <si>
    <t>마트</t>
  </si>
  <si>
    <t>N101</t>
  </si>
  <si>
    <t>구내식당에선 나물 반찬 먼저</t>
  </si>
  <si>
    <t>이미 나온 반찬이라 고르기만 하면 돼요.</t>
  </si>
  <si>
    <t>N102</t>
  </si>
  <si>
    <t>아침에도 채소 한 가지</t>
  </si>
  <si>
    <t>아침은 채소가 가장 자주 빠지는 끼니예요.</t>
  </si>
  <si>
    <t>N103</t>
  </si>
  <si>
    <t>김밥 · 덮밥엔 채소 더 넣기</t>
  </si>
  <si>
    <t>한 그릇 음식은 채소를 따로 챙겨야 해요.</t>
  </si>
  <si>
    <t>편의점 · 배달</t>
  </si>
  <si>
    <t>N104</t>
  </si>
  <si>
    <t>명절 상엔 나물이 있으니 순서만 바꾸면 돼요.</t>
  </si>
  <si>
    <t>명절</t>
  </si>
  <si>
    <t>N105</t>
  </si>
  <si>
    <t>하루 채소 다섯 접시 채우기</t>
  </si>
  <si>
    <t>다섯 접시가 하루 400g에 해당해요.</t>
  </si>
  <si>
    <t>N106</t>
  </si>
  <si>
    <t>물병 채워 두고 시작하기</t>
  </si>
  <si>
    <t>손에 물이 있으면 단 음료를 덜 찾게 돼요.</t>
  </si>
  <si>
    <t>식생활지침 수칙 3(물)</t>
  </si>
  <si>
    <t>N107</t>
  </si>
  <si>
    <t>단 간식은 사 두지 않기</t>
  </si>
  <si>
    <t>집에 없으면 먹을 일도 없어요.</t>
  </si>
  <si>
    <t>N108</t>
  </si>
  <si>
    <t>카페에선 아메리카노나 차</t>
  </si>
  <si>
    <t>카페 음료 한 잔이 하루 당 권고량을 채우기도 해요.</t>
  </si>
  <si>
    <t>N109</t>
  </si>
  <si>
    <t>모임 음료는 물로 하기</t>
  </si>
  <si>
    <t>모임에선 마시는 횟수가 눈에 안 띄게 늘어요.</t>
  </si>
  <si>
    <t>명절 · 회식</t>
  </si>
  <si>
    <t>N110</t>
  </si>
  <si>
    <t>매일 마시던 한 잔을 하루 빼 보는 단계예요.</t>
  </si>
  <si>
    <t>N111</t>
  </si>
  <si>
    <t>끼니 뒤 습관으로 먹는 단것이 하루 당의 큰 몫이에요.</t>
  </si>
  <si>
    <t>WHO 당류 지침(5% ≈ 25g)</t>
  </si>
  <si>
    <t>N112</t>
  </si>
  <si>
    <t>손이 닿지 않으면 더 넣지 않게 돼요.</t>
  </si>
  <si>
    <t>N113</t>
  </si>
  <si>
    <t>국은 마지막에 간하기</t>
  </si>
  <si>
    <t>끓이며 간하면 짠맛이 겹쳐 쌓여요.</t>
  </si>
  <si>
    <t>WHO 나트륨 약함</t>
  </si>
  <si>
    <t>N114</t>
  </si>
  <si>
    <t>구내식당 국은 받지 않기</t>
  </si>
  <si>
    <t>받지 않는 쪽이 남기는 것보다 쉬워요.</t>
  </si>
  <si>
    <t>N115</t>
  </si>
  <si>
    <t>장 볼 때 나트륨 표시 보기</t>
  </si>
  <si>
    <t>같은 제품군에도 나트륨 차이가 두 배까지 나요.</t>
  </si>
  <si>
    <t>식약처 영양표시</t>
  </si>
  <si>
    <t>N116</t>
  </si>
  <si>
    <t>즉석식품 한 끼가 하루 나트륨의 절반이에요.</t>
  </si>
  <si>
    <t>식약처 나트륨 실측 · WHO</t>
  </si>
  <si>
    <t>N117</t>
  </si>
  <si>
    <t>명절 음식은 국물 없이</t>
  </si>
  <si>
    <t>명절엔 탕 · 국이 끼니마다 올라와요.</t>
  </si>
  <si>
    <t>N118</t>
  </si>
  <si>
    <t>야근 간식 대신 저녁 먼저</t>
  </si>
  <si>
    <t>저녁을 챙기면 밤에 군것질이 줄어요.</t>
  </si>
  <si>
    <t>N119</t>
  </si>
  <si>
    <t>정리해 두면 다시 꺼내 먹기 번거로워져요.</t>
  </si>
  <si>
    <t>N120</t>
  </si>
  <si>
    <t>주말 저녁이 늦어지면 야식으로 이어져요.</t>
  </si>
  <si>
    <t>저녁 토 · 일</t>
  </si>
  <si>
    <t>N121</t>
  </si>
  <si>
    <t>회식은 1차까지만</t>
  </si>
  <si>
    <t>2차가 하루 중 가장 늦은 끼니가 돼요.</t>
  </si>
  <si>
    <t>N122</t>
  </si>
  <si>
    <t>저녁부터 아침까지 12시간 비우기</t>
  </si>
  <si>
    <t>밤 사이 공복 시간이 길수록 체중 관리에 유리했어요.</t>
  </si>
  <si>
    <t>섭식장애 당뇨 약물</t>
  </si>
  <si>
    <t>N123</t>
  </si>
  <si>
    <t>한 끼는 앉아서 먹기</t>
  </si>
  <si>
    <t>서서 먹으면 빨리 먹고 양도 놓쳐요.</t>
  </si>
  <si>
    <t>N124</t>
  </si>
  <si>
    <t>먹을 만큼만 덜어 담기</t>
  </si>
  <si>
    <t>덜어 담으면 얼마나 먹는지 처음부터 보여요.</t>
  </si>
  <si>
    <t>명절 · 뷔페</t>
  </si>
  <si>
    <t>N125</t>
  </si>
  <si>
    <t>배달은 1인분만 주문하기</t>
  </si>
  <si>
    <t>남은 양은 대개 그날 다 먹게 돼요.</t>
  </si>
  <si>
    <t>N126</t>
  </si>
  <si>
    <t>회식에선 앞접시 쓰기</t>
  </si>
  <si>
    <t>덜어 먹으면 함께 먹는 자리에서도 양이 보여요.</t>
  </si>
  <si>
    <t>N127</t>
  </si>
  <si>
    <t>명절 상에선 한 접시만</t>
  </si>
  <si>
    <t>N128</t>
  </si>
  <si>
    <t>저녁에 두부 한 가지</t>
  </si>
  <si>
    <t>데우기만 하면 되는 단백질 반찬이에요.</t>
  </si>
  <si>
    <t>N129</t>
  </si>
  <si>
    <t>무가당 요구르트 하나 챙기기</t>
  </si>
  <si>
    <t>반찬을 차리지 않아도 단백질을 더할 수 있어요.</t>
  </si>
  <si>
    <t>N130</t>
  </si>
  <si>
    <t>점심 단백질 반찬 확인하기</t>
  </si>
  <si>
    <t>한 그릇 점심엔 단백질이 빠져 있기도 해요.</t>
  </si>
  <si>
    <t>N131</t>
  </si>
  <si>
    <t>샐러드에 달걀이나 닭가슴살</t>
  </si>
  <si>
    <t>채소만 먹으면 금방 배가 꺼져요.</t>
  </si>
  <si>
    <t>N132</t>
  </si>
  <si>
    <t>아침 단백질까지 챙기기</t>
  </si>
  <si>
    <t>아침이 하루 중 단백질이 가장 적은 끼니예요.</t>
  </si>
  <si>
    <t>영양소 섭취기준(끼니 분산)</t>
  </si>
  <si>
    <t>N133</t>
  </si>
  <si>
    <t>과자 대신 견과류 사 두기</t>
  </si>
  <si>
    <t>집에 둔 간식이 그날 먹는 간식이에요.</t>
  </si>
  <si>
    <t>WHO 건강식 · 비만학회 행동치료</t>
  </si>
  <si>
    <t>만성 신장질환(전 단계)</t>
  </si>
  <si>
    <t>견과류는 칼륨 · 인이 높다. 확정 세트의 「간식은 견과류 한 줌으로」가 이미 신장 전 단계 금지인데, 같은 성격인 이 문구들에는 빠져 있거나 3기 이상으로만 적혀 있다.</t>
  </si>
  <si>
    <t>N134</t>
  </si>
  <si>
    <t>구내식당 튀김은 한 조각만</t>
  </si>
  <si>
    <t>덜 담는 것으로 충분해요. 빼지 않아도 돼요.</t>
  </si>
  <si>
    <t>N135</t>
  </si>
  <si>
    <t>고기에서 나온 기름으로 충분해요.</t>
  </si>
  <si>
    <t>N136</t>
  </si>
  <si>
    <t>명절 상은 기름진 음식이 한꺼번에 올라와요.</t>
  </si>
  <si>
    <t>N137</t>
  </si>
  <si>
    <t>회식 안주는 구이 · 찜으로</t>
  </si>
  <si>
    <t>안주 조리법만 바꿔도 지방이 크게 줄어요.</t>
  </si>
  <si>
    <t>N138</t>
  </si>
  <si>
    <t>곡류 · 식이섬유</t>
  </si>
  <si>
    <t>흰밥에 잡곡 한 숟갈 섞기</t>
  </si>
  <si>
    <t>한 숟갈부터 섞으면 입에 붙어요.</t>
  </si>
  <si>
    <t>식생활지침 수칙 1(통곡물)</t>
  </si>
  <si>
    <t>N139</t>
  </si>
  <si>
    <t>흰빵 대신 통밀빵</t>
  </si>
  <si>
    <t>같은 빵이라도 식후 혈당이 덜 올라요.</t>
  </si>
  <si>
    <t>편의점 · 카페</t>
  </si>
  <si>
    <t>당뇨병학회 진료지침(식이섬유)</t>
  </si>
  <si>
    <t>N140</t>
  </si>
  <si>
    <t>한 끼는 잡곡밥으로</t>
  </si>
  <si>
    <t>끼니 하나만 바꿔도 하루 식이섬유가 늘어요.</t>
  </si>
  <si>
    <t>당뇨병학회 · 지질학회 5판</t>
  </si>
  <si>
    <t>N141</t>
  </si>
  <si>
    <t>장 볼 때 통곡물 한 가지</t>
  </si>
  <si>
    <t>사 두어야 끼니에 올릴 수 있어요.</t>
  </si>
  <si>
    <t>N142</t>
  </si>
  <si>
    <t>오늘 밥은 모두 잡곡으로</t>
  </si>
  <si>
    <t>하루 전부를 바꿔 보는 단계예요.</t>
  </si>
  <si>
    <t>신장 3기↑ 위장 수술 후</t>
  </si>
  <si>
    <t>N143</t>
  </si>
  <si>
    <t>죽이나 국밥으로 한 끼</t>
  </si>
  <si>
    <t>속이 편한 한 그릇이 다시 먹기 시작하기 좋아요.</t>
  </si>
  <si>
    <t>영양상담 표준 조언 약함</t>
  </si>
  <si>
    <t>N144</t>
  </si>
  <si>
    <t>먹을 수 있는 것부터 반 그릇</t>
  </si>
  <si>
    <t>못 먹은 날엔 양보다 시작이 먼저예요.</t>
  </si>
  <si>
    <t>식생활지침 수칙 1 약함</t>
  </si>
  <si>
    <t>N145</t>
  </si>
  <si>
    <t>저녁은 익힌 채소로 가볍게</t>
  </si>
  <si>
    <t>익힌 채소는 속에 부담이 적어요.</t>
  </si>
  <si>
    <t>N146</t>
  </si>
  <si>
    <t>늦은 저녁엔 국물 적게</t>
  </si>
  <si>
    <t>늦게 먹은 국물은 속쓰림과 부기로 남아요.</t>
  </si>
  <si>
    <t>ACG 위식도역류 지침 약함</t>
  </si>
  <si>
    <t>N147</t>
  </si>
  <si>
    <t>4차</t>
  </si>
  <si>
    <t>아침에 오트밀 한 그릇</t>
  </si>
  <si>
    <t>귀리는 섬유질이 많은 아침거리예요.</t>
  </si>
  <si>
    <t>당뇨병학회 식이섬유 · 전곡</t>
  </si>
  <si>
    <t>N148</t>
  </si>
  <si>
    <t>밥에 콩 한 숟갈 섞기</t>
  </si>
  <si>
    <t>콩을 섞으면 섬유질과 단백질이 같이 늘어요.</t>
  </si>
  <si>
    <t>N149</t>
  </si>
  <si>
    <t>간식은 고구마 한 개로</t>
  </si>
  <si>
    <t>간식은 고구마 반 개로</t>
  </si>
  <si>
    <t>고구마는 섬유질이 많아 오래 든든해요.</t>
  </si>
  <si>
    <t>고구마 한 개(약 200g)는 탄수화물 40g 안팎으로 간식 한 번 분량을 넘는다. 당뇨 · 혈당 경계 사용자에게 간식으로 권하기에 많다.</t>
  </si>
  <si>
    <t>N150</t>
  </si>
  <si>
    <t>시리얼은 통곡물로 고르기</t>
  </si>
  <si>
    <t>시리얼은 당 적은 것으로</t>
  </si>
  <si>
    <t>겉면의 통곡물 표시를 확인해요.</t>
  </si>
  <si>
    <t>지질동맥경화학회 5판(통곡)</t>
  </si>
  <si>
    <t>시판 통곡물 시리얼도 첨가당이 많다. 「통곡물」만 보게 하면 당을 놓친다.</t>
  </si>
  <si>
    <t>N151</t>
  </si>
  <si>
    <t>국수는 메밀 · 통밀면으로</t>
  </si>
  <si>
    <t>같은 면이라도 거친 곡물이 천천히 소화돼요.</t>
  </si>
  <si>
    <t>N152</t>
  </si>
  <si>
    <t>잡곡밥 하루 두 끼로</t>
  </si>
  <si>
    <t>한 끼에서 두 끼로 늘리는 단계예요.</t>
  </si>
  <si>
    <t>N153</t>
  </si>
  <si>
    <t>반찬에 버섯 한 가지</t>
  </si>
  <si>
    <t>버섯은 열량 부담 없이 섬유질을 더해요.</t>
  </si>
  <si>
    <t>N154</t>
  </si>
  <si>
    <t>해조류 반찬 한 가지</t>
  </si>
  <si>
    <t>미역 · 김은 섬유질이 많은 반찬이에요.</t>
  </si>
  <si>
    <t>미역 · 김은 요오드가 매우 높다. 갑상선기능항진증 · 자가면역 갑상선질환에서 문제가 되는데, 갑상선(E03)은 진단 층에서 「가져오지 않음」이라 제한을 걸 수단이 없다. 제한 불가능한 위험은 문구를 빼는 것이 맞다.</t>
  </si>
  <si>
    <t>N155</t>
  </si>
  <si>
    <t>과일은 껍질째 먹기</t>
  </si>
  <si>
    <t>껍질 쪽에 섬유질이 몰려 있어요.</t>
  </si>
  <si>
    <t>WHO 채소·과일 400g</t>
  </si>
  <si>
    <t>N156</t>
  </si>
  <si>
    <t>샐러드에 콩 한 줌 더</t>
  </si>
  <si>
    <t>콩을 더하면 포만감이 오래 가요.</t>
  </si>
  <si>
    <t>지질동맥경화학회 5판(콩류)</t>
  </si>
  <si>
    <t>N157</t>
  </si>
  <si>
    <t>밥 · 빵 · 면 모두 통곡으로</t>
  </si>
  <si>
    <t>하루 곡류를 통째로 바꿔 보는 단계예요.</t>
  </si>
  <si>
    <t>위 절제 · 비만수술</t>
  </si>
  <si>
    <t>섬유질을 한 번에 크게 늘리는 행동이다. 위 절제 · 비만수술 후에는 소화 부담과 덤핑을 유발할 수 있다. N142에는 이미 표시돼 있다.</t>
  </si>
  <si>
    <t>N158</t>
  </si>
  <si>
    <t>매 끼니 섬유질 반찬 하나</t>
  </si>
  <si>
    <t>끼니마다 있으면 하루 권고량에 가까워져요.</t>
  </si>
  <si>
    <t>N159</t>
  </si>
  <si>
    <t>흰쌀 없이 하루 보내기</t>
  </si>
  <si>
    <t>잡곡 · 현미로만 채우는 단계예요.</t>
  </si>
  <si>
    <t>N142(오늘 밥은 모두 잡곡으로) · N157(밥·빵·면 모두 통곡으로)과 같은 행동이다. 같은 칸에 셋을 두면 회전 의미가 없다.</t>
  </si>
  <si>
    <t>N160</t>
  </si>
  <si>
    <t>간식은 과일 · 견과로만</t>
  </si>
  <si>
    <t>가공 간식을 통째로 바꾸는 단계예요.</t>
  </si>
  <si>
    <t>WHO 건강식</t>
  </si>
  <si>
    <t>N161</t>
  </si>
  <si>
    <t>콩류 반찬 하루 두 번</t>
  </si>
  <si>
    <t>콩은 섬유질과 단백질을 같이 채워요.</t>
  </si>
  <si>
    <t>N162</t>
  </si>
  <si>
    <t>아침은 통곡물로 고정하기</t>
  </si>
  <si>
    <t>하루 첫 끼를 정해 두면 흔들리지 않아요.</t>
  </si>
  <si>
    <t>N163</t>
  </si>
  <si>
    <t>조금씩 당기면 무리 없이 바뀌어요.</t>
  </si>
  <si>
    <t>관찰 연구</t>
  </si>
  <si>
    <t>N164</t>
  </si>
  <si>
    <t>약속이 있는 날이 가장 어려운 날이에요.</t>
  </si>
  <si>
    <t>N165</t>
  </si>
  <si>
    <t>저녁 뒤엔 마시는 것도 물로</t>
  </si>
  <si>
    <t>늦은 시간엔 음료도 열량이 돼요.</t>
  </si>
  <si>
    <t>N75와 중복. 4차에서 내가 추가했으나 기존 문구가 근거(ACG 지침)가 더 분명하다.</t>
  </si>
  <si>
    <t>N166</t>
  </si>
  <si>
    <t>간식도 단백질로 챙기기</t>
  </si>
  <si>
    <t>견과 · 요구르트 · 달걀이면 충분해요.</t>
  </si>
  <si>
    <t>N167</t>
  </si>
  <si>
    <t>붉은 고기 없는 하루</t>
  </si>
  <si>
    <t>생선 · 콩 · 달걀로도 채워져요.</t>
  </si>
  <si>
    <t>지질동맥경화학회 5판</t>
  </si>
  <si>
    <t>신장 3기↑ 철결핍 빈혈</t>
  </si>
  <si>
    <t>N168</t>
  </si>
  <si>
    <t>조리법만 바꿔도 기름이 크게 줄어요.</t>
  </si>
  <si>
    <t>N169</t>
  </si>
  <si>
    <t>한 끼를 30분에 걸쳐 먹기</t>
  </si>
  <si>
    <t>20분에서 한 단계 더 늘려 보는 단계예요.</t>
  </si>
  <si>
    <t>기본 칸의 「한 끼는 20분 이상 천천히」와 차이가 10분뿐이다. 도전 단계로서 난이도 차이가 있는지 임상 판단이 필요하다.</t>
  </si>
  <si>
    <t>N170</t>
  </si>
  <si>
    <t>대충 때우는 끼니가 줄어요.</t>
  </si>
  <si>
    <t>N171</t>
  </si>
  <si>
    <t>봉지째 먹으면 양을 놓쳐요.</t>
  </si>
  <si>
    <t>N172</t>
  </si>
  <si>
    <t>혼밥에도 채소 한 가지</t>
  </si>
  <si>
    <t>혼자 먹는 끼니에서 채소가 먼저 빠져요.</t>
  </si>
  <si>
    <t>N173</t>
  </si>
  <si>
    <t>간단히 먹을수록 단백질이 빠지기 쉬워요.</t>
  </si>
  <si>
    <t>N174</t>
  </si>
  <si>
    <t>도시락에 채소 한 칸</t>
  </si>
  <si>
    <t>미리 담아 두면 그날 채소가 확보돼요.</t>
  </si>
  <si>
    <t>N175</t>
  </si>
  <si>
    <t>도시락에 달걀 하나</t>
  </si>
  <si>
    <t>가장 손쉬운 단백질 한 가지예요.</t>
  </si>
  <si>
    <t>N176</t>
  </si>
  <si>
    <t>도시락 국물은 빼기</t>
  </si>
  <si>
    <t>국물을 빼면 짠맛이 가장 많이 줄어요.</t>
  </si>
  <si>
    <t>N177</t>
  </si>
  <si>
    <t>도시락 반찬은 구이로</t>
  </si>
  <si>
    <t>튀김은 식으면 기름이 더 느껴져요.</t>
  </si>
  <si>
    <t>N178</t>
  </si>
  <si>
    <t>함께 먹는 반찬이 늘면 나도 늘어요.</t>
  </si>
  <si>
    <t>N179</t>
  </si>
  <si>
    <t>국은 각자 그릇에 덜기</t>
  </si>
  <si>
    <t>큰 냄비째 두면 더 먹게 돼요.</t>
  </si>
  <si>
    <t>N180</t>
  </si>
  <si>
    <t>같이 먹을 땐 속도 맞추기</t>
  </si>
  <si>
    <t>빨리 먹는 사람을 따라가지 않게 돼요.</t>
  </si>
  <si>
    <t>N181</t>
  </si>
  <si>
    <t>냉면 국물은 반만</t>
  </si>
  <si>
    <t>여름 면 요리 나트륨도 국물에 있어요.</t>
  </si>
  <si>
    <t>N182</t>
  </si>
  <si>
    <t>아이스크림 대신 얼린 과일</t>
  </si>
  <si>
    <t>시원한 느낌은 그대로 당만 줄어요.</t>
  </si>
  <si>
    <t>N183</t>
  </si>
  <si>
    <t>떠 있는 기름만 걷어도 달라져요.</t>
  </si>
  <si>
    <t>N184</t>
  </si>
  <si>
    <t>더운 날 음료는 물부터</t>
  </si>
  <si>
    <t>갈증부터 채우면 단 음료가 덜 당겨요.</t>
  </si>
  <si>
    <t>N185</t>
  </si>
  <si>
    <t>식후 커피는 무가당으로</t>
  </si>
  <si>
    <t>식후 한 잔이 매일이면 쌓여요.</t>
  </si>
  <si>
    <t>N186</t>
  </si>
  <si>
    <t>갈증을 허기로 착각하기 쉬워요.</t>
  </si>
  <si>
    <t>N187</t>
  </si>
  <si>
    <t>식사 뒤 바로 치우기</t>
  </si>
  <si>
    <t>남은 음식을 계속 집는 걸 막아요.</t>
  </si>
  <si>
    <t>N188</t>
  </si>
  <si>
    <t>조금씩 자주 나눠 먹기</t>
  </si>
  <si>
    <t>한 번에 못 먹으면 횟수를 늘려요.</t>
  </si>
  <si>
    <t>영양상담 표준 조언</t>
  </si>
  <si>
    <t>N189</t>
  </si>
  <si>
    <t>물이나 국물로 수분 먼저</t>
  </si>
  <si>
    <t>미지근한 물부터 한 잔</t>
  </si>
  <si>
    <t>못 먹은 날엔 수분부터 채워요.</t>
  </si>
  <si>
    <t>국물은 나트륨 급원이다. 회복 풀이라도 고혈압 · 신장 · 심부전에 역방향이다. 4차에서 내가 만든 문구의 오류.</t>
  </si>
  <si>
    <t>N190</t>
  </si>
  <si>
    <t>저녁은 익숙한 음식으로</t>
  </si>
  <si>
    <t>피곤한 날엔 새로운 음식이 부담돼요.</t>
  </si>
  <si>
    <t>N191</t>
  </si>
  <si>
    <t>저녁은 한 그릇 음식으로</t>
  </si>
  <si>
    <t>차리는 수고를 줄이는 것도 방법이에요.</t>
  </si>
  <si>
    <t>고혈압 · 신장질환</t>
  </si>
  <si>
    <t>「한 그릇 음식」은 국밥 · 덮밥 · 라면을 떠올리게 해 나트륨이 높다. 피곤한 날 부담을 줄인다는 취지는 조리 수고로 표현하는 편이 안전하다.</t>
  </si>
  <si>
    <t>질환 유형</t>
  </si>
  <si>
    <t>상병코드</t>
  </si>
  <si>
    <t>추가할 금지 문구</t>
  </si>
  <si>
    <t>임상 근거</t>
  </si>
  <si>
    <t>기존 문서 반영 위치</t>
  </si>
  <si>
    <t>I50 · Z49 · Z99.2 · Z94.0</t>
  </si>
  <si>
    <t>N44 따뜻한 물 한 잔으로 시작 · N72 야식 생각나면 물 한 잔 먼저 · N106 물병 채워 두고 시작하기 · N186 목마르면 물 한 잔 먼저 · N189 미지근한 물부터 한 잔</t>
  </si>
  <si>
    <t>수분 섭취를 늘리는 행동. 심부전은 울혈 악화, 투석 환자는 체중 증가와 폐부종 위험. 심부전의 수분 제한은 개인차가 있으나 「더 마시라」는 방향은 어느 쪽에도 맞지 않는다.</t>
  </si>
  <si>
    <t>상병코드 추천 ② 2-5 심혈관질환 금지 열 · ③ 투석 행</t>
  </si>
  <si>
    <t>당뇨병(확진 전원)</t>
  </si>
  <si>
    <t>E10~E14</t>
  </si>
  <si>
    <t>N27 저녁 뒤엔 먹지 않고 마무리 · N75 잠들기 전 2시간은 물만 · N48 아침 대신 바나나 하나 · N149 간식은 고구마 반 개로</t>
  </si>
  <si>
    <t>야간 공복 연장은 인슐린 · 설포닐우레아 사용자에게 야간 저혈당 위험. 처방 정보가 연동되지 않아 약물 종류를 알 수 없으므로 기존 당뇨 금지와 같은 원칙으로 확진 전원에 적용. 바나나 · 고구마는 혈당지수와 탄수화물량이 간식 한 번 분량을 넘는다.</t>
  </si>
  <si>
    <t>상병코드 추천 ② 2-1 당뇨병 금지 열</t>
  </si>
  <si>
    <t>N18 · N19</t>
  </si>
  <si>
    <t>N133 과자 대신 견과류 사 두기 · N160 간식은 과일 · 견과로만 · N166 간식도 단백질로 챙기기 · 확정 「과일은 한 줌만」</t>
  </si>
  <si>
    <t>견과류와 과일은 칼륨 · 인이 높다. 확정 세트의 「간식은 견과류 한 줌으로」 「채소 · 과일 한 접시 더」가 이미 같은 이유로 금지인데 동일 성격 문구에 빠져 있다.</t>
  </si>
  <si>
    <t>상병코드 추천 ② 2-4 만성 신장질환 금지 열</t>
  </si>
  <si>
    <t>Z90.3 · Z98.0 · K91.1</t>
  </si>
  <si>
    <t>N157 밥 · 빵 · 면 모두 통곡으로 · N162 아침은 통곡물로 고정하기</t>
  </si>
  <si>
    <t>섬유질을 한 번에 크게 늘리면 소화 부담과 덤핑을 유발할 수 있다. N142에는 이미 표시돼 있어 일관성이 필요하다.</t>
  </si>
  <si>
    <t>상병코드 추천 ③ 위 절제 · 비만수술 행</t>
  </si>
  <si>
    <t>고혈압 · 만성 신장질환</t>
  </si>
  <si>
    <t>I10~I15 · N18 · N19</t>
  </si>
  <si>
    <t>N191 저녁은 차리기 쉬운 것으로(원안: 한 그릇 음식으로)</t>
  </si>
  <si>
    <t>「한 그릇 음식」은 국밥 · 덮밥 · 라면을 떠올리게 해 나트륨이 높다. 문구를 조리 수고로 바꾸면 제한 없이 쓸 수 있으나, 원안을 유지한다면 제한이 필요하다.</t>
  </si>
  <si>
    <t>상병코드 추천 ② 2-2 고혈압 · 2-4 신장질환</t>
  </si>
  <si>
    <t>갑상선질환 (신규 검토)</t>
  </si>
  <si>
    <t>E05 · E06 · E03</t>
  </si>
  <si>
    <t>N154 해조류 반찬 한 가지 → 삭제 권고</t>
  </si>
  <si>
    <t>미역 · 김은 요오드 함량이 매우 높다. 갑상선기능항진증과 자가면역 갑상선질환에서 문제가 된다. 갑상선은 현재 「가져오지 않음」이라 제한을 걸 수단이 없으므로, 금지 전용 유형으로 추가하든지 문구를 빼든지 택해야 한다. 문구 하나 때문에 질환 유형을 늘리는 것보다 빼는 쪽을 권한다.</t>
  </si>
  <si>
    <t>상병코드 추천 ⑤ 가져오지 않는 것 · ⑨ 검토 포인트 신규</t>
  </si>
  <si>
    <t>R13 · I69 · G30 · F00~F03</t>
  </si>
  <si>
    <t>N30 한 입에 스무 번 씹기 · N31 밥은 젓가락으로 먹기 (확인 필요)</t>
  </si>
  <si>
    <t>해롭지는 않으나 수행이 불가능한 집단이 있다. 진단 층이 아니라 서비스 대상 정책에서 다룰 문제라는 기존 판단과 같은 성격이다.</t>
  </si>
  <si>
    <t>상병코드 추천 ⑨-5 인지 · 연하 장애 대상 정책</t>
  </si>
  <si>
    <t>#</t>
  </si>
  <si>
    <t>항목</t>
  </si>
  <si>
    <t>쟁점</t>
  </si>
  <si>
    <t>결정 주체</t>
  </si>
  <si>
    <t>과일 문구의 범위</t>
  </si>
  <si>
    <t>과당 섭취가 해롭다는 지적에 따라 과일 문구를 줄일지</t>
  </si>
  <si>
    <t>구분해서 본다. WHO 당류 지침은 유리당(첨가당 · 주스)을 제한하며 통과일은 명시적으로 제외한다. 과당의 해로움 근거는 첨가 과당 · 액상과당 · 가당 음료에 대한 것이고, 통과일 섭취는 코호트에서 일관되게 심혈관 · 당뇨 위험 감소와 연관된다. 다만 「대체」가 아니라 「추가」로 권하는 문구는 당뇨 · 비만 사용자에게 열량과 당이 순증하므로 뺄 근거가 있다. 대체형(주스→생과일, 케이크→과일, 아이스크림→얼린 과일)은 유지, 추가형(N2 아침에 과일 한 조각, N45 빈 끼를 과일로)은 삭제 · 수정했다.</t>
  </si>
  <si>
    <t>기획 · 의학팀</t>
  </si>
  <si>
    <t>N26 야식 대신 일찍 잠자리로</t>
  </si>
  <si>
    <t>식이 축 문구인데 실제 행동은 취침이다</t>
  </si>
  <si>
    <t>수면 목표가 같은 행동을 낼 경우 두 타일에 같은 말이 나간다. 수면 축 설계 후 어디에 둘지 정한다. 그때까지 보류.</t>
  </si>
  <si>
    <t>기획</t>
  </si>
  <si>
    <t>N169 한 끼를 30분에 걸쳐 먹기</t>
  </si>
  <si>
    <t>기본 칸의 「20분 이상」과 10분 차이뿐</t>
  </si>
  <si>
    <t>단계 구분이 되는지 임상 판단 필요. 되지 않는다면 도전 칸은 다른 행동(예: 식사 중 두 번 멈추기)으로 채우는 편이 낫다.</t>
  </si>
  <si>
    <t>의학팀</t>
  </si>
  <si>
    <t>N167 붉은 고기 없는 하루</t>
  </si>
  <si>
    <t>지질 이득과 철결핍 빈혈 위험이 충돌</t>
  </si>
  <si>
    <t>지질동맥경화학회는 적색육 · 가공육 제한을 권고하고, 철결핍 빈혈에서는 헴철 급원이 줄어 불리하다. 제한 열에 둘 다 표시했으나 우선순위는 임상 판단이다.</t>
  </si>
  <si>
    <t>「물만」 계열 세 문구</t>
  </si>
  <si>
    <t>N24 · N75 · N165가 사실상 같은 행동</t>
  </si>
  <si>
    <t>취침 기준이고 근거(ACG 지침)가 분명한 N75만 남기고 둘을 삭제했다. N24의 「밤 9시」는 취침 시각이 제각각인 사용자에게 임의값이다.</t>
  </si>
  <si>
    <t>통곡 전면 전환 세 문구</t>
  </si>
  <si>
    <t>N142 · N157 · N159가 같은 행동</t>
  </si>
  <si>
    <t>N159를 삭제했다. 같은 칸에 셋을 두면 회전의 의미가 없다.</t>
  </si>
  <si>
    <t>근거 강도 「약함」 문구의 비중</t>
  </si>
  <si>
    <t>지침 수준 권고가 없는 문구가 세트에 섞여 있다</t>
  </si>
  <si>
    <t>「약함」 표시 자체는 유지하되, 같은 칸에 약함 문구만 남는 상황을 막아야 한다. 문구 선정에서 약함은 후순위로 두는 규칙을 검토한다.</t>
  </si>
  <si>
    <t>검수자 자격</t>
  </si>
  <si>
    <t>이 검수는 실제 의학팀 승인을 대체하지 않는다</t>
  </si>
  <si>
    <t>가정의학 임상 관점에서 지침 대조와 안전 검토를 수행한 결과이며, 문구 단위 최종 승인은 의학팀이 해야 한다. 특히 신규 금지 규칙 7건과 쟁점 4건은 의학팀 확인 전 반영하지 않는 것이 맞다.</t>
  </si>
  <si>
    <t>뜻</t>
  </si>
  <si>
    <t>건수</t>
  </si>
  <si>
    <t>처리</t>
  </si>
  <si>
    <t>그대로 쓸 수 있다</t>
  </si>
  <si>
    <t>문구 세트에 편입</t>
  </si>
  <si>
    <t>금지 · 제한을 추가하면 쓸 수 있다</t>
  </si>
  <si>
    <t>신규금지규칙 시트 반영 후 편입</t>
  </si>
  <si>
    <t>문구나 이유 문장을 고쳐야 한다</t>
  </si>
  <si>
    <t>검수 후 문구 열 적용</t>
  </si>
  <si>
    <t>해롭지는 않으나 수행 불가 집단이 있다</t>
  </si>
  <si>
    <t>서비스 대상 정책에서 판단</t>
  </si>
  <si>
    <t>축 적합성 · 단계 구분에 의문</t>
  </si>
  <si>
    <t>설계 확정 후 재검토</t>
  </si>
  <si>
    <t>제한 불가 위험 또는 중복</t>
  </si>
  <si>
    <t>세트에서 뺀다</t>
  </si>
  <si>
    <t>합계</t>
  </si>
  <si>
    <t>가장 중요한 것</t>
  </si>
  <si>
    <t>· 수분을 늘리는 문구 5개에 심부전 · 투석 금지가 없다. 상병코드 추천이 「그런 문구가 생기면 제외하라」고 미리 적어 둔 항목이 확장으로 실제 생겼다.</t>
  </si>
  <si>
    <t>· 야간 공복을 늘리는 문구에 당뇨 금지가 빠져 있다. 처방 정보가 없어 저혈당 위험군을 가릴 수 없으므로 확진 전원에 적용해야 한다.</t>
  </si>
  <si>
    <t>· 해조류 문구는 요오드 때문에 갑상선질환에 문제가 되는데, 갑상선은 진단 층에서 가져오지 않아 제한을 걸 수단이 없다. 그래서 삭제를 권한다.</t>
  </si>
  <si>
    <t>· 견과류 · 과일의 신장 제한이 확정 세트와 확장 세트에서 서로 다르게 적용돼 있다.</t>
  </si>
  <si>
    <t>오늘 세 끼 챙기기</t>
    <phoneticPr fontId="1" type="noConversion"/>
  </si>
  <si>
    <t>국 대신 나물 반찬</t>
    <phoneticPr fontId="1" type="noConversion"/>
  </si>
  <si>
    <t>고기엔 쌈 채소 함께</t>
    <phoneticPr fontId="1" type="noConversion"/>
  </si>
  <si>
    <t>외식에도 채소 하나 더</t>
    <phoneticPr fontId="1" type="noConversion"/>
  </si>
  <si>
    <t>끼니마다 채소 두 가지</t>
    <phoneticPr fontId="1" type="noConversion"/>
  </si>
  <si>
    <t>오늘 단 간식 없이</t>
    <phoneticPr fontId="1" type="noConversion"/>
  </si>
  <si>
    <t>오늘 국물 없이</t>
    <phoneticPr fontId="1" type="noConversion"/>
  </si>
  <si>
    <t>우유 · 두유 한 잔</t>
    <phoneticPr fontId="1" type="noConversion"/>
  </si>
  <si>
    <t>튀김 대신 구이 · 찜</t>
    <phoneticPr fontId="1" type="noConversion"/>
  </si>
  <si>
    <t>라면 대신 국수 · 밥</t>
    <phoneticPr fontId="1" type="noConversion"/>
  </si>
  <si>
    <t>세 끼 시각 평소대로</t>
    <phoneticPr fontId="1" type="noConversion"/>
  </si>
  <si>
    <t>국에 채소 한 줌</t>
    <phoneticPr fontId="1" type="noConversion"/>
  </si>
  <si>
    <t>모든 끼니에 채소</t>
    <phoneticPr fontId="1" type="noConversion"/>
  </si>
  <si>
    <t>짠 반찬은 한 가지만</t>
    <phoneticPr fontId="1" type="noConversion"/>
  </si>
  <si>
    <t>중간에 한 번 멈추기</t>
    <phoneticPr fontId="1" type="noConversion"/>
  </si>
  <si>
    <t>콩 반찬 하나 챙기기</t>
    <phoneticPr fontId="1" type="noConversion"/>
  </si>
  <si>
    <t>볶음 대신 데친 반찬</t>
    <phoneticPr fontId="1" type="noConversion"/>
  </si>
  <si>
    <t>기름 없이 굽기</t>
    <phoneticPr fontId="1" type="noConversion"/>
  </si>
  <si>
    <t>약속 날에도 저녁 제때</t>
    <phoneticPr fontId="1" type="noConversion"/>
  </si>
  <si>
    <t>혼자여도 상 차려 먹기</t>
    <phoneticPr fontId="1" type="noConversion"/>
  </si>
  <si>
    <t>가족 반찬에 채소 하나</t>
    <phoneticPr fontId="1" type="noConversion"/>
  </si>
  <si>
    <t>목마르면 물 먼저</t>
    <phoneticPr fontId="1" type="noConversion"/>
  </si>
  <si>
    <t>점심 늦지 않게</t>
    <phoneticPr fontId="1" type="noConversion"/>
  </si>
  <si>
    <t>시럽 · 크림 빼기</t>
    <phoneticPr fontId="1" type="noConversion"/>
  </si>
  <si>
    <t>소스에 찍지 않기</t>
    <phoneticPr fontId="1" type="noConversion"/>
  </si>
  <si>
    <t>젓갈 · 장아찌 빼기</t>
    <phoneticPr fontId="1" type="noConversion"/>
  </si>
  <si>
    <t>소스는 따로 달라고</t>
    <phoneticPr fontId="1" type="noConversion"/>
  </si>
  <si>
    <t>휴대폰 끄고 식사</t>
    <phoneticPr fontId="1" type="noConversion"/>
  </si>
  <si>
    <t>끼니마다 다른 단백질</t>
    <phoneticPr fontId="1" type="noConversion"/>
  </si>
  <si>
    <t>삼겹살 대신 목살</t>
    <phoneticPr fontId="1" type="noConversion"/>
  </si>
  <si>
    <t>드레싱은 반만</t>
    <phoneticPr fontId="1" type="noConversion"/>
  </si>
  <si>
    <t>저녁은 가볍게라도</t>
    <phoneticPr fontId="1" type="noConversion"/>
  </si>
  <si>
    <t>출근길에 아침 챙기기</t>
    <phoneticPr fontId="1" type="noConversion"/>
  </si>
  <si>
    <t>저녁 반찬 절반 채소</t>
    <phoneticPr fontId="1" type="noConversion"/>
  </si>
  <si>
    <t>찌개는 건더기만</t>
    <phoneticPr fontId="1" type="noConversion"/>
  </si>
  <si>
    <t>볶음밥 대신 흰밥</t>
    <phoneticPr fontId="1" type="noConversion"/>
  </si>
  <si>
    <t>간식은 삶은 달걀</t>
    <phoneticPr fontId="1" type="noConversion"/>
  </si>
  <si>
    <t>닭가슴살 · 살코기</t>
    <phoneticPr fontId="1" type="noConversion"/>
  </si>
  <si>
    <t>저녁은 생선 · 두부</t>
    <phoneticPr fontId="1" type="noConversion"/>
  </si>
  <si>
    <t>명절 상에도 나물 먼저</t>
    <phoneticPr fontId="1" type="noConversion"/>
  </si>
  <si>
    <t>달달한 커피 쉬기</t>
    <phoneticPr fontId="1" type="noConversion"/>
  </si>
  <si>
    <t>후식 · 디저트 없이</t>
    <phoneticPr fontId="1" type="noConversion"/>
  </si>
  <si>
    <t>식탁에 소금 안 두기</t>
    <phoneticPr fontId="1" type="noConversion"/>
  </si>
  <si>
    <t>라면 · 즉석식품 없이</t>
    <phoneticPr fontId="1" type="noConversion"/>
  </si>
  <si>
    <t>저녁 후 부엌 정리</t>
    <phoneticPr fontId="1" type="noConversion"/>
  </si>
  <si>
    <t>전 · 튀김은 한 접시</t>
    <phoneticPr fontId="1" type="noConversion"/>
  </si>
  <si>
    <t>저녁 30분 당기기</t>
    <phoneticPr fontId="1" type="noConversion"/>
  </si>
  <si>
    <t>혼밥도 그릇에 덜어</t>
    <phoneticPr fontId="1" type="noConversion"/>
  </si>
  <si>
    <t>혼밥에도 단백질 하나</t>
    <phoneticPr fontId="1" type="noConversion"/>
  </si>
  <si>
    <t>국물 기름 걷어내기</t>
    <phoneticPr fontId="1" type="noConversion"/>
  </si>
  <si>
    <t>저녁은 쉬운 것으로</t>
    <phoneticPr fontId="1" type="noConversion"/>
  </si>
  <si>
    <t>점심은 늦지 않게 챙기기</t>
    <phoneticPr fontId="1" type="noConversion"/>
  </si>
  <si>
    <t>오늘 세 끼 모두 챙기기</t>
    <phoneticPr fontId="1" type="noConversion"/>
  </si>
  <si>
    <t>국 대신 나물 한 접시</t>
    <phoneticPr fontId="1" type="noConversion"/>
  </si>
  <si>
    <t>고기 먹을 땐 쌈 채소 함께</t>
    <phoneticPr fontId="1" type="noConversion"/>
  </si>
  <si>
    <t>외식 때 채소 반찬 하나 추가</t>
    <phoneticPr fontId="1" type="noConversion"/>
  </si>
  <si>
    <t>매 끼니 채소 두 가지</t>
    <phoneticPr fontId="1" type="noConversion"/>
  </si>
  <si>
    <t>커피는 시럽 · 크림 빼고</t>
    <phoneticPr fontId="1" type="noConversion"/>
  </si>
  <si>
    <t>단 간식 오늘 하루 쉬기</t>
    <phoneticPr fontId="1" type="noConversion"/>
  </si>
  <si>
    <t>간장 · 소스에 찍지 않기</t>
    <phoneticPr fontId="1" type="noConversion"/>
  </si>
  <si>
    <t>젓갈 · 장아찌 한 끼 빼기</t>
    <phoneticPr fontId="1" type="noConversion"/>
  </si>
  <si>
    <t>외식 때 소스는 따로 달라고</t>
    <phoneticPr fontId="1" type="noConversion"/>
  </si>
  <si>
    <t>오늘 세 끼 국물 없이</t>
    <phoneticPr fontId="1" type="noConversion"/>
  </si>
  <si>
    <t>TV · 휴대폰 끄고 식사</t>
    <phoneticPr fontId="1" type="noConversion"/>
  </si>
  <si>
    <t>두유나 우유 한 잔 챙기기</t>
    <phoneticPr fontId="1" type="noConversion"/>
  </si>
  <si>
    <t>끼니마다 다른 단백질 반찬</t>
    <phoneticPr fontId="1" type="noConversion"/>
  </si>
  <si>
    <t>튀김 대신 구이 · 찜 한 끼</t>
    <phoneticPr fontId="1" type="noConversion"/>
  </si>
  <si>
    <t>삼겹살 대신 목살 · 안심</t>
    <phoneticPr fontId="1" type="noConversion"/>
  </si>
  <si>
    <t>드레싱 · 마요네즈는 반만</t>
    <phoneticPr fontId="1" type="noConversion"/>
  </si>
  <si>
    <t>라면 대신 국수 · 밥 한 끼</t>
    <phoneticPr fontId="1" type="noConversion"/>
  </si>
  <si>
    <t>늦어도 저녁은 가볍게라도</t>
    <phoneticPr fontId="1" type="noConversion"/>
  </si>
  <si>
    <t>출근길에 아침 챙겨 먹기</t>
    <phoneticPr fontId="1" type="noConversion"/>
  </si>
  <si>
    <t>세 끼 시각 모두 평소대로</t>
    <phoneticPr fontId="1" type="noConversion"/>
  </si>
  <si>
    <t>국에 채소 한 줌 더 넣기</t>
    <phoneticPr fontId="1" type="noConversion"/>
  </si>
  <si>
    <t>채소 없는 끼니 없이 하루</t>
    <phoneticPr fontId="1" type="noConversion"/>
  </si>
  <si>
    <t>저녁 반찬 절반은 채소로</t>
    <phoneticPr fontId="1" type="noConversion"/>
  </si>
  <si>
    <t>찌개는 앞접시에 건더기만</t>
    <phoneticPr fontId="1" type="noConversion"/>
  </si>
  <si>
    <t>짠 반찬은 한 끼에 한 가지만</t>
    <phoneticPr fontId="1" type="noConversion"/>
  </si>
  <si>
    <t>볶음밥 대신 흰밥에 반찬</t>
    <phoneticPr fontId="1" type="noConversion"/>
  </si>
  <si>
    <t>식사 중간에 한 번 멈추기</t>
    <phoneticPr fontId="1" type="noConversion"/>
  </si>
  <si>
    <t>간식으로 삶은 달걀 하나</t>
    <phoneticPr fontId="1" type="noConversion"/>
  </si>
  <si>
    <t>닭가슴살 · 살코기 한 끼</t>
    <phoneticPr fontId="1" type="noConversion"/>
  </si>
  <si>
    <t>콩 반찬 한 가지 챙기기</t>
    <phoneticPr fontId="1" type="noConversion"/>
  </si>
  <si>
    <t>저녁 단백질은 생선 · 두부로</t>
    <phoneticPr fontId="1" type="noConversion"/>
  </si>
  <si>
    <t>볶음 대신 데친 반찬 한 가지</t>
    <phoneticPr fontId="1" type="noConversion"/>
  </si>
  <si>
    <t>연휴에도 끼니 시각 지키기</t>
    <phoneticPr fontId="1" type="noConversion"/>
  </si>
  <si>
    <t>명절 상에서도 나물 먼저</t>
    <phoneticPr fontId="1" type="noConversion"/>
  </si>
  <si>
    <t>달달한 커피 오늘은 쉬기</t>
    <phoneticPr fontId="1" type="noConversion"/>
  </si>
  <si>
    <t>후식 · 디저트 없이 하루</t>
    <phoneticPr fontId="1" type="noConversion"/>
  </si>
  <si>
    <t>식탁에 소금 · 간장 두지 않기</t>
    <phoneticPr fontId="1" type="noConversion"/>
  </si>
  <si>
    <t>오늘은 라면 · 즉석식품 없이</t>
    <phoneticPr fontId="1" type="noConversion"/>
  </si>
  <si>
    <t>저녁 먹고 부엌 정리하기</t>
    <phoneticPr fontId="1" type="noConversion"/>
  </si>
  <si>
    <t>주말에도 저녁 시각 지키기</t>
    <phoneticPr fontId="1" type="noConversion"/>
  </si>
  <si>
    <t>고기 구울 땐 기름 두르지 않기</t>
    <phoneticPr fontId="1" type="noConversion"/>
  </si>
  <si>
    <t>명절 전 · 튀김은 한 접시만</t>
    <phoneticPr fontId="1" type="noConversion"/>
  </si>
  <si>
    <t>저녁 시각 30분 당기기</t>
    <phoneticPr fontId="1" type="noConversion"/>
  </si>
  <si>
    <t>약속 있는 날에도 저녁 제때</t>
    <phoneticPr fontId="1" type="noConversion"/>
  </si>
  <si>
    <t>오늘 조리는 굽거나 찌기로</t>
    <phoneticPr fontId="1" type="noConversion"/>
  </si>
  <si>
    <t>혼자 먹어도 상 차려 먹기</t>
    <phoneticPr fontId="1" type="noConversion"/>
  </si>
  <si>
    <t>혼밥에도 그릇에 덜어 먹기</t>
    <phoneticPr fontId="1" type="noConversion"/>
  </si>
  <si>
    <t>혼밥에도 단백질 한 가지</t>
    <phoneticPr fontId="1" type="noConversion"/>
  </si>
  <si>
    <t>가족 반찬에 채소 하나 더</t>
    <phoneticPr fontId="1" type="noConversion"/>
  </si>
  <si>
    <t>국물 위 기름은 걷어내기</t>
    <phoneticPr fontId="1" type="noConversion"/>
  </si>
  <si>
    <t>목마르면 물 한 잔 먼저</t>
    <phoneticPr fontId="1" type="noConversion"/>
  </si>
  <si>
    <t>연휴에도 제시간에</t>
    <phoneticPr fontId="1" type="noConversion"/>
  </si>
  <si>
    <t>주말에도 저녁 제때</t>
    <phoneticPr fontId="1" type="noConversion"/>
  </si>
  <si>
    <t>튀김 대신 굽거나 찌기</t>
    <phoneticPr fontId="1" type="noConversion"/>
  </si>
  <si>
    <t>N192</t>
  </si>
  <si>
    <t>5차</t>
  </si>
  <si>
    <t>먹을 양 먼저 정하기</t>
  </si>
  <si>
    <t>먹기 전에 먹을 양을 정해 두는 행동이에요.</t>
  </si>
  <si>
    <t>MOHW-DIETGUIDE</t>
  </si>
  <si>
    <t>검수 대기</t>
  </si>
  <si>
    <t>2026-10-06 추가. 국내외 학회 가이드라인 근거. 계약서 DIET-P-0239</t>
  </si>
  <si>
    <t>N193</t>
  </si>
  <si>
    <t>꼭꼭 씹어 먹기</t>
  </si>
  <si>
    <t>평소보다 더 씹어 보는 행동이에요.</t>
  </si>
  <si>
    <t>KSSO-OBESITY</t>
  </si>
  <si>
    <t>2026-10-06 추가. 국내외 학회 가이드라인 근거. 계약서 DIET-P-0240</t>
  </si>
  <si>
    <t>N194</t>
  </si>
  <si>
    <t>마가린·쇼트닝 빼기</t>
  </si>
  <si>
    <t>트랜스지방이 많은 기름을 빼는 행동이에요.</t>
  </si>
  <si>
    <t>KSoLA-2022 / WHO-FAT-2023</t>
  </si>
  <si>
    <t>2026-10-06 추가. 국내외 학회 가이드라인 근거. 계약서 DIET-P-0241</t>
  </si>
  <si>
    <t>N195</t>
  </si>
  <si>
    <t>고기 기름 떼고 먹기</t>
  </si>
  <si>
    <t>눈에 보이는 기름을 떼어 내는 행동이에요.</t>
  </si>
  <si>
    <t>KSoLA-2022</t>
  </si>
  <si>
    <t>2026-10-06 추가. 국내외 학회 가이드라인 근거. 계약서 DIET-P-0242</t>
  </si>
  <si>
    <t>N196</t>
  </si>
  <si>
    <t>포화지방 표시 보기</t>
  </si>
  <si>
    <t>제품의 포화지방·트랜스지방 표시를 보는 행동이에요.</t>
  </si>
  <si>
    <t>WHO-FAT-2023 / KSoLA-2022</t>
  </si>
  <si>
    <t>2026-10-06 추가. 국내외 학회 가이드라인 근거. 계약서 DIET-P-0243</t>
  </si>
  <si>
    <t>N197</t>
  </si>
  <si>
    <t>버섯·다시마로 맛내기</t>
  </si>
  <si>
    <t>소금 대신 재료로 맛을 내는 행동이에요.</t>
  </si>
  <si>
    <t>MFDS-SODIUM</t>
  </si>
  <si>
    <t>2026-10-06 추가. 국내외 학회 가이드라인 근거. 계약서 DIET-P-0244</t>
  </si>
  <si>
    <t>N198</t>
  </si>
  <si>
    <t>덜 짠 제품 고르기</t>
  </si>
  <si>
    <t>같은 제품군에서 나트륨이 적은 것을 고르는 행동이에요.</t>
  </si>
  <si>
    <t>2026-10-06 추가. 국내외 학회 가이드라인 근거. 계약서 DIET-P-0245</t>
  </si>
  <si>
    <t>N199</t>
  </si>
  <si>
    <t>반찬 하나는 콩·두부로</t>
  </si>
  <si>
    <t>반찬 하나를 콩이나 두부로 하는 행동이에요.</t>
  </si>
  <si>
    <t>KDA-2023 / KSH-2022</t>
  </si>
  <si>
    <t>2026-10-06 추가. 국내외 학회 가이드라인 근거. 계약서 DIET-P-0246</t>
  </si>
  <si>
    <t>N200</t>
  </si>
  <si>
    <t>간식도 당류 표시 보기</t>
  </si>
  <si>
    <t>간식의 당류 표시를 보고 고르는 행동이에요.</t>
  </si>
  <si>
    <t>MFDS-SUGAR</t>
  </si>
  <si>
    <t>2026-10-06 추가. 국내외 학회 가이드라인 근거. 계약서 DIET-P-0247</t>
  </si>
  <si>
    <t>N201</t>
  </si>
  <si>
    <t>세 끼 시간 정해 두기</t>
  </si>
  <si>
    <t>끼니 시각을 미리 정해 두는 행동이에요.</t>
  </si>
  <si>
    <t>2026-10-06 추가. 국내외 학회 가이드라인 근거. 계약서 DIET-P-0248</t>
  </si>
  <si>
    <t>N202</t>
  </si>
  <si>
    <t>아침 시간 정해 두기</t>
  </si>
  <si>
    <t>아침을 먹는 시각을 정해 두는 행동이에요.</t>
  </si>
  <si>
    <t>2026-10-06 추가. 국내외 학회 가이드라인 근거. 계약서 DIET-P-0249</t>
  </si>
  <si>
    <t>N203</t>
  </si>
  <si>
    <t>야식도 그릇에 덜기</t>
  </si>
  <si>
    <t>봉지째 먹지 않고 그릇에 덜어 먹는 행동이에요.</t>
  </si>
  <si>
    <t>2026-10-06 추가. 국내외 학회 가이드라인 근거. 계약서 DIET-P-0250</t>
  </si>
  <si>
    <t>N204</t>
  </si>
  <si>
    <t>저녁 후 물 한 잔</t>
  </si>
  <si>
    <t>저녁 뒤에 물을 한 잔 마셔 보는 행동이에요.</t>
  </si>
  <si>
    <t>2026-10-06 추가. 국내외 학회 가이드라인 근거. 계약서 DIET-P-0251</t>
  </si>
  <si>
    <t>N205</t>
  </si>
  <si>
    <t>반찬은 먹을 만큼만</t>
  </si>
  <si>
    <t>먹을 만큼만 덜어 담는 행동이에요.</t>
  </si>
  <si>
    <t>2026-10-06 추가. 국내외 학회 가이드라인 근거. 계약서 DIET-P-0252</t>
  </si>
  <si>
    <t>N206</t>
  </si>
  <si>
    <t>버터 대신 올리브유</t>
  </si>
  <si>
    <t>버터 대신 올리브유를 쓰는 행동이에요.</t>
  </si>
  <si>
    <t>2026-10-06 추가. 국내외 학회 가이드라인 근거. 계약서 DIET-P-0253</t>
  </si>
  <si>
    <t>N207</t>
  </si>
  <si>
    <t>무침은 들기름으로</t>
  </si>
  <si>
    <t>무침에 들기름을 쓰는 행동이에요.</t>
  </si>
  <si>
    <t>WHO-FAT-2023</t>
  </si>
  <si>
    <t>2026-10-06 추가. 국내외 학회 가이드라인 근거. 계약서 DIET-P-0254</t>
  </si>
  <si>
    <t>N208</t>
  </si>
  <si>
    <t>마요 대신 머스터드</t>
  </si>
  <si>
    <t>마요네즈 대신 머스터드를 쓰는 행동이에요.</t>
  </si>
  <si>
    <t>2026-10-06 추가. 국내외 학회 가이드라인 근거. 계약서 DIET-P-0255</t>
  </si>
  <si>
    <t>N209</t>
  </si>
  <si>
    <t>크림소스 대신 토마토</t>
  </si>
  <si>
    <t>크림소스 대신 토마토소스를 고르는 행동이에요.</t>
  </si>
  <si>
    <t>2026-10-06 추가. 국내외 학회 가이드라인 근거. 계약서 DIET-P-0256</t>
  </si>
  <si>
    <t>N210</t>
  </si>
  <si>
    <t>닭은 껍질 빼고</t>
  </si>
  <si>
    <t>닭고기의 껍질을 빼고 먹는 행동이에요.</t>
  </si>
  <si>
    <t>2026-10-06 추가. 국내외 학회 가이드라인 근거. 계약서 DIET-P-0257</t>
  </si>
  <si>
    <t>N211</t>
  </si>
  <si>
    <t>가공육 대신 살코기</t>
  </si>
  <si>
    <t>햄·소시지 대신 살코기를 고르는 행동이에요.</t>
  </si>
  <si>
    <t>WHO-DIET</t>
  </si>
  <si>
    <t>2026-10-06 추가. 국내외 학회 가이드라인 근거. 계약서 DIET-P-0258</t>
  </si>
  <si>
    <t>N212</t>
  </si>
  <si>
    <t>간장 대신 식초·레몬</t>
  </si>
  <si>
    <t>간장 대신 식초나 레몬으로 맛을 내는 행동이에요.</t>
  </si>
  <si>
    <t>2026-10-06 추가. 국내외 학회 가이드라인 근거. 계약서 DIET-P-0259</t>
  </si>
  <si>
    <t>N213</t>
  </si>
  <si>
    <t>소금 대신 후추·마늘</t>
  </si>
  <si>
    <t>소금 대신 향신료로 맛을 내는 행동이에요.</t>
  </si>
  <si>
    <t>2026-10-06 추가. 국내외 학회 가이드라인 근거. 계약서 DIET-P-0260</t>
  </si>
  <si>
    <t>N214</t>
  </si>
  <si>
    <t>시럽 대신 계피 가루</t>
  </si>
  <si>
    <t>시럽 대신 계피 가루로 맛을 더하는 행동이에요.</t>
  </si>
  <si>
    <t>2026-10-06 추가. 국내외 학회 가이드라인 근거. 계약서 DIET-P-0262</t>
  </si>
  <si>
    <t>N215</t>
  </si>
  <si>
    <t>드레싱은 조금만</t>
  </si>
  <si>
    <t>드레싱 양을 줄여 보는 행동이에요.</t>
  </si>
  <si>
    <t>2026-10-06 추가. 국내외 학회 가이드라인 근거. 계약서 DIET-P-0263</t>
  </si>
  <si>
    <t>N216</t>
  </si>
  <si>
    <t>주말도 아침 챙기기</t>
  </si>
  <si>
    <t>주말에도 아침을 챙기는 행동이에요.</t>
  </si>
  <si>
    <t>2026-10-06 추가. 국내외 학회 가이드라인 근거. 계약서 DIET-P-0264</t>
  </si>
  <si>
    <t>N217</t>
  </si>
  <si>
    <t>퇴근 후 바로 저녁</t>
  </si>
  <si>
    <t>집에 오면 미루지 않고 저녁을 먹는 행동이에요.</t>
  </si>
  <si>
    <t>2026-10-06 추가. 국내외 학회 가이드라인 근거. 계약서 DIET-P-0265</t>
  </si>
  <si>
    <t>N218</t>
  </si>
  <si>
    <t>늦은 끼니는 가볍게</t>
  </si>
  <si>
    <t>늦게 먹는 끼니의 양을 줄여 보는 행동이에요.</t>
  </si>
  <si>
    <t>2026-10-06 추가. 국내외 학회 가이드라인 근거. 계약서 DIET-P-0266</t>
  </si>
  <si>
    <t>N219</t>
  </si>
  <si>
    <t>오징어·새우로 한 끼</t>
  </si>
  <si>
    <t>고기 대신 해산물로 한 끼를 차리는 행동이에요.</t>
  </si>
  <si>
    <t>2026-10-06 추가. 국내외 학회 가이드라인 근거. 계약서 DIET-P-0267</t>
  </si>
  <si>
    <t>N220</t>
  </si>
  <si>
    <t>생선은 구이로</t>
  </si>
  <si>
    <t>생선을 튀기지 않고 구워 먹는 행동이에요.</t>
  </si>
  <si>
    <t>2026-10-06 추가. 국내외 학회 가이드라인 근거. 계약서 DIET-P-0268</t>
  </si>
  <si>
    <t>계약서 문구 ID</t>
  </si>
  <si>
    <t>연결 상태</t>
  </si>
  <si>
    <t>DIET-P-0040</t>
  </si>
  <si>
    <t>근거대조서를 거쳐 연결</t>
  </si>
  <si>
    <t>계약서에 없음</t>
  </si>
  <si>
    <t>DIET-P-0041</t>
  </si>
  <si>
    <t>DIET-P-0042</t>
  </si>
  <si>
    <t>문구 그대로</t>
  </si>
  <si>
    <t>DIET-P-0044</t>
  </si>
  <si>
    <t>DIET-P-0045</t>
  </si>
  <si>
    <t>DIET-P-0046</t>
  </si>
  <si>
    <t>DIET-P-0047</t>
  </si>
  <si>
    <t>DIET-P-0048</t>
  </si>
  <si>
    <t>DIET-P-0049</t>
  </si>
  <si>
    <t>DIET-P-0050</t>
  </si>
  <si>
    <t>DIET-P-0051</t>
  </si>
  <si>
    <t>DIET-P-0053</t>
  </si>
  <si>
    <t>DIET-P-0054</t>
  </si>
  <si>
    <t>DIET-P-0055</t>
  </si>
  <si>
    <t>DIET-P-0056</t>
  </si>
  <si>
    <t>DIET-P-0057</t>
  </si>
  <si>
    <t>DIET-P-0058</t>
  </si>
  <si>
    <t>DIET-P-0059</t>
  </si>
  <si>
    <t>DIET-P-0066</t>
  </si>
  <si>
    <t>DIET-P-0070</t>
  </si>
  <si>
    <t>DIET-P-0071</t>
  </si>
  <si>
    <t>DIET-P-0072</t>
  </si>
  <si>
    <t>DIET-P-0073</t>
  </si>
  <si>
    <t>DIET-P-0074</t>
  </si>
  <si>
    <t>DIET-P-0075</t>
  </si>
  <si>
    <t>DIET-P-0076</t>
  </si>
  <si>
    <t>DIET-P-0077</t>
  </si>
  <si>
    <t>DIET-P-0078</t>
  </si>
  <si>
    <t>DIET-P-0079</t>
  </si>
  <si>
    <t>DIET-P-0082</t>
  </si>
  <si>
    <t>DIET-P-0083</t>
  </si>
  <si>
    <t>DIET-P-0087</t>
  </si>
  <si>
    <t>DIET-P-0088</t>
  </si>
  <si>
    <t>DIET-P-0089</t>
  </si>
  <si>
    <t>DIET-P-0093</t>
  </si>
  <si>
    <t>DIET-P-0094</t>
  </si>
  <si>
    <t>DIET-P-0095</t>
  </si>
  <si>
    <t>DIET-P-0100</t>
  </si>
  <si>
    <t>DIET-P-0102</t>
  </si>
  <si>
    <t>DIET-P-0103</t>
  </si>
  <si>
    <t>DIET-P-0104</t>
  </si>
  <si>
    <t>DIET-P-0105</t>
  </si>
  <si>
    <t>DIET-P-0107</t>
  </si>
  <si>
    <t>DIET-P-0110</t>
  </si>
  <si>
    <t>DIET-P-0114</t>
  </si>
  <si>
    <t>DIET-P-0115</t>
  </si>
  <si>
    <t>DIET-P-0118</t>
  </si>
  <si>
    <t>DIET-P-0119</t>
  </si>
  <si>
    <t>DIET-P-0121</t>
  </si>
  <si>
    <t>DIET-P-0122</t>
  </si>
  <si>
    <t>DIET-P-0124</t>
  </si>
  <si>
    <t>DIET-P-0126</t>
  </si>
  <si>
    <t>DIET-P-0131</t>
  </si>
  <si>
    <t>DIET-P-0136</t>
  </si>
  <si>
    <t>DIET-P-0139</t>
  </si>
  <si>
    <t>DIET-P-0141</t>
  </si>
  <si>
    <t>DIET-P-0146</t>
  </si>
  <si>
    <t>DIET-P-0147</t>
  </si>
  <si>
    <t>DIET-P-0148</t>
  </si>
  <si>
    <t>DIET-P-0149</t>
  </si>
  <si>
    <t>DIET-P-0150</t>
  </si>
  <si>
    <t>DIET-P-0153</t>
  </si>
  <si>
    <t>DIET-P-0154</t>
  </si>
  <si>
    <t>DIET-P-0156</t>
  </si>
  <si>
    <t>DIET-P-0157</t>
  </si>
  <si>
    <t>DIET-P-0161</t>
  </si>
  <si>
    <t>DIET-P-0165</t>
  </si>
  <si>
    <t>DIET-P-0169</t>
  </si>
  <si>
    <t>DIET-P-0172</t>
  </si>
  <si>
    <t>DIET-P-0173</t>
  </si>
  <si>
    <t>DIET-P-0180</t>
  </si>
  <si>
    <t>DIET-P-0181</t>
  </si>
  <si>
    <t>DIET-P-0182</t>
  </si>
  <si>
    <t>DIET-P-0183</t>
  </si>
  <si>
    <t>DIET-P-0198</t>
  </si>
  <si>
    <t>DIET-P-0199</t>
  </si>
  <si>
    <t>DIET-P-0200</t>
  </si>
  <si>
    <t>DIET-P-0201</t>
  </si>
  <si>
    <t>DIET-P-0202</t>
  </si>
  <si>
    <t>DIET-P-0204</t>
  </si>
  <si>
    <t>DIET-P-0205</t>
  </si>
  <si>
    <t>DIET-P-0206</t>
  </si>
  <si>
    <t>DIET-P-0207</t>
  </si>
  <si>
    <t>DIET-P-0208</t>
  </si>
  <si>
    <t>DIET-P-0209</t>
  </si>
  <si>
    <t>DIET-P-0210</t>
  </si>
  <si>
    <t>DIET-P-0211</t>
  </si>
  <si>
    <t>DIET-P-0212</t>
  </si>
  <si>
    <t>DIET-P-0213</t>
  </si>
  <si>
    <t>DIET-P-0214</t>
  </si>
  <si>
    <t>DIET-P-0215</t>
  </si>
  <si>
    <t>DIET-P-0217</t>
  </si>
  <si>
    <t>DIET-P-0218</t>
  </si>
  <si>
    <t>DIET-P-0219</t>
  </si>
  <si>
    <t>DIET-P-0220</t>
  </si>
  <si>
    <t>DIET-P-0222</t>
  </si>
  <si>
    <t>DIET-P-0224</t>
  </si>
  <si>
    <t>DIET-P-0225</t>
  </si>
  <si>
    <t>DIET-P-0239</t>
  </si>
  <si>
    <t>DIET-P-0240</t>
  </si>
  <si>
    <t>DIET-P-0241</t>
  </si>
  <si>
    <t>DIET-P-0242</t>
  </si>
  <si>
    <t>DIET-P-0243</t>
  </si>
  <si>
    <t>DIET-P-0244</t>
  </si>
  <si>
    <t>DIET-P-0245</t>
  </si>
  <si>
    <t>DIET-P-0246</t>
  </si>
  <si>
    <t>DIET-P-0247</t>
  </si>
  <si>
    <t>DIET-P-0248</t>
  </si>
  <si>
    <t>DIET-P-0249</t>
  </si>
  <si>
    <t>DIET-P-0250</t>
  </si>
  <si>
    <t>DIET-P-0251</t>
  </si>
  <si>
    <t>DIET-P-0252</t>
  </si>
  <si>
    <t>DIET-P-0253</t>
  </si>
  <si>
    <t>DIET-P-0254</t>
  </si>
  <si>
    <t>DIET-P-0255</t>
  </si>
  <si>
    <t>DIET-P-0256</t>
  </si>
  <si>
    <t>DIET-P-0257</t>
  </si>
  <si>
    <t>DIET-P-0258</t>
  </si>
  <si>
    <t>DIET-P-0259</t>
  </si>
  <si>
    <t>DIET-P-0260</t>
  </si>
  <si>
    <t>DIET-P-0262</t>
  </si>
  <si>
    <t>DIET-P-0263</t>
  </si>
  <si>
    <t>DIET-P-0264</t>
  </si>
  <si>
    <t>DIET-P-0265</t>
  </si>
  <si>
    <t>DIET-P-0266</t>
  </si>
  <si>
    <t>DIET-P-0267</t>
  </si>
  <si>
    <t>DIET-P-0268</t>
  </si>
  <si>
    <t>계약서와의 연결</t>
  </si>
  <si>
    <t>검수결과 시트 오른쪽에 「계약서 문구 ID」와 「연결 상태」 두 열을 두었다. 연결 상태가 「계약서에 없음」인 항목은 검수는 했으나 데이터계약 목표문구에 올라가 있지 않은 것이다. 2026-10-06 기준 연결 128 · 없음 92.</t>
  </si>
  <si>
    <t>N221</t>
    <phoneticPr fontId="1" type="noConversion"/>
  </si>
  <si>
    <t>6차</t>
  </si>
  <si>
    <t>입맛 없는 날 적어 두기</t>
  </si>
  <si>
    <t>식욕이 떨어지는 때를 알면 식사를 챙기기 쉬워요.</t>
  </si>
  <si>
    <t>N222</t>
    <phoneticPr fontId="1" type="noConversion"/>
  </si>
  <si>
    <t>식사 시간 정해 두기</t>
  </si>
  <si>
    <t>시간이 일정하면 끼니를 놓치기 어려워요.</t>
  </si>
  <si>
    <t>N223</t>
  </si>
  <si>
    <t>출출하면 가볍게 요기하기</t>
  </si>
  <si>
    <t>저녁을 적게 먹어 허기가 지면 소화가 편한 음식을 조금 먹어요.</t>
  </si>
  <si>
    <t>자정 전</t>
  </si>
  <si>
    <t>2026-10-07 추가. 저녁에 「조금 적게」「거의 못 먹거나 걸렀어요」를 답한 사용자의 회복 목표. 증량 성격이라 만성 신장질환은 기존 규칙대로 제외. 기획·가정의학 관점 검토 후 승인</t>
  </si>
  <si>
    <t>DIET-P-0269</t>
  </si>
  <si>
    <t>N224</t>
  </si>
  <si>
    <t>따뜻한 우유나 두유 한 잔</t>
  </si>
  <si>
    <t>따뜻한 음료로 속을 달래며 부족한 한 끼를 조금 채워요. 한 끼 전체를 대신하지는 않아요.</t>
  </si>
  <si>
    <t>DIET-P-0270</t>
  </si>
  <si>
    <t>N225</t>
  </si>
  <si>
    <t>내일 아침 챙길 것 준비하기</t>
  </si>
  <si>
    <t>저녁을 적게 먹은 날은 내일 아침거리를 미리 준비해 둬요.</t>
  </si>
  <si>
    <t>DIET-P-0271</t>
  </si>
  <si>
    <t>승인</t>
    <phoneticPr fontId="1" type="noConversion"/>
  </si>
  <si>
    <t>근거 확인 필요 (기록 행동, 섭취 지시 없음)</t>
    <phoneticPr fontId="1" type="noConversion"/>
  </si>
  <si>
    <t>2026-10-07 추가. 먹는 양을 바꾸지 않는 기록 행동이라 만성 신장질환 사용자의 결식 시에도 쓸 수 있고, 진료나 상담을 받지 않는 사용자도 실행할 수 있다. 계약서 DIET-P-0272. 기획·가정의학 관점 검토 후 승인</t>
    <phoneticPr fontId="1" type="noConversion"/>
  </si>
  <si>
    <t>DIET-P-0272</t>
    <phoneticPr fontId="1" type="noConversion"/>
  </si>
  <si>
    <t>문구 그대로</t>
    <phoneticPr fontId="1" type="noConversion"/>
  </si>
  <si>
    <t>MOHW-DIETGUIDE (식생활지침 규칙성)</t>
    <phoneticPr fontId="1" type="noConversion"/>
  </si>
  <si>
    <t>2026-10-07 추가. 먹는 양이 아니라 규칙성만 다루는 행동이라 만성 신장질환 사용자의 결식 시에도 쓸 수 있다. 계약서 DIET-P-0273. 기획·가정의학 관점 검토 후 승인</t>
    <phoneticPr fontId="1" type="noConversion"/>
  </si>
  <si>
    <t>DIET-P-0273</t>
    <phoneticPr fontId="1" type="noConversion"/>
  </si>
  <si>
    <t>N226</t>
  </si>
  <si>
    <t>7차(10-13)</t>
  </si>
  <si>
    <t>아침 거르지 않게 메뉴 정하기</t>
  </si>
  <si>
    <t>아침 메뉴 미리 정하기</t>
  </si>
  <si>
    <t>메뉴가 정해져 있으면 아침을 챙기기 쉬워요.</t>
  </si>
  <si>
    <t>2026-10-13 추가(검수표 1번). 사용자 · Claude 검수: 12자 · 금지 성격 · 상황 전제 · 과일 · 탄수화물 단독 · 나트륨 규칙 확인</t>
  </si>
  <si>
    <t>DIET-P-0274</t>
  </si>
  <si>
    <t>연결(10-13 계약서 반영)</t>
  </si>
  <si>
    <t>N227</t>
  </si>
  <si>
    <t>점심 거르지 않게 시간 적어 두기</t>
  </si>
  <si>
    <t>점심시간 적어 두기</t>
  </si>
  <si>
    <t>시간을 적어 두면 바쁜 날에도 점심을 챙겨요.</t>
  </si>
  <si>
    <t>2026-10-13 추가(검수표 2번). 사용자 · Claude 검수: 12자 · 금지 성격 · 상황 전제 · 과일 · 탄수화물 단독 · 나트륨 규칙 확인</t>
  </si>
  <si>
    <t>DIET-P-0275</t>
  </si>
  <si>
    <t>N228</t>
  </si>
  <si>
    <t>내일 바로 먹게 채소 꺼내 두기</t>
  </si>
  <si>
    <t>내일 채소 꺼내 두기</t>
  </si>
  <si>
    <t>미리 꺼내 두면 다음 날 손이 먼저 가요.</t>
  </si>
  <si>
    <t>MOHW-DIETGUIDE; WHO-DIET</t>
  </si>
  <si>
    <t>2026-10-13 추가(검수표 3번). 사용자 · Claude 검수: 12자 · 금지 성격 · 상황 전제 · 과일 · 탄수화물 단독 · 나트륨 규칙 확인</t>
  </si>
  <si>
    <t>DIET-P-0276</t>
  </si>
  <si>
    <t>N229</t>
  </si>
  <si>
    <t>바쁜 날 대비 채소 반찬 만들어 두기</t>
  </si>
  <si>
    <t>채소 반찬 만들어 두기</t>
  </si>
  <si>
    <t>만들어 둔 반찬은 바쁜 날에도 꺼내 먹기 쉬워요.</t>
  </si>
  <si>
    <t>2026-10-13 추가(검수표 4번). 사용자 · Claude 검수: 12자 · 금지 성격 · 상황 전제 · 과일 · 탄수화물 단독 · 나트륨 규칙 확인</t>
  </si>
  <si>
    <t>DIET-P-0277</t>
  </si>
  <si>
    <t>N230</t>
  </si>
  <si>
    <t>밖에서도 채소 챙기기</t>
  </si>
  <si>
    <t>점심 채소 반찬 2가지</t>
  </si>
  <si>
    <t>채소 반찬을 두 가지로 늘리면 한 끼 채소가 넉넉해요.</t>
  </si>
  <si>
    <t>만성 신장질환 제외(증량)</t>
  </si>
  <si>
    <t>2026-10-13 추가(검수표 5번). 사용자 · Claude 검수: 12자 · 금지 성격 · 상황 전제 · 과일 · 탄수화물 단독 · 나트륨 규칙 확인</t>
  </si>
  <si>
    <t>DIET-P-0278</t>
  </si>
  <si>
    <t>N231</t>
  </si>
  <si>
    <t>단 간식은 안 보이는 곳에 두기</t>
  </si>
  <si>
    <t>단 간식 치워 두기</t>
  </si>
  <si>
    <t>눈에 띄지 않으면 자연스럽게 덜 찾게 돼요.</t>
  </si>
  <si>
    <t>MOHW-DIETGUIDE; WHO-SUGAR; MFDS-SUGAR</t>
  </si>
  <si>
    <t>2026-10-13 추가(검수표 6번). 사용자 · Claude 검수: 12자 · 금지 성격 · 상황 전제 · 과일 · 탄수화물 단독 · 나트륨 규칙 확인</t>
  </si>
  <si>
    <t>DIET-P-0279</t>
  </si>
  <si>
    <t>N232</t>
  </si>
  <si>
    <t>오늘 마신 단 음료 돌아보기</t>
  </si>
  <si>
    <t>오늘 단 음료 돌아보기</t>
  </si>
  <si>
    <t>돌아보면 내일 줄일 때가 보여요.</t>
  </si>
  <si>
    <t>2026-10-13 추가(검수표 7번). 사용자 · Claude 검수: 12자 · 금지 성격 · 상황 전제 · 과일 · 탄수화물 단독 · 나트륨 규칙 확인</t>
  </si>
  <si>
    <t>DIET-P-0280</t>
  </si>
  <si>
    <t>N233</t>
  </si>
  <si>
    <t>국물 덜 먹게 작은 국그릇 꺼내 두기</t>
  </si>
  <si>
    <t>작은 국그릇 쓰기</t>
  </si>
  <si>
    <t>그릇이 작으면 국물도 자연히 덜 먹게 돼요.</t>
  </si>
  <si>
    <t>MOHW-DIETGUIDE; WHO-DIET; MFDS-SODIUM; KSH-2022</t>
  </si>
  <si>
    <t>당뇨병 · 만성 신장질환 제외(감량)</t>
  </si>
  <si>
    <t>2026-10-13 추가(검수표 8번). 사용자 · Claude 검수: 12자 · 금지 성격 · 상황 전제 · 과일 · 탄수화물 단독 · 나트륨 규칙 확인</t>
  </si>
  <si>
    <t>DIET-P-0281</t>
  </si>
  <si>
    <t>N234</t>
  </si>
  <si>
    <t>장 목록에 덜 짠 제품 적어 두기</t>
  </si>
  <si>
    <t>저염 제품 적어 두기</t>
  </si>
  <si>
    <t>적어 두면 장 볼 때 덜 짠 제품을 고르기 쉬워요.</t>
  </si>
  <si>
    <t>2026-10-13 추가(검수표 9번). 사용자 · Claude 검수: 12자 · 금지 성격 · 상황 전제 · 과일 · 탄수화물 단독 · 나트륨 규칙 확인</t>
  </si>
  <si>
    <t>DIET-P-0282</t>
  </si>
  <si>
    <t>N235</t>
  </si>
  <si>
    <t>늦지 않게 내일 저녁 시각 정하기</t>
  </si>
  <si>
    <t>내일 저녁 시각 정하기</t>
  </si>
  <si>
    <t>시각을 정해 두면 늦은 저녁을 피하기 쉬워요.</t>
  </si>
  <si>
    <t>MOHW-DIETGUIDE; NIDDK-GERD</t>
  </si>
  <si>
    <t>2026-10-13 추가(검수표 10번). 사용자 · Claude 검수: 12자 · 금지 성격 · 상황 전제 · 과일 · 탄수화물 단독 · 나트륨 규칙 확인</t>
  </si>
  <si>
    <t>DIET-P-0283</t>
  </si>
  <si>
    <t>N236</t>
  </si>
  <si>
    <t>주방 불 일찍 끄기</t>
  </si>
  <si>
    <t>9시 후엔 주방 닫기</t>
  </si>
  <si>
    <t>주방을 닫아 두면 밤 군것질이 줄어요.</t>
  </si>
  <si>
    <t>2026-10-13 추가(검수표 11번). 사용자 · Claude 검수: 12자 · 금지 성격 · 상황 전제 · 과일 · 탄수화물 단독 · 나트륨 규칙 확인</t>
  </si>
  <si>
    <t>DIET-P-0284</t>
  </si>
  <si>
    <t>N237</t>
  </si>
  <si>
    <t>오늘 먹은 속도 돌아보기</t>
  </si>
  <si>
    <t>식사 속도 돌아보기</t>
  </si>
  <si>
    <t>돌아보면 내일 천천히 먹을 끼니가 보여요.</t>
  </si>
  <si>
    <t>MOHW-DIETGUIDE; KSSO-OBESITY</t>
  </si>
  <si>
    <t>2026-10-13 추가(검수표 12번). 사용자 · Claude 검수: 12자 · 금지 성격 · 상황 전제 · 과일 · 탄수화물 단독 · 나트륨 규칙 확인</t>
  </si>
  <si>
    <t>DIET-P-0285</t>
  </si>
  <si>
    <t>N238</t>
  </si>
  <si>
    <t>먹을 만큼 담게 작은 그릇 꺼내기</t>
  </si>
  <si>
    <t>작은 그릇 꺼내 두기</t>
  </si>
  <si>
    <t>그릇이 작으면 먹을 양을 가늠하기 쉬워요.</t>
  </si>
  <si>
    <t>2026-10-13 추가(검수표 13번). 사용자 · Claude 검수: 12자 · 금지 성격 · 상황 전제 · 과일 · 탄수화물 단독 · 나트륨 규칙 확인</t>
  </si>
  <si>
    <t>DIET-P-0286</t>
  </si>
  <si>
    <t>N239</t>
  </si>
  <si>
    <t>단백질 반찬 정해 두기</t>
  </si>
  <si>
    <t>내일 반찬은 두부조림</t>
  </si>
  <si>
    <t>두부조림은 손쉬운 단백질 반찬이에요.</t>
  </si>
  <si>
    <t>2026-10-13 추가(검수표 14번). 사용자 · Claude 검수: 12자 · 금지 성격 · 상황 전제 · 과일 · 탄수화물 단독 · 나트륨 규칙 확인</t>
  </si>
  <si>
    <t>DIET-P-0287</t>
  </si>
  <si>
    <t>N240</t>
  </si>
  <si>
    <t>두부·달걀 사 두기</t>
  </si>
  <si>
    <t>달걀 한 판 사 두기</t>
  </si>
  <si>
    <t>달걀이 있으면 끼니마다 단백질을 챙기기 쉬워요.</t>
  </si>
  <si>
    <t>2026-10-13 추가(검수표 15번). 사용자 · Claude 검수: 12자 · 금지 성격 · 상황 전제 · 과일 · 탄수화물 단독 · 나트륨 규칙 확인</t>
  </si>
  <si>
    <t>DIET-P-0288</t>
  </si>
  <si>
    <t>N241</t>
  </si>
  <si>
    <t>내일은 구이로 정하기</t>
  </si>
  <si>
    <t>내일 반찬은 고등어구이</t>
  </si>
  <si>
    <t>고등어구이는 튀김보다 기름이 덜 들어가요.</t>
  </si>
  <si>
    <t>MOHW-DIETGUIDE; WHO-FAT-2023; KSoLA-2022</t>
  </si>
  <si>
    <t>2026-10-13 추가(검수표 16번). 사용자 · Claude 검수: 12자 · 금지 성격 · 상황 전제 · 과일 · 탄수화물 단독 · 나트륨 규칙 확인</t>
  </si>
  <si>
    <t>DIET-P-0289</t>
  </si>
  <si>
    <t>N242</t>
  </si>
  <si>
    <t>튀김 대신 메뉴 적기</t>
  </si>
  <si>
    <t>튀김 대신 달걀찜</t>
  </si>
  <si>
    <t>달걀찜은 기름 없이 만드는 반찬이에요.</t>
  </si>
  <si>
    <t>2026-10-13 추가(검수표 17번). 사용자 · Claude 검수: 12자 · 금지 성격 · 상황 전제 · 과일 · 탄수화물 단독 · 나트륨 규칙 확인</t>
  </si>
  <si>
    <t>DIET-P-0290</t>
  </si>
  <si>
    <t>N243</t>
  </si>
  <si>
    <t>오늘 먹은 끼니 적고 내일 챙기기</t>
  </si>
  <si>
    <t>오늘 먹은 끼니 적기</t>
  </si>
  <si>
    <t>오늘 먹은 걸 적어 두면 내일 챙길 끼니가 보여요.</t>
  </si>
  <si>
    <t>2026-10-13 추가(검수표 18번). 사용자 · Claude 검수: 12자 · 금지 성격 · 상황 전제 · 과일 · 탄수화물 단독 · 나트륨 규칙 확인</t>
  </si>
  <si>
    <t>DIET-P-0291</t>
  </si>
  <si>
    <t>N244</t>
  </si>
  <si>
    <t>먹기 편한 시간 찾아 적어 두기</t>
  </si>
  <si>
    <t>먹기 편한 시간 적기</t>
  </si>
  <si>
    <t>편한 시간을 알면 끼니를 챙기기 쉬워요.</t>
  </si>
  <si>
    <t>2026-10-13 추가(검수표 19번). 사용자 · Claude 검수: 12자 · 금지 성격 · 상황 전제 · 과일 · 탄수화물 단독 · 나트륨 규칙 확인</t>
  </si>
  <si>
    <t>DIET-P-0292</t>
  </si>
  <si>
    <t>N245</t>
  </si>
  <si>
    <t>내일 먹을 것 정하기</t>
  </si>
  <si>
    <t>내일은 죽 한 그릇</t>
  </si>
  <si>
    <t>죽은 입맛이 없을 때도 먹기 편해요.</t>
  </si>
  <si>
    <t>2026-10-13 추가(검수표 20번). 사용자 · Claude 검수: 12자 · 금지 성격 · 상황 전제 · 과일 · 탄수화물 단독 · 나트륨 규칙 확인</t>
  </si>
  <si>
    <t>DIET-P-0293</t>
  </si>
  <si>
    <t>N246</t>
  </si>
  <si>
    <t>거르지 않게 내일 세 끼 시간 정하기</t>
  </si>
  <si>
    <t>내일 세 끼 계획하기</t>
  </si>
  <si>
    <t>세 끼 시간을 정하면 거르는 끼니가 줄어요.</t>
  </si>
  <si>
    <t>2026-10-13 추가(검수표 21번). 사용자 · Claude 검수: 12자 · 금지 성격 · 상황 전제 · 과일 · 탄수화물 단독 · 나트륨 규칙 확인</t>
  </si>
  <si>
    <t>DIET-P-0294</t>
  </si>
  <si>
    <t>N247</t>
  </si>
  <si>
    <t>오늘 거른 끼니 돌아보기</t>
  </si>
  <si>
    <t>거른 끼니 돌아보기</t>
  </si>
  <si>
    <t>돌아보면 내일 챙길 끼니가 보여요.</t>
  </si>
  <si>
    <t>2026-10-13 추가(검수표 22번). 사용자 · Claude 검수: 12자 · 금지 성격 · 상황 전제 · 과일 · 탄수화물 단독 · 나트륨 규칙 확인</t>
  </si>
  <si>
    <t>DIET-P-0295</t>
  </si>
  <si>
    <t>N248</t>
  </si>
  <si>
    <t>오늘 먹은 채소 돌아보기</t>
  </si>
  <si>
    <t>먹은 채소 돌아보기</t>
  </si>
  <si>
    <t>돌아보면 내일 더할 채소를 정하기 쉬워요.</t>
  </si>
  <si>
    <t>2026-10-13 추가(검수표 23번). 사용자 · Claude 검수: 12자 · 금지 성격 · 상황 전제 · 과일 · 탄수화물 단독 · 나트륨 규칙 확인</t>
  </si>
  <si>
    <t>DIET-P-0296</t>
  </si>
  <si>
    <t>N249</t>
  </si>
  <si>
    <t>제철 채소 장보기</t>
  </si>
  <si>
    <t>제철 채소 2가지 사기</t>
  </si>
  <si>
    <t>제철 채소는 맛있고 값도 부담이 적어요.</t>
  </si>
  <si>
    <t>2026-10-13 추가(검수표 24번). 사용자 · Claude 검수: 12자 · 금지 성격 · 상황 전제 · 과일 · 탄수화물 단독 · 나트륨 규칙 확인</t>
  </si>
  <si>
    <t>DIET-P-0297</t>
  </si>
  <si>
    <t>N250</t>
  </si>
  <si>
    <t>대신 마실 음료 정하기</t>
  </si>
  <si>
    <t>주스 대신 생수 한 병</t>
  </si>
  <si>
    <t>주스 대신 물을 마시면 당을 줄일 수 있어요.</t>
  </si>
  <si>
    <t>만성 신장질환 제외(수분)</t>
  </si>
  <si>
    <t>심부전(I50) · 신장질환 수분 제한 처방 우선</t>
  </si>
  <si>
    <t>2026-10-13 추가(검수표 25번). 사용자 · Claude 검수: 12자 · 금지 성격 · 상황 전제 · 과일 · 탄수화물 단독 · 나트륨 규칙 확인</t>
  </si>
  <si>
    <t>DIET-P-0298</t>
  </si>
  <si>
    <t>N251</t>
  </si>
  <si>
    <t>대신 먹을 간식 챙기기</t>
  </si>
  <si>
    <t>과자 대신 찐 고구마</t>
  </si>
  <si>
    <t>찐 고구마는 달지 않고 든든한 간식이에요.</t>
  </si>
  <si>
    <t>2026-10-13 추가(검수표 26번). 사용자 · Claude 검수: 12자 · 금지 성격 · 상황 전제 · 과일 · 탄수화물 단독 · 나트륨 규칙 확인</t>
  </si>
  <si>
    <t>DIET-P-0299</t>
  </si>
  <si>
    <t>N252</t>
  </si>
  <si>
    <t>오늘 먹은 국물 양 돌아보기</t>
  </si>
  <si>
    <t>먹은 국물 양 돌아보기</t>
  </si>
  <si>
    <t>돌아보면 내일 국물을 줄일 끼니가 보여요.</t>
  </si>
  <si>
    <t>2026-10-13 추가(검수표 27번). 사용자 · Claude 검수: 12자 · 금지 성격 · 상황 전제 · 과일 · 탄수화물 단독 · 나트륨 규칙 확인</t>
  </si>
  <si>
    <t>DIET-P-0300</t>
  </si>
  <si>
    <t>N253</t>
  </si>
  <si>
    <t>내일 국 싱겁게 끓이기</t>
  </si>
  <si>
    <t>장아찌 대신 생채 반찬</t>
  </si>
  <si>
    <t>생채는 장아찌보다 소금이 훨씬 적어요.</t>
  </si>
  <si>
    <t>2026-10-13 추가(검수표 28번). 사용자 · Claude 검수: 12자 · 금지 성격 · 상황 전제 · 과일 · 탄수화물 단독 · 나트륨 규칙 확인</t>
  </si>
  <si>
    <t>DIET-P-0301</t>
  </si>
  <si>
    <t>N254</t>
  </si>
  <si>
    <t>식사 마칠 시각 정하기</t>
  </si>
  <si>
    <t>저녁 8시까지 마치기</t>
  </si>
  <si>
    <t>늦은 시간까지 먹지 않으면 속이 편해요.</t>
  </si>
  <si>
    <t>2026-10-13 추가(검수표 29번). 사용자 · Claude 검수: 12자 · 금지 성격 · 상황 전제 · 과일 · 탄수화물 단독 · 나트륨 규칙 확인</t>
  </si>
  <si>
    <t>DIET-P-0302</t>
  </si>
  <si>
    <t>N255</t>
  </si>
  <si>
    <t>오늘 저녁 먹은 시각 적어 두기</t>
  </si>
  <si>
    <t>저녁 먹은 시각 적기</t>
  </si>
  <si>
    <t>적어 보면 저녁 시각이 일정한지 알 수 있어요.</t>
  </si>
  <si>
    <t>2026-10-13 추가(검수표 30번). 사용자 · Claude 검수: 12자 · 금지 성격 · 상황 전제 · 과일 · 탄수화물 단독 · 나트륨 규칙 확인</t>
  </si>
  <si>
    <t>DIET-P-0303</t>
  </si>
  <si>
    <t>N256</t>
  </si>
  <si>
    <t>내일은 천천히 먹기</t>
  </si>
  <si>
    <t>한 입에 30번 씹기</t>
  </si>
  <si>
    <t>꼭꼭 씹으면 천천히 먹게 되고 배부름도 빨리 느껴요.</t>
  </si>
  <si>
    <t>2026-10-13 추가(검수표 31번). 사용자 · Claude 검수: 12자 · 금지 성격 · 상황 전제 · 과일 · 탄수화물 단독 · 나트륨 규칙 확인</t>
  </si>
  <si>
    <t>DIET-P-0304</t>
  </si>
  <si>
    <t>N257</t>
  </si>
  <si>
    <t>식사에 집중하게 휴대폰 치워 두기</t>
  </si>
  <si>
    <t>식탁에서 휴대폰 치우기</t>
  </si>
  <si>
    <t>화면이 없으면 먹는 데 집중하기 쉬워요.</t>
  </si>
  <si>
    <t>2026-10-13 추가(검수표 32번). 사용자 · Claude 검수: 12자 · 금지 성격 · 상황 전제 · 과일 · 탄수화물 단독 · 나트륨 규칙 확인</t>
  </si>
  <si>
    <t>DIET-P-0305</t>
  </si>
  <si>
    <t>N258</t>
  </si>
  <si>
    <t>끼니별 단백질 정하기</t>
  </si>
  <si>
    <t>점심엔 닭가슴살 샐러드</t>
  </si>
  <si>
    <t>닭가슴살 샐러드는 단백질과 채소를 함께 챙겨요.</t>
  </si>
  <si>
    <t>2026-10-13 추가(검수표 33번). 사용자 · Claude 검수: 12자 · 금지 성격 · 상황 전제 · 과일 · 탄수화물 단독 · 나트륨 규칙 확인</t>
  </si>
  <si>
    <t>DIET-P-0306</t>
  </si>
  <si>
    <t>N259</t>
  </si>
  <si>
    <t>오늘 먹은 단백질 돌아보기</t>
  </si>
  <si>
    <t>먹은 단백질 돌아보기</t>
  </si>
  <si>
    <t>돌아보면 내일 채울 끼니가 보여요.</t>
  </si>
  <si>
    <t>2026-10-13 추가(검수표 34번). 사용자 · Claude 검수: 12자 · 금지 성격 · 상황 전제 · 과일 · 탄수화물 단독 · 나트륨 규칙 확인</t>
  </si>
  <si>
    <t>DIET-P-0307</t>
  </si>
  <si>
    <t>N260</t>
  </si>
  <si>
    <t>구이·찜 메뉴 정하기</t>
  </si>
  <si>
    <t>전 대신 나물 반찬</t>
  </si>
  <si>
    <t>나물은 전보다 기름을 훨씬 덜 써요.</t>
  </si>
  <si>
    <t>2026-10-13 추가(검수표 35번). 사용자 · Claude 검수: 12자 · 금지 성격 · 상황 전제 · 과일 · 탄수화물 단독 · 나트륨 규칙 확인</t>
  </si>
  <si>
    <t>DIET-P-0308</t>
  </si>
  <si>
    <t>N261</t>
  </si>
  <si>
    <t>오늘 먹은 튀긴 음식 돌아보기</t>
  </si>
  <si>
    <t>먹은 튀김 돌아보기</t>
  </si>
  <si>
    <t>2026-10-13 추가(검수표 36번). 사용자 · Claude 검수: 12자 · 금지 성격 · 상황 전제 · 과일 · 탄수화물 단독 · 나트륨 규칙 확인</t>
  </si>
  <si>
    <t>DIET-P-0309</t>
  </si>
  <si>
    <t>N262</t>
  </si>
  <si>
    <t>기운 나는 때 적기</t>
  </si>
  <si>
    <t>입맛 돌 때 먹어 두기</t>
  </si>
  <si>
    <t>입맛이 돌 때 먹어 두면 하루 식사를 채우기 쉬워요.</t>
  </si>
  <si>
    <t>2026-10-13 추가(검수표 37번). 사용자 · Claude 검수: 12자 · 금지 성격 · 상황 전제 · 과일 · 탄수화물 단독 · 나트륨 규칙 확인</t>
  </si>
  <si>
    <t>DIET-P-0310</t>
  </si>
  <si>
    <t>N263</t>
  </si>
  <si>
    <t>내일 첫 끼 먹을 시간 정하기</t>
  </si>
  <si>
    <t>첫 끼 시간 정하기</t>
  </si>
  <si>
    <t>첫 끼를 정해 두면 하루 식사를 시작하기 쉬워요.</t>
  </si>
  <si>
    <t>2026-10-13 추가(검수표 38번). 사용자 · Claude 검수: 12자 · 금지 성격 · 상황 전제 · 과일 · 탄수화물 단독 · 나트륨 규칙 확인</t>
  </si>
  <si>
    <t>DIET-P-0311</t>
  </si>
  <si>
    <t>N264</t>
  </si>
  <si>
    <t>아침거리 잊지 않게 장 목록에 적기</t>
  </si>
  <si>
    <t>아침거리 사 두기</t>
  </si>
  <si>
    <t>적어 두면 장 볼 때 아침거리를 빠뜨리지 않아요.</t>
  </si>
  <si>
    <t>2026-10-13 추가(검수표 39번). 사용자 · Claude 검수: 12자 · 금지 성격 · 상황 전제 · 과일 · 탄수화물 단독 · 나트륨 규칙 확인</t>
  </si>
  <si>
    <t>DIET-P-0312</t>
  </si>
  <si>
    <t>N265</t>
  </si>
  <si>
    <t>간단 메뉴 정해 두기</t>
  </si>
  <si>
    <t>바쁜 날엔 김밥 한 줄</t>
  </si>
  <si>
    <t>바쁜 날에도 김밥 한 줄이면 끼니를 챙겨요.</t>
  </si>
  <si>
    <t>2026-10-13 추가(검수표 40번). 사용자 · Claude 검수: 12자 · 금지 성격 · 상황 전제 · 과일 · 탄수화물 단독 · 나트륨 규칙 확인</t>
  </si>
  <si>
    <t>DIET-P-0313</t>
  </si>
  <si>
    <t>N266</t>
  </si>
  <si>
    <t>잘 보이게 냉장고 앞칸에 채소 두기</t>
  </si>
  <si>
    <t>채소는 앞칸에 두기</t>
  </si>
  <si>
    <t>눈에 잘 띄면 손이 더 자주 가요.</t>
  </si>
  <si>
    <t>2026-10-13 추가(검수표 41번). 사용자 · Claude 검수: 12자 · 금지 성격 · 상황 전제 · 과일 · 탄수화물 단독 · 나트륨 규칙 확인</t>
  </si>
  <si>
    <t>DIET-P-0314</t>
  </si>
  <si>
    <t>N267</t>
  </si>
  <si>
    <t>국에 넣을 채소 정하기</t>
  </si>
  <si>
    <t>내일 된장국에 애호박</t>
  </si>
  <si>
    <t>애호박을 넣으면 국 한 그릇에 채소가 더해져요.</t>
  </si>
  <si>
    <t>2026-10-13 추가(검수표 42번). 사용자 · Claude 검수: 12자 · 금지 성격 · 상황 전제 · 과일 · 탄수화물 단독 · 나트륨 규칙 확인</t>
  </si>
  <si>
    <t>DIET-P-0315</t>
  </si>
  <si>
    <t>N268</t>
  </si>
  <si>
    <t>주간 채소 반찬 정하기</t>
  </si>
  <si>
    <t>매일 나물 한 가지</t>
  </si>
  <si>
    <t>나물 한 가지로 매일 채소를 챙길 수 있어요.</t>
  </si>
  <si>
    <t>2026-10-13 추가(검수표 43번). 사용자 · Claude 검수: 12자 · 금지 성격 · 상황 전제 · 과일 · 탄수화물 단독 · 나트륨 규칙 확인</t>
  </si>
  <si>
    <t>DIET-P-0316</t>
  </si>
  <si>
    <t>N269</t>
  </si>
  <si>
    <t>음료 살 때 당류 표시 확인하기</t>
  </si>
  <si>
    <t>음료 당류 표시 보기</t>
  </si>
  <si>
    <t>표시를 보면 덜 단 음료를 고를 수 있어요.</t>
  </si>
  <si>
    <t>2026-10-13 추가(검수표 44번). 사용자 · Claude 검수: 12자 · 금지 성격 · 상황 전제 · 과일 · 탄수화물 단독 · 나트륨 규칙 확인</t>
  </si>
  <si>
    <t>DIET-P-0317</t>
  </si>
  <si>
    <t>N270</t>
  </si>
  <si>
    <t>단 음료는 집에 사 두지 않기</t>
  </si>
  <si>
    <t>단 음료 사 두지 않기</t>
  </si>
  <si>
    <t>집에 없으면 덜 마시게 돼요.</t>
  </si>
  <si>
    <t>당뇨병 제외(공복 · 건너뛰기)</t>
  </si>
  <si>
    <t>2026-10-13 추가(검수표 45번). 사용자 · Claude 검수: 12자 · 금지 성격 · 상황 전제 · 과일 · 탄수화물 단독 · 나트륨 규칙 확인</t>
  </si>
  <si>
    <t>DIET-P-0318</t>
  </si>
  <si>
    <t>N271</t>
  </si>
  <si>
    <t>단 음료 쉬는 날 두기</t>
  </si>
  <si>
    <t>주 3일 단 음료 쉬기</t>
  </si>
  <si>
    <t>쉬는 날을 정하면 단 음료를 줄이기 쉬워요.</t>
  </si>
  <si>
    <t>2026-10-13 추가(검수표 46번). 사용자 · Claude 검수: 12자 · 금지 성격 · 상황 전제 · 과일 · 탄수화물 단독 · 나트륨 규칙 확인</t>
  </si>
  <si>
    <t>DIET-P-0319</t>
  </si>
  <si>
    <t>N272</t>
  </si>
  <si>
    <t>식탁 위 소금통 치워 두기</t>
  </si>
  <si>
    <t>소금통 치워 두기</t>
  </si>
  <si>
    <t>식탁에 없으면 소금을 덜 넣게 돼요.</t>
  </si>
  <si>
    <t>2026-10-13 추가(검수표 47번). 사용자 · Claude 검수: 12자 · 금지 성격 · 상황 전제 · 과일 · 탄수화물 단독 · 나트륨 규칙 확인</t>
  </si>
  <si>
    <t>DIET-P-0320</t>
  </si>
  <si>
    <t>N273</t>
  </si>
  <si>
    <t>내일 국은 건더기 위주로 담기</t>
  </si>
  <si>
    <t>국은 건더기 위주로</t>
  </si>
  <si>
    <t>건더기 위주로 담으면 국물을 덜 먹게 돼요.</t>
  </si>
  <si>
    <t>2026-10-13 추가(검수표 48번). 사용자 · Claude 검수: 12자 · 금지 성격 · 상황 전제 · 과일 · 탄수화물 단독 · 나트륨 규칙 확인</t>
  </si>
  <si>
    <t>DIET-P-0321</t>
  </si>
  <si>
    <t>N274</t>
  </si>
  <si>
    <t>덜 짠 걸 고르게 나트륨 표시 보기</t>
  </si>
  <si>
    <t>나트륨 표시 비교하기</t>
  </si>
  <si>
    <t>비교하면 덜 짠 제품을 고를 수 있어요.</t>
  </si>
  <si>
    <t>2026-10-13 추가(검수표 49번). 사용자 · Claude 검수: 12자 · 금지 성격 · 상황 전제 · 과일 · 탄수화물 단독 · 나트륨 규칙 확인</t>
  </si>
  <si>
    <t>DIET-P-0322</t>
  </si>
  <si>
    <t>N275</t>
  </si>
  <si>
    <t>야식 줄이게 간식 자리 정리하기</t>
  </si>
  <si>
    <t>간식 자리 정리하기</t>
  </si>
  <si>
    <t>간식이 안 보이면 늦은 밤 손이 덜 가요.</t>
  </si>
  <si>
    <t>2026-10-13 추가(검수표 50번). 사용자 · Claude 검수: 12자 · 금지 성격 · 상황 전제 · 과일 · 탄수화물 단독 · 나트륨 규칙 확인</t>
  </si>
  <si>
    <t>DIET-P-0323</t>
  </si>
  <si>
    <t>N276</t>
  </si>
  <si>
    <t>저녁 일찍 마치기</t>
  </si>
  <si>
    <t>저녁은 7시 전에</t>
  </si>
  <si>
    <t>저녁을 일찍 마치면 속이 편하게 잠들 수 있어요.</t>
  </si>
  <si>
    <t>2026-10-13 추가(검수표 51번). 사용자 · Claude 검수: 12자 · 금지 성격 · 상황 전제 · 과일 · 탄수화물 단독 · 나트륨 규칙 확인</t>
  </si>
  <si>
    <t>DIET-P-0324</t>
  </si>
  <si>
    <t>N277</t>
  </si>
  <si>
    <t>저녁 시각 맞춰 먹기</t>
  </si>
  <si>
    <t>저녁은 매일 7시쯤</t>
  </si>
  <si>
    <t>저녁 시각이 일정하면 하루 리듬이 잡혀요.</t>
  </si>
  <si>
    <t>2026-10-13 추가(검수표 52번). 사용자 · Claude 검수: 12자 · 금지 성격 · 상황 전제 · 과일 · 탄수화물 단독 · 나트륨 규칙 확인</t>
  </si>
  <si>
    <t>DIET-P-0325</t>
  </si>
  <si>
    <t>N278</t>
  </si>
  <si>
    <t>식사 시간 넉넉히 잡기</t>
  </si>
  <si>
    <t>밥은 15분 넘게 먹기</t>
  </si>
  <si>
    <t>15분 넘게 먹으면 배부름을 느낄 시간이 생겨요.</t>
  </si>
  <si>
    <t>2026-10-13 추가(검수표 53번). 사용자 · Claude 검수: 12자 · 금지 성격 · 상황 전제 · 과일 · 탄수화물 단독 · 나트륨 규칙 확인</t>
  </si>
  <si>
    <t>DIET-P-0326</t>
  </si>
  <si>
    <t>N279</t>
  </si>
  <si>
    <t>내일 TV 끄고 먹을 끼니 정하기</t>
  </si>
  <si>
    <t>TV 끄고 식사하기</t>
  </si>
  <si>
    <t>화면을 끄면 먹는 양을 살피기 쉬워요.</t>
  </si>
  <si>
    <t>2026-10-13 추가(검수표 54번). 사용자 · Claude 검수: 12자 · 금지 성격 · 상황 전제 · 과일 · 탄수화물 단독 · 나트륨 규칙 확인</t>
  </si>
  <si>
    <t>DIET-P-0327</t>
  </si>
  <si>
    <t>N280</t>
  </si>
  <si>
    <t>이번 주 함께 먹을 끼니 정하기</t>
  </si>
  <si>
    <t>함께 먹는 끼니 정하기</t>
  </si>
  <si>
    <t>함께 먹으면 천천히, 즐겁게 먹게 돼요.</t>
  </si>
  <si>
    <t>2026-10-13 추가(검수표 55번). 사용자 · Claude 검수: 12자 · 금지 성격 · 상황 전제 · 과일 · 탄수화물 단독 · 나트륨 규칙 확인</t>
  </si>
  <si>
    <t>DIET-P-0328</t>
  </si>
  <si>
    <t>N281</t>
  </si>
  <si>
    <t>아침에 먹게 달걀 꺼내 두기</t>
  </si>
  <si>
    <t>아침 달걀 꺼내 두기</t>
  </si>
  <si>
    <t>꺼내 두면 아침 단백질을 챙기기 쉬워요.</t>
  </si>
  <si>
    <t>2026-10-13 추가(검수표 56번). 사용자 · Claude 검수: 12자 · 금지 성격 · 상황 전제 · 과일 · 탄수화물 단독 · 나트륨 규칙 확인</t>
  </si>
  <si>
    <t>DIET-P-0329</t>
  </si>
  <si>
    <t>N282</t>
  </si>
  <si>
    <t>생선 먹을 날 정하기</t>
  </si>
  <si>
    <t>주 2회 생선 먹기</t>
  </si>
  <si>
    <t>생선은 일주일에 두 번쯤 먹기를 권해요.</t>
  </si>
  <si>
    <t>2026-10-13 추가(검수표 57번). 사용자 · Claude 검수: 12자 · 금지 성격 · 상황 전제 · 과일 · 탄수화물 단독 · 나트륨 규칙 확인</t>
  </si>
  <si>
    <t>DIET-P-0330</t>
  </si>
  <si>
    <t>N283</t>
  </si>
  <si>
    <t>콩·두부 요리법 찾기</t>
  </si>
  <si>
    <t>두부부침 반찬 만들기</t>
  </si>
  <si>
    <t>두부부침은 쉽게 만드는 단백질 반찬이에요.</t>
  </si>
  <si>
    <t>2026-10-13 추가(검수표 58번). 사용자 · Claude 검수: 12자 · 금지 성격 · 상황 전제 · 과일 · 탄수화물 단독 · 나트륨 규칙 확인</t>
  </si>
  <si>
    <t>DIET-P-0331</t>
  </si>
  <si>
    <t>N284</t>
  </si>
  <si>
    <t>튀김 대신 구워 먹을 재료 꺼내 두기</t>
  </si>
  <si>
    <t>구워 먹을 재료 꺼내기</t>
  </si>
  <si>
    <t>구울 재료가 있으면 튀김을 덜 고르게 돼요.</t>
  </si>
  <si>
    <t>2026-10-13 추가(검수표 59번). 사용자 · Claude 검수: 12자 · 금지 성격 · 상황 전제 · 과일 · 탄수화물 단독 · 나트륨 규칙 확인</t>
  </si>
  <si>
    <t>DIET-P-0332</t>
  </si>
  <si>
    <t>N285</t>
  </si>
  <si>
    <t>찜 요리 메뉴 정하기</t>
  </si>
  <si>
    <t>감자튀김 대신 찐 감자</t>
  </si>
  <si>
    <t>찐 감자는 튀긴 감자보다 기름이 적어요.</t>
  </si>
  <si>
    <t>2026-10-13 추가(검수표 60번). 사용자 · Claude 검수: 12자 · 금지 성격 · 상황 전제 · 과일 · 탄수화물 단독 · 나트륨 규칙 확인</t>
  </si>
  <si>
    <t>DIET-P-0333</t>
  </si>
  <si>
    <t>N286</t>
  </si>
  <si>
    <t>외식은 백반집으로</t>
  </si>
  <si>
    <t>돼지갈비 대신 생선찜</t>
  </si>
  <si>
    <t>생선찜은 양념 고기보다 기름이 덜해요.</t>
  </si>
  <si>
    <t>2026-10-13 추가(검수표 61번). 사용자 · Claude 검수: 12자 · 금지 성격 · 상황 전제 · 과일 · 탄수화물 단독 · 나트륨 규칙 확인</t>
  </si>
  <si>
    <t>DIET-P-0334</t>
  </si>
  <si>
    <t>N287</t>
  </si>
  <si>
    <t>먹기 편한 음식 정하기</t>
  </si>
  <si>
    <t>따뜻한 국에 밥 말기</t>
  </si>
  <si>
    <t>따뜻한 국물에 만 밥은 넘기기 편해요.</t>
  </si>
  <si>
    <t>2026-10-13 추가(검수표 62번). 사용자 · Claude 검수: 12자 · 금지 성격 · 상황 전제 · 과일 · 탄수화물 단독 · 나트륨 규칙 확인</t>
  </si>
  <si>
    <t>DIET-P-0335</t>
  </si>
  <si>
    <t>N288</t>
  </si>
  <si>
    <t>오늘 식사가 어땠는지 한 줄 적기</t>
  </si>
  <si>
    <t>식사 느낌 한 줄 적기</t>
  </si>
  <si>
    <t>적어 두면 내게 편한 식사를 찾기 쉬워요.</t>
  </si>
  <si>
    <t>2026-10-13 추가(검수표 63번). 사용자 · Claude 검수: 12자 · 금지 성격 · 상황 전제 · 과일 · 탄수화물 단독 · 나트륨 규칙 확인</t>
  </si>
  <si>
    <t>DIET-P-0336</t>
  </si>
  <si>
    <t>N289</t>
  </si>
  <si>
    <t>점심 알림 맞춰 두기</t>
  </si>
  <si>
    <t>점심 알림 12시로</t>
  </si>
  <si>
    <t>알림을 맞춰 두면 바쁜 날에도 점심을 놓치지 않아요.</t>
  </si>
  <si>
    <t>2026-10-13 추가(검수표 64번). 사용자 · Claude 검수: 12자 · 금지 성격 · 상황 전제 · 과일 · 탄수화물 단독 · 나트륨 규칙 확인</t>
  </si>
  <si>
    <t>DIET-P-0337</t>
  </si>
  <si>
    <t>N290</t>
  </si>
  <si>
    <t>식사 시간 달력에 적어 두기</t>
  </si>
  <si>
    <t>식사 시간 달력에 적기</t>
  </si>
  <si>
    <t>적어 두면 끼니 시간을 지키기 쉬워요.</t>
  </si>
  <si>
    <t>2026-10-13 추가(검수표 65번). 사용자 · Claude 검수: 12자 · 금지 성격 · 상황 전제 · 과일 · 탄수화물 단독 · 나트륨 규칙 확인</t>
  </si>
  <si>
    <t>DIET-P-0338</t>
  </si>
  <si>
    <t>N291</t>
  </si>
  <si>
    <t>배고프기 전에 먹기</t>
  </si>
  <si>
    <t>4시간마다 끼니 챙기기</t>
  </si>
  <si>
    <t>끼니 사이가 너무 길지 않으면 과식을 막기 쉬워요.</t>
  </si>
  <si>
    <t>2026-10-13 추가(검수표 66번). 사용자 · Claude 검수: 12자 · 금지 성격 · 상황 전제 · 과일 · 탄수화물 단독 · 나트륨 규칙 확인</t>
  </si>
  <si>
    <t>DIET-P-0339</t>
  </si>
  <si>
    <t>N292</t>
  </si>
  <si>
    <t>외출할 때 간단한 요깃거리 챙기기</t>
  </si>
  <si>
    <t>요깃거리 챙겨 나가기</t>
  </si>
  <si>
    <t>요깃거리가 있으면 끼니를 건너뛰지 않아요.</t>
  </si>
  <si>
    <t>2026-10-13 추가(검수표 67번). 사용자 · Claude 검수: 12자 · 금지 성격 · 상황 전제 · 과일 · 탄수화물 단독 · 나트륨 규칙 확인</t>
  </si>
  <si>
    <t>DIET-P-0340</t>
  </si>
  <si>
    <t>N293</t>
  </si>
  <si>
    <t>내일 아침 먹을 그릇 꺼내 두기</t>
  </si>
  <si>
    <t>아침 그릇 꺼내 두기</t>
  </si>
  <si>
    <t>그릇이 나와 있으면 아침을 차리기 쉬워요.</t>
  </si>
  <si>
    <t>2026-10-13 추가(검수표 68번). 사용자 · Claude 검수: 12자 · 금지 성격 · 상황 전제 · 과일 · 탄수화물 단독 · 나트륨 규칙 확인</t>
  </si>
  <si>
    <t>DIET-P-0341</t>
  </si>
  <si>
    <t>N294</t>
  </si>
  <si>
    <t>자기 전 내일 첫 끼 떠올리기</t>
  </si>
  <si>
    <t>내일 첫 끼 떠올리기</t>
  </si>
  <si>
    <t>떠올려 두면 아침에 바로 챙길 수 있어요.</t>
  </si>
  <si>
    <t>2026-10-13 추가(검수표 69번). 사용자 · Claude 검수: 12자 · 금지 성격 · 상황 전제 · 과일 · 탄수화물 단독 · 나트륨 규칙 확인</t>
  </si>
  <si>
    <t>DIET-P-0342</t>
  </si>
  <si>
    <t>N295</t>
  </si>
  <si>
    <t>점심엔 채소 반찬 먼저 고르기</t>
  </si>
  <si>
    <t>채소 반찬 먼저 고르기</t>
  </si>
  <si>
    <t>먼저 고르면 채소를 빠뜨리지 않아요.</t>
  </si>
  <si>
    <t>2026-10-13 추가(검수표 70번). 사용자 · Claude 검수: 12자 · 금지 성격 · 상황 전제 · 과일 · 탄수화물 단독 · 나트륨 규칙 확인</t>
  </si>
  <si>
    <t>DIET-P-0343</t>
  </si>
  <si>
    <t>N296</t>
  </si>
  <si>
    <t>라면 끓일 때 채소 한 줌 넣기</t>
  </si>
  <si>
    <t>라면에 채소 넣기</t>
  </si>
  <si>
    <t>채소를 넣으면 한 끼 채소가 늘어요.</t>
  </si>
  <si>
    <t>2026-10-13 추가(검수표 71번). 사용자 · Claude 검수: 12자 · 금지 성격 · 상황 전제 · 과일 · 탄수화물 단독 · 나트륨 규칙 확인</t>
  </si>
  <si>
    <t>DIET-P-0344</t>
  </si>
  <si>
    <t>N297</t>
  </si>
  <si>
    <t>김밥 살 때 채소 많은 것 고르기</t>
  </si>
  <si>
    <t>채소 많은 김밥 고르기</t>
  </si>
  <si>
    <t>채소가 많은 메뉴로 쉽게 채소를 더할 수 있어요.</t>
  </si>
  <si>
    <t>2026-10-13 추가(검수표 72번). 사용자 · Claude 검수: 12자 · 금지 성격 · 상황 전제 · 과일 · 탄수화물 단독 · 나트륨 규칙 확인</t>
  </si>
  <si>
    <t>DIET-P-0345</t>
  </si>
  <si>
    <t>N298</t>
  </si>
  <si>
    <t>간식으로 오이·당근 챙기기</t>
  </si>
  <si>
    <t>오이·당근 간식 챙기기</t>
  </si>
  <si>
    <t>씹는 채소 간식은 출출할 때 좋아요.</t>
  </si>
  <si>
    <t>2026-10-13 추가(검수표 73번). 사용자 · Claude 검수: 12자 · 금지 성격 · 상황 전제 · 과일 · 탄수화물 단독 · 나트륨 규칙 확인</t>
  </si>
  <si>
    <t>DIET-P-0346</t>
  </si>
  <si>
    <t>N299</t>
  </si>
  <si>
    <t>내일 반찬에 쓸 채소 손질하기</t>
  </si>
  <si>
    <t>내일 쓸 채소 손질하기</t>
  </si>
  <si>
    <t>손질해 두면 내일 바로 조리할 수 있어요.</t>
  </si>
  <si>
    <t>2026-10-13 추가(검수표 74번). 사용자 · Claude 검수: 12자 · 금지 성격 · 상황 전제 · 과일 · 탄수화물 단독 · 나트륨 규칙 확인</t>
  </si>
  <si>
    <t>DIET-P-0347</t>
  </si>
  <si>
    <t>N300</t>
  </si>
  <si>
    <t>샐러드 채소 씻어 통에 담기</t>
  </si>
  <si>
    <t>샐러드 채소 씻어 두기</t>
  </si>
  <si>
    <t>통에 담아 두면 꺼내 먹기 쉬워요.</t>
  </si>
  <si>
    <t>2026-10-13 추가(검수표 75번). 사용자 · Claude 검수: 12자 · 금지 성격 · 상황 전제 · 과일 · 탄수화물 단독 · 나트륨 규칙 확인</t>
  </si>
  <si>
    <t>DIET-P-0348</t>
  </si>
  <si>
    <t>N301</t>
  </si>
  <si>
    <t>커피는 시럽 없이 주문하기</t>
  </si>
  <si>
    <t>시럽 뺀 커피 고르기</t>
  </si>
  <si>
    <t>시럽을 빼면 커피의 당이 줄어요.</t>
  </si>
  <si>
    <t>2026-10-13 추가(검수표 76번). 사용자 · Claude 검수: 12자 · 금지 성격 · 상황 전제 · 과일 · 탄수화물 단독 · 나트륨 규칙 확인</t>
  </si>
  <si>
    <t>DIET-P-0349</t>
  </si>
  <si>
    <t>N302</t>
  </si>
  <si>
    <t>편의점에선 무가당 음료 고르기</t>
  </si>
  <si>
    <t>무가당 음료 고르기</t>
  </si>
  <si>
    <t>무가당 음료는 당 걱정이 없어요.</t>
  </si>
  <si>
    <t>2026-10-13 추가(검수표 77번). 사용자 · Claude 검수: 12자 · 금지 성격 · 상황 전제 · 과일 · 탄수화물 단독 · 나트륨 규칙 확인</t>
  </si>
  <si>
    <t>DIET-P-0350</t>
  </si>
  <si>
    <t>N303</t>
  </si>
  <si>
    <t>빵 고를 때 덜 단 것 고르기</t>
  </si>
  <si>
    <t>덜 단 빵 고르기</t>
  </si>
  <si>
    <t>덜 단 빵을 고르면 당을 줄일 수 있어요.</t>
  </si>
  <si>
    <t>2026-10-13 추가(검수표 78번). 사용자 · Claude 검수: 12자 · 금지 성격 · 상황 전제 · 과일 · 탄수화물 단독 · 나트륨 규칙 확인</t>
  </si>
  <si>
    <t>DIET-P-0351</t>
  </si>
  <si>
    <t>N304</t>
  </si>
  <si>
    <t>가방에 물병 챙겨 다니기</t>
  </si>
  <si>
    <t>물병 챙겨 다니기</t>
  </si>
  <si>
    <t>물이 있으면 단 음료를 덜 사게 돼요.</t>
  </si>
  <si>
    <t>2026-10-13 추가(검수표 79번). 사용자 · Claude 검수: 12자 · 금지 성격 · 상황 전제 · 과일 · 탄수화물 단독 · 나트륨 규칙 확인</t>
  </si>
  <si>
    <t>DIET-P-0352</t>
  </si>
  <si>
    <t>N305</t>
  </si>
  <si>
    <t>내일 마실 보리차 끓여 두기</t>
  </si>
  <si>
    <t>보리차 끓여 두기</t>
  </si>
  <si>
    <t>보리차가 있으면 단 음료에 손이 덜 가요.</t>
  </si>
  <si>
    <t>2026-10-13 추가(검수표 80번). 사용자 · Claude 검수: 12자 · 금지 성격 · 상황 전제 · 과일 · 탄수화물 단독 · 나트륨 규칙 확인</t>
  </si>
  <si>
    <t>DIET-P-0353</t>
  </si>
  <si>
    <t>N306</t>
  </si>
  <si>
    <t>단 간식 덜 사게 장 목록 쓰기</t>
  </si>
  <si>
    <t>단 간식 빼고 장보기</t>
  </si>
  <si>
    <t>목록대로 사면 충동구매가 줄어요.</t>
  </si>
  <si>
    <t>2026-10-13 추가(검수표 81번). 사용자 · Claude 검수: 12자 · 금지 성격 · 상황 전제 · 과일 · 탄수화물 단독 · 나트륨 규칙 확인</t>
  </si>
  <si>
    <t>DIET-P-0354</t>
  </si>
  <si>
    <t>N307</t>
  </si>
  <si>
    <t>국은 건더기부터 먹기</t>
  </si>
  <si>
    <t>건더기부터 먹으면 국물을 덜 먹게 돼요.</t>
  </si>
  <si>
    <t>2026-10-13 추가(검수표 82번). 사용자 · Claude 검수: 12자 · 금지 성격 · 상황 전제 · 과일 · 탄수화물 단독 · 나트륨 규칙 확인</t>
  </si>
  <si>
    <t>DIET-P-0355</t>
  </si>
  <si>
    <t>N308</t>
  </si>
  <si>
    <t>간 보고 소금 더 넣지 않기</t>
  </si>
  <si>
    <t>소금 더 넣지 않기</t>
  </si>
  <si>
    <t>이미 간이 된 음식은 그대로도 충분해요.</t>
  </si>
  <si>
    <t>2026-10-13 추가(검수표 83번). 사용자 · Claude 검수: 12자 · 금지 성격 · 상황 전제 · 과일 · 탄수화물 단독 · 나트륨 규칙 확인</t>
  </si>
  <si>
    <t>DIET-P-0356</t>
  </si>
  <si>
    <t>N309</t>
  </si>
  <si>
    <t>소스 조금만 찍기</t>
  </si>
  <si>
    <t>소스는 한 번만 찍기</t>
  </si>
  <si>
    <t>한 번만 찍어도 맛은 충분해요.</t>
  </si>
  <si>
    <t>2026-10-13 추가(검수표 84번). 사용자 · Claude 검수: 12자 · 금지 성격 · 상황 전제 · 과일 · 탄수화물 단독 · 나트륨 규칙 확인</t>
  </si>
  <si>
    <t>DIET-P-0357</t>
  </si>
  <si>
    <t>N310</t>
  </si>
  <si>
    <t>싱겁게 해 달라고 하기</t>
  </si>
  <si>
    <t>국은 덜 짜게 끓이기</t>
  </si>
  <si>
    <t>국을 덜 짜게 끓이면 한 끼 나트륨이 줄어요.</t>
  </si>
  <si>
    <t>2026-10-13 추가(검수표 85번). 사용자 · Claude 검수: 12자 · 금지 성격 · 상황 전제 · 과일 · 탄수화물 단독 · 나트륨 규칙 확인</t>
  </si>
  <si>
    <t>DIET-P-0358</t>
  </si>
  <si>
    <t>N311</t>
  </si>
  <si>
    <t>내일은 맑은 국으로</t>
  </si>
  <si>
    <t>내일은 맑은 콩나물국</t>
  </si>
  <si>
    <t>맑은 콩나물국은 찌개보다 덜 짜요.</t>
  </si>
  <si>
    <t>2026-10-13 추가(검수표 86번). 사용자 · Claude 검수: 12자 · 금지 성격 · 상황 전제 · 과일 · 탄수화물 단독 · 나트륨 규칙 확인</t>
  </si>
  <si>
    <t>DIET-P-0359</t>
  </si>
  <si>
    <t>N312</t>
  </si>
  <si>
    <t>저염 간장 장 목록에 적기</t>
  </si>
  <si>
    <t>저염 간장 사 두기</t>
  </si>
  <si>
    <t>저염 제품을 쓰면 간을 덜 짜게 할 수 있어요.</t>
  </si>
  <si>
    <t>2026-10-13 추가(검수표 87번). 사용자 · Claude 검수: 12자 · 금지 성격 · 상황 전제 · 과일 · 탄수화물 단독 · 나트륨 규칙 확인</t>
  </si>
  <si>
    <t>DIET-P-0360</t>
  </si>
  <si>
    <t>N313</t>
  </si>
  <si>
    <t>오후 간식 시간 정해 두기</t>
  </si>
  <si>
    <t>간식 시간 정해 두기</t>
  </si>
  <si>
    <t>간식 시간이 있으면 저녁 과식을 막기 쉬워요.</t>
  </si>
  <si>
    <t>2026-10-13 추가(검수표 88번). 사용자 · Claude 검수: 12자 · 금지 성격 · 상황 전제 · 과일 · 탄수화물 단독 · 나트륨 규칙 확인</t>
  </si>
  <si>
    <t>DIET-P-0361</t>
  </si>
  <si>
    <t>N314</t>
  </si>
  <si>
    <t>저녁 먹을 시간 미리 정하기</t>
  </si>
  <si>
    <t>저녁 시간 미리 정하기</t>
  </si>
  <si>
    <t>미리 정하면 늦은 저녁을 피하기 쉬워요.</t>
  </si>
  <si>
    <t>2026-10-13 추가(검수표 89번). 사용자 · Claude 검수: 12자 · 금지 성격 · 상황 전제 · 과일 · 탄수화물 단독 · 나트륨 규칙 확인</t>
  </si>
  <si>
    <t>DIET-P-0362</t>
  </si>
  <si>
    <t>N315</t>
  </si>
  <si>
    <t>출근 전 아침 먹을 시간 비우기</t>
  </si>
  <si>
    <t>아침 먹을 시간 비우기</t>
  </si>
  <si>
    <t>시간을 비워 두면 아침을 거르지 않아요.</t>
  </si>
  <si>
    <t>2026-10-13 추가(검수표 90번). 사용자 · Claude 검수: 12자 · 금지 성격 · 상황 전제 · 과일 · 탄수화물 단독 · 나트륨 규칙 확인</t>
  </si>
  <si>
    <t>DIET-P-0363</t>
  </si>
  <si>
    <t>N316</t>
  </si>
  <si>
    <t>식사 시간 일정하게 맞추기</t>
  </si>
  <si>
    <t>끼니 시간 맞춰 먹기</t>
  </si>
  <si>
    <t>일정한 식사 시간이 하루 리듬을 잡아 줘요.</t>
  </si>
  <si>
    <t>2026-10-13 추가(검수표 91번). 사용자 · Claude 검수: 12자 · 금지 성격 · 상황 전제 · 과일 · 탄수화물 단독 · 나트륨 규칙 확인</t>
  </si>
  <si>
    <t>DIET-P-0364</t>
  </si>
  <si>
    <t>N317</t>
  </si>
  <si>
    <t>야식 대신 물 한 잔</t>
  </si>
  <si>
    <t>물을 마시면 잠깐의 허기가 가라앉기도 해요.</t>
  </si>
  <si>
    <t>2026-10-13 추가(검수표 92번). 사용자 · Claude 검수: 12자 · 금지 성격 · 상황 전제 · 과일 · 탄수화물 단독 · 나트륨 규칙 확인</t>
  </si>
  <si>
    <t>DIET-P-0365</t>
  </si>
  <si>
    <t>N318</t>
  </si>
  <si>
    <t>밤 11시 전 잠자리에</t>
  </si>
  <si>
    <t>야식 없이 잠들기</t>
  </si>
  <si>
    <t>자기 전 야식을 건너뛰면 속이 편하고 잠도 잘 와요.</t>
  </si>
  <si>
    <t>2026-10-13 추가(검수표 93번). 사용자 · Claude 검수: 12자 · 금지 성격 · 상황 전제 · 과일 · 탄수화물 단독 · 나트륨 규칙 확인</t>
  </si>
  <si>
    <t>DIET-P-0366</t>
  </si>
  <si>
    <t>N319</t>
  </si>
  <si>
    <t>첫술 뒤 잠깐 쉬기</t>
  </si>
  <si>
    <t>한 입마다 10초 쉬기</t>
  </si>
  <si>
    <t>숟가락을 놓고 쉬면 천천히 먹게 돼요.</t>
  </si>
  <si>
    <t>2026-10-13 추가(검수표 94번). 사용자 · Claude 검수: 12자 · 금지 성격 · 상황 전제 · 과일 · 탄수화물 단독 · 나트륨 규칙 확인</t>
  </si>
  <si>
    <t>DIET-P-0367</t>
  </si>
  <si>
    <t>N320</t>
  </si>
  <si>
    <t>식사 중 물 한 모금 쉬어 가기</t>
  </si>
  <si>
    <t>물 마시며 쉬어 가기</t>
  </si>
  <si>
    <t>중간에 쉬면 배부름을 느끼기 쉬워요.</t>
  </si>
  <si>
    <t>2026-10-13 추가(검수표 95번). 사용자 · Claude 검수: 12자 · 금지 성격 · 상황 전제 · 과일 · 탄수화물 단독 · 나트륨 규칙 확인</t>
  </si>
  <si>
    <t>DIET-P-0368</t>
  </si>
  <si>
    <t>N321</t>
  </si>
  <si>
    <t>밥은 평소 그릇에 담아 먹기</t>
  </si>
  <si>
    <t>밥은 평소 그릇으로</t>
  </si>
  <si>
    <t>늘 쓰는 그릇에 담으면 양을 가늠하기 쉬워요.</t>
  </si>
  <si>
    <t>2026-10-13 추가(검수표 96번). 사용자 · Claude 검수: 12자 · 금지 성격 · 상황 전제 · 과일 · 탄수화물 단독 · 나트륨 규칙 확인</t>
  </si>
  <si>
    <t>DIET-P-0369</t>
  </si>
  <si>
    <t>N322</t>
  </si>
  <si>
    <t>먹기 전에 배고픈 정도 살피기</t>
  </si>
  <si>
    <t>배고픈 정도 살피기</t>
  </si>
  <si>
    <t>배고픈 정도를 알면 알맞게 먹기 쉬워요.</t>
  </si>
  <si>
    <t>2026-10-13 추가(검수표 97번). 사용자 · Claude 검수: 12자 · 금지 성격 · 상황 전제 · 과일 · 탄수화물 단독 · 나트륨 규칙 확인</t>
  </si>
  <si>
    <t>DIET-P-0370</t>
  </si>
  <si>
    <t>N323</t>
  </si>
  <si>
    <t>오늘 배부른 정도 돌아보기</t>
  </si>
  <si>
    <t>배부른 정도 돌아보기</t>
  </si>
  <si>
    <t>돌아보면 내일 알맞은 양을 정하기 쉬워요.</t>
  </si>
  <si>
    <t>2026-10-13 추가(검수표 98번). 사용자 · Claude 검수: 12자 · 금지 성격 · 상황 전제 · 과일 · 탄수화물 단독 · 나트륨 규칙 확인</t>
  </si>
  <si>
    <t>DIET-P-0371</t>
  </si>
  <si>
    <t>N324</t>
  </si>
  <si>
    <t>내일 먹을 양 미리 생각해 두기</t>
  </si>
  <si>
    <t>내일 먹을 양 정하기</t>
  </si>
  <si>
    <t>미리 생각해 두면 과식을 막기 쉬워요.</t>
  </si>
  <si>
    <t>2026-10-13 추가(검수표 99번). 사용자 · Claude 검수: 12자 · 금지 성격 · 상황 전제 · 과일 · 탄수화물 단독 · 나트륨 규칙 확인</t>
  </si>
  <si>
    <t>DIET-P-0372</t>
  </si>
  <si>
    <t>N325</t>
  </si>
  <si>
    <t>점심 메뉴에 단백질 하나 고르기</t>
  </si>
  <si>
    <t>점심에 단백질 고르기</t>
  </si>
  <si>
    <t>한 가지라도 고르면 끼니 단백질이 채워져요.</t>
  </si>
  <si>
    <t>2026-10-13 추가(검수표 100번). 사용자 · Claude 검수: 12자 · 금지 성격 · 상황 전제 · 과일 · 탄수화물 단독 · 나트륨 규칙 확인</t>
  </si>
  <si>
    <t>DIET-P-0373</t>
  </si>
  <si>
    <t>N326</t>
  </si>
  <si>
    <t>간식으로 두유 한 팩 챙기기</t>
  </si>
  <si>
    <t>두유 한 팩 챙기기</t>
  </si>
  <si>
    <t>두유는 간편하게 단백질을 더해 줘요.</t>
  </si>
  <si>
    <t>2026-10-13 추가(검수표 101번). 사용자 · Claude 검수: 12자 · 금지 성격 · 상황 전제 · 과일 · 탄수화물 단독 · 나트륨 규칙 확인</t>
  </si>
  <si>
    <t>DIET-P-0374</t>
  </si>
  <si>
    <t>N327</t>
  </si>
  <si>
    <t>편의점에선 달걀 고르기</t>
  </si>
  <si>
    <t>아침엔 두유 한 잔</t>
  </si>
  <si>
    <t>두유 한 잔으로 아침 단백질을 더해요.</t>
  </si>
  <si>
    <t>2026-10-13 추가(검수표 102번). 사용자 · Claude 검수: 12자 · 금지 성격 · 상황 전제 · 과일 · 탄수화물 단독 · 나트륨 규칙 확인</t>
  </si>
  <si>
    <t>DIET-P-0375</t>
  </si>
  <si>
    <t>N328</t>
  </si>
  <si>
    <t>국에 두부 넣기</t>
  </si>
  <si>
    <t>국에 두부 반 모</t>
  </si>
  <si>
    <t>두부를 넣으면 국 한 그릇에 단백질이 더해져요.</t>
  </si>
  <si>
    <t>2026-10-13 추가(검수표 103번). 사용자 · Claude 검수: 12자 · 금지 성격 · 상황 전제 · 과일 · 탄수화물 단독 · 나트륨 규칙 확인</t>
  </si>
  <si>
    <t>DIET-P-0376</t>
  </si>
  <si>
    <t>N329</t>
  </si>
  <si>
    <t>내일 아침 두부 썰어 두기</t>
  </si>
  <si>
    <t>내일 아침 두부 썰기</t>
  </si>
  <si>
    <t>썰어 두면 아침에 바로 조리할 수 있어요.</t>
  </si>
  <si>
    <t>2026-10-13 추가(검수표 104번). 사용자 · Claude 검수: 12자 · 금지 성격 · 상황 전제 · 과일 · 탄수화물 단독 · 나트륨 규칙 확인</t>
  </si>
  <si>
    <t>DIET-P-0377</t>
  </si>
  <si>
    <t>N330</t>
  </si>
  <si>
    <t>내일 도시락에 단백질 담기</t>
  </si>
  <si>
    <t>도시락에 단백질 담기</t>
  </si>
  <si>
    <t>도시락에 담으면 밖에서도 단백질을 챙겨요.</t>
  </si>
  <si>
    <t>2026-10-13 추가(검수표 105번). 사용자 · Claude 검수: 12자 · 금지 성격 · 상황 전제 · 과일 · 탄수화물 단독 · 나트륨 규칙 확인</t>
  </si>
  <si>
    <t>DIET-P-0378</t>
  </si>
  <si>
    <t>N331</t>
  </si>
  <si>
    <t>삼겹살 대신 수육·보쌈 고르기</t>
  </si>
  <si>
    <t>삼겹살 대신 보쌈</t>
  </si>
  <si>
    <t>삶은 고기는 구운 삼겹살보다 기름이 덜해요.</t>
  </si>
  <si>
    <t>2026-10-13 추가(검수표 106번). 사용자 · Claude 검수: 12자 · 금지 성격 · 상황 전제 · 과일 · 탄수화물 단독 · 나트륨 규칙 확인</t>
  </si>
  <si>
    <t>DIET-P-0379</t>
  </si>
  <si>
    <t>N332</t>
  </si>
  <si>
    <t>볶음 대신 무침 고르기</t>
  </si>
  <si>
    <t>잡채 대신 나물무침</t>
  </si>
  <si>
    <t>나물무침은 잡채보다 기름을 덜 써요.</t>
  </si>
  <si>
    <t>2026-10-13 추가(검수표 107번). 사용자 · Claude 검수: 12자 · 금지 성격 · 상황 전제 · 과일 · 탄수화물 단독 · 나트륨 규칙 확인</t>
  </si>
  <si>
    <t>DIET-P-0380</t>
  </si>
  <si>
    <t>N333</t>
  </si>
  <si>
    <t>튀김옷은 벗겨서 먹기</t>
  </si>
  <si>
    <t>튀김옷에 기름이 가장 많이 배어 있어요.</t>
  </si>
  <si>
    <t>2026-10-13 추가(검수표 108번). 사용자 · Claude 검수: 12자 · 금지 성격 · 상황 전제 · 과일 · 탄수화물 단독 · 나트륨 규칙 확인</t>
  </si>
  <si>
    <t>DIET-P-0381</t>
  </si>
  <si>
    <t>N334</t>
  </si>
  <si>
    <t>샐러드는 소스 조금만</t>
  </si>
  <si>
    <t>샐러드 소스 1스푼</t>
  </si>
  <si>
    <t>소스를 한 스푼만 쓰면 기름과 염분이 줄어요.</t>
  </si>
  <si>
    <t>2026-10-13 추가(검수표 109번). 사용자 · Claude 검수: 12자 · 금지 성격 · 상황 전제 · 과일 · 탄수화물 단독 · 나트륨 규칙 확인</t>
  </si>
  <si>
    <t>DIET-P-0382</t>
  </si>
  <si>
    <t>N335</t>
  </si>
  <si>
    <t>내일 반찬은 무침으로</t>
  </si>
  <si>
    <t>내일 반찬은 콩나물무침</t>
  </si>
  <si>
    <t>콩나물무침은 기름을 거의 쓰지 않아요.</t>
  </si>
  <si>
    <t>2026-10-13 추가(검수표 110번). 사용자 · Claude 검수: 12자 · 금지 성격 · 상황 전제 · 과일 · 탄수화물 단독 · 나트륨 규칙 확인</t>
  </si>
  <si>
    <t>DIET-P-0383</t>
  </si>
  <si>
    <t>N336</t>
  </si>
  <si>
    <t>기름 적은 요리 찾기</t>
  </si>
  <si>
    <t>제육볶음 대신 수육</t>
  </si>
  <si>
    <t>삶은 수육은 볶은 고기보다 기름이 덜해요.</t>
  </si>
  <si>
    <t>2026-10-13 추가(검수표 111번). 사용자 · Claude 검수: 12자 · 금지 성격 · 상황 전제 · 과일 · 탄수화물 단독 · 나트륨 규칙 확인</t>
  </si>
  <si>
    <t>DIET-P-0384</t>
  </si>
  <si>
    <t>N337</t>
  </si>
  <si>
    <t>돈가스 대신 생선구이 고르기</t>
  </si>
  <si>
    <t>돈가스 대신 생선구이</t>
  </si>
  <si>
    <t>생선구이는 돈가스보다 기름이 덜 들어가요.</t>
  </si>
  <si>
    <t>2026-10-13 추가(검수표 112번). 사용자 · Claude 검수: 12자 · 금지 성격 · 상황 전제 · 과일 · 탄수화물 단독 · 나트륨 규칙 확인</t>
  </si>
  <si>
    <t>DIET-P-0385</t>
  </si>
  <si>
    <t>N338</t>
  </si>
  <si>
    <t>치킨 대신 닭백숙 고르기</t>
  </si>
  <si>
    <t>치킨 대신 닭백숙</t>
  </si>
  <si>
    <t>삶은 닭은 튀긴 닭보다 기름이 적어요.</t>
  </si>
  <si>
    <t>2026-10-13 추가(검수표 113번). 사용자 · Claude 검수: 12자 · 금지 성격 · 상황 전제 · 과일 · 탄수화물 단독 · 나트륨 규칙 확인</t>
  </si>
  <si>
    <t>DIET-P-0386</t>
  </si>
  <si>
    <t>N339</t>
  </si>
  <si>
    <t>김치찌개 대신 맑은 국 고르기</t>
  </si>
  <si>
    <t>김치찌개 대신 맑은 국</t>
  </si>
  <si>
    <t>맑은 국은 찌개보다 덜 짠 편이에요.</t>
  </si>
  <si>
    <t>2026-10-13 추가(검수표 114번). 사용자 · Claude 검수: 12자 · 금지 성격 · 상황 전제 · 과일 · 탄수화물 단독 · 나트륨 규칙 확인</t>
  </si>
  <si>
    <t>DIET-P-0387</t>
  </si>
  <si>
    <t>N340</t>
  </si>
  <si>
    <t>믹스커피 대신 아메리카노 고르기</t>
  </si>
  <si>
    <t>믹스 대신 블랙커피</t>
  </si>
  <si>
    <t>아메리카노에는 설탕이 들어 있지 않아요.</t>
  </si>
  <si>
    <t>2026-10-13 추가(검수표 115번). 사용자 · Claude 검수: 12자 · 금지 성격 · 상황 전제 · 과일 · 탄수화물 단독 · 나트륨 규칙 확인</t>
  </si>
  <si>
    <t>DIET-P-0388</t>
  </si>
  <si>
    <t>N341</t>
  </si>
  <si>
    <t>케이크 대신 플레인 요거트 고르기</t>
  </si>
  <si>
    <t>케이크 대신 요거트</t>
  </si>
  <si>
    <t>플레인 요거트는 단맛이 훨씬 덜해요.</t>
  </si>
  <si>
    <t>2026-10-13 추가(검수표 116번). 사용자 · Claude 검수: 12자 · 금지 성격 · 상황 전제 · 과일 · 탄수화물 단독 · 나트륨 규칙 확인</t>
  </si>
  <si>
    <t>DIET-P-0389</t>
  </si>
  <si>
    <t>N342</t>
  </si>
  <si>
    <t>짜장면 대신 비빔밥 고르기</t>
  </si>
  <si>
    <t>짜장면 대신 비빔밥</t>
  </si>
  <si>
    <t>비빔밥은 채소를 넉넉히 먹을 수 있어요.</t>
  </si>
  <si>
    <t>2026-10-13 추가(검수표 117번). 사용자 · Claude 검수: 12자 · 금지 성격 · 상황 전제 · 과일 · 탄수화물 단독 · 나트륨 규칙 확인</t>
  </si>
  <si>
    <t>DIET-P-0390</t>
  </si>
  <si>
    <t>N343</t>
  </si>
  <si>
    <t>오후엔 카페인 쉬기</t>
  </si>
  <si>
    <t>오후부터 카페인을 쉬면 밤잠이 편해져요.</t>
  </si>
  <si>
    <t>2026-10-13 추가(검수표 118번). 사용자 · Claude 검수: 12자 · 금지 성격 · 상황 전제 · 과일 · 탄수화물 단독 · 나트륨 규칙 확인</t>
  </si>
  <si>
    <t>DIET-P-0391</t>
  </si>
  <si>
    <t>N344</t>
  </si>
  <si>
    <t>아침엔 누룽지 한 그릇</t>
  </si>
  <si>
    <t>따뜻한 누룽지는 아침에 부담 없이 먹기 좋아요.</t>
  </si>
  <si>
    <t>2026-10-13 추가(검수표 119번). 사용자 · Claude 검수: 12자 · 금지 성격 · 상황 전제 · 과일 · 탄수화물 단독 · 나트륨 규칙 확인</t>
  </si>
  <si>
    <t>DIET-P-0392</t>
  </si>
  <si>
    <t>N345</t>
  </si>
  <si>
    <t>바쁜 아침엔 삶은 달걀</t>
  </si>
  <si>
    <t>삶은 달걀 하나면 바쁜 아침도 챙길 수 있어요.</t>
  </si>
  <si>
    <t>2026-10-13 추가(검수표 120번). 사용자 · Claude 검수: 12자 · 금지 성격 · 상황 전제 · 과일 · 탄수화물 단독 · 나트륨 규칙 확인</t>
  </si>
  <si>
    <t>DIET-P-0393</t>
  </si>
  <si>
    <t>N346</t>
  </si>
  <si>
    <t>라면엔 콩나물 한 줌</t>
  </si>
  <si>
    <t>콩나물을 넣으면 라면에도 채소가 더해져요.</t>
  </si>
  <si>
    <t>2026-10-13 추가(검수표 121번). 사용자 · Claude 검수: 12자 · 금지 성격 · 상황 전제 · 과일 · 탄수화물 단독 · 나트륨 규칙 확인</t>
  </si>
  <si>
    <t>DIET-P-0394</t>
  </si>
  <si>
    <t>N347</t>
  </si>
  <si>
    <t>비빔밥은 나물 듬뿍</t>
  </si>
  <si>
    <t>나물을 듬뿍 넣으면 한 끼 채소가 늘어요.</t>
  </si>
  <si>
    <t>2026-10-13 추가(검수표 122번). 사용자 · Claude 검수: 12자 · 금지 성격 · 상황 전제 · 과일 · 탄수화물 단독 · 나트륨 규칙 확인</t>
  </si>
  <si>
    <t>DIET-P-0395</t>
  </si>
  <si>
    <t>N348</t>
  </si>
  <si>
    <t>달걀말이에 부추 넣기</t>
  </si>
  <si>
    <t>부추를 넣으면 반찬 하나에 채소가 더해져요.</t>
  </si>
  <si>
    <t>2026-10-13 추가(검수표 123번). 사용자 · Claude 검수: 12자 · 금지 성격 · 상황 전제 · 과일 · 탄수화물 단독 · 나트륨 규칙 확인</t>
  </si>
  <si>
    <t>DIET-P-0396</t>
  </si>
  <si>
    <t>N349</t>
  </si>
  <si>
    <t>라면에 달걀 하나</t>
  </si>
  <si>
    <t>달걀을 넣으면 라면에도 단백질이 더해져요.</t>
  </si>
  <si>
    <t>2026-10-13 추가(검수표 124번). 사용자 · Claude 검수: 12자 · 금지 성격 · 상황 전제 · 과일 · 탄수화물 단독 · 나트륨 규칙 확인</t>
  </si>
  <si>
    <t>DIET-P-0397</t>
  </si>
  <si>
    <t>N350</t>
  </si>
  <si>
    <t>김밥은 참치·계란으로</t>
  </si>
  <si>
    <t>참치·계란 김밥으로 단백질을 챙겨요.</t>
  </si>
  <si>
    <t>2026-10-13 추가(검수표 125번). 사용자 · Claude 검수: 12자 · 금지 성격 · 상황 전제 · 과일 · 탄수화물 단독 · 나트륨 규칙 확인</t>
  </si>
  <si>
    <t>DIET-P-0398</t>
  </si>
  <si>
    <t>N351</t>
  </si>
  <si>
    <t>샐러드엔 삶은 달걀</t>
  </si>
  <si>
    <t>삶은 달걀을 올리면 샐러드가 든든해져요.</t>
  </si>
  <si>
    <t>2026-10-13 추가(검수표 126번). 사용자 · Claude 검수: 12자 · 금지 성격 · 상황 전제 · 과일 · 탄수화물 단독 · 나트륨 규칙 확인</t>
  </si>
  <si>
    <t>DIET-P-0399</t>
  </si>
  <si>
    <t>N352</t>
  </si>
  <si>
    <t>식혜 대신 보리차</t>
  </si>
  <si>
    <t>보리차는 달지 않아 당 걱정이 없어요.</t>
  </si>
  <si>
    <t>2026-10-13 추가(검수표 127번). 사용자 · Claude 검수: 12자 · 금지 성격 · 상황 전제 · 과일 · 탄수화물 단독 · 나트륨 규칙 확인</t>
  </si>
  <si>
    <t>DIET-P-0400</t>
  </si>
  <si>
    <t>N353</t>
  </si>
  <si>
    <t>라떼는 시럽 빼고</t>
  </si>
  <si>
    <t>시럽을 빼면 라떼의 당이 크게 줄어요.</t>
  </si>
  <si>
    <t>2026-10-13 추가(검수표 128번). 사용자 · Claude 검수: 12자 · 금지 성격 · 상황 전제 · 과일 · 탄수화물 단독 · 나트륨 규칙 확인</t>
  </si>
  <si>
    <t>DIET-P-0401</t>
  </si>
  <si>
    <t>N354</t>
  </si>
  <si>
    <t>믹스커피는 반 봉지만</t>
  </si>
  <si>
    <t>반 봉지만 타도 단맛은 충분해요.</t>
  </si>
  <si>
    <t>2026-10-13 추가(검수표 129번). 사용자 · Claude 검수: 12자 · 금지 성격 · 상황 전제 · 과일 · 탄수화물 단독 · 나트륨 규칙 확인</t>
  </si>
  <si>
    <t>DIET-P-0402</t>
  </si>
  <si>
    <t>N355</t>
  </si>
  <si>
    <t>라면 스프는 반만</t>
  </si>
  <si>
    <t>스프를 반만 넣으면 나트륨이 크게 줄어요.</t>
  </si>
  <si>
    <t>2026-10-13 추가(검수표 130번). 사용자 · Claude 검수: 12자 · 금지 성격 · 상황 전제 · 과일 · 탄수화물 단독 · 나트륨 규칙 확인</t>
  </si>
  <si>
    <t>DIET-P-0403</t>
  </si>
  <si>
    <t>N356</t>
  </si>
  <si>
    <t>김치는 백김치로</t>
  </si>
  <si>
    <t>백김치는 빨간 김치보다 덜 짠 편이에요.</t>
  </si>
  <si>
    <t>2026-10-13 추가(검수표 131번). 사용자 · Claude 검수: 12자 · 금지 성격 · 상황 전제 · 과일 · 탄수화물 단독 · 나트륨 규칙 확인</t>
  </si>
  <si>
    <t>DIET-P-0404</t>
  </si>
  <si>
    <t>N357</t>
  </si>
  <si>
    <t>오징어튀김 대신 숙회</t>
  </si>
  <si>
    <t>숙회는 튀김옷 없이 데쳐 먹어 기름이 적어요.</t>
  </si>
  <si>
    <t>2026-10-13 추가(검수표 132번). 사용자 · Claude 검수: 12자 · 금지 성격 · 상황 전제 · 과일 · 탄수화물 단독 · 나트륨 규칙 확인</t>
  </si>
  <si>
    <t>DIET-P-0405</t>
  </si>
  <si>
    <t>N358</t>
  </si>
  <si>
    <t>치킨은 오븐구이로</t>
  </si>
  <si>
    <t>오븐구이는 튀긴 치킨보다 기름이 덜해요.</t>
  </si>
  <si>
    <t>2026-10-13 추가(검수표 133번). 사용자 · Claude 검수: 12자 · 금지 성격 · 상황 전제 · 과일 · 탄수화물 단독 · 나트륨 규칙 확인</t>
  </si>
  <si>
    <t>DIET-P-0406</t>
  </si>
  <si>
    <t>N359</t>
  </si>
  <si>
    <t>야식 대신 따뜻한 차</t>
  </si>
  <si>
    <t>따뜻한 차 한 잔이 늦은 밤 허기를 달래 줘요.</t>
  </si>
  <si>
    <t>2026-10-13 추가(검수표 134번). 사용자 · Claude 검수: 12자 · 금지 성격 · 상황 전제 · 과일 · 탄수화물 단독 · 나트륨 규칙 확인</t>
  </si>
  <si>
    <t>DIET-P-0407</t>
  </si>
  <si>
    <t>N360</t>
  </si>
  <si>
    <t>잠들기 전 양치 먼저</t>
  </si>
  <si>
    <t>양치를 하면 야식 생각이 줄어요.</t>
  </si>
  <si>
    <t>2026-10-13 추가(검수표 135번). 사용자 · Claude 검수: 12자 · 금지 성격 · 상황 전제 · 과일 · 탄수화물 단독 · 나트륨 규칙 확인</t>
  </si>
  <si>
    <t>DIET-P-0408</t>
  </si>
  <si>
    <t>N361</t>
  </si>
  <si>
    <t>한 숟갈 뒤 숨 고르기</t>
  </si>
  <si>
    <t>한 숟갈마다 쉬면 천천히 먹게 돼요.</t>
  </si>
  <si>
    <t>2026-10-13 추가(검수표 136번). 사용자 · Claude 검수: 12자 · 금지 성격 · 상황 전제 · 과일 · 탄수화물 단독 · 나트륨 규칙 확인</t>
  </si>
  <si>
    <t>DIET-P-0409</t>
  </si>
  <si>
    <t>N362</t>
  </si>
  <si>
    <t>밥은 작은 공기에</t>
  </si>
  <si>
    <t>작은 공기에 담으면 양을 가늠하기 쉬워요.</t>
  </si>
  <si>
    <t>2026-10-13 추가(검수표 137번). 사용자 · Claude 검수: 12자 · 금지 성격 · 상황 전제 · 과일 · 탄수화물 단독 · 나트륨 규칙 확인</t>
  </si>
  <si>
    <t>DIET-P-0410</t>
  </si>
  <si>
    <t>N363</t>
  </si>
  <si>
    <t>국수는 천천히 후루룩</t>
  </si>
  <si>
    <t>면은 꼭꼭 씹어 먹기</t>
  </si>
  <si>
    <t>면도 꼭꼭 씹으면 천천히 먹고 배부름을 느끼기 쉬워요.</t>
  </si>
  <si>
    <t>2026-10-13 추가(검수표 138번). 사용자 · Claude 검수: 12자 · 금지 성격 · 상황 전제 · 과일 · 탄수화물 단독 · 나트륨 규칙 확인</t>
  </si>
  <si>
    <t>DIET-P-0411</t>
  </si>
  <si>
    <t>N364</t>
  </si>
  <si>
    <t>아침추천: 죽/누룽지</t>
  </si>
  <si>
    <t>아침추천: 현미밥+나물</t>
  </si>
  <si>
    <t>현미밥에 나물을 곁들이면 혈당이 천천히 올라요.</t>
  </si>
  <si>
    <t>KDA-2023; MOHW-DIETGUIDE</t>
  </si>
  <si>
    <t>2026-10-13 추가(검수표 139번). 사용자 · Claude 검수: 12자 · 금지 성격 · 상황 전제 · 과일 · 탄수화물 단독 · 나트륨 규칙 확인</t>
  </si>
  <si>
    <t>DIET-P-0412</t>
  </si>
  <si>
    <t>N365</t>
  </si>
  <si>
    <t>아침추천: 흑미밥/감자</t>
  </si>
  <si>
    <t>아침추천: 잡곡밥+두부</t>
  </si>
  <si>
    <t>잡곡밥에 두부를 곁들이면 오래 든든해요.</t>
  </si>
  <si>
    <t>2026-10-13 추가(검수표 140번). 사용자 · Claude 검수: 12자 · 금지 성격 · 상황 전제 · 과일 · 탄수화물 단독 · 나트륨 규칙 확인</t>
  </si>
  <si>
    <t>DIET-P-0413</t>
  </si>
  <si>
    <t>N366</t>
  </si>
  <si>
    <t>아침추천: 오트밀/감자</t>
  </si>
  <si>
    <t>아침추천: 오트밀+우유</t>
  </si>
  <si>
    <t>오트밀에 우유를 더하면 단백질도 함께 챙겨요.</t>
  </si>
  <si>
    <t>2026-10-13 추가(검수표 141번). 사용자 · Claude 검수: 12자 · 금지 성격 · 상황 전제 · 과일 · 탄수화물 단독 · 나트륨 규칙 확인</t>
  </si>
  <si>
    <t>DIET-P-0414</t>
  </si>
  <si>
    <t>N367</t>
  </si>
  <si>
    <t>아침추천: 고구마/밤</t>
  </si>
  <si>
    <t>아침추천: 고구마+두유</t>
  </si>
  <si>
    <t>고구마에 두유를 곁들이면 단백질이 더해져요.</t>
  </si>
  <si>
    <t>2026-10-13 추가(검수표 142번). 사용자 · Claude 검수: 12자 · 금지 성격 · 상황 전제 · 과일 · 탄수화물 단독 · 나트륨 규칙 확인</t>
  </si>
  <si>
    <t>DIET-P-0415</t>
  </si>
  <si>
    <t>N368</t>
  </si>
  <si>
    <t>아침추천: 전복죽/쌀죽</t>
  </si>
  <si>
    <t>아침추천: 현미밥+생선</t>
  </si>
  <si>
    <t>현미밥과 생선구이로 균형 잡힌 아침을 먹어요.</t>
  </si>
  <si>
    <t>2026-10-13 추가(검수표 143번). 사용자 · Claude 검수: 12자 · 금지 성격 · 상황 전제 · 과일 · 탄수화물 단독 · 나트륨 규칙 확인</t>
  </si>
  <si>
    <t>DIET-P-0416</t>
  </si>
  <si>
    <t>N369</t>
  </si>
  <si>
    <t>아침추천: 미역국/뭇국</t>
  </si>
  <si>
    <t>아침추천: 시금치/오이</t>
  </si>
  <si>
    <t>데친 시금치나 오이로 국물 없이 채소를 먹어요.</t>
  </si>
  <si>
    <t>2026-10-13 추가(검수표 144번). 사용자 · Claude 검수: 12자 · 금지 성격 · 상황 전제 · 과일 · 탄수화물 단독 · 나트륨 규칙 확인</t>
  </si>
  <si>
    <t>DIET-P-0417</t>
  </si>
  <si>
    <t>N370</t>
  </si>
  <si>
    <t>아침추천: 뭇국/배춧국</t>
  </si>
  <si>
    <t>아침추천: 배추쌈/오이</t>
  </si>
  <si>
    <t>배추쌈이나 오이로 아삭하게 채소를 챙겨요.</t>
  </si>
  <si>
    <t>2026-10-13 추가(검수표 145번). 사용자 · Claude 검수: 12자 · 금지 성격 · 상황 전제 · 과일 · 탄수화물 단독 · 나트륨 규칙 확인</t>
  </si>
  <si>
    <t>DIET-P-0418</t>
  </si>
  <si>
    <t>N371</t>
  </si>
  <si>
    <t>아침추천: 아욱국/쑥국</t>
  </si>
  <si>
    <t>아침추천: 애호박/가지</t>
  </si>
  <si>
    <t>구운 애호박이나 가지로 채소를 더해요.</t>
  </si>
  <si>
    <t>2026-10-13 추가(검수표 146번). 사용자 · Claude 검수: 12자 · 금지 성격 · 상황 전제 · 과일 · 탄수화물 단독 · 나트륨 규칙 확인</t>
  </si>
  <si>
    <t>DIET-P-0419</t>
  </si>
  <si>
    <t>N372</t>
  </si>
  <si>
    <t>아침추천: 비빔밥/쌈밥</t>
  </si>
  <si>
    <t>나물이나 쌈으로 채소를 넉넉히 먹어요.</t>
  </si>
  <si>
    <t>2026-10-13 추가(검수표 147번). 사용자 · Claude 검수: 12자 · 금지 성격 · 상황 전제 · 과일 · 탄수화물 단독 · 나트륨 규칙 확인</t>
  </si>
  <si>
    <t>DIET-P-0420</t>
  </si>
  <si>
    <t>N373</t>
  </si>
  <si>
    <t>아침추천: 두부샐러드</t>
  </si>
  <si>
    <t>두부샐러드+1/2소스</t>
  </si>
  <si>
    <t>두부를 올린 샐러드로 채소와 단백질을 함께 챙겨요. 소스는 절반만 뿌려요.</t>
  </si>
  <si>
    <t>2026-10-13 추가(검수표 148번). 사용자 · Claude 검수: 12자 · 금지 성격 · 상황 전제 · 과일 · 탄수화물 단독 · 나트륨 규칙 확인</t>
  </si>
  <si>
    <t>DIET-P-0421</t>
  </si>
  <si>
    <t>N374</t>
  </si>
  <si>
    <t>아침추천: 달걀찜/두부</t>
  </si>
  <si>
    <t>달걀로 간단히 아침 단백질을 챙겨요.</t>
  </si>
  <si>
    <t>2026-10-13 추가(검수표 149번). 사용자 · Claude 검수: 12자 · 금지 성격 · 상황 전제 · 과일 · 탄수화물 단독 · 나트륨 규칙 확인</t>
  </si>
  <si>
    <t>DIET-P-0422</t>
  </si>
  <si>
    <t>N375</t>
  </si>
  <si>
    <t>아침추천: 순두부/두유</t>
  </si>
  <si>
    <t>부드러운 두부는 아침에 먹기 좋아요.</t>
  </si>
  <si>
    <t>2026-10-13 추가(검수표 150번). 사용자 · Claude 검수: 12자 · 금지 성격 · 상황 전제 · 과일 · 탄수화물 단독 · 나트륨 규칙 확인</t>
  </si>
  <si>
    <t>DIET-P-0423</t>
  </si>
  <si>
    <t>N376</t>
  </si>
  <si>
    <t>아침추천: 두유/우유</t>
  </si>
  <si>
    <t>한 잔으로 간편하게 단백질을 더해요.</t>
  </si>
  <si>
    <t>2026-10-13 추가(검수표 151번). 사용자 · Claude 검수: 12자 · 금지 성격 · 상황 전제 · 과일 · 탄수화물 단독 · 나트륨 규칙 확인</t>
  </si>
  <si>
    <t>DIET-P-0424</t>
  </si>
  <si>
    <t>N377</t>
  </si>
  <si>
    <t>아침추천: 달걀/두유</t>
  </si>
  <si>
    <t>바쁜 아침에도 단백질을 챙길 수 있어요.</t>
  </si>
  <si>
    <t>2026-10-13 추가(검수표 152번). 사용자 · Claude 검수: 12자 · 금지 성격 · 상황 전제 · 과일 · 탄수화물 단독 · 나트륨 규칙 확인</t>
  </si>
  <si>
    <t>DIET-P-0425</t>
  </si>
  <si>
    <t>N378</t>
  </si>
  <si>
    <t>아침추천: 연두부/달걀</t>
  </si>
  <si>
    <t>아침추천: 연두부/두유</t>
  </si>
  <si>
    <t>부드러운 두부나 두유로 단백질을 더해요.</t>
  </si>
  <si>
    <t>2026-10-13 추가(검수표 153번). 사용자 · Claude 검수: 12자 · 금지 성격 · 상황 전제 · 과일 · 탄수화물 단독 · 나트륨 규칙 확인</t>
  </si>
  <si>
    <t>DIET-P-0426</t>
  </si>
  <si>
    <t>N379</t>
  </si>
  <si>
    <t>아침추천: 북엇국/두부</t>
  </si>
  <si>
    <t>아침추천: 연어/두부</t>
  </si>
  <si>
    <t>연어나 두부로 국물 없이 단백질을 챙겨요.</t>
  </si>
  <si>
    <t>2026-10-13 추가(검수표 154번). 사용자 · Claude 검수: 12자 · 금지 성격 · 상황 전제 · 과일 · 탄수화물 단독 · 나트륨 규칙 확인</t>
  </si>
  <si>
    <t>DIET-P-0427</t>
  </si>
  <si>
    <t>N380</t>
  </si>
  <si>
    <t>아침추천: 생선/달걀찜</t>
  </si>
  <si>
    <t>아침추천: 생선/나물</t>
  </si>
  <si>
    <t>생선구이와 나물은 기름을 덜 쓰는 반찬이에요.</t>
  </si>
  <si>
    <t>2026-10-13 추가(검수표 155번). 사용자 · Claude 검수: 12자 · 금지 성격 · 상황 전제 · 과일 · 탄수화물 단독 · 나트륨 규칙 확인</t>
  </si>
  <si>
    <t>DIET-P-0428</t>
  </si>
  <si>
    <t>N381</t>
  </si>
  <si>
    <t>아침추천: 백김치/생채</t>
  </si>
  <si>
    <t>아침추천: 생채/샐러드</t>
  </si>
  <si>
    <t>절이지 않은 생채소라 염분이 적어요.</t>
  </si>
  <si>
    <t>2026-10-13 추가(검수표 156번). 사용자 · Claude 검수: 12자 · 금지 성격 · 상황 전제 · 과일 · 탄수화물 단독 · 나트륨 규칙 확인</t>
  </si>
  <si>
    <t>DIET-P-0429</t>
  </si>
  <si>
    <t>N382</t>
  </si>
  <si>
    <t>저녁추천: 생선/수육</t>
  </si>
  <si>
    <t>구이와 수육은 튀김보다 기름이 덜해요.</t>
  </si>
  <si>
    <t>2026-10-13 추가(검수표 157번). 사용자 · Claude 검수: 12자 · 금지 성격 · 상황 전제 · 과일 · 탄수화물 단독 · 나트륨 규칙 확인</t>
  </si>
  <si>
    <t>DIET-P-0430</t>
  </si>
  <si>
    <t>N383</t>
  </si>
  <si>
    <t>저녁추천: 수육/보쌈</t>
  </si>
  <si>
    <t>저녁추천: 수육/닭찜</t>
  </si>
  <si>
    <t>삶거나 찐 고기는 기름과 양념이 적어요.</t>
  </si>
  <si>
    <t>2026-10-13 추가(검수표 158번). 사용자 · Claude 검수: 12자 · 금지 성격 · 상황 전제 · 과일 · 탄수화물 단독 · 나트륨 규칙 확인</t>
  </si>
  <si>
    <t>DIET-P-0431</t>
  </si>
  <si>
    <t>N384</t>
  </si>
  <si>
    <t>저녁추천: 백숙/닭곰탕</t>
  </si>
  <si>
    <t>저녁추천: 백숙/닭구이</t>
  </si>
  <si>
    <t>삶거나 구운 닭은 기름이 적어요.</t>
  </si>
  <si>
    <t>2026-10-13 추가(검수표 159번). 사용자 · Claude 검수: 12자 · 금지 성격 · 상황 전제 · 과일 · 탄수화물 단독 · 나트륨 규칙 확인</t>
  </si>
  <si>
    <t>DIET-P-0432</t>
  </si>
  <si>
    <t>N385</t>
  </si>
  <si>
    <t>저녁추천: 숙회/수육</t>
  </si>
  <si>
    <t>데친 요리는 기름 없이 먹을 수 있어요.</t>
  </si>
  <si>
    <t>2026-10-13 추가(검수표 160번). 사용자 · Claude 검수: 12자 · 금지 성격 · 상황 전제 · 과일 · 탄수화물 단독 · 나트륨 규칙 확인</t>
  </si>
  <si>
    <t>DIET-P-0433</t>
  </si>
  <si>
    <t>N386</t>
  </si>
  <si>
    <t>저녁추천: 고등어/갈치</t>
  </si>
  <si>
    <t>구운 생선은 튀김보다 기름이 덜 들어가요.</t>
  </si>
  <si>
    <t>2026-10-13 추가(검수표 161번). 사용자 · Claude 검수: 12자 · 금지 성격 · 상황 전제 · 과일 · 탄수화물 단독 · 나트륨 규칙 확인</t>
  </si>
  <si>
    <t>DIET-P-0434</t>
  </si>
  <si>
    <t>N387</t>
  </si>
  <si>
    <t>저녁추천: 삼치/조기</t>
  </si>
  <si>
    <t>담백한 생선구이로 저녁을 먹어요.</t>
  </si>
  <si>
    <t>2026-10-13 추가(검수표 162번). 사용자 · Claude 검수: 12자 · 금지 성격 · 상황 전제 · 과일 · 탄수화물 단독 · 나트륨 규칙 확인</t>
  </si>
  <si>
    <t>DIET-P-0435</t>
  </si>
  <si>
    <t>N388</t>
  </si>
  <si>
    <t>저녁추천: 두부/달걀찜</t>
  </si>
  <si>
    <t>부드러운 단백질 반찬으로 저녁을 채워요.</t>
  </si>
  <si>
    <t>2026-10-13 추가(검수표 163번). 사용자 · Claude 검수: 12자 · 금지 성격 · 상황 전제 · 과일 · 탄수화물 단독 · 나트륨 규칙 확인</t>
  </si>
  <si>
    <t>DIET-P-0436</t>
  </si>
  <si>
    <t>N389</t>
  </si>
  <si>
    <t>저녁추천: 연어/닭안심</t>
  </si>
  <si>
    <t>기름 적은 단백질로 저녁을 챙겨요.</t>
  </si>
  <si>
    <t>2026-10-13 추가(검수표 164번). 사용자 · Claude 검수: 12자 · 금지 성격 · 상황 전제 · 과일 · 탄수화물 단독 · 나트륨 규칙 확인</t>
  </si>
  <si>
    <t>DIET-P-0437</t>
  </si>
  <si>
    <t>N390</t>
  </si>
  <si>
    <t>저녁추천: 닭안심/두부</t>
  </si>
  <si>
    <t>담백한 단백질 반찬이에요.</t>
  </si>
  <si>
    <t>2026-10-13 추가(검수표 165번). 사용자 · Claude 검수: 12자 · 금지 성격 · 상황 전제 · 과일 · 탄수화물 단독 · 나트륨 규칙 확인</t>
  </si>
  <si>
    <t>DIET-P-0438</t>
  </si>
  <si>
    <t>N391</t>
  </si>
  <si>
    <t>저녁추천: 콩국수/백숙</t>
  </si>
  <si>
    <t>저녁추천: 두부/백숙</t>
  </si>
  <si>
    <t>두부나 백숙으로 담백하게 단백질을 챙겨요.</t>
  </si>
  <si>
    <t>2026-10-13 추가(검수표 166번). 사용자 · Claude 검수: 12자 · 금지 성격 · 상황 전제 · 과일 · 탄수화물 단독 · 나트륨 규칙 확인</t>
  </si>
  <si>
    <t>DIET-P-0439</t>
  </si>
  <si>
    <t>N392</t>
  </si>
  <si>
    <t>저녁추천: 두부/생선찜</t>
  </si>
  <si>
    <t>손쉬운 두부 반찬으로 단백질을 더해요.</t>
  </si>
  <si>
    <t>2026-10-13 추가(검수표 167번). 사용자 · Claude 검수: 12자 · 금지 성격 · 상황 전제 · 과일 · 탄수화물 단독 · 나트륨 규칙 확인</t>
  </si>
  <si>
    <t>DIET-P-0440</t>
  </si>
  <si>
    <t>N393</t>
  </si>
  <si>
    <t>저녁추천: 샤브샤브/쌈</t>
  </si>
  <si>
    <t>채소를 듬뿍 먹을 수 있는 저녁이에요.</t>
  </si>
  <si>
    <t>2026-10-13 추가(검수표 168번). 사용자 · Claude 검수: 12자 · 금지 성격 · 상황 전제 · 과일 · 탄수화물 단독 · 나트륨 규칙 확인</t>
  </si>
  <si>
    <t>DIET-P-0441</t>
  </si>
  <si>
    <t>N394</t>
  </si>
  <si>
    <t>저녁추천: 월남쌈/쌈밥</t>
  </si>
  <si>
    <t>채소를 싸 먹으면 자연스럽게 많이 먹어요.</t>
  </si>
  <si>
    <t>2026-10-13 추가(검수표 169번). 사용자 · Claude 검수: 12자 · 금지 성격 · 상황 전제 · 과일 · 탄수화물 단독 · 나트륨 규칙 확인</t>
  </si>
  <si>
    <t>DIET-P-0442</t>
  </si>
  <si>
    <t>N395</t>
  </si>
  <si>
    <t>저녁추천: 가지/버섯</t>
  </si>
  <si>
    <t>기름 없이 구운 채소 반찬이에요.</t>
  </si>
  <si>
    <t>2026-10-13 추가(검수표 170번). 사용자 · Claude 검수: 12자 · 금지 성격 · 상황 전제 · 과일 · 탄수화물 단독 · 나트륨 규칙 확인</t>
  </si>
  <si>
    <t>DIET-P-0443</t>
  </si>
  <si>
    <t>N396</t>
  </si>
  <si>
    <t>저녁추천: 나물/생채</t>
  </si>
  <si>
    <t>무침 반찬 하나로 저녁 채소가 채워져요.</t>
  </si>
  <si>
    <t>2026-10-13 추가(검수표 171번). 사용자 · Claude 검수: 12자 · 금지 성격 · 상황 전제 · 과일 · 탄수화물 단독 · 나트륨 규칙 확인</t>
  </si>
  <si>
    <t>DIET-P-0444</t>
  </si>
  <si>
    <t>N397</t>
  </si>
  <si>
    <t>저녁추천: 숙주/시금치</t>
  </si>
  <si>
    <t>나물 한 가지로 저녁 채소를 더해요.</t>
  </si>
  <si>
    <t>2026-10-13 추가(검수표 172번). 사용자 · Claude 검수: 12자 · 금지 성격 · 상황 전제 · 과일 · 탄수화물 단독 · 나트륨 규칙 확인</t>
  </si>
  <si>
    <t>DIET-P-0445</t>
  </si>
  <si>
    <t>N398</t>
  </si>
  <si>
    <t>저녁추천: 된장국/쌈</t>
  </si>
  <si>
    <t>저녁추천: 쌈/나물무침</t>
  </si>
  <si>
    <t>쌈이나 나물로 국물 없이 채소를 먹어요.</t>
  </si>
  <si>
    <t>2026-10-13 추가(검수표 173번). 사용자 · Claude 검수: 12자 · 금지 성격 · 상황 전제 · 과일 · 탄수화물 단독 · 나트륨 규칙 확인</t>
  </si>
  <si>
    <t>DIET-P-0446</t>
  </si>
  <si>
    <t>N399</t>
  </si>
  <si>
    <t>저녁추천: 생선찜/냉국</t>
  </si>
  <si>
    <t>저녁추천: 생선찜/생채</t>
  </si>
  <si>
    <t>찜과 생채는 양념이 적어 덜 짜요.</t>
  </si>
  <si>
    <t>2026-10-13 추가(검수표 174번). 사용자 · Claude 검수: 12자 · 금지 성격 · 상황 전제 · 과일 · 탄수화물 단독 · 나트륨 규칙 확인</t>
  </si>
  <si>
    <t>DIET-P-0447</t>
  </si>
  <si>
    <t>N400</t>
  </si>
  <si>
    <t>저녁추천: 미역국/뭇국</t>
  </si>
  <si>
    <t>저녁추천: 두부찜/생채</t>
  </si>
  <si>
    <t>찜과 생채는 찌개보다 훨씬 덜 짜요.</t>
  </si>
  <si>
    <t>2026-10-13 추가(검수표 175번). 사용자 · Claude 검수: 12자 · 금지 성격 · 상황 전제 · 과일 · 탄수화물 단독 · 나트륨 규칙 확인</t>
  </si>
  <si>
    <t>DIET-P-0448</t>
  </si>
  <si>
    <t>N401</t>
  </si>
  <si>
    <t>저녁추천: 잡곡밥/쌈밥</t>
  </si>
  <si>
    <t>잡곡밥이나 현미밥은 저녁까지 든든해요.</t>
  </si>
  <si>
    <t>2026-10-13 추가(검수표 176번). 사용자 · Claude 검수: 12자 · 금지 성격 · 상황 전제 · 과일 · 탄수화물 단독 · 나트륨 규칙 확인</t>
  </si>
  <si>
    <t>DIET-P-0449</t>
  </si>
  <si>
    <t>N402</t>
  </si>
  <si>
    <t>저녁추천: 닭찜/수육</t>
  </si>
  <si>
    <t>찜이나 수육은 튀김보다 기름이 덜해요.</t>
  </si>
  <si>
    <t>2026-10-13 추가(검수표 177번). 사용자 · Claude 검수: 12자 · 금지 성격 · 상황 전제 · 과일 · 탄수화물 단독 · 나트륨 규칙 확인</t>
  </si>
  <si>
    <t>DIET-P-0450</t>
  </si>
  <si>
    <t>N403</t>
  </si>
  <si>
    <t>저녁추천: 가자미/조기</t>
  </si>
  <si>
    <t>구운 흰살생선은 담백하고 기름이 적어요.</t>
  </si>
  <si>
    <t>2026-10-13 추가(검수표 178번). 사용자 · Claude 검수: 12자 · 금지 성격 · 상황 전제 · 과일 · 탄수화물 단독 · 나트륨 규칙 확인</t>
  </si>
  <si>
    <t>DIET-P-0451</t>
  </si>
  <si>
    <t>N404</t>
  </si>
  <si>
    <t>저녁추천: 임연수/삼치</t>
  </si>
  <si>
    <t>생선구이로 기름 적은 저녁을 먹어요.</t>
  </si>
  <si>
    <t>2026-10-13 추가(검수표 179번). 사용자 · Claude 검수: 12자 · 금지 성격 · 상황 전제 · 과일 · 탄수화물 단독 · 나트륨 규칙 확인</t>
  </si>
  <si>
    <t>DIET-P-0452</t>
  </si>
  <si>
    <t>N405</t>
  </si>
  <si>
    <t>저녁추천: 닭구이/수육</t>
  </si>
  <si>
    <t>구이와 수육은 튀긴 고기보다 기름이 덜해요.</t>
  </si>
  <si>
    <t>2026-10-13 추가(검수표 180번). 사용자 · Claude 검수: 12자 · 금지 성격 · 상황 전제 · 과일 · 탄수화물 단독 · 나트륨 규칙 확인</t>
  </si>
  <si>
    <t>DIET-P-0453</t>
  </si>
  <si>
    <t>N406</t>
  </si>
  <si>
    <t>저녁추천: 새우/오징어</t>
  </si>
  <si>
    <t>데친 해산물은 기름 없이 먹을 수 있어요.</t>
  </si>
  <si>
    <t>2026-10-13 추가(검수표 181번). 사용자 · Claude 검수: 12자 · 금지 성격 · 상황 전제 · 과일 · 탄수화물 단독 · 나트륨 규칙 확인</t>
  </si>
  <si>
    <t>DIET-P-0454</t>
  </si>
  <si>
    <t>N407</t>
  </si>
  <si>
    <t>저녁추천: 살코기/생선</t>
  </si>
  <si>
    <t>기름 적은 고기나 생선으로 단백질을 챙겨요.</t>
  </si>
  <si>
    <t>2026-10-13 추가(검수표 182번). 사용자 · Claude 검수: 12자 · 금지 성격 · 상황 전제 · 과일 · 탄수화물 단독 · 나트륨 규칙 확인</t>
  </si>
  <si>
    <t>DIET-P-0455</t>
  </si>
  <si>
    <t>N408</t>
  </si>
  <si>
    <t>저녁추천: 조개/생선</t>
  </si>
  <si>
    <t>조개나 생선으로 담백하게 단백질을 더해요.</t>
  </si>
  <si>
    <t>2026-10-13 추가(검수표 183번). 사용자 · Claude 검수: 12자 · 금지 성격 · 상황 전제 · 과일 · 탄수화물 단독 · 나트륨 규칙 확인</t>
  </si>
  <si>
    <t>DIET-P-0456</t>
  </si>
  <si>
    <t>N409</t>
  </si>
  <si>
    <t>저녁추천: 두부/닭찜</t>
  </si>
  <si>
    <t>두부나 닭찜으로 부드럽게 단백질을 챙겨요.</t>
  </si>
  <si>
    <t>2026-10-13 추가(검수표 184번). 사용자 · Claude 검수: 12자 · 금지 성격 · 상황 전제 · 과일 · 탄수화물 단독 · 나트륨 규칙 확인</t>
  </si>
  <si>
    <t>DIET-P-0457</t>
  </si>
  <si>
    <t>N410</t>
  </si>
  <si>
    <t>저녁추천: 곤드레밥/쌈</t>
  </si>
  <si>
    <t>나물밥이나 쌈으로 채소를 넉넉히 먹어요.</t>
  </si>
  <si>
    <t>2026-10-13 추가(검수표 185번). 사용자 · Claude 검수: 12자 · 금지 성격 · 상황 전제 · 과일 · 탄수화물 단독 · 나트륨 규칙 확인</t>
  </si>
  <si>
    <t>DIET-P-0458</t>
  </si>
  <si>
    <t>N411</t>
  </si>
  <si>
    <t>저녁추천: 버섯밥/쌈</t>
  </si>
  <si>
    <t>버섯밥과 쌈으로 저녁 채소를 챙겨요.</t>
  </si>
  <si>
    <t>2026-10-13 추가(검수표 186번). 사용자 · Claude 검수: 12자 · 금지 성격 · 상황 전제 · 과일 · 탄수화물 단독 · 나트륨 규칙 확인</t>
  </si>
  <si>
    <t>DIET-P-0459</t>
  </si>
  <si>
    <t>N412</t>
  </si>
  <si>
    <t>저녁추천: 가지/호박</t>
  </si>
  <si>
    <t>구운 가지나 호박으로 채소를 더해요.</t>
  </si>
  <si>
    <t>2026-10-13 추가(검수표 187번). 사용자 · Claude 검수: 12자 · 금지 성격 · 상황 전제 · 과일 · 탄수화물 단독 · 나트륨 규칙 확인</t>
  </si>
  <si>
    <t>DIET-P-0460</t>
  </si>
  <si>
    <t>N413</t>
  </si>
  <si>
    <t>저녁추천: 연어샐러드</t>
  </si>
  <si>
    <t>연어샐러드+1/2소스</t>
  </si>
  <si>
    <t>연어샐러드로 채소와 좋은 지방을 함께 먹어요. 소스는 절반만 뿌려요.</t>
  </si>
  <si>
    <t>2026-10-13 추가(검수표 188번). 사용자 · Claude 검수: 12자 · 금지 성격 · 상황 전제 · 과일 · 탄수화물 단독 · 나트륨 규칙 확인</t>
  </si>
  <si>
    <t>DIET-P-0461</t>
  </si>
  <si>
    <t>N414</t>
  </si>
  <si>
    <t>저녁추천: 청경채/버섯</t>
  </si>
  <si>
    <t>데친 채소 한 가지로 저녁 채소를 더해요.</t>
  </si>
  <si>
    <t>2026-10-13 추가(검수표 189번). 사용자 · Claude 검수: 12자 · 금지 성격 · 상황 전제 · 과일 · 탄수화물 단독 · 나트륨 규칙 확인</t>
  </si>
  <si>
    <t>DIET-P-0462</t>
  </si>
  <si>
    <t>N415</t>
  </si>
  <si>
    <t>저녁추천: 브로콜리/쌈</t>
  </si>
  <si>
    <t>데친 브로콜리나 쌈으로 채소를 챙겨요.</t>
  </si>
  <si>
    <t>2026-10-13 추가(검수표 190번). 사용자 · Claude 검수: 12자 · 금지 성격 · 상황 전제 · 과일 · 탄수화물 단독 · 나트륨 규칙 확인</t>
  </si>
  <si>
    <t>DIET-P-0463</t>
  </si>
  <si>
    <t>N416</t>
  </si>
  <si>
    <t>저녁추천: 양배추/나물</t>
  </si>
  <si>
    <t>양배추쌈이나 나물로 채소를 더해요.</t>
  </si>
  <si>
    <t>2026-10-13 추가(검수표 191번). 사용자 · Claude 검수: 12자 · 금지 성격 · 상황 전제 · 과일 · 탄수화물 단독 · 나트륨 규칙 확인</t>
  </si>
  <si>
    <t>DIET-P-0464</t>
  </si>
  <si>
    <t>N417</t>
  </si>
  <si>
    <t>저녁추천: 미나리/숙주</t>
  </si>
  <si>
    <t>향긋한 나물로 저녁 채소를 챙겨요.</t>
  </si>
  <si>
    <t>2026-10-13 추가(검수표 192번). 사용자 · Claude 검수: 12자 · 금지 성격 · 상황 전제 · 과일 · 탄수화물 단독 · 나트륨 규칙 확인</t>
  </si>
  <si>
    <t>DIET-P-0465</t>
  </si>
  <si>
    <t>N418</t>
  </si>
  <si>
    <t>저녁추천: 상추쌈/나물</t>
  </si>
  <si>
    <t>쌈 한 접시로 채소를 듬뿍 먹어요.</t>
  </si>
  <si>
    <t>2026-10-13 추가(검수표 193번). 사용자 · Claude 검수: 12자 · 금지 성격 · 상황 전제 · 과일 · 탄수화물 단독 · 나트륨 규칙 확인</t>
  </si>
  <si>
    <t>DIET-P-0466</t>
  </si>
  <si>
    <t>N419</t>
  </si>
  <si>
    <t>저녁추천: 지리/생선찜</t>
  </si>
  <si>
    <t>저녁추천: 생선/두부찜</t>
  </si>
  <si>
    <t>양념이 적은 구이와 찜은 덜 짜요.</t>
  </si>
  <si>
    <t>2026-10-13 추가(검수표 194번). 사용자 · Claude 검수: 12자 · 금지 성격 · 상황 전제 · 과일 · 탄수화물 단독 · 나트륨 규칙 확인</t>
  </si>
  <si>
    <t>DIET-P-0467</t>
  </si>
  <si>
    <t>N420</t>
  </si>
  <si>
    <t>저녁추천: 백김치/쌈</t>
  </si>
  <si>
    <t>저녁추천: 생채소/쌈</t>
  </si>
  <si>
    <t>절이지 않은 생채소는 염분이 거의 없어요.</t>
  </si>
  <si>
    <t>2026-10-13 추가(검수표 195번). 사용자 · Claude 검수: 12자 · 금지 성격 · 상황 전제 · 과일 · 탄수화물 단독 · 나트륨 규칙 확인</t>
  </si>
  <si>
    <t>DIET-P-0468</t>
  </si>
  <si>
    <t>N421</t>
  </si>
  <si>
    <t>저녁추천: 맑은 국/찜</t>
  </si>
  <si>
    <t>저녁추천: 생선찜/구이</t>
  </si>
  <si>
    <t>찜과 구이는 국물 요리보다 덜 짜요.</t>
  </si>
  <si>
    <t>2026-10-13 추가(검수표 196번). 사용자 · Claude 검수: 12자 · 금지 성격 · 상황 전제 · 과일 · 탄수화물 단독 · 나트륨 규칙 확인</t>
  </si>
  <si>
    <t>DIET-P-0469</t>
  </si>
  <si>
    <t>N422</t>
  </si>
  <si>
    <t>저녁추천: 보리밥/쌈밥</t>
  </si>
  <si>
    <t>든든한 밥 한 그릇으로 저녁을 챙겨요.</t>
  </si>
  <si>
    <t>2026-10-13 추가(검수표 197번). 사용자 · Claude 검수: 12자 · 금지 성격 · 상황 전제 · 과일 · 탄수화물 단독 · 나트륨 규칙 확인</t>
  </si>
  <si>
    <t>DIET-P-0470</t>
  </si>
  <si>
    <t>N423</t>
  </si>
  <si>
    <t>아침추천: 감자/옥수수</t>
  </si>
  <si>
    <t>아침추천: 감자+요거트</t>
  </si>
  <si>
    <t>찐 감자에 요거트를 곁들이면 단백질이 더해져요.</t>
  </si>
  <si>
    <t>2026-10-13 추가(검수표 198번). 사용자 · Claude 검수: 12자 · 금지 성격 · 상황 전제 · 과일 · 탄수화물 단독 · 나트륨 규칙 확인</t>
  </si>
  <si>
    <t>DIET-P-0471</t>
  </si>
  <si>
    <t>N424</t>
  </si>
  <si>
    <t>아침추천: 김밥/주먹밥</t>
  </si>
  <si>
    <t>아침추천: 통밀빵+채소</t>
  </si>
  <si>
    <t>통밀빵에 채소를 곁들이면 든든하고 가벼워요.</t>
  </si>
  <si>
    <t>2026-10-13 추가(검수표 199번). 사용자 · Claude 검수: 12자 · 금지 성격 · 상황 전제 · 과일 · 탄수화물 단독 · 나트륨 규칙 확인</t>
  </si>
  <si>
    <t>DIET-P-0472</t>
  </si>
  <si>
    <t>N425</t>
  </si>
  <si>
    <t>아침추천: 단호박/우유</t>
  </si>
  <si>
    <t>아침추천: 단호박+우유</t>
  </si>
  <si>
    <t>찐 단호박에 우유를 곁들여 든든하게 먹어요.</t>
  </si>
  <si>
    <t>2026-10-13 추가(검수표 200번). 사용자 · Claude 검수: 12자 · 금지 성격 · 상황 전제 · 과일 · 탄수화물 단독 · 나트륨 규칙 확인</t>
  </si>
  <si>
    <t>DIET-P-0473</t>
  </si>
  <si>
    <t>N426</t>
  </si>
  <si>
    <t>아침추천: 통밀빵/감자</t>
  </si>
  <si>
    <t>아침추천: 흑미밥+나물</t>
  </si>
  <si>
    <t>흑미밥에 나물을 곁들이면 아침 채소도 챙겨요.</t>
  </si>
  <si>
    <t>2026-10-13 추가(검수표 201번). 사용자 · Claude 검수: 12자 · 금지 성격 · 상황 전제 · 과일 · 탄수화물 단독 · 나트륨 규칙 확인</t>
  </si>
  <si>
    <t>DIET-P-0474</t>
  </si>
  <si>
    <t>N427</t>
  </si>
  <si>
    <t>아침추천: 시금치국/쌈</t>
  </si>
  <si>
    <t>아침추천: 시금치/쌈</t>
  </si>
  <si>
    <t>국물 없이 채소를 먹을 수 있어요.</t>
  </si>
  <si>
    <t>2026-10-13 추가(검수표 202번). 사용자 · Claude 검수: 12자 · 금지 성격 · 상황 전제 · 과일 · 탄수화물 단독 · 나트륨 규칙 확인</t>
  </si>
  <si>
    <t>DIET-P-0475</t>
  </si>
  <si>
    <t>N428</t>
  </si>
  <si>
    <t>아침추천: 양배추샐러드</t>
  </si>
  <si>
    <t>양배추샐러드+1/2소스</t>
  </si>
  <si>
    <t>아삭한 양배추샐러드로 아침 채소를 더해요. 소스는 절반만 뿌려요.</t>
  </si>
  <si>
    <t>2026-10-13 추가(검수표 203번). 사용자 · Claude 검수: 12자 · 금지 성격 · 상황 전제 · 과일 · 탄수화물 단독 · 나트륨 규칙 확인</t>
  </si>
  <si>
    <t>DIET-P-0476</t>
  </si>
  <si>
    <t>N429</t>
  </si>
  <si>
    <t>아침추천: 비빔밥/나물</t>
  </si>
  <si>
    <t>나물을 곁들이면 아침 채소가 넉넉해요.</t>
  </si>
  <si>
    <t>2026-10-13 추가(검수표 204번). 사용자 · Claude 검수: 12자 · 금지 성격 · 상황 전제 · 과일 · 탄수화물 단독 · 나트륨 규칙 확인</t>
  </si>
  <si>
    <t>DIET-P-0477</t>
  </si>
  <si>
    <t>N430</t>
  </si>
  <si>
    <t>아침추천: 요거트/두유</t>
  </si>
  <si>
    <t>달지 않은 요거트나 두유로 단백질을 더해요.</t>
  </si>
  <si>
    <t>2026-10-13 추가(검수표 205번). 사용자 · Claude 검수: 12자 · 금지 성격 · 상황 전제 · 과일 · 탄수화물 단독 · 나트륨 규칙 확인</t>
  </si>
  <si>
    <t>DIET-P-0478</t>
  </si>
  <si>
    <t>N431</t>
  </si>
  <si>
    <t>아침추천: 우유/달걀</t>
  </si>
  <si>
    <t>아침추천: 우유/요거트</t>
  </si>
  <si>
    <t>한 잔이나 한 컵으로 아침 단백질을 챙겨요.</t>
  </si>
  <si>
    <t>2026-10-13 추가(검수표 206번). 사용자 · Claude 검수: 12자 · 금지 성격 · 상황 전제 · 과일 · 탄수화물 단독 · 나트륨 규칙 확인</t>
  </si>
  <si>
    <t>DIET-P-0479</t>
  </si>
  <si>
    <t>N432</t>
  </si>
  <si>
    <t>아침추천: 북엇국/두유</t>
  </si>
  <si>
    <t>아침추천: 닭안심/두유</t>
  </si>
  <si>
    <t>담백한 단백질로 아침을 든든하게 해요.</t>
  </si>
  <si>
    <t>2026-10-13 추가(검수표 207번). 사용자 · Claude 검수: 12자 · 금지 성격 · 상황 전제 · 과일 · 탄수화물 단독 · 나트륨 규칙 확인</t>
  </si>
  <si>
    <t>DIET-P-0480</t>
  </si>
  <si>
    <t>N433</t>
  </si>
  <si>
    <t>아침추천: 생선/두부</t>
  </si>
  <si>
    <t>기름을 덜 쓰는 반찬으로 아침을 먹어요.</t>
  </si>
  <si>
    <t>2026-10-13 추가(검수표 208번). 사용자 · Claude 검수: 12자 · 금지 성격 · 상황 전제 · 과일 · 탄수화물 단독 · 나트륨 규칙 확인</t>
  </si>
  <si>
    <t>DIET-P-0481</t>
  </si>
  <si>
    <t>N434</t>
  </si>
  <si>
    <t>아침추천: 달걀찜/생선</t>
  </si>
  <si>
    <t>아침추천: 생선찜/두부</t>
  </si>
  <si>
    <t>찜과 두부는 기름을 덜 쓰는 반찬이에요.</t>
  </si>
  <si>
    <t>2026-10-13 추가(검수표 209번). 사용자 · Claude 검수: 12자 · 금지 성격 · 상황 전제 · 과일 · 탄수화물 단독 · 나트륨 규칙 확인</t>
  </si>
  <si>
    <t>DIET-P-0482</t>
  </si>
  <si>
    <t>N435</t>
  </si>
  <si>
    <t>아침추천: 미역국/쑥국</t>
  </si>
  <si>
    <t>아침추천: 오이/생채</t>
  </si>
  <si>
    <t>절이지 않은 채소는 염분이 적어요.</t>
  </si>
  <si>
    <t>2026-10-13 추가(검수표 210번). 사용자 · Claude 검수: 12자 · 금지 성격 · 상황 전제 · 과일 · 탄수화물 단독 · 나트륨 규칙 확인</t>
  </si>
  <si>
    <t>DIET-P-0483</t>
  </si>
  <si>
    <t>N436</t>
  </si>
  <si>
    <t>아침추천: 백김치/나물</t>
  </si>
  <si>
    <t>아침추천: 무생채/나물</t>
  </si>
  <si>
    <t>김치 대신 생채와 나물은 염분이 적어요.</t>
  </si>
  <si>
    <t>2026-10-13 추가(검수표 211번). 사용자 · Claude 검수: 12자 · 금지 성격 · 상황 전제 · 과일 · 탄수화물 단독 · 나트륨 규칙 확인</t>
  </si>
  <si>
    <t>DIET-P-0484</t>
  </si>
  <si>
    <t>N437</t>
  </si>
  <si>
    <t>아침추천: 옥수수/두유</t>
  </si>
  <si>
    <t>아침추천: 옥수수+두유</t>
  </si>
  <si>
    <t>찐 옥수수에 두유를 곁들이면 단백질이 더해져요.</t>
  </si>
  <si>
    <t>2026-10-13 추가(검수표 212번). 사용자 · Claude 검수: 12자 · 금지 성격 · 상황 전제 · 과일 · 탄수화물 단독 · 나트륨 규칙 확인</t>
  </si>
  <si>
    <t>DIET-P-0485</t>
  </si>
  <si>
    <t>N438</t>
  </si>
  <si>
    <t>아침추천: 현미밥/감자</t>
  </si>
  <si>
    <t>아침추천: 보리밥+나물</t>
  </si>
  <si>
    <t>보리밥에 나물을 곁들이면 오래 든든해요.</t>
  </si>
  <si>
    <t>2026-10-13 추가(검수표 213번). 사용자 · Claude 검수: 12자 · 금지 성격 · 상황 전제 · 과일 · 탄수화물 단독 · 나트륨 규칙 확인</t>
  </si>
  <si>
    <t>DIET-P-0486</t>
  </si>
  <si>
    <t>N439</t>
  </si>
  <si>
    <t>아침추천: 콩나물국/쌈</t>
  </si>
  <si>
    <t>아침추천: 콩나물/쌈</t>
  </si>
  <si>
    <t>콩나물무침이나 쌈으로 채소를 챙겨요.</t>
  </si>
  <si>
    <t>2026-10-13 추가(검수표 214번). 사용자 · Claude 검수: 12자 · 금지 성격 · 상황 전제 · 과일 · 탄수화물 단독 · 나트륨 규칙 확인</t>
  </si>
  <si>
    <t>DIET-P-0487</t>
  </si>
  <si>
    <t>N440</t>
  </si>
  <si>
    <t>아침추천: 호박국/나물</t>
  </si>
  <si>
    <t>아침추천: 호박/나물</t>
  </si>
  <si>
    <t>호박이나 나물로 국물 없이 채소를 먹어요.</t>
  </si>
  <si>
    <t>2026-10-13 추가(검수표 215번). 사용자 · Claude 검수: 12자 · 금지 성격 · 상황 전제 · 과일 · 탄수화물 단독 · 나트륨 규칙 확인</t>
  </si>
  <si>
    <t>DIET-P-0488</t>
  </si>
  <si>
    <t>N441</t>
  </si>
  <si>
    <t>아침추천: 양배추/오이</t>
  </si>
  <si>
    <t>아삭한 채소 한 가지로 아침 채소를 더해요.</t>
  </si>
  <si>
    <t>2026-10-13 추가(검수표 216번). 사용자 · Claude 검수: 12자 · 금지 성격 · 상황 전제 · 과일 · 탄수화물 단독 · 나트륨 규칙 확인</t>
  </si>
  <si>
    <t>DIET-P-0489</t>
  </si>
  <si>
    <t>N442</t>
  </si>
  <si>
    <t>아침추천: 달걀/요거트</t>
  </si>
  <si>
    <t>아침추천: 요거트/두부</t>
  </si>
  <si>
    <t>달지 않은 요거트나 두부로 단백질을 더해요.</t>
  </si>
  <si>
    <t>2026-10-13 추가(검수표 217번). 사용자 · Claude 검수: 12자 · 금지 성격 · 상황 전제 · 과일 · 탄수화물 단독 · 나트륨 규칙 확인</t>
  </si>
  <si>
    <t>DIET-P-0490</t>
  </si>
  <si>
    <t>N443</t>
  </si>
  <si>
    <t>아침추천: 두부/달걀찜</t>
  </si>
  <si>
    <t>아침추천: 순두부/우유</t>
  </si>
  <si>
    <t>부드러운 순두부나 우유로 단백질을 챙겨요.</t>
  </si>
  <si>
    <t>2026-10-13 추가(검수표 218번). 사용자 · Claude 검수: 12자 · 금지 성격 · 상황 전제 · 과일 · 탄수화물 단독 · 나트륨 규칙 확인</t>
  </si>
  <si>
    <t>DIET-P-0491</t>
  </si>
  <si>
    <t>N444</t>
  </si>
  <si>
    <t>아침추천: 달걀말이/죽</t>
  </si>
  <si>
    <t>아침추천: 닭안심/두부</t>
  </si>
  <si>
    <t>2026-10-13 추가(검수표 219번). 사용자 · Claude 검수: 12자 · 금지 성격 · 상황 전제 · 과일 · 탄수화물 단독 · 나트륨 규칙 확인</t>
  </si>
  <si>
    <t>DIET-P-0492</t>
  </si>
  <si>
    <t>N445</t>
  </si>
  <si>
    <t>아침추천: 오이샐러드</t>
  </si>
  <si>
    <t>오이샐러드+1/2소스</t>
  </si>
  <si>
    <t>상큼한 오이샐러드로 아침 채소를 챙겨요. 소스는 절반만 뿌려요.</t>
  </si>
  <si>
    <t>2026-10-13 추가(검수표 220번). 사용자 · Claude 검수: 12자 · 금지 성격 · 상황 전제 · 과일 · 탄수화물 단독 · 나트륨 규칙 확인</t>
  </si>
  <si>
    <t>DIET-P-0493</t>
  </si>
  <si>
    <t>N446</t>
  </si>
  <si>
    <t>아침추천: 연두부샐러드</t>
  </si>
  <si>
    <t>연두부샐러드+1/2소스</t>
  </si>
  <si>
    <t>연두부를 올리면 샐러드가 든든해져요. 소스는 절반만 뿌려요.</t>
  </si>
  <si>
    <t>2026-10-13 추가(검수표 221번). 사용자 · Claude 검수: 12자 · 금지 성격 · 상황 전제 · 과일 · 탄수화물 단독 · 나트륨 규칙 확인</t>
  </si>
  <si>
    <t>DIET-P-0494</t>
  </si>
  <si>
    <t>N447</t>
  </si>
  <si>
    <t>아침추천: 버섯샐러드</t>
  </si>
  <si>
    <t>버섯샐러드+1/2소스</t>
  </si>
  <si>
    <t>구운 버섯을 올린 샐러드로 채소를 더해요. 소스는 절반만 뿌려요.</t>
  </si>
  <si>
    <t>2026-10-13 추가(검수표 222번). 사용자 · Claude 검수: 12자 · 금지 성격 · 상황 전제 · 과일 · 탄수화물 단독 · 나트륨 규칙 확인</t>
  </si>
  <si>
    <t>DIET-P-0495</t>
  </si>
  <si>
    <t>N448</t>
  </si>
  <si>
    <t>저녁추천: 버섯샐러드</t>
  </si>
  <si>
    <t>가지샐러드+1/2소스</t>
  </si>
  <si>
    <t>구운 가지샐러드로 저녁 채소를 더해요. 소스는 절반만 뿌려요.</t>
  </si>
  <si>
    <t>2026-10-13 추가(검수표 223번). 사용자 · Claude 검수: 12자 · 금지 성격 · 상황 전제 · 과일 · 탄수화물 단독 · 나트륨 규칙 확인</t>
  </si>
  <si>
    <t>DIET-P-0496</t>
  </si>
  <si>
    <t>N449</t>
  </si>
  <si>
    <t>저녁추천: 닭샐러드</t>
  </si>
  <si>
    <t>닭샐러드+1/2소스</t>
  </si>
  <si>
    <t>닭가슴살을 올린 샐러드로 채소와 단백질을 챙겨요. 소스는 절반만 뿌려요.</t>
  </si>
  <si>
    <t>2026-10-13 추가(검수표 224번). 사용자 · Claude 검수: 12자 · 금지 성격 · 상황 전제 · 과일 · 탄수화물 단독 · 나트륨 규칙 확인</t>
  </si>
  <si>
    <t>DIET-P-0497</t>
  </si>
  <si>
    <t>N450</t>
  </si>
  <si>
    <t>저녁추천: 새우샐러드</t>
  </si>
  <si>
    <t>새우샐러드+1/2소스</t>
  </si>
  <si>
    <t>데친 새우를 올린 샐러드로 담백하게 먹어요. 소스는 절반만 뿌려요.</t>
  </si>
  <si>
    <t>2026-10-13 추가(검수표 225번). 사용자 · Claude 검수: 12자 · 금지 성격 · 상황 전제 · 과일 · 탄수화물 단독 · 나트륨 규칙 확인</t>
  </si>
  <si>
    <t>DIET-P-0498</t>
  </si>
  <si>
    <t>N451</t>
  </si>
  <si>
    <t>저녁추천: 리코타샐러드</t>
  </si>
  <si>
    <t>해초샐러드+1/2소스</t>
  </si>
  <si>
    <t>해초샐러드로 저녁 채소를 가볍게 챙겨요. 소스는 절반만 뿌려요.</t>
  </si>
  <si>
    <t>해조류 문구는 이전 검수에서 삭제 권고(N154) — 요오드 · 칼륨 이유. 쟁점 확인 전까지 신장질환 · 갑상선 질환 사용 주의</t>
  </si>
  <si>
    <t>2026-10-13 추가(검수표 226번). 사용자 · Claude 검수: 12자 · 금지 성격 · 상황 전제 · 과일 · 탄수화물 단독 · 나트륨 규칙 확인</t>
  </si>
  <si>
    <t>DIET-P-0499</t>
  </si>
  <si>
    <t>N452</t>
  </si>
  <si>
    <t>저녁추천: 두부샐러드</t>
  </si>
  <si>
    <t>참치샐러드+1/2소스</t>
  </si>
  <si>
    <t>참치를 올린 샐러드로 단백질을 함께 챙겨요. 소스는 절반만 뿌려요.</t>
  </si>
  <si>
    <t>2026-10-13 추가(검수표 227번). 사용자 · Claude 검수: 12자 · 금지 성격 · 상황 전제 · 과일 · 탄수화물 단독 · 나트륨 규칙 확인</t>
  </si>
  <si>
    <t>DIET-P-0500</t>
  </si>
  <si>
    <t>확장 초안 191개를 가정의학 임상 관점에서 검수했다. 실제 의학팀 최종 승인을 대체하지 않는다 — 쟁점 8번 참조. 2026-10-06에 국내외 학회 가이드라인 근거 문구 29개를 5차로 올렸고 이 29개는 아직 검수 전이다. 2026-10-07에 만성 신장질환 결식 시 쓸 회복 풀 문구 2개를 6차로 올렸고 이 2개도 검수 전이다. 2026-10-07에 저녁 회복 문구 3개를 6차로 올리고 승인했다. 2026-10-13에 반복을 줄이려고 만든 추가 문구 227개(N226~N452)를 7차로 올렸고, 사용자 · Claude가 의학팀 역할로 검수해 승인했다(해초샐러드 1개는 확인 필요).</t>
    <phoneticPr fontId="1" type="noConversion"/>
  </si>
  <si>
    <t>maiReport 식이 문구 세트 · 의학 검수 결과 · v1.1.0 · 2026-10-13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</si>
</sst>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color rgb="FFFF0000"/>
      <name val="Malgun Gothic"/>
      <family val="3"/>
      <charset val="129"/>
    </font>
    <font>
      <b/>
      <sz val="10"/>
      <color rgb="FFFF0000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376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8" fillId="0" borderId="0" xfId="0" applyFont="1">
      <alignment vertical="center"/>
    </xf>
  </cellXfs>
  <cellStyles count="1">
    <cellStyle name="표준" xfId="0" builtinId="0"/>
  </cellStyles>
  <dxfs count="6">
    <dxf>
      <fill>
        <patternFill>
          <bgColor rgb="FFFFF2CC"/>
        </patternFill>
      </fill>
    </dxf>
    <dxf>
      <fill>
        <patternFill>
          <bgColor rgb="FFFFE4E1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D0D0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341E-3ECD-41D3-B650-670B60F066B4}">
  <dimension ref="A1:D20"/>
  <sheetViews>
    <sheetView tabSelected="1" workbookViewId="0"/>
  </sheetViews>
  <sheetFormatPr defaultRowHeight="17"/>
  <cols>
    <col min="1" max="1" width="60.58203125" customWidth="1"/>
    <col min="2" max="2" width="34.58203125" customWidth="1"/>
    <col min="3" max="3" width="10.58203125" customWidth="1"/>
    <col min="4" max="4" width="28.58203125" customWidth="1"/>
  </cols>
  <sheetData>
    <row r="1" spans="1:4">
      <c r="A1" s="18" t="s">
        <v>2501</v>
      </c>
      <c r="B1" s="4"/>
      <c r="C1" s="4"/>
      <c r="D1" s="4"/>
    </row>
    <row r="2" spans="1:4" ht="112">
      <c r="A2" s="17" t="s">
        <v>2500</v>
      </c>
      <c r="B2" s="6"/>
      <c r="C2" s="6"/>
      <c r="D2" s="6"/>
    </row>
    <row r="3" spans="1:4">
      <c r="A3" s="7"/>
      <c r="B3" s="6"/>
      <c r="C3" s="6"/>
      <c r="D3" s="6"/>
    </row>
    <row r="4" spans="1:4">
      <c r="A4" s="8" t="s">
        <v>11</v>
      </c>
      <c r="B4" s="9" t="s">
        <v>769</v>
      </c>
      <c r="C4" s="9" t="s">
        <v>770</v>
      </c>
      <c r="D4" s="9" t="s">
        <v>771</v>
      </c>
    </row>
    <row r="5" spans="1:4">
      <c r="A5" s="3" t="s">
        <v>23</v>
      </c>
      <c r="B5" s="1" t="s">
        <v>772</v>
      </c>
      <c r="C5" s="1">
        <f>COUNTIF(검수결과!L:L,"승인")</f>
        <v>394</v>
      </c>
      <c r="D5" s="1" t="s">
        <v>773</v>
      </c>
    </row>
    <row r="6" spans="1:4">
      <c r="A6" s="3" t="s">
        <v>127</v>
      </c>
      <c r="B6" s="1" t="s">
        <v>774</v>
      </c>
      <c r="C6" s="1">
        <f>COUNTIF(검수결과!L:L,"조건부")</f>
        <v>12</v>
      </c>
      <c r="D6" s="1" t="s">
        <v>775</v>
      </c>
    </row>
    <row r="7" spans="1:4">
      <c r="A7" s="3" t="s">
        <v>193</v>
      </c>
      <c r="B7" s="1" t="s">
        <v>776</v>
      </c>
      <c r="C7" s="1">
        <f>COUNTIF(검수결과!L:L,"수정")</f>
        <v>6</v>
      </c>
      <c r="D7" s="1" t="s">
        <v>777</v>
      </c>
    </row>
    <row r="8" spans="1:4">
      <c r="A8" s="3" t="s">
        <v>141</v>
      </c>
      <c r="B8" s="1" t="s">
        <v>778</v>
      </c>
      <c r="C8" s="1">
        <f>COUNTIF(검수결과!L:L,"확인 필요")</f>
        <v>3</v>
      </c>
      <c r="D8" s="1" t="s">
        <v>779</v>
      </c>
    </row>
    <row r="9" spans="1:4">
      <c r="A9" s="3" t="s">
        <v>121</v>
      </c>
      <c r="B9" s="1" t="s">
        <v>780</v>
      </c>
      <c r="C9" s="1">
        <f>COUNTIF(검수결과!L:L,"보류")</f>
        <v>2</v>
      </c>
      <c r="D9" s="1" t="s">
        <v>781</v>
      </c>
    </row>
    <row r="10" spans="1:4">
      <c r="A10" s="3" t="s">
        <v>27</v>
      </c>
      <c r="B10" s="1" t="s">
        <v>782</v>
      </c>
      <c r="C10" s="1">
        <f>COUNTIF(검수결과!L:L,"삭제")</f>
        <v>5</v>
      </c>
      <c r="D10" s="1" t="s">
        <v>783</v>
      </c>
    </row>
    <row r="11" spans="1:4">
      <c r="A11" s="10" t="s">
        <v>784</v>
      </c>
      <c r="B11" s="1"/>
      <c r="C11" s="11">
        <f>SUM(C5:C10)</f>
        <v>422</v>
      </c>
      <c r="D11" s="1"/>
    </row>
    <row r="12" spans="1:4">
      <c r="A12" s="7"/>
      <c r="B12" s="6"/>
      <c r="C12" s="6"/>
      <c r="D12" s="6"/>
    </row>
    <row r="13" spans="1:4">
      <c r="A13" s="12" t="s">
        <v>785</v>
      </c>
      <c r="B13" s="6"/>
      <c r="C13" s="6"/>
      <c r="D13" s="6"/>
    </row>
    <row r="14" spans="1:4" ht="32">
      <c r="A14" s="13" t="s">
        <v>786</v>
      </c>
      <c r="B14" s="6"/>
      <c r="C14" s="6"/>
      <c r="D14" s="6"/>
    </row>
    <row r="15" spans="1:4" ht="32">
      <c r="A15" s="13" t="s">
        <v>787</v>
      </c>
      <c r="B15" s="6"/>
      <c r="C15" s="6"/>
      <c r="D15" s="6"/>
    </row>
    <row r="16" spans="1:4" ht="32">
      <c r="A16" s="13" t="s">
        <v>788</v>
      </c>
      <c r="B16" s="6"/>
      <c r="C16" s="6"/>
      <c r="D16" s="6"/>
    </row>
    <row r="17" spans="1:4" ht="32">
      <c r="A17" s="13" t="s">
        <v>789</v>
      </c>
      <c r="B17" s="6"/>
      <c r="C17" s="6"/>
      <c r="D17" s="6"/>
    </row>
    <row r="18" spans="1:4">
      <c r="A18" s="7"/>
      <c r="B18" s="6"/>
      <c r="C18" s="6"/>
      <c r="D18" s="6"/>
    </row>
    <row r="19" spans="1:4">
      <c r="A19" s="7" t="s">
        <v>1157</v>
      </c>
      <c r="B19" s="6"/>
      <c r="C19" s="6"/>
      <c r="D19" s="6"/>
    </row>
    <row r="20" spans="1:4" ht="48">
      <c r="A20" s="7" t="s">
        <v>1158</v>
      </c>
      <c r="B20" s="6"/>
      <c r="C20" s="6"/>
      <c r="D20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781C-07E7-4393-BF75-138E1A6EB613}">
  <dimension ref="A1:P452"/>
  <sheetViews>
    <sheetView workbookViewId="0">
      <pane ySplit="1" topLeftCell="A2" activePane="bottomLeft" state="frozen"/>
      <selection pane="bottomLeft" activeCell="A226" sqref="A226:XFD452"/>
    </sheetView>
  </sheetViews>
  <sheetFormatPr defaultRowHeight="17"/>
  <cols>
    <col min="1" max="2" width="10.58203125" customWidth="1"/>
    <col min="3" max="3" width="16.58203125" customWidth="1"/>
    <col min="4" max="4" width="10.58203125" customWidth="1"/>
    <col min="5" max="6" width="29.58203125" customWidth="1"/>
    <col min="7" max="7" width="10.58203125" customWidth="1"/>
    <col min="8" max="8" width="60.58203125" customWidth="1"/>
    <col min="9" max="9" width="16.58203125" customWidth="1"/>
    <col min="10" max="10" width="46.58203125" customWidth="1"/>
    <col min="11" max="11" width="29.58203125" customWidth="1"/>
    <col min="12" max="12" width="10.58203125" customWidth="1"/>
    <col min="13" max="13" width="22.58203125" customWidth="1"/>
    <col min="14" max="14" width="60.58203125" customWidth="1"/>
    <col min="15" max="15" width="14.58203125" customWidth="1"/>
    <col min="16" max="16" width="21.58203125" customWidth="1"/>
  </cols>
  <sheetData>
    <row r="1" spans="1:16" ht="2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 t="s">
        <v>1025</v>
      </c>
      <c r="P1" s="5" t="s">
        <v>1026</v>
      </c>
    </row>
    <row r="2" spans="1:16">
      <c r="A2" s="1" t="s">
        <v>14</v>
      </c>
      <c r="B2" s="1" t="s">
        <v>15</v>
      </c>
      <c r="C2" s="1" t="s">
        <v>16</v>
      </c>
      <c r="D2" s="1" t="s">
        <v>17</v>
      </c>
      <c r="E2" s="14" t="s">
        <v>18</v>
      </c>
      <c r="F2" s="1" t="s">
        <v>18</v>
      </c>
      <c r="G2" s="1">
        <v>14</v>
      </c>
      <c r="H2" s="3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/>
      <c r="N2" s="3"/>
      <c r="O2" s="6" t="s">
        <v>1027</v>
      </c>
      <c r="P2" s="6" t="s">
        <v>1028</v>
      </c>
    </row>
    <row r="3" spans="1:16" ht="64">
      <c r="A3" s="1" t="s">
        <v>24</v>
      </c>
      <c r="B3" s="1" t="s">
        <v>15</v>
      </c>
      <c r="C3" s="1" t="s">
        <v>16</v>
      </c>
      <c r="D3" s="1" t="s">
        <v>17</v>
      </c>
      <c r="E3" s="14" t="s">
        <v>25</v>
      </c>
      <c r="F3" s="1" t="s">
        <v>25</v>
      </c>
      <c r="G3" s="1">
        <v>11</v>
      </c>
      <c r="H3" s="3" t="s">
        <v>26</v>
      </c>
      <c r="I3" s="1" t="s">
        <v>20</v>
      </c>
      <c r="J3" s="1" t="s">
        <v>21</v>
      </c>
      <c r="K3" s="1" t="s">
        <v>22</v>
      </c>
      <c r="L3" s="1" t="s">
        <v>27</v>
      </c>
      <c r="M3" s="1"/>
      <c r="N3" s="3" t="s">
        <v>28</v>
      </c>
      <c r="O3" s="6" t="s">
        <v>22</v>
      </c>
      <c r="P3" s="6" t="s">
        <v>1029</v>
      </c>
    </row>
    <row r="4" spans="1:16">
      <c r="A4" s="1" t="s">
        <v>29</v>
      </c>
      <c r="B4" s="1" t="s">
        <v>15</v>
      </c>
      <c r="C4" s="1" t="s">
        <v>16</v>
      </c>
      <c r="D4" s="1" t="s">
        <v>30</v>
      </c>
      <c r="E4" s="14" t="s">
        <v>841</v>
      </c>
      <c r="F4" s="15" t="s">
        <v>812</v>
      </c>
      <c r="G4" s="15">
        <v>8</v>
      </c>
      <c r="H4" s="3" t="s">
        <v>31</v>
      </c>
      <c r="I4" s="1" t="s">
        <v>22</v>
      </c>
      <c r="J4" s="1" t="s">
        <v>32</v>
      </c>
      <c r="K4" s="1" t="s">
        <v>22</v>
      </c>
      <c r="L4" s="1" t="s">
        <v>23</v>
      </c>
      <c r="M4" s="1"/>
      <c r="N4" s="3"/>
      <c r="O4" s="6" t="s">
        <v>1030</v>
      </c>
      <c r="P4" s="6" t="s">
        <v>1028</v>
      </c>
    </row>
    <row r="5" spans="1:16">
      <c r="A5" s="1" t="s">
        <v>33</v>
      </c>
      <c r="B5" s="1" t="s">
        <v>15</v>
      </c>
      <c r="C5" s="1" t="s">
        <v>16</v>
      </c>
      <c r="D5" s="1" t="s">
        <v>34</v>
      </c>
      <c r="E5" s="14" t="s">
        <v>842</v>
      </c>
      <c r="F5" s="15" t="s">
        <v>790</v>
      </c>
      <c r="G5" s="15">
        <v>10</v>
      </c>
      <c r="H5" s="3" t="s">
        <v>35</v>
      </c>
      <c r="I5" s="1" t="s">
        <v>22</v>
      </c>
      <c r="J5" s="1" t="s">
        <v>36</v>
      </c>
      <c r="K5" s="1" t="s">
        <v>22</v>
      </c>
      <c r="L5" s="1" t="s">
        <v>23</v>
      </c>
      <c r="M5" s="1"/>
      <c r="N5" s="3"/>
      <c r="O5" s="6" t="s">
        <v>1031</v>
      </c>
      <c r="P5" s="6" t="s">
        <v>1032</v>
      </c>
    </row>
    <row r="6" spans="1:16">
      <c r="A6" s="1" t="s">
        <v>38</v>
      </c>
      <c r="B6" s="1" t="s">
        <v>15</v>
      </c>
      <c r="C6" s="1" t="s">
        <v>39</v>
      </c>
      <c r="D6" s="1" t="s">
        <v>17</v>
      </c>
      <c r="E6" s="14" t="s">
        <v>843</v>
      </c>
      <c r="F6" s="15" t="s">
        <v>791</v>
      </c>
      <c r="G6" s="15">
        <v>10</v>
      </c>
      <c r="H6" s="3" t="s">
        <v>40</v>
      </c>
      <c r="I6" s="1" t="s">
        <v>22</v>
      </c>
      <c r="J6" s="1" t="s">
        <v>41</v>
      </c>
      <c r="K6" s="1" t="s">
        <v>42</v>
      </c>
      <c r="L6" s="1" t="s">
        <v>23</v>
      </c>
      <c r="M6" s="1"/>
      <c r="N6" s="3"/>
      <c r="O6" s="6" t="s">
        <v>1033</v>
      </c>
      <c r="P6" s="6" t="s">
        <v>1032</v>
      </c>
    </row>
    <row r="7" spans="1:16">
      <c r="A7" s="1" t="s">
        <v>43</v>
      </c>
      <c r="B7" s="1" t="s">
        <v>15</v>
      </c>
      <c r="C7" s="1" t="s">
        <v>39</v>
      </c>
      <c r="D7" s="1" t="s">
        <v>17</v>
      </c>
      <c r="E7" s="14" t="s">
        <v>844</v>
      </c>
      <c r="F7" s="15" t="s">
        <v>792</v>
      </c>
      <c r="G7" s="15">
        <v>11</v>
      </c>
      <c r="H7" s="3" t="s">
        <v>44</v>
      </c>
      <c r="I7" s="1" t="s">
        <v>22</v>
      </c>
      <c r="J7" s="1" t="s">
        <v>45</v>
      </c>
      <c r="K7" s="1" t="s">
        <v>42</v>
      </c>
      <c r="L7" s="1" t="s">
        <v>23</v>
      </c>
      <c r="M7" s="1"/>
      <c r="N7" s="3"/>
      <c r="O7" s="6" t="s">
        <v>1034</v>
      </c>
      <c r="P7" s="6" t="s">
        <v>1028</v>
      </c>
    </row>
    <row r="8" spans="1:16">
      <c r="A8" s="1" t="s">
        <v>46</v>
      </c>
      <c r="B8" s="1" t="s">
        <v>15</v>
      </c>
      <c r="C8" s="1" t="s">
        <v>39</v>
      </c>
      <c r="D8" s="1" t="s">
        <v>30</v>
      </c>
      <c r="E8" s="14" t="s">
        <v>845</v>
      </c>
      <c r="F8" s="15" t="s">
        <v>793</v>
      </c>
      <c r="G8" s="15">
        <v>12</v>
      </c>
      <c r="H8" s="3" t="s">
        <v>47</v>
      </c>
      <c r="I8" s="1" t="s">
        <v>22</v>
      </c>
      <c r="J8" s="1" t="s">
        <v>48</v>
      </c>
      <c r="K8" s="1" t="s">
        <v>42</v>
      </c>
      <c r="L8" s="1" t="s">
        <v>23</v>
      </c>
      <c r="M8" s="1"/>
      <c r="N8" s="3"/>
      <c r="O8" s="6" t="s">
        <v>1035</v>
      </c>
      <c r="P8" s="6" t="s">
        <v>1032</v>
      </c>
    </row>
    <row r="9" spans="1:16">
      <c r="A9" s="1" t="s">
        <v>49</v>
      </c>
      <c r="B9" s="1" t="s">
        <v>15</v>
      </c>
      <c r="C9" s="1" t="s">
        <v>39</v>
      </c>
      <c r="D9" s="1" t="s">
        <v>34</v>
      </c>
      <c r="E9" s="14" t="s">
        <v>846</v>
      </c>
      <c r="F9" s="15" t="s">
        <v>794</v>
      </c>
      <c r="G9" s="1">
        <v>12</v>
      </c>
      <c r="H9" s="3" t="s">
        <v>50</v>
      </c>
      <c r="I9" s="1" t="s">
        <v>22</v>
      </c>
      <c r="J9" s="1" t="s">
        <v>51</v>
      </c>
      <c r="K9" s="1" t="s">
        <v>42</v>
      </c>
      <c r="L9" s="1" t="s">
        <v>23</v>
      </c>
      <c r="M9" s="1"/>
      <c r="N9" s="3"/>
      <c r="O9" s="6" t="s">
        <v>1036</v>
      </c>
      <c r="P9" s="6" t="s">
        <v>1032</v>
      </c>
    </row>
    <row r="10" spans="1:16">
      <c r="A10" s="1" t="s">
        <v>52</v>
      </c>
      <c r="B10" s="1" t="s">
        <v>15</v>
      </c>
      <c r="C10" s="1" t="s">
        <v>39</v>
      </c>
      <c r="D10" s="1" t="s">
        <v>34</v>
      </c>
      <c r="E10" s="14" t="s">
        <v>53</v>
      </c>
      <c r="F10" s="1" t="s">
        <v>53</v>
      </c>
      <c r="G10" s="1">
        <v>11</v>
      </c>
      <c r="H10" s="3" t="s">
        <v>54</v>
      </c>
      <c r="I10" s="1" t="s">
        <v>22</v>
      </c>
      <c r="J10" s="1" t="s">
        <v>55</v>
      </c>
      <c r="K10" s="1" t="s">
        <v>42</v>
      </c>
      <c r="L10" s="1" t="s">
        <v>23</v>
      </c>
      <c r="M10" s="1"/>
      <c r="N10" s="3"/>
      <c r="O10" s="6" t="s">
        <v>1037</v>
      </c>
      <c r="P10" s="6" t="s">
        <v>1028</v>
      </c>
    </row>
    <row r="11" spans="1:16">
      <c r="A11" s="1" t="s">
        <v>56</v>
      </c>
      <c r="B11" s="1" t="s">
        <v>15</v>
      </c>
      <c r="C11" s="1" t="s">
        <v>57</v>
      </c>
      <c r="D11" s="1" t="s">
        <v>17</v>
      </c>
      <c r="E11" s="14" t="s">
        <v>847</v>
      </c>
      <c r="F11" s="15" t="s">
        <v>813</v>
      </c>
      <c r="G11" s="15">
        <v>10</v>
      </c>
      <c r="H11" s="3" t="s">
        <v>58</v>
      </c>
      <c r="I11" s="1" t="s">
        <v>22</v>
      </c>
      <c r="J11" s="1" t="s">
        <v>59</v>
      </c>
      <c r="K11" s="1" t="s">
        <v>22</v>
      </c>
      <c r="L11" s="1" t="s">
        <v>23</v>
      </c>
      <c r="M11" s="1"/>
      <c r="N11" s="3"/>
      <c r="O11" s="6" t="s">
        <v>1038</v>
      </c>
      <c r="P11" s="6" t="s">
        <v>1032</v>
      </c>
    </row>
    <row r="12" spans="1:16">
      <c r="A12" s="1" t="s">
        <v>60</v>
      </c>
      <c r="B12" s="1" t="s">
        <v>15</v>
      </c>
      <c r="C12" s="1" t="s">
        <v>57</v>
      </c>
      <c r="D12" s="1" t="s">
        <v>17</v>
      </c>
      <c r="E12" s="14" t="s">
        <v>61</v>
      </c>
      <c r="F12" s="1" t="s">
        <v>61</v>
      </c>
      <c r="G12" s="1">
        <v>11</v>
      </c>
      <c r="H12" s="3" t="s">
        <v>62</v>
      </c>
      <c r="I12" s="1" t="s">
        <v>22</v>
      </c>
      <c r="J12" s="1" t="s">
        <v>59</v>
      </c>
      <c r="K12" s="1" t="s">
        <v>22</v>
      </c>
      <c r="L12" s="1" t="s">
        <v>23</v>
      </c>
      <c r="M12" s="1"/>
      <c r="N12" s="3"/>
      <c r="O12" s="6" t="s">
        <v>1039</v>
      </c>
      <c r="P12" s="6" t="s">
        <v>1032</v>
      </c>
    </row>
    <row r="13" spans="1:16">
      <c r="A13" s="1" t="s">
        <v>63</v>
      </c>
      <c r="B13" s="1" t="s">
        <v>15</v>
      </c>
      <c r="C13" s="1" t="s">
        <v>57</v>
      </c>
      <c r="D13" s="1" t="s">
        <v>30</v>
      </c>
      <c r="E13" s="14" t="s">
        <v>64</v>
      </c>
      <c r="F13" s="1" t="s">
        <v>64</v>
      </c>
      <c r="G13" s="1">
        <v>11</v>
      </c>
      <c r="H13" s="3" t="s">
        <v>65</v>
      </c>
      <c r="I13" s="1" t="s">
        <v>22</v>
      </c>
      <c r="J13" s="1" t="s">
        <v>66</v>
      </c>
      <c r="K13" s="1" t="s">
        <v>22</v>
      </c>
      <c r="L13" s="1" t="s">
        <v>23</v>
      </c>
      <c r="M13" s="1"/>
      <c r="N13" s="3"/>
      <c r="O13" s="6" t="s">
        <v>1040</v>
      </c>
      <c r="P13" s="6" t="s">
        <v>1032</v>
      </c>
    </row>
    <row r="14" spans="1:16">
      <c r="A14" s="1" t="s">
        <v>67</v>
      </c>
      <c r="B14" s="1" t="s">
        <v>15</v>
      </c>
      <c r="C14" s="1" t="s">
        <v>57</v>
      </c>
      <c r="D14" s="1" t="s">
        <v>30</v>
      </c>
      <c r="E14" s="14" t="s">
        <v>68</v>
      </c>
      <c r="F14" s="1" t="s">
        <v>68</v>
      </c>
      <c r="G14" s="1">
        <v>11</v>
      </c>
      <c r="H14" s="3" t="s">
        <v>69</v>
      </c>
      <c r="I14" s="1" t="s">
        <v>22</v>
      </c>
      <c r="J14" s="1" t="s">
        <v>70</v>
      </c>
      <c r="K14" s="1" t="s">
        <v>22</v>
      </c>
      <c r="L14" s="1" t="s">
        <v>23</v>
      </c>
      <c r="M14" s="1"/>
      <c r="N14" s="3"/>
      <c r="O14" s="6" t="s">
        <v>22</v>
      </c>
      <c r="P14" s="6" t="s">
        <v>1029</v>
      </c>
    </row>
    <row r="15" spans="1:16">
      <c r="A15" s="1" t="s">
        <v>71</v>
      </c>
      <c r="B15" s="1" t="s">
        <v>15</v>
      </c>
      <c r="C15" s="1" t="s">
        <v>57</v>
      </c>
      <c r="D15" s="1" t="s">
        <v>34</v>
      </c>
      <c r="E15" s="14" t="s">
        <v>848</v>
      </c>
      <c r="F15" s="15" t="s">
        <v>795</v>
      </c>
      <c r="G15" s="15">
        <v>10</v>
      </c>
      <c r="H15" s="3" t="s">
        <v>72</v>
      </c>
      <c r="I15" s="1" t="s">
        <v>22</v>
      </c>
      <c r="J15" s="1" t="s">
        <v>59</v>
      </c>
      <c r="K15" s="1" t="s">
        <v>73</v>
      </c>
      <c r="L15" s="1" t="s">
        <v>23</v>
      </c>
      <c r="M15" s="1"/>
      <c r="N15" s="3"/>
      <c r="O15" s="6" t="s">
        <v>1041</v>
      </c>
      <c r="P15" s="6" t="s">
        <v>1028</v>
      </c>
    </row>
    <row r="16" spans="1:16">
      <c r="A16" s="1" t="s">
        <v>74</v>
      </c>
      <c r="B16" s="1" t="s">
        <v>15</v>
      </c>
      <c r="C16" s="1" t="s">
        <v>75</v>
      </c>
      <c r="D16" s="1" t="s">
        <v>17</v>
      </c>
      <c r="E16" s="14" t="s">
        <v>76</v>
      </c>
      <c r="F16" s="1" t="s">
        <v>76</v>
      </c>
      <c r="G16" s="1">
        <v>10</v>
      </c>
      <c r="H16" s="3" t="s">
        <v>77</v>
      </c>
      <c r="I16" s="1" t="s">
        <v>22</v>
      </c>
      <c r="J16" s="1" t="s">
        <v>78</v>
      </c>
      <c r="K16" s="1" t="s">
        <v>22</v>
      </c>
      <c r="L16" s="1" t="s">
        <v>23</v>
      </c>
      <c r="M16" s="1"/>
      <c r="N16" s="3"/>
      <c r="O16" s="6" t="s">
        <v>1042</v>
      </c>
      <c r="P16" s="6" t="s">
        <v>1032</v>
      </c>
    </row>
    <row r="17" spans="1:16">
      <c r="A17" s="1" t="s">
        <v>79</v>
      </c>
      <c r="B17" s="1" t="s">
        <v>15</v>
      </c>
      <c r="C17" s="1" t="s">
        <v>75</v>
      </c>
      <c r="D17" s="1" t="s">
        <v>17</v>
      </c>
      <c r="E17" s="14" t="s">
        <v>849</v>
      </c>
      <c r="F17" s="15" t="s">
        <v>814</v>
      </c>
      <c r="G17" s="15">
        <v>9</v>
      </c>
      <c r="H17" s="3" t="s">
        <v>80</v>
      </c>
      <c r="I17" s="1" t="s">
        <v>22</v>
      </c>
      <c r="J17" s="1" t="s">
        <v>81</v>
      </c>
      <c r="K17" s="1" t="s">
        <v>22</v>
      </c>
      <c r="L17" s="1" t="s">
        <v>23</v>
      </c>
      <c r="M17" s="1"/>
      <c r="N17" s="3"/>
      <c r="O17" s="6" t="s">
        <v>1043</v>
      </c>
      <c r="P17" s="6" t="s">
        <v>1028</v>
      </c>
    </row>
    <row r="18" spans="1:16">
      <c r="A18" s="1" t="s">
        <v>82</v>
      </c>
      <c r="B18" s="1" t="s">
        <v>15</v>
      </c>
      <c r="C18" s="1" t="s">
        <v>75</v>
      </c>
      <c r="D18" s="1" t="s">
        <v>30</v>
      </c>
      <c r="E18" s="14" t="s">
        <v>83</v>
      </c>
      <c r="F18" s="1" t="s">
        <v>83</v>
      </c>
      <c r="G18" s="1">
        <v>10</v>
      </c>
      <c r="H18" s="3" t="s">
        <v>84</v>
      </c>
      <c r="I18" s="1" t="s">
        <v>22</v>
      </c>
      <c r="J18" s="1" t="s">
        <v>85</v>
      </c>
      <c r="K18" s="1" t="s">
        <v>22</v>
      </c>
      <c r="L18" s="1" t="s">
        <v>23</v>
      </c>
      <c r="M18" s="1"/>
      <c r="N18" s="3"/>
      <c r="O18" s="6" t="s">
        <v>1044</v>
      </c>
      <c r="P18" s="6" t="s">
        <v>1028</v>
      </c>
    </row>
    <row r="19" spans="1:16">
      <c r="A19" s="1" t="s">
        <v>86</v>
      </c>
      <c r="B19" s="1" t="s">
        <v>15</v>
      </c>
      <c r="C19" s="1" t="s">
        <v>75</v>
      </c>
      <c r="D19" s="1" t="s">
        <v>30</v>
      </c>
      <c r="E19" s="14" t="s">
        <v>850</v>
      </c>
      <c r="F19" s="15" t="s">
        <v>815</v>
      </c>
      <c r="G19" s="15">
        <v>11</v>
      </c>
      <c r="H19" s="3" t="s">
        <v>87</v>
      </c>
      <c r="I19" s="1" t="s">
        <v>22</v>
      </c>
      <c r="J19" s="1" t="s">
        <v>78</v>
      </c>
      <c r="K19" s="1" t="s">
        <v>22</v>
      </c>
      <c r="L19" s="1" t="s">
        <v>23</v>
      </c>
      <c r="M19" s="1"/>
      <c r="N19" s="3"/>
      <c r="O19" s="6" t="s">
        <v>1045</v>
      </c>
      <c r="P19" s="6" t="s">
        <v>1032</v>
      </c>
    </row>
    <row r="20" spans="1:16">
      <c r="A20" s="1" t="s">
        <v>88</v>
      </c>
      <c r="B20" s="1" t="s">
        <v>15</v>
      </c>
      <c r="C20" s="1" t="s">
        <v>75</v>
      </c>
      <c r="D20" s="1" t="s">
        <v>34</v>
      </c>
      <c r="E20" s="14" t="s">
        <v>851</v>
      </c>
      <c r="F20" s="15" t="s">
        <v>816</v>
      </c>
      <c r="G20" s="15">
        <v>10</v>
      </c>
      <c r="H20" s="3" t="s">
        <v>89</v>
      </c>
      <c r="I20" s="1" t="s">
        <v>22</v>
      </c>
      <c r="J20" s="1" t="s">
        <v>90</v>
      </c>
      <c r="K20" s="1" t="s">
        <v>22</v>
      </c>
      <c r="L20" s="1" t="s">
        <v>23</v>
      </c>
      <c r="M20" s="1"/>
      <c r="N20" s="3"/>
      <c r="O20" s="6" t="s">
        <v>1046</v>
      </c>
      <c r="P20" s="6" t="s">
        <v>1028</v>
      </c>
    </row>
    <row r="21" spans="1:16">
      <c r="A21" s="1" t="s">
        <v>91</v>
      </c>
      <c r="B21" s="1" t="s">
        <v>15</v>
      </c>
      <c r="C21" s="1" t="s">
        <v>75</v>
      </c>
      <c r="D21" s="1" t="s">
        <v>34</v>
      </c>
      <c r="E21" s="14" t="s">
        <v>852</v>
      </c>
      <c r="F21" s="15" t="s">
        <v>796</v>
      </c>
      <c r="G21" s="15">
        <v>8</v>
      </c>
      <c r="H21" s="3" t="s">
        <v>92</v>
      </c>
      <c r="I21" s="1" t="s">
        <v>22</v>
      </c>
      <c r="J21" s="1" t="s">
        <v>93</v>
      </c>
      <c r="K21" s="1" t="s">
        <v>22</v>
      </c>
      <c r="L21" s="1" t="s">
        <v>23</v>
      </c>
      <c r="M21" s="1"/>
      <c r="N21" s="3"/>
      <c r="O21" s="6" t="s">
        <v>1047</v>
      </c>
      <c r="P21" s="6" t="s">
        <v>1028</v>
      </c>
    </row>
    <row r="22" spans="1:16">
      <c r="A22" s="1" t="s">
        <v>94</v>
      </c>
      <c r="B22" s="1" t="s">
        <v>15</v>
      </c>
      <c r="C22" s="1" t="s">
        <v>75</v>
      </c>
      <c r="D22" s="1" t="s">
        <v>30</v>
      </c>
      <c r="E22" s="14" t="s">
        <v>95</v>
      </c>
      <c r="F22" s="1" t="s">
        <v>95</v>
      </c>
      <c r="G22" s="1">
        <v>11</v>
      </c>
      <c r="H22" s="3" t="s">
        <v>96</v>
      </c>
      <c r="I22" s="1" t="s">
        <v>97</v>
      </c>
      <c r="J22" s="1" t="s">
        <v>98</v>
      </c>
      <c r="K22" s="1" t="s">
        <v>99</v>
      </c>
      <c r="L22" s="1" t="s">
        <v>23</v>
      </c>
      <c r="M22" s="1"/>
      <c r="N22" s="3"/>
      <c r="O22" s="6" t="s">
        <v>22</v>
      </c>
      <c r="P22" s="6" t="s">
        <v>1029</v>
      </c>
    </row>
    <row r="23" spans="1:16">
      <c r="A23" s="1" t="s">
        <v>100</v>
      </c>
      <c r="B23" s="1" t="s">
        <v>15</v>
      </c>
      <c r="C23" s="1" t="s">
        <v>75</v>
      </c>
      <c r="D23" s="1" t="s">
        <v>34</v>
      </c>
      <c r="E23" s="14" t="s">
        <v>101</v>
      </c>
      <c r="F23" s="1" t="s">
        <v>101</v>
      </c>
      <c r="G23" s="1">
        <v>9</v>
      </c>
      <c r="H23" s="3" t="s">
        <v>102</v>
      </c>
      <c r="I23" s="1" t="s">
        <v>97</v>
      </c>
      <c r="J23" s="1" t="s">
        <v>103</v>
      </c>
      <c r="K23" s="1" t="s">
        <v>104</v>
      </c>
      <c r="L23" s="1" t="s">
        <v>23</v>
      </c>
      <c r="M23" s="1"/>
      <c r="N23" s="3"/>
      <c r="O23" s="6" t="s">
        <v>22</v>
      </c>
      <c r="P23" s="6" t="s">
        <v>1029</v>
      </c>
    </row>
    <row r="24" spans="1:16" ht="32">
      <c r="A24" s="1" t="s">
        <v>105</v>
      </c>
      <c r="B24" s="1" t="s">
        <v>15</v>
      </c>
      <c r="C24" s="1" t="s">
        <v>106</v>
      </c>
      <c r="D24" s="1" t="s">
        <v>17</v>
      </c>
      <c r="E24" s="14" t="s">
        <v>107</v>
      </c>
      <c r="F24" s="1" t="s">
        <v>107</v>
      </c>
      <c r="G24" s="1">
        <v>11</v>
      </c>
      <c r="H24" s="3" t="s">
        <v>108</v>
      </c>
      <c r="I24" s="1" t="s">
        <v>109</v>
      </c>
      <c r="J24" s="1" t="s">
        <v>110</v>
      </c>
      <c r="K24" s="1" t="s">
        <v>111</v>
      </c>
      <c r="L24" s="1" t="s">
        <v>27</v>
      </c>
      <c r="M24" s="1"/>
      <c r="N24" s="3" t="s">
        <v>112</v>
      </c>
      <c r="O24" s="6" t="s">
        <v>22</v>
      </c>
      <c r="P24" s="6" t="s">
        <v>1029</v>
      </c>
    </row>
    <row r="25" spans="1:16">
      <c r="A25" s="1" t="s">
        <v>113</v>
      </c>
      <c r="B25" s="1" t="s">
        <v>15</v>
      </c>
      <c r="C25" s="1" t="s">
        <v>106</v>
      </c>
      <c r="D25" s="1" t="s">
        <v>30</v>
      </c>
      <c r="E25" s="14" t="s">
        <v>114</v>
      </c>
      <c r="F25" s="1" t="s">
        <v>114</v>
      </c>
      <c r="G25" s="1">
        <v>13</v>
      </c>
      <c r="H25" s="3" t="s">
        <v>115</v>
      </c>
      <c r="I25" s="1" t="s">
        <v>109</v>
      </c>
      <c r="J25" s="1" t="s">
        <v>116</v>
      </c>
      <c r="K25" s="1" t="s">
        <v>111</v>
      </c>
      <c r="L25" s="1" t="s">
        <v>23</v>
      </c>
      <c r="M25" s="1"/>
      <c r="N25" s="3"/>
      <c r="O25" s="6" t="s">
        <v>22</v>
      </c>
      <c r="P25" s="6" t="s">
        <v>1029</v>
      </c>
    </row>
    <row r="26" spans="1:16" ht="32">
      <c r="A26" s="1" t="s">
        <v>117</v>
      </c>
      <c r="B26" s="1" t="s">
        <v>15</v>
      </c>
      <c r="C26" s="1" t="s">
        <v>106</v>
      </c>
      <c r="D26" s="1" t="s">
        <v>30</v>
      </c>
      <c r="E26" s="14" t="s">
        <v>118</v>
      </c>
      <c r="F26" s="1" t="s">
        <v>118</v>
      </c>
      <c r="G26" s="1">
        <v>13</v>
      </c>
      <c r="H26" s="3" t="s">
        <v>119</v>
      </c>
      <c r="I26" s="1" t="s">
        <v>109</v>
      </c>
      <c r="J26" s="1" t="s">
        <v>120</v>
      </c>
      <c r="K26" s="1" t="s">
        <v>111</v>
      </c>
      <c r="L26" s="1" t="s">
        <v>121</v>
      </c>
      <c r="M26" s="1"/>
      <c r="N26" s="3" t="s">
        <v>122</v>
      </c>
      <c r="O26" s="6" t="s">
        <v>22</v>
      </c>
      <c r="P26" s="6" t="s">
        <v>1029</v>
      </c>
    </row>
    <row r="27" spans="1:16" ht="48">
      <c r="A27" s="1" t="s">
        <v>123</v>
      </c>
      <c r="B27" s="1" t="s">
        <v>15</v>
      </c>
      <c r="C27" s="1" t="s">
        <v>106</v>
      </c>
      <c r="D27" s="1" t="s">
        <v>34</v>
      </c>
      <c r="E27" s="14" t="s">
        <v>124</v>
      </c>
      <c r="F27" s="1" t="s">
        <v>124</v>
      </c>
      <c r="G27" s="1">
        <v>15</v>
      </c>
      <c r="H27" s="3" t="s">
        <v>125</v>
      </c>
      <c r="I27" s="1" t="s">
        <v>109</v>
      </c>
      <c r="J27" s="1" t="s">
        <v>126</v>
      </c>
      <c r="K27" s="1" t="s">
        <v>111</v>
      </c>
      <c r="L27" s="1" t="s">
        <v>127</v>
      </c>
      <c r="M27" s="1" t="s">
        <v>128</v>
      </c>
      <c r="N27" s="3" t="s">
        <v>129</v>
      </c>
      <c r="O27" s="6" t="s">
        <v>22</v>
      </c>
      <c r="P27" s="6" t="s">
        <v>1029</v>
      </c>
    </row>
    <row r="28" spans="1:16">
      <c r="A28" s="1" t="s">
        <v>130</v>
      </c>
      <c r="B28" s="1" t="s">
        <v>15</v>
      </c>
      <c r="C28" s="1" t="s">
        <v>131</v>
      </c>
      <c r="D28" s="1" t="s">
        <v>17</v>
      </c>
      <c r="E28" s="14" t="s">
        <v>132</v>
      </c>
      <c r="F28" s="1" t="s">
        <v>132</v>
      </c>
      <c r="G28" s="1">
        <v>12</v>
      </c>
      <c r="H28" s="3" t="s">
        <v>133</v>
      </c>
      <c r="I28" s="1" t="s">
        <v>22</v>
      </c>
      <c r="J28" s="1" t="s">
        <v>134</v>
      </c>
      <c r="K28" s="1" t="s">
        <v>111</v>
      </c>
      <c r="L28" s="1" t="s">
        <v>23</v>
      </c>
      <c r="M28" s="1"/>
      <c r="N28" s="3"/>
      <c r="O28" s="6" t="s">
        <v>22</v>
      </c>
      <c r="P28" s="6" t="s">
        <v>1029</v>
      </c>
    </row>
    <row r="29" spans="1:16">
      <c r="A29" s="1" t="s">
        <v>135</v>
      </c>
      <c r="B29" s="1" t="s">
        <v>15</v>
      </c>
      <c r="C29" s="1" t="s">
        <v>131</v>
      </c>
      <c r="D29" s="1" t="s">
        <v>17</v>
      </c>
      <c r="E29" s="14" t="s">
        <v>853</v>
      </c>
      <c r="F29" s="15" t="s">
        <v>817</v>
      </c>
      <c r="G29" s="15">
        <v>9</v>
      </c>
      <c r="H29" s="3" t="s">
        <v>136</v>
      </c>
      <c r="I29" s="1" t="s">
        <v>22</v>
      </c>
      <c r="J29" s="1" t="s">
        <v>134</v>
      </c>
      <c r="K29" s="1" t="s">
        <v>111</v>
      </c>
      <c r="L29" s="1" t="s">
        <v>23</v>
      </c>
      <c r="M29" s="1"/>
      <c r="N29" s="3"/>
      <c r="O29" s="6" t="s">
        <v>1048</v>
      </c>
      <c r="P29" s="6" t="s">
        <v>1032</v>
      </c>
    </row>
    <row r="30" spans="1:16" ht="48">
      <c r="A30" s="1" t="s">
        <v>137</v>
      </c>
      <c r="B30" s="1" t="s">
        <v>15</v>
      </c>
      <c r="C30" s="1" t="s">
        <v>131</v>
      </c>
      <c r="D30" s="1" t="s">
        <v>30</v>
      </c>
      <c r="E30" s="14" t="s">
        <v>138</v>
      </c>
      <c r="F30" s="1" t="s">
        <v>138</v>
      </c>
      <c r="G30" s="1">
        <v>12</v>
      </c>
      <c r="H30" s="3" t="s">
        <v>139</v>
      </c>
      <c r="I30" s="1" t="s">
        <v>22</v>
      </c>
      <c r="J30" s="1" t="s">
        <v>140</v>
      </c>
      <c r="K30" s="1" t="s">
        <v>111</v>
      </c>
      <c r="L30" s="1" t="s">
        <v>141</v>
      </c>
      <c r="M30" s="1" t="s">
        <v>142</v>
      </c>
      <c r="N30" s="3" t="s">
        <v>143</v>
      </c>
      <c r="O30" s="6" t="s">
        <v>22</v>
      </c>
      <c r="P30" s="6" t="s">
        <v>1029</v>
      </c>
    </row>
    <row r="31" spans="1:16" ht="48">
      <c r="A31" s="1" t="s">
        <v>144</v>
      </c>
      <c r="B31" s="1" t="s">
        <v>15</v>
      </c>
      <c r="C31" s="1" t="s">
        <v>131</v>
      </c>
      <c r="D31" s="1" t="s">
        <v>30</v>
      </c>
      <c r="E31" s="14" t="s">
        <v>145</v>
      </c>
      <c r="F31" s="1" t="s">
        <v>145</v>
      </c>
      <c r="G31" s="1">
        <v>11</v>
      </c>
      <c r="H31" s="3" t="s">
        <v>146</v>
      </c>
      <c r="I31" s="1" t="s">
        <v>22</v>
      </c>
      <c r="J31" s="1" t="s">
        <v>147</v>
      </c>
      <c r="K31" s="1" t="s">
        <v>111</v>
      </c>
      <c r="L31" s="1" t="s">
        <v>141</v>
      </c>
      <c r="M31" s="1" t="s">
        <v>142</v>
      </c>
      <c r="N31" s="3" t="s">
        <v>143</v>
      </c>
      <c r="O31" s="6" t="s">
        <v>22</v>
      </c>
      <c r="P31" s="6" t="s">
        <v>1029</v>
      </c>
    </row>
    <row r="32" spans="1:16">
      <c r="A32" s="1" t="s">
        <v>148</v>
      </c>
      <c r="B32" s="1" t="s">
        <v>15</v>
      </c>
      <c r="C32" s="1" t="s">
        <v>131</v>
      </c>
      <c r="D32" s="1" t="s">
        <v>34</v>
      </c>
      <c r="E32" s="14" t="s">
        <v>149</v>
      </c>
      <c r="F32" s="1" t="s">
        <v>149</v>
      </c>
      <c r="G32" s="1">
        <v>9</v>
      </c>
      <c r="H32" s="3" t="s">
        <v>150</v>
      </c>
      <c r="I32" s="1" t="s">
        <v>22</v>
      </c>
      <c r="J32" s="1" t="s">
        <v>32</v>
      </c>
      <c r="K32" s="1" t="s">
        <v>151</v>
      </c>
      <c r="L32" s="1" t="s">
        <v>23</v>
      </c>
      <c r="M32" s="1"/>
      <c r="N32" s="3"/>
      <c r="O32" s="6" t="s">
        <v>22</v>
      </c>
      <c r="P32" s="6" t="s">
        <v>1029</v>
      </c>
    </row>
    <row r="33" spans="1:16">
      <c r="A33" s="1" t="s">
        <v>152</v>
      </c>
      <c r="B33" s="1" t="s">
        <v>15</v>
      </c>
      <c r="C33" s="1" t="s">
        <v>153</v>
      </c>
      <c r="D33" s="1" t="s">
        <v>17</v>
      </c>
      <c r="E33" s="14" t="s">
        <v>154</v>
      </c>
      <c r="F33" s="1" t="s">
        <v>154</v>
      </c>
      <c r="G33" s="1">
        <v>9</v>
      </c>
      <c r="H33" s="3" t="s">
        <v>155</v>
      </c>
      <c r="I33" s="1" t="s">
        <v>20</v>
      </c>
      <c r="J33" s="1" t="s">
        <v>156</v>
      </c>
      <c r="K33" s="1" t="s">
        <v>157</v>
      </c>
      <c r="L33" s="1" t="s">
        <v>23</v>
      </c>
      <c r="M33" s="1"/>
      <c r="N33" s="3"/>
      <c r="O33" s="6" t="s">
        <v>1049</v>
      </c>
      <c r="P33" s="6" t="s">
        <v>1032</v>
      </c>
    </row>
    <row r="34" spans="1:16">
      <c r="A34" s="1" t="s">
        <v>158</v>
      </c>
      <c r="B34" s="1" t="s">
        <v>15</v>
      </c>
      <c r="C34" s="1" t="s">
        <v>153</v>
      </c>
      <c r="D34" s="1" t="s">
        <v>17</v>
      </c>
      <c r="E34" s="14" t="s">
        <v>854</v>
      </c>
      <c r="F34" s="15" t="s">
        <v>797</v>
      </c>
      <c r="G34" s="15">
        <v>11</v>
      </c>
      <c r="H34" s="3" t="s">
        <v>159</v>
      </c>
      <c r="I34" s="1" t="s">
        <v>22</v>
      </c>
      <c r="J34" s="1" t="s">
        <v>160</v>
      </c>
      <c r="K34" s="1" t="s">
        <v>157</v>
      </c>
      <c r="L34" s="1" t="s">
        <v>23</v>
      </c>
      <c r="M34" s="1"/>
      <c r="N34" s="3"/>
      <c r="O34" s="6" t="s">
        <v>1050</v>
      </c>
      <c r="P34" s="6" t="s">
        <v>1032</v>
      </c>
    </row>
    <row r="35" spans="1:16">
      <c r="A35" s="1" t="s">
        <v>161</v>
      </c>
      <c r="B35" s="1" t="s">
        <v>15</v>
      </c>
      <c r="C35" s="1" t="s">
        <v>153</v>
      </c>
      <c r="D35" s="1" t="s">
        <v>30</v>
      </c>
      <c r="E35" s="14" t="s">
        <v>162</v>
      </c>
      <c r="F35" s="1" t="s">
        <v>162</v>
      </c>
      <c r="G35" s="1">
        <v>9</v>
      </c>
      <c r="H35" s="3" t="s">
        <v>163</v>
      </c>
      <c r="I35" s="1" t="s">
        <v>22</v>
      </c>
      <c r="J35" s="1" t="s">
        <v>164</v>
      </c>
      <c r="K35" s="1" t="s">
        <v>165</v>
      </c>
      <c r="L35" s="1" t="s">
        <v>23</v>
      </c>
      <c r="M35" s="1"/>
      <c r="N35" s="3"/>
      <c r="O35" s="6" t="s">
        <v>1051</v>
      </c>
      <c r="P35" s="6" t="s">
        <v>1032</v>
      </c>
    </row>
    <row r="36" spans="1:16">
      <c r="A36" s="1" t="s">
        <v>166</v>
      </c>
      <c r="B36" s="1" t="s">
        <v>15</v>
      </c>
      <c r="C36" s="1" t="s">
        <v>153</v>
      </c>
      <c r="D36" s="1" t="s">
        <v>30</v>
      </c>
      <c r="E36" s="14" t="s">
        <v>167</v>
      </c>
      <c r="F36" s="1" t="s">
        <v>167</v>
      </c>
      <c r="G36" s="1">
        <v>11</v>
      </c>
      <c r="H36" s="3" t="s">
        <v>168</v>
      </c>
      <c r="I36" s="1" t="s">
        <v>22</v>
      </c>
      <c r="J36" s="1" t="s">
        <v>169</v>
      </c>
      <c r="K36" s="1" t="s">
        <v>157</v>
      </c>
      <c r="L36" s="1" t="s">
        <v>23</v>
      </c>
      <c r="M36" s="1"/>
      <c r="N36" s="3"/>
      <c r="O36" s="6" t="s">
        <v>1052</v>
      </c>
      <c r="P36" s="6" t="s">
        <v>1028</v>
      </c>
    </row>
    <row r="37" spans="1:16">
      <c r="A37" s="1" t="s">
        <v>170</v>
      </c>
      <c r="B37" s="1" t="s">
        <v>15</v>
      </c>
      <c r="C37" s="1" t="s">
        <v>153</v>
      </c>
      <c r="D37" s="1" t="s">
        <v>34</v>
      </c>
      <c r="E37" s="14" t="s">
        <v>855</v>
      </c>
      <c r="F37" s="15" t="s">
        <v>818</v>
      </c>
      <c r="G37" s="15">
        <v>11</v>
      </c>
      <c r="H37" s="3" t="s">
        <v>171</v>
      </c>
      <c r="I37" s="1" t="s">
        <v>22</v>
      </c>
      <c r="J37" s="1" t="s">
        <v>45</v>
      </c>
      <c r="K37" s="1" t="s">
        <v>157</v>
      </c>
      <c r="L37" s="1" t="s">
        <v>23</v>
      </c>
      <c r="M37" s="1"/>
      <c r="N37" s="3"/>
      <c r="O37" s="6" t="s">
        <v>1053</v>
      </c>
      <c r="P37" s="6" t="s">
        <v>1028</v>
      </c>
    </row>
    <row r="38" spans="1:16">
      <c r="A38" s="1" t="s">
        <v>172</v>
      </c>
      <c r="B38" s="1" t="s">
        <v>15</v>
      </c>
      <c r="C38" s="1" t="s">
        <v>173</v>
      </c>
      <c r="D38" s="1" t="s">
        <v>17</v>
      </c>
      <c r="E38" s="14" t="s">
        <v>856</v>
      </c>
      <c r="F38" s="15" t="s">
        <v>798</v>
      </c>
      <c r="G38" s="15">
        <v>12</v>
      </c>
      <c r="H38" s="3" t="s">
        <v>174</v>
      </c>
      <c r="I38" s="1" t="s">
        <v>22</v>
      </c>
      <c r="J38" s="1" t="s">
        <v>175</v>
      </c>
      <c r="K38" s="1" t="s">
        <v>22</v>
      </c>
      <c r="L38" s="1" t="s">
        <v>23</v>
      </c>
      <c r="M38" s="1"/>
      <c r="N38" s="3"/>
      <c r="O38" s="6" t="s">
        <v>1054</v>
      </c>
      <c r="P38" s="6" t="s">
        <v>1032</v>
      </c>
    </row>
    <row r="39" spans="1:16">
      <c r="A39" s="1" t="s">
        <v>176</v>
      </c>
      <c r="B39" s="1" t="s">
        <v>15</v>
      </c>
      <c r="C39" s="1" t="s">
        <v>173</v>
      </c>
      <c r="D39" s="1" t="s">
        <v>17</v>
      </c>
      <c r="E39" s="14" t="s">
        <v>857</v>
      </c>
      <c r="F39" s="15" t="s">
        <v>819</v>
      </c>
      <c r="G39" s="15">
        <v>9</v>
      </c>
      <c r="H39" s="3" t="s">
        <v>177</v>
      </c>
      <c r="I39" s="1" t="s">
        <v>22</v>
      </c>
      <c r="J39" s="1" t="s">
        <v>178</v>
      </c>
      <c r="K39" s="1" t="s">
        <v>22</v>
      </c>
      <c r="L39" s="1" t="s">
        <v>23</v>
      </c>
      <c r="M39" s="1"/>
      <c r="N39" s="3"/>
      <c r="O39" s="6" t="s">
        <v>1055</v>
      </c>
      <c r="P39" s="6" t="s">
        <v>1028</v>
      </c>
    </row>
    <row r="40" spans="1:16">
      <c r="A40" s="1" t="s">
        <v>179</v>
      </c>
      <c r="B40" s="1" t="s">
        <v>15</v>
      </c>
      <c r="C40" s="1" t="s">
        <v>173</v>
      </c>
      <c r="D40" s="1" t="s">
        <v>30</v>
      </c>
      <c r="E40" s="14" t="s">
        <v>858</v>
      </c>
      <c r="F40" s="15" t="s">
        <v>820</v>
      </c>
      <c r="G40" s="15">
        <v>7</v>
      </c>
      <c r="H40" s="3" t="s">
        <v>180</v>
      </c>
      <c r="I40" s="1" t="s">
        <v>22</v>
      </c>
      <c r="J40" s="1" t="s">
        <v>181</v>
      </c>
      <c r="K40" s="1" t="s">
        <v>22</v>
      </c>
      <c r="L40" s="1" t="s">
        <v>23</v>
      </c>
      <c r="M40" s="1"/>
      <c r="N40" s="3"/>
      <c r="O40" s="6" t="s">
        <v>1056</v>
      </c>
      <c r="P40" s="6" t="s">
        <v>1032</v>
      </c>
    </row>
    <row r="41" spans="1:16">
      <c r="A41" s="1" t="s">
        <v>182</v>
      </c>
      <c r="B41" s="1" t="s">
        <v>15</v>
      </c>
      <c r="C41" s="1" t="s">
        <v>173</v>
      </c>
      <c r="D41" s="1" t="s">
        <v>30</v>
      </c>
      <c r="E41" s="14" t="s">
        <v>859</v>
      </c>
      <c r="F41" s="15" t="s">
        <v>799</v>
      </c>
      <c r="G41" s="15">
        <v>12</v>
      </c>
      <c r="H41" s="3" t="s">
        <v>183</v>
      </c>
      <c r="I41" s="1" t="s">
        <v>22</v>
      </c>
      <c r="J41" s="1" t="s">
        <v>184</v>
      </c>
      <c r="K41" s="1" t="s">
        <v>22</v>
      </c>
      <c r="L41" s="1" t="s">
        <v>23</v>
      </c>
      <c r="M41" s="1"/>
      <c r="N41" s="3"/>
      <c r="O41" s="6" t="s">
        <v>1057</v>
      </c>
      <c r="P41" s="6" t="s">
        <v>1032</v>
      </c>
    </row>
    <row r="42" spans="1:16">
      <c r="A42" s="1" t="s">
        <v>185</v>
      </c>
      <c r="B42" s="1" t="s">
        <v>15</v>
      </c>
      <c r="C42" s="1" t="s">
        <v>173</v>
      </c>
      <c r="D42" s="1" t="s">
        <v>34</v>
      </c>
      <c r="E42" s="14" t="s">
        <v>186</v>
      </c>
      <c r="F42" s="1" t="s">
        <v>186</v>
      </c>
      <c r="G42" s="1">
        <v>8</v>
      </c>
      <c r="H42" s="3" t="s">
        <v>187</v>
      </c>
      <c r="I42" s="1" t="s">
        <v>22</v>
      </c>
      <c r="J42" s="1" t="s">
        <v>188</v>
      </c>
      <c r="K42" s="1" t="s">
        <v>22</v>
      </c>
      <c r="L42" s="1" t="s">
        <v>23</v>
      </c>
      <c r="M42" s="1"/>
      <c r="N42" s="3"/>
      <c r="O42" s="6" t="s">
        <v>1058</v>
      </c>
      <c r="P42" s="6" t="s">
        <v>1032</v>
      </c>
    </row>
    <row r="43" spans="1:16" ht="48">
      <c r="A43" s="1" t="s">
        <v>189</v>
      </c>
      <c r="B43" s="1" t="s">
        <v>15</v>
      </c>
      <c r="C43" s="1" t="s">
        <v>173</v>
      </c>
      <c r="D43" s="1" t="s">
        <v>34</v>
      </c>
      <c r="E43" s="14" t="s">
        <v>190</v>
      </c>
      <c r="F43" s="1" t="s">
        <v>190</v>
      </c>
      <c r="G43" s="1">
        <v>12</v>
      </c>
      <c r="H43" s="3" t="s">
        <v>191</v>
      </c>
      <c r="I43" s="1" t="s">
        <v>22</v>
      </c>
      <c r="J43" s="1" t="s">
        <v>192</v>
      </c>
      <c r="K43" s="1" t="s">
        <v>22</v>
      </c>
      <c r="L43" s="1" t="s">
        <v>193</v>
      </c>
      <c r="M43" s="1"/>
      <c r="N43" s="3" t="s">
        <v>194</v>
      </c>
      <c r="O43" s="6" t="s">
        <v>22</v>
      </c>
      <c r="P43" s="6" t="s">
        <v>1029</v>
      </c>
    </row>
    <row r="44" spans="1:16" ht="48">
      <c r="A44" s="1" t="s">
        <v>195</v>
      </c>
      <c r="B44" s="1" t="s">
        <v>15</v>
      </c>
      <c r="C44" s="1" t="s">
        <v>196</v>
      </c>
      <c r="D44" s="1" t="s">
        <v>197</v>
      </c>
      <c r="E44" s="14" t="s">
        <v>198</v>
      </c>
      <c r="F44" s="1" t="s">
        <v>198</v>
      </c>
      <c r="G44" s="1">
        <v>14</v>
      </c>
      <c r="H44" s="3" t="s">
        <v>199</v>
      </c>
      <c r="I44" s="1" t="s">
        <v>20</v>
      </c>
      <c r="J44" s="1" t="s">
        <v>200</v>
      </c>
      <c r="K44" s="1" t="s">
        <v>22</v>
      </c>
      <c r="L44" s="1" t="s">
        <v>127</v>
      </c>
      <c r="M44" s="1" t="s">
        <v>201</v>
      </c>
      <c r="N44" s="3" t="s">
        <v>202</v>
      </c>
      <c r="O44" s="6" t="s">
        <v>22</v>
      </c>
      <c r="P44" s="6" t="s">
        <v>1029</v>
      </c>
    </row>
    <row r="45" spans="1:16" ht="32">
      <c r="A45" s="1" t="s">
        <v>203</v>
      </c>
      <c r="B45" s="1" t="s">
        <v>15</v>
      </c>
      <c r="C45" s="1" t="s">
        <v>196</v>
      </c>
      <c r="D45" s="1" t="s">
        <v>197</v>
      </c>
      <c r="E45" s="14" t="s">
        <v>204</v>
      </c>
      <c r="F45" s="1" t="s">
        <v>205</v>
      </c>
      <c r="G45" s="1">
        <v>15</v>
      </c>
      <c r="H45" s="3" t="s">
        <v>206</v>
      </c>
      <c r="I45" s="1" t="s">
        <v>207</v>
      </c>
      <c r="J45" s="1" t="s">
        <v>45</v>
      </c>
      <c r="K45" s="1" t="s">
        <v>208</v>
      </c>
      <c r="L45" s="1" t="s">
        <v>193</v>
      </c>
      <c r="M45" s="1" t="s">
        <v>209</v>
      </c>
      <c r="N45" s="3" t="s">
        <v>210</v>
      </c>
      <c r="O45" s="6" t="s">
        <v>1059</v>
      </c>
      <c r="P45" s="6" t="s">
        <v>1028</v>
      </c>
    </row>
    <row r="46" spans="1:16">
      <c r="A46" s="1" t="s">
        <v>211</v>
      </c>
      <c r="B46" s="1" t="s">
        <v>15</v>
      </c>
      <c r="C46" s="1" t="s">
        <v>212</v>
      </c>
      <c r="D46" s="1" t="s">
        <v>213</v>
      </c>
      <c r="E46" s="14" t="s">
        <v>214</v>
      </c>
      <c r="F46" s="1" t="s">
        <v>214</v>
      </c>
      <c r="G46" s="1">
        <v>15</v>
      </c>
      <c r="H46" s="3" t="s">
        <v>215</v>
      </c>
      <c r="I46" s="1" t="s">
        <v>22</v>
      </c>
      <c r="J46" s="1" t="s">
        <v>216</v>
      </c>
      <c r="K46" s="1" t="s">
        <v>22</v>
      </c>
      <c r="L46" s="1" t="s">
        <v>23</v>
      </c>
      <c r="M46" s="1"/>
      <c r="N46" s="3"/>
      <c r="O46" s="6" t="s">
        <v>1060</v>
      </c>
      <c r="P46" s="6" t="s">
        <v>1028</v>
      </c>
    </row>
    <row r="47" spans="1:16">
      <c r="A47" s="1" t="s">
        <v>217</v>
      </c>
      <c r="B47" s="1" t="s">
        <v>218</v>
      </c>
      <c r="C47" s="1" t="s">
        <v>16</v>
      </c>
      <c r="D47" s="1" t="s">
        <v>17</v>
      </c>
      <c r="E47" s="14" t="s">
        <v>219</v>
      </c>
      <c r="F47" s="1" t="s">
        <v>219</v>
      </c>
      <c r="G47" s="1">
        <v>16</v>
      </c>
      <c r="H47" s="3" t="s">
        <v>220</v>
      </c>
      <c r="I47" s="1" t="s">
        <v>20</v>
      </c>
      <c r="J47" s="1" t="s">
        <v>37</v>
      </c>
      <c r="K47" s="1" t="s">
        <v>22</v>
      </c>
      <c r="L47" s="1" t="s">
        <v>23</v>
      </c>
      <c r="M47" s="1"/>
      <c r="N47" s="3"/>
      <c r="O47" s="6" t="s">
        <v>22</v>
      </c>
      <c r="P47" s="6" t="s">
        <v>1029</v>
      </c>
    </row>
    <row r="48" spans="1:16" ht="32">
      <c r="A48" s="1" t="s">
        <v>221</v>
      </c>
      <c r="B48" s="1" t="s">
        <v>218</v>
      </c>
      <c r="C48" s="1" t="s">
        <v>16</v>
      </c>
      <c r="D48" s="1" t="s">
        <v>17</v>
      </c>
      <c r="E48" s="14" t="s">
        <v>222</v>
      </c>
      <c r="F48" s="1" t="s">
        <v>222</v>
      </c>
      <c r="G48" s="1">
        <v>12</v>
      </c>
      <c r="H48" s="3" t="s">
        <v>223</v>
      </c>
      <c r="I48" s="1" t="s">
        <v>20</v>
      </c>
      <c r="J48" s="1" t="s">
        <v>21</v>
      </c>
      <c r="K48" s="1" t="s">
        <v>42</v>
      </c>
      <c r="L48" s="1" t="s">
        <v>127</v>
      </c>
      <c r="M48" s="1" t="s">
        <v>128</v>
      </c>
      <c r="N48" s="3" t="s">
        <v>224</v>
      </c>
      <c r="O48" s="6" t="s">
        <v>22</v>
      </c>
      <c r="P48" s="6" t="s">
        <v>1029</v>
      </c>
    </row>
    <row r="49" spans="1:16">
      <c r="A49" s="1" t="s">
        <v>225</v>
      </c>
      <c r="B49" s="1" t="s">
        <v>218</v>
      </c>
      <c r="C49" s="1" t="s">
        <v>16</v>
      </c>
      <c r="D49" s="1" t="s">
        <v>30</v>
      </c>
      <c r="E49" s="14" t="s">
        <v>226</v>
      </c>
      <c r="F49" s="1" t="s">
        <v>226</v>
      </c>
      <c r="G49" s="1">
        <v>17</v>
      </c>
      <c r="H49" s="3" t="s">
        <v>227</v>
      </c>
      <c r="I49" s="1" t="s">
        <v>228</v>
      </c>
      <c r="J49" s="1" t="s">
        <v>32</v>
      </c>
      <c r="K49" s="1" t="s">
        <v>22</v>
      </c>
      <c r="L49" s="1" t="s">
        <v>23</v>
      </c>
      <c r="M49" s="1"/>
      <c r="N49" s="3"/>
      <c r="O49" s="6" t="s">
        <v>22</v>
      </c>
      <c r="P49" s="6" t="s">
        <v>1029</v>
      </c>
    </row>
    <row r="50" spans="1:16">
      <c r="A50" s="1" t="s">
        <v>229</v>
      </c>
      <c r="B50" s="1" t="s">
        <v>218</v>
      </c>
      <c r="C50" s="1" t="s">
        <v>16</v>
      </c>
      <c r="D50" s="1" t="s">
        <v>30</v>
      </c>
      <c r="E50" s="14" t="s">
        <v>860</v>
      </c>
      <c r="F50" s="15" t="s">
        <v>821</v>
      </c>
      <c r="G50" s="15">
        <v>9</v>
      </c>
      <c r="H50" s="3" t="s">
        <v>230</v>
      </c>
      <c r="I50" s="1" t="s">
        <v>109</v>
      </c>
      <c r="J50" s="1" t="s">
        <v>36</v>
      </c>
      <c r="K50" s="1" t="s">
        <v>111</v>
      </c>
      <c r="L50" s="1" t="s">
        <v>23</v>
      </c>
      <c r="M50" s="1"/>
      <c r="N50" s="3"/>
      <c r="O50" s="6" t="s">
        <v>1061</v>
      </c>
      <c r="P50" s="6" t="s">
        <v>1028</v>
      </c>
    </row>
    <row r="51" spans="1:16">
      <c r="A51" s="1" t="s">
        <v>231</v>
      </c>
      <c r="B51" s="1" t="s">
        <v>218</v>
      </c>
      <c r="C51" s="1" t="s">
        <v>16</v>
      </c>
      <c r="D51" s="1" t="s">
        <v>34</v>
      </c>
      <c r="E51" s="14" t="s">
        <v>861</v>
      </c>
      <c r="F51" s="15" t="s">
        <v>822</v>
      </c>
      <c r="G51" s="15">
        <v>11</v>
      </c>
      <c r="H51" s="3" t="s">
        <v>232</v>
      </c>
      <c r="I51" s="1" t="s">
        <v>233</v>
      </c>
      <c r="J51" s="1" t="s">
        <v>37</v>
      </c>
      <c r="K51" s="1" t="s">
        <v>22</v>
      </c>
      <c r="L51" s="1" t="s">
        <v>23</v>
      </c>
      <c r="M51" s="1"/>
      <c r="N51" s="3"/>
      <c r="O51" s="6" t="s">
        <v>1062</v>
      </c>
      <c r="P51" s="6" t="s">
        <v>1032</v>
      </c>
    </row>
    <row r="52" spans="1:16">
      <c r="A52" s="1" t="s">
        <v>234</v>
      </c>
      <c r="B52" s="1" t="s">
        <v>218</v>
      </c>
      <c r="C52" s="1" t="s">
        <v>16</v>
      </c>
      <c r="D52" s="1" t="s">
        <v>34</v>
      </c>
      <c r="E52" s="14" t="s">
        <v>862</v>
      </c>
      <c r="F52" s="15" t="s">
        <v>800</v>
      </c>
      <c r="G52" s="15">
        <v>11</v>
      </c>
      <c r="H52" s="3" t="s">
        <v>235</v>
      </c>
      <c r="I52" s="1" t="s">
        <v>22</v>
      </c>
      <c r="J52" s="1" t="s">
        <v>236</v>
      </c>
      <c r="K52" s="1" t="s">
        <v>22</v>
      </c>
      <c r="L52" s="1" t="s">
        <v>23</v>
      </c>
      <c r="M52" s="1"/>
      <c r="N52" s="3"/>
      <c r="O52" s="6" t="s">
        <v>1063</v>
      </c>
      <c r="P52" s="6" t="s">
        <v>1028</v>
      </c>
    </row>
    <row r="53" spans="1:16">
      <c r="A53" s="1" t="s">
        <v>237</v>
      </c>
      <c r="B53" s="1" t="s">
        <v>218</v>
      </c>
      <c r="C53" s="1" t="s">
        <v>39</v>
      </c>
      <c r="D53" s="1" t="s">
        <v>17</v>
      </c>
      <c r="E53" s="14" t="s">
        <v>238</v>
      </c>
      <c r="F53" s="1" t="s">
        <v>238</v>
      </c>
      <c r="G53" s="1">
        <v>17</v>
      </c>
      <c r="H53" s="3" t="s">
        <v>239</v>
      </c>
      <c r="I53" s="1" t="s">
        <v>240</v>
      </c>
      <c r="J53" s="1" t="s">
        <v>45</v>
      </c>
      <c r="K53" s="1" t="s">
        <v>42</v>
      </c>
      <c r="L53" s="1" t="s">
        <v>23</v>
      </c>
      <c r="M53" s="1"/>
      <c r="N53" s="3"/>
      <c r="O53" s="6" t="s">
        <v>22</v>
      </c>
      <c r="P53" s="6" t="s">
        <v>1029</v>
      </c>
    </row>
    <row r="54" spans="1:16">
      <c r="A54" s="1" t="s">
        <v>241</v>
      </c>
      <c r="B54" s="1" t="s">
        <v>218</v>
      </c>
      <c r="C54" s="1" t="s">
        <v>39</v>
      </c>
      <c r="D54" s="1" t="s">
        <v>17</v>
      </c>
      <c r="E54" s="14" t="s">
        <v>242</v>
      </c>
      <c r="F54" s="1" t="s">
        <v>242</v>
      </c>
      <c r="G54" s="1">
        <v>15</v>
      </c>
      <c r="H54" s="3" t="s">
        <v>243</v>
      </c>
      <c r="I54" s="1" t="s">
        <v>244</v>
      </c>
      <c r="J54" s="1" t="s">
        <v>45</v>
      </c>
      <c r="K54" s="1" t="s">
        <v>42</v>
      </c>
      <c r="L54" s="1" t="s">
        <v>23</v>
      </c>
      <c r="M54" s="1"/>
      <c r="N54" s="3"/>
      <c r="O54" s="6" t="s">
        <v>22</v>
      </c>
      <c r="P54" s="6" t="s">
        <v>1029</v>
      </c>
    </row>
    <row r="55" spans="1:16">
      <c r="A55" s="1" t="s">
        <v>245</v>
      </c>
      <c r="B55" s="1" t="s">
        <v>218</v>
      </c>
      <c r="C55" s="1" t="s">
        <v>39</v>
      </c>
      <c r="D55" s="1" t="s">
        <v>30</v>
      </c>
      <c r="E55" s="14" t="s">
        <v>246</v>
      </c>
      <c r="F55" s="1" t="s">
        <v>246</v>
      </c>
      <c r="G55" s="1">
        <v>11</v>
      </c>
      <c r="H55" s="3" t="s">
        <v>247</v>
      </c>
      <c r="I55" s="1" t="s">
        <v>248</v>
      </c>
      <c r="J55" s="1" t="s">
        <v>249</v>
      </c>
      <c r="K55" s="1" t="s">
        <v>42</v>
      </c>
      <c r="L55" s="1" t="s">
        <v>23</v>
      </c>
      <c r="M55" s="1"/>
      <c r="N55" s="3"/>
      <c r="O55" s="6" t="s">
        <v>22</v>
      </c>
      <c r="P55" s="6" t="s">
        <v>1029</v>
      </c>
    </row>
    <row r="56" spans="1:16">
      <c r="A56" s="1" t="s">
        <v>250</v>
      </c>
      <c r="B56" s="1" t="s">
        <v>218</v>
      </c>
      <c r="C56" s="1" t="s">
        <v>39</v>
      </c>
      <c r="D56" s="1" t="s">
        <v>30</v>
      </c>
      <c r="E56" s="14" t="s">
        <v>863</v>
      </c>
      <c r="F56" s="15" t="s">
        <v>801</v>
      </c>
      <c r="G56" s="15">
        <v>9</v>
      </c>
      <c r="H56" s="3" t="s">
        <v>251</v>
      </c>
      <c r="I56" s="1" t="s">
        <v>22</v>
      </c>
      <c r="J56" s="1" t="s">
        <v>41</v>
      </c>
      <c r="K56" s="1" t="s">
        <v>42</v>
      </c>
      <c r="L56" s="1" t="s">
        <v>23</v>
      </c>
      <c r="M56" s="1"/>
      <c r="N56" s="3"/>
      <c r="O56" s="6" t="s">
        <v>1064</v>
      </c>
      <c r="P56" s="6" t="s">
        <v>1032</v>
      </c>
    </row>
    <row r="57" spans="1:16">
      <c r="A57" s="1" t="s">
        <v>252</v>
      </c>
      <c r="B57" s="1" t="s">
        <v>218</v>
      </c>
      <c r="C57" s="1" t="s">
        <v>39</v>
      </c>
      <c r="D57" s="1" t="s">
        <v>34</v>
      </c>
      <c r="E57" s="14" t="s">
        <v>864</v>
      </c>
      <c r="F57" s="15" t="s">
        <v>802</v>
      </c>
      <c r="G57" s="15">
        <v>9</v>
      </c>
      <c r="H57" s="3" t="s">
        <v>253</v>
      </c>
      <c r="I57" s="1" t="s">
        <v>22</v>
      </c>
      <c r="J57" s="1" t="s">
        <v>254</v>
      </c>
      <c r="K57" s="1" t="s">
        <v>42</v>
      </c>
      <c r="L57" s="1" t="s">
        <v>23</v>
      </c>
      <c r="M57" s="1"/>
      <c r="N57" s="3"/>
      <c r="O57" s="6" t="s">
        <v>1065</v>
      </c>
      <c r="P57" s="6" t="s">
        <v>1028</v>
      </c>
    </row>
    <row r="58" spans="1:16">
      <c r="A58" s="1" t="s">
        <v>255</v>
      </c>
      <c r="B58" s="1" t="s">
        <v>218</v>
      </c>
      <c r="C58" s="1" t="s">
        <v>39</v>
      </c>
      <c r="D58" s="1" t="s">
        <v>34</v>
      </c>
      <c r="E58" s="14" t="s">
        <v>865</v>
      </c>
      <c r="F58" s="15" t="s">
        <v>823</v>
      </c>
      <c r="G58" s="15">
        <v>11</v>
      </c>
      <c r="H58" s="3" t="s">
        <v>256</v>
      </c>
      <c r="I58" s="1" t="s">
        <v>109</v>
      </c>
      <c r="J58" s="1" t="s">
        <v>257</v>
      </c>
      <c r="K58" s="1" t="s">
        <v>42</v>
      </c>
      <c r="L58" s="1" t="s">
        <v>23</v>
      </c>
      <c r="M58" s="1"/>
      <c r="N58" s="3"/>
      <c r="O58" s="6" t="s">
        <v>1066</v>
      </c>
      <c r="P58" s="6" t="s">
        <v>1028</v>
      </c>
    </row>
    <row r="59" spans="1:16">
      <c r="A59" s="1" t="s">
        <v>258</v>
      </c>
      <c r="B59" s="1" t="s">
        <v>218</v>
      </c>
      <c r="C59" s="1" t="s">
        <v>57</v>
      </c>
      <c r="D59" s="1" t="s">
        <v>17</v>
      </c>
      <c r="E59" s="14" t="s">
        <v>259</v>
      </c>
      <c r="F59" s="1" t="s">
        <v>259</v>
      </c>
      <c r="G59" s="1">
        <v>15</v>
      </c>
      <c r="H59" s="3" t="s">
        <v>260</v>
      </c>
      <c r="I59" s="1" t="s">
        <v>240</v>
      </c>
      <c r="J59" s="1" t="s">
        <v>59</v>
      </c>
      <c r="K59" s="1" t="s">
        <v>22</v>
      </c>
      <c r="L59" s="1" t="s">
        <v>23</v>
      </c>
      <c r="M59" s="1"/>
      <c r="N59" s="3"/>
      <c r="O59" s="6" t="s">
        <v>22</v>
      </c>
      <c r="P59" s="6" t="s">
        <v>1029</v>
      </c>
    </row>
    <row r="60" spans="1:16">
      <c r="A60" s="1" t="s">
        <v>261</v>
      </c>
      <c r="B60" s="1" t="s">
        <v>218</v>
      </c>
      <c r="C60" s="1" t="s">
        <v>57</v>
      </c>
      <c r="D60" s="1" t="s">
        <v>17</v>
      </c>
      <c r="E60" s="14" t="s">
        <v>262</v>
      </c>
      <c r="F60" s="1" t="s">
        <v>262</v>
      </c>
      <c r="G60" s="1">
        <v>15</v>
      </c>
      <c r="H60" s="3" t="s">
        <v>263</v>
      </c>
      <c r="I60" s="1" t="s">
        <v>264</v>
      </c>
      <c r="J60" s="1" t="s">
        <v>59</v>
      </c>
      <c r="K60" s="1" t="s">
        <v>22</v>
      </c>
      <c r="L60" s="1" t="s">
        <v>23</v>
      </c>
      <c r="M60" s="1"/>
      <c r="N60" s="3"/>
      <c r="O60" s="6" t="s">
        <v>22</v>
      </c>
      <c r="P60" s="6" t="s">
        <v>1029</v>
      </c>
    </row>
    <row r="61" spans="1:16">
      <c r="A61" s="1" t="s">
        <v>265</v>
      </c>
      <c r="B61" s="1" t="s">
        <v>218</v>
      </c>
      <c r="C61" s="1" t="s">
        <v>57</v>
      </c>
      <c r="D61" s="1" t="s">
        <v>30</v>
      </c>
      <c r="E61" s="14" t="s">
        <v>266</v>
      </c>
      <c r="F61" s="1" t="s">
        <v>266</v>
      </c>
      <c r="G61" s="1">
        <v>14</v>
      </c>
      <c r="H61" s="3" t="s">
        <v>267</v>
      </c>
      <c r="I61" s="1" t="s">
        <v>228</v>
      </c>
      <c r="J61" s="1" t="s">
        <v>59</v>
      </c>
      <c r="K61" s="1" t="s">
        <v>111</v>
      </c>
      <c r="L61" s="1" t="s">
        <v>23</v>
      </c>
      <c r="M61" s="1"/>
      <c r="N61" s="3"/>
      <c r="O61" s="6" t="s">
        <v>22</v>
      </c>
      <c r="P61" s="6" t="s">
        <v>1029</v>
      </c>
    </row>
    <row r="62" spans="1:16">
      <c r="A62" s="1" t="s">
        <v>268</v>
      </c>
      <c r="B62" s="1" t="s">
        <v>218</v>
      </c>
      <c r="C62" s="1" t="s">
        <v>57</v>
      </c>
      <c r="D62" s="1" t="s">
        <v>30</v>
      </c>
      <c r="E62" s="14" t="s">
        <v>269</v>
      </c>
      <c r="F62" s="1" t="s">
        <v>269</v>
      </c>
      <c r="G62" s="1">
        <v>15</v>
      </c>
      <c r="H62" s="3" t="s">
        <v>270</v>
      </c>
      <c r="I62" s="1" t="s">
        <v>22</v>
      </c>
      <c r="J62" s="1" t="s">
        <v>59</v>
      </c>
      <c r="K62" s="1" t="s">
        <v>22</v>
      </c>
      <c r="L62" s="1" t="s">
        <v>23</v>
      </c>
      <c r="M62" s="1"/>
      <c r="N62" s="3"/>
      <c r="O62" s="6" t="s">
        <v>22</v>
      </c>
      <c r="P62" s="6" t="s">
        <v>1029</v>
      </c>
    </row>
    <row r="63" spans="1:16">
      <c r="A63" s="1" t="s">
        <v>271</v>
      </c>
      <c r="B63" s="1" t="s">
        <v>218</v>
      </c>
      <c r="C63" s="1" t="s">
        <v>57</v>
      </c>
      <c r="D63" s="1" t="s">
        <v>34</v>
      </c>
      <c r="E63" s="14" t="s">
        <v>272</v>
      </c>
      <c r="F63" s="1" t="s">
        <v>272</v>
      </c>
      <c r="G63" s="1">
        <v>10</v>
      </c>
      <c r="H63" s="3" t="s">
        <v>273</v>
      </c>
      <c r="I63" s="1" t="s">
        <v>22</v>
      </c>
      <c r="J63" s="1" t="s">
        <v>59</v>
      </c>
      <c r="K63" s="1" t="s">
        <v>111</v>
      </c>
      <c r="L63" s="1" t="s">
        <v>23</v>
      </c>
      <c r="M63" s="1"/>
      <c r="N63" s="3"/>
      <c r="O63" s="6" t="s">
        <v>1067</v>
      </c>
      <c r="P63" s="6" t="s">
        <v>1032</v>
      </c>
    </row>
    <row r="64" spans="1:16">
      <c r="A64" s="1" t="s">
        <v>274</v>
      </c>
      <c r="B64" s="1" t="s">
        <v>218</v>
      </c>
      <c r="C64" s="1" t="s">
        <v>57</v>
      </c>
      <c r="D64" s="1" t="s">
        <v>34</v>
      </c>
      <c r="E64" s="14" t="s">
        <v>275</v>
      </c>
      <c r="F64" s="1" t="s">
        <v>275</v>
      </c>
      <c r="G64" s="1">
        <v>17</v>
      </c>
      <c r="H64" s="3" t="s">
        <v>276</v>
      </c>
      <c r="I64" s="1" t="s">
        <v>22</v>
      </c>
      <c r="J64" s="1" t="s">
        <v>41</v>
      </c>
      <c r="K64" s="1" t="s">
        <v>42</v>
      </c>
      <c r="L64" s="1" t="s">
        <v>23</v>
      </c>
      <c r="M64" s="1"/>
      <c r="N64" s="3"/>
      <c r="O64" s="6" t="s">
        <v>22</v>
      </c>
      <c r="P64" s="6" t="s">
        <v>1029</v>
      </c>
    </row>
    <row r="65" spans="1:16">
      <c r="A65" s="1" t="s">
        <v>277</v>
      </c>
      <c r="B65" s="1" t="s">
        <v>218</v>
      </c>
      <c r="C65" s="1" t="s">
        <v>75</v>
      </c>
      <c r="D65" s="1" t="s">
        <v>17</v>
      </c>
      <c r="E65" s="14" t="s">
        <v>866</v>
      </c>
      <c r="F65" s="15" t="s">
        <v>824</v>
      </c>
      <c r="G65" s="15">
        <v>8</v>
      </c>
      <c r="H65" s="3" t="s">
        <v>278</v>
      </c>
      <c r="I65" s="1" t="s">
        <v>22</v>
      </c>
      <c r="J65" s="1" t="s">
        <v>78</v>
      </c>
      <c r="K65" s="1" t="s">
        <v>22</v>
      </c>
      <c r="L65" s="1" t="s">
        <v>23</v>
      </c>
      <c r="M65" s="1"/>
      <c r="N65" s="3"/>
      <c r="O65" s="6" t="s">
        <v>1068</v>
      </c>
      <c r="P65" s="6" t="s">
        <v>1032</v>
      </c>
    </row>
    <row r="66" spans="1:16">
      <c r="A66" s="1" t="s">
        <v>279</v>
      </c>
      <c r="B66" s="1" t="s">
        <v>218</v>
      </c>
      <c r="C66" s="1" t="s">
        <v>75</v>
      </c>
      <c r="D66" s="1" t="s">
        <v>17</v>
      </c>
      <c r="E66" s="14" t="s">
        <v>280</v>
      </c>
      <c r="F66" s="1" t="s">
        <v>280</v>
      </c>
      <c r="G66" s="1">
        <v>11</v>
      </c>
      <c r="H66" s="3" t="s">
        <v>281</v>
      </c>
      <c r="I66" s="1" t="s">
        <v>22</v>
      </c>
      <c r="J66" s="1" t="s">
        <v>282</v>
      </c>
      <c r="K66" s="1" t="s">
        <v>22</v>
      </c>
      <c r="L66" s="1" t="s">
        <v>23</v>
      </c>
      <c r="M66" s="1"/>
      <c r="N66" s="3"/>
      <c r="O66" s="6" t="s">
        <v>1069</v>
      </c>
      <c r="P66" s="6" t="s">
        <v>1032</v>
      </c>
    </row>
    <row r="67" spans="1:16">
      <c r="A67" s="1" t="s">
        <v>283</v>
      </c>
      <c r="B67" s="1" t="s">
        <v>218</v>
      </c>
      <c r="C67" s="1" t="s">
        <v>75</v>
      </c>
      <c r="D67" s="1" t="s">
        <v>30</v>
      </c>
      <c r="E67" s="14" t="s">
        <v>867</v>
      </c>
      <c r="F67" s="15" t="s">
        <v>803</v>
      </c>
      <c r="G67" s="15">
        <v>11</v>
      </c>
      <c r="H67" s="3" t="s">
        <v>284</v>
      </c>
      <c r="I67" s="1" t="s">
        <v>22</v>
      </c>
      <c r="J67" s="1" t="s">
        <v>285</v>
      </c>
      <c r="K67" s="1" t="s">
        <v>22</v>
      </c>
      <c r="L67" s="1" t="s">
        <v>23</v>
      </c>
      <c r="M67" s="1"/>
      <c r="N67" s="3"/>
      <c r="O67" s="6" t="s">
        <v>1070</v>
      </c>
      <c r="P67" s="6" t="s">
        <v>1032</v>
      </c>
    </row>
    <row r="68" spans="1:16">
      <c r="A68" s="1" t="s">
        <v>286</v>
      </c>
      <c r="B68" s="1" t="s">
        <v>218</v>
      </c>
      <c r="C68" s="1" t="s">
        <v>75</v>
      </c>
      <c r="D68" s="1" t="s">
        <v>30</v>
      </c>
      <c r="E68" s="14" t="s">
        <v>868</v>
      </c>
      <c r="F68" s="15" t="s">
        <v>825</v>
      </c>
      <c r="G68" s="15">
        <v>9</v>
      </c>
      <c r="H68" s="3" t="s">
        <v>287</v>
      </c>
      <c r="I68" s="1" t="s">
        <v>22</v>
      </c>
      <c r="J68" s="1" t="s">
        <v>78</v>
      </c>
      <c r="K68" s="1" t="s">
        <v>22</v>
      </c>
      <c r="L68" s="1" t="s">
        <v>23</v>
      </c>
      <c r="M68" s="1"/>
      <c r="N68" s="3"/>
      <c r="O68" s="6" t="s">
        <v>1071</v>
      </c>
      <c r="P68" s="6" t="s">
        <v>1032</v>
      </c>
    </row>
    <row r="69" spans="1:16">
      <c r="A69" s="1" t="s">
        <v>288</v>
      </c>
      <c r="B69" s="1" t="s">
        <v>218</v>
      </c>
      <c r="C69" s="1" t="s">
        <v>75</v>
      </c>
      <c r="D69" s="1" t="s">
        <v>34</v>
      </c>
      <c r="E69" s="14" t="s">
        <v>289</v>
      </c>
      <c r="F69" s="1" t="s">
        <v>289</v>
      </c>
      <c r="G69" s="1">
        <v>12</v>
      </c>
      <c r="H69" s="3" t="s">
        <v>290</v>
      </c>
      <c r="I69" s="1" t="s">
        <v>244</v>
      </c>
      <c r="J69" s="1" t="s">
        <v>78</v>
      </c>
      <c r="K69" s="1" t="s">
        <v>22</v>
      </c>
      <c r="L69" s="1" t="s">
        <v>23</v>
      </c>
      <c r="M69" s="1"/>
      <c r="N69" s="3"/>
      <c r="O69" s="6" t="s">
        <v>22</v>
      </c>
      <c r="P69" s="6" t="s">
        <v>1029</v>
      </c>
    </row>
    <row r="70" spans="1:16">
      <c r="A70" s="1" t="s">
        <v>291</v>
      </c>
      <c r="B70" s="1" t="s">
        <v>218</v>
      </c>
      <c r="C70" s="1" t="s">
        <v>75</v>
      </c>
      <c r="D70" s="1" t="s">
        <v>34</v>
      </c>
      <c r="E70" s="14" t="s">
        <v>292</v>
      </c>
      <c r="F70" s="1" t="s">
        <v>292</v>
      </c>
      <c r="G70" s="1">
        <v>12</v>
      </c>
      <c r="H70" s="3" t="s">
        <v>293</v>
      </c>
      <c r="I70" s="1" t="s">
        <v>22</v>
      </c>
      <c r="J70" s="1" t="s">
        <v>294</v>
      </c>
      <c r="K70" s="1" t="s">
        <v>22</v>
      </c>
      <c r="L70" s="1" t="s">
        <v>23</v>
      </c>
      <c r="M70" s="1"/>
      <c r="N70" s="3"/>
      <c r="O70" s="6" t="s">
        <v>1072</v>
      </c>
      <c r="P70" s="6" t="s">
        <v>1028</v>
      </c>
    </row>
    <row r="71" spans="1:16">
      <c r="A71" s="1" t="s">
        <v>295</v>
      </c>
      <c r="B71" s="1" t="s">
        <v>218</v>
      </c>
      <c r="C71" s="1" t="s">
        <v>106</v>
      </c>
      <c r="D71" s="1" t="s">
        <v>17</v>
      </c>
      <c r="E71" s="14" t="s">
        <v>296</v>
      </c>
      <c r="F71" s="1" t="s">
        <v>296</v>
      </c>
      <c r="G71" s="1">
        <v>11</v>
      </c>
      <c r="H71" s="3" t="s">
        <v>297</v>
      </c>
      <c r="I71" s="1" t="s">
        <v>109</v>
      </c>
      <c r="J71" s="1" t="s">
        <v>298</v>
      </c>
      <c r="K71" s="1" t="s">
        <v>111</v>
      </c>
      <c r="L71" s="1" t="s">
        <v>23</v>
      </c>
      <c r="M71" s="1"/>
      <c r="N71" s="3"/>
      <c r="O71" s="6" t="s">
        <v>22</v>
      </c>
      <c r="P71" s="6" t="s">
        <v>1029</v>
      </c>
    </row>
    <row r="72" spans="1:16" ht="48">
      <c r="A72" s="1" t="s">
        <v>299</v>
      </c>
      <c r="B72" s="1" t="s">
        <v>218</v>
      </c>
      <c r="C72" s="1" t="s">
        <v>106</v>
      </c>
      <c r="D72" s="1" t="s">
        <v>17</v>
      </c>
      <c r="E72" s="14" t="s">
        <v>300</v>
      </c>
      <c r="F72" s="1" t="s">
        <v>300</v>
      </c>
      <c r="G72" s="1">
        <v>16</v>
      </c>
      <c r="H72" s="3" t="s">
        <v>301</v>
      </c>
      <c r="I72" s="1" t="s">
        <v>109</v>
      </c>
      <c r="J72" s="1" t="s">
        <v>302</v>
      </c>
      <c r="K72" s="1" t="s">
        <v>111</v>
      </c>
      <c r="L72" s="1" t="s">
        <v>127</v>
      </c>
      <c r="M72" s="1" t="s">
        <v>201</v>
      </c>
      <c r="N72" s="3" t="s">
        <v>202</v>
      </c>
      <c r="O72" s="6" t="s">
        <v>22</v>
      </c>
      <c r="P72" s="6" t="s">
        <v>1029</v>
      </c>
    </row>
    <row r="73" spans="1:16">
      <c r="A73" s="1" t="s">
        <v>303</v>
      </c>
      <c r="B73" s="1" t="s">
        <v>218</v>
      </c>
      <c r="C73" s="1" t="s">
        <v>106</v>
      </c>
      <c r="D73" s="1" t="s">
        <v>30</v>
      </c>
      <c r="E73" s="14" t="s">
        <v>304</v>
      </c>
      <c r="F73" s="1" t="s">
        <v>304</v>
      </c>
      <c r="G73" s="1">
        <v>12</v>
      </c>
      <c r="H73" s="3" t="s">
        <v>305</v>
      </c>
      <c r="I73" s="1" t="s">
        <v>109</v>
      </c>
      <c r="J73" s="1" t="s">
        <v>236</v>
      </c>
      <c r="K73" s="1" t="s">
        <v>111</v>
      </c>
      <c r="L73" s="1" t="s">
        <v>23</v>
      </c>
      <c r="M73" s="1"/>
      <c r="N73" s="3"/>
      <c r="O73" s="6" t="s">
        <v>1073</v>
      </c>
      <c r="P73" s="6" t="s">
        <v>1028</v>
      </c>
    </row>
    <row r="74" spans="1:16">
      <c r="A74" s="1" t="s">
        <v>306</v>
      </c>
      <c r="B74" s="1" t="s">
        <v>218</v>
      </c>
      <c r="C74" s="1" t="s">
        <v>106</v>
      </c>
      <c r="D74" s="1" t="s">
        <v>30</v>
      </c>
      <c r="E74" s="14" t="s">
        <v>307</v>
      </c>
      <c r="F74" s="1" t="s">
        <v>307</v>
      </c>
      <c r="G74" s="1">
        <v>16</v>
      </c>
      <c r="H74" s="3" t="s">
        <v>308</v>
      </c>
      <c r="I74" s="1" t="s">
        <v>248</v>
      </c>
      <c r="J74" s="1" t="s">
        <v>309</v>
      </c>
      <c r="K74" s="1" t="s">
        <v>111</v>
      </c>
      <c r="L74" s="1" t="s">
        <v>23</v>
      </c>
      <c r="M74" s="1"/>
      <c r="N74" s="3"/>
      <c r="O74" s="6" t="s">
        <v>22</v>
      </c>
      <c r="P74" s="6" t="s">
        <v>1029</v>
      </c>
    </row>
    <row r="75" spans="1:16" ht="48">
      <c r="A75" s="1" t="s">
        <v>310</v>
      </c>
      <c r="B75" s="1" t="s">
        <v>218</v>
      </c>
      <c r="C75" s="1" t="s">
        <v>106</v>
      </c>
      <c r="D75" s="1" t="s">
        <v>34</v>
      </c>
      <c r="E75" s="14" t="s">
        <v>311</v>
      </c>
      <c r="F75" s="1" t="s">
        <v>311</v>
      </c>
      <c r="G75" s="1">
        <v>13</v>
      </c>
      <c r="H75" s="3" t="s">
        <v>312</v>
      </c>
      <c r="I75" s="1" t="s">
        <v>109</v>
      </c>
      <c r="J75" s="1" t="s">
        <v>313</v>
      </c>
      <c r="K75" s="1" t="s">
        <v>111</v>
      </c>
      <c r="L75" s="1" t="s">
        <v>127</v>
      </c>
      <c r="M75" s="1" t="s">
        <v>128</v>
      </c>
      <c r="N75" s="3" t="s">
        <v>129</v>
      </c>
      <c r="O75" s="6" t="s">
        <v>22</v>
      </c>
      <c r="P75" s="6" t="s">
        <v>1029</v>
      </c>
    </row>
    <row r="76" spans="1:16">
      <c r="A76" s="1" t="s">
        <v>314</v>
      </c>
      <c r="B76" s="1" t="s">
        <v>218</v>
      </c>
      <c r="C76" s="1" t="s">
        <v>131</v>
      </c>
      <c r="D76" s="1" t="s">
        <v>17</v>
      </c>
      <c r="E76" s="14" t="s">
        <v>315</v>
      </c>
      <c r="F76" s="1" t="s">
        <v>315</v>
      </c>
      <c r="G76" s="1">
        <v>13</v>
      </c>
      <c r="H76" s="3" t="s">
        <v>316</v>
      </c>
      <c r="I76" s="1" t="s">
        <v>22</v>
      </c>
      <c r="J76" s="1" t="s">
        <v>147</v>
      </c>
      <c r="K76" s="1" t="s">
        <v>111</v>
      </c>
      <c r="L76" s="1" t="s">
        <v>23</v>
      </c>
      <c r="M76" s="1"/>
      <c r="N76" s="3"/>
      <c r="O76" s="6" t="s">
        <v>22</v>
      </c>
      <c r="P76" s="6" t="s">
        <v>1029</v>
      </c>
    </row>
    <row r="77" spans="1:16">
      <c r="A77" s="1" t="s">
        <v>317</v>
      </c>
      <c r="B77" s="1" t="s">
        <v>218</v>
      </c>
      <c r="C77" s="1" t="s">
        <v>131</v>
      </c>
      <c r="D77" s="1" t="s">
        <v>17</v>
      </c>
      <c r="E77" s="14" t="s">
        <v>318</v>
      </c>
      <c r="F77" s="1" t="s">
        <v>318</v>
      </c>
      <c r="G77" s="1">
        <v>12</v>
      </c>
      <c r="H77" s="3" t="s">
        <v>319</v>
      </c>
      <c r="I77" s="1" t="s">
        <v>22</v>
      </c>
      <c r="J77" s="1" t="s">
        <v>147</v>
      </c>
      <c r="K77" s="1" t="s">
        <v>111</v>
      </c>
      <c r="L77" s="1" t="s">
        <v>23</v>
      </c>
      <c r="M77" s="1"/>
      <c r="N77" s="3"/>
      <c r="O77" s="6" t="s">
        <v>1074</v>
      </c>
      <c r="P77" s="6" t="s">
        <v>1032</v>
      </c>
    </row>
    <row r="78" spans="1:16">
      <c r="A78" s="1" t="s">
        <v>320</v>
      </c>
      <c r="B78" s="1" t="s">
        <v>218</v>
      </c>
      <c r="C78" s="1" t="s">
        <v>131</v>
      </c>
      <c r="D78" s="1" t="s">
        <v>30</v>
      </c>
      <c r="E78" s="14" t="s">
        <v>869</v>
      </c>
      <c r="F78" s="15" t="s">
        <v>804</v>
      </c>
      <c r="G78" s="15">
        <v>11</v>
      </c>
      <c r="H78" s="3" t="s">
        <v>321</v>
      </c>
      <c r="I78" s="1" t="s">
        <v>22</v>
      </c>
      <c r="J78" s="1" t="s">
        <v>322</v>
      </c>
      <c r="K78" s="1" t="s">
        <v>111</v>
      </c>
      <c r="L78" s="1" t="s">
        <v>23</v>
      </c>
      <c r="M78" s="1"/>
      <c r="N78" s="3"/>
      <c r="O78" s="6" t="s">
        <v>1075</v>
      </c>
      <c r="P78" s="6" t="s">
        <v>1032</v>
      </c>
    </row>
    <row r="79" spans="1:16">
      <c r="A79" s="1" t="s">
        <v>323</v>
      </c>
      <c r="B79" s="1" t="s">
        <v>218</v>
      </c>
      <c r="C79" s="1" t="s">
        <v>131</v>
      </c>
      <c r="D79" s="1" t="s">
        <v>30</v>
      </c>
      <c r="E79" s="14" t="s">
        <v>324</v>
      </c>
      <c r="F79" s="1" t="s">
        <v>324</v>
      </c>
      <c r="G79" s="1">
        <v>16</v>
      </c>
      <c r="H79" s="3" t="s">
        <v>325</v>
      </c>
      <c r="I79" s="1" t="s">
        <v>244</v>
      </c>
      <c r="J79" s="1" t="s">
        <v>134</v>
      </c>
      <c r="K79" s="1" t="s">
        <v>111</v>
      </c>
      <c r="L79" s="1" t="s">
        <v>23</v>
      </c>
      <c r="M79" s="1"/>
      <c r="N79" s="3"/>
      <c r="O79" s="6" t="s">
        <v>22</v>
      </c>
      <c r="P79" s="6" t="s">
        <v>1029</v>
      </c>
    </row>
    <row r="80" spans="1:16">
      <c r="A80" s="1" t="s">
        <v>326</v>
      </c>
      <c r="B80" s="1" t="s">
        <v>218</v>
      </c>
      <c r="C80" s="1" t="s">
        <v>131</v>
      </c>
      <c r="D80" s="1" t="s">
        <v>34</v>
      </c>
      <c r="E80" s="14" t="s">
        <v>327</v>
      </c>
      <c r="F80" s="1" t="s">
        <v>327</v>
      </c>
      <c r="G80" s="1">
        <v>15</v>
      </c>
      <c r="H80" s="3" t="s">
        <v>328</v>
      </c>
      <c r="I80" s="1" t="s">
        <v>329</v>
      </c>
      <c r="J80" s="1" t="s">
        <v>32</v>
      </c>
      <c r="K80" s="1" t="s">
        <v>73</v>
      </c>
      <c r="L80" s="1" t="s">
        <v>23</v>
      </c>
      <c r="M80" s="1"/>
      <c r="N80" s="3"/>
      <c r="O80" s="6" t="s">
        <v>22</v>
      </c>
      <c r="P80" s="6" t="s">
        <v>1029</v>
      </c>
    </row>
    <row r="81" spans="1:16">
      <c r="A81" s="1" t="s">
        <v>330</v>
      </c>
      <c r="B81" s="1" t="s">
        <v>218</v>
      </c>
      <c r="C81" s="1" t="s">
        <v>131</v>
      </c>
      <c r="D81" s="1" t="s">
        <v>34</v>
      </c>
      <c r="E81" s="14" t="s">
        <v>331</v>
      </c>
      <c r="F81" s="1" t="s">
        <v>331</v>
      </c>
      <c r="G81" s="1">
        <v>8</v>
      </c>
      <c r="H81" s="3" t="s">
        <v>332</v>
      </c>
      <c r="I81" s="1" t="s">
        <v>22</v>
      </c>
      <c r="J81" s="1" t="s">
        <v>333</v>
      </c>
      <c r="K81" s="1" t="s">
        <v>151</v>
      </c>
      <c r="L81" s="1" t="s">
        <v>23</v>
      </c>
      <c r="M81" s="1"/>
      <c r="N81" s="3"/>
      <c r="O81" s="6" t="s">
        <v>1076</v>
      </c>
      <c r="P81" s="6" t="s">
        <v>1028</v>
      </c>
    </row>
    <row r="82" spans="1:16">
      <c r="A82" s="1" t="s">
        <v>334</v>
      </c>
      <c r="B82" s="1" t="s">
        <v>218</v>
      </c>
      <c r="C82" s="1" t="s">
        <v>153</v>
      </c>
      <c r="D82" s="1" t="s">
        <v>17</v>
      </c>
      <c r="E82" s="14" t="s">
        <v>870</v>
      </c>
      <c r="F82" s="15" t="s">
        <v>826</v>
      </c>
      <c r="G82" s="15">
        <v>9</v>
      </c>
      <c r="H82" s="3" t="s">
        <v>335</v>
      </c>
      <c r="I82" s="1" t="s">
        <v>22</v>
      </c>
      <c r="J82" s="1" t="s">
        <v>336</v>
      </c>
      <c r="K82" s="1" t="s">
        <v>157</v>
      </c>
      <c r="L82" s="1" t="s">
        <v>23</v>
      </c>
      <c r="M82" s="1"/>
      <c r="N82" s="3"/>
      <c r="O82" s="6" t="s">
        <v>1077</v>
      </c>
      <c r="P82" s="6" t="s">
        <v>1032</v>
      </c>
    </row>
    <row r="83" spans="1:16">
      <c r="A83" s="1" t="s">
        <v>337</v>
      </c>
      <c r="B83" s="1" t="s">
        <v>218</v>
      </c>
      <c r="C83" s="1" t="s">
        <v>153</v>
      </c>
      <c r="D83" s="1" t="s">
        <v>17</v>
      </c>
      <c r="E83" s="14" t="s">
        <v>338</v>
      </c>
      <c r="F83" s="1" t="s">
        <v>338</v>
      </c>
      <c r="G83" s="1">
        <v>18</v>
      </c>
      <c r="H83" s="3" t="s">
        <v>339</v>
      </c>
      <c r="I83" s="1" t="s">
        <v>240</v>
      </c>
      <c r="J83" s="1" t="s">
        <v>45</v>
      </c>
      <c r="K83" s="1" t="s">
        <v>157</v>
      </c>
      <c r="L83" s="1" t="s">
        <v>23</v>
      </c>
      <c r="M83" s="1"/>
      <c r="N83" s="3"/>
      <c r="O83" s="6" t="s">
        <v>22</v>
      </c>
      <c r="P83" s="6" t="s">
        <v>1029</v>
      </c>
    </row>
    <row r="84" spans="1:16">
      <c r="A84" s="1" t="s">
        <v>340</v>
      </c>
      <c r="B84" s="1" t="s">
        <v>218</v>
      </c>
      <c r="C84" s="1" t="s">
        <v>153</v>
      </c>
      <c r="D84" s="1" t="s">
        <v>30</v>
      </c>
      <c r="E84" s="14" t="s">
        <v>871</v>
      </c>
      <c r="F84" s="15" t="s">
        <v>827</v>
      </c>
      <c r="G84" s="15">
        <v>10</v>
      </c>
      <c r="H84" s="3" t="s">
        <v>341</v>
      </c>
      <c r="I84" s="1" t="s">
        <v>22</v>
      </c>
      <c r="J84" s="1" t="s">
        <v>342</v>
      </c>
      <c r="K84" s="1" t="s">
        <v>157</v>
      </c>
      <c r="L84" s="1" t="s">
        <v>23</v>
      </c>
      <c r="M84" s="1"/>
      <c r="N84" s="3"/>
      <c r="O84" s="6" t="s">
        <v>1078</v>
      </c>
      <c r="P84" s="6" t="s">
        <v>1032</v>
      </c>
    </row>
    <row r="85" spans="1:16">
      <c r="A85" s="1" t="s">
        <v>343</v>
      </c>
      <c r="B85" s="1" t="s">
        <v>218</v>
      </c>
      <c r="C85" s="1" t="s">
        <v>153</v>
      </c>
      <c r="D85" s="1" t="s">
        <v>30</v>
      </c>
      <c r="E85" s="14" t="s">
        <v>872</v>
      </c>
      <c r="F85" s="15" t="s">
        <v>805</v>
      </c>
      <c r="G85" s="15">
        <v>11</v>
      </c>
      <c r="H85" s="3" t="s">
        <v>344</v>
      </c>
      <c r="I85" s="1" t="s">
        <v>22</v>
      </c>
      <c r="J85" s="1" t="s">
        <v>345</v>
      </c>
      <c r="K85" s="1" t="s">
        <v>157</v>
      </c>
      <c r="L85" s="1" t="s">
        <v>23</v>
      </c>
      <c r="M85" s="1"/>
      <c r="N85" s="3"/>
      <c r="O85" s="6" t="s">
        <v>1079</v>
      </c>
      <c r="P85" s="6" t="s">
        <v>1032</v>
      </c>
    </row>
    <row r="86" spans="1:16">
      <c r="A86" s="1" t="s">
        <v>346</v>
      </c>
      <c r="B86" s="1" t="s">
        <v>218</v>
      </c>
      <c r="C86" s="1" t="s">
        <v>153</v>
      </c>
      <c r="D86" s="1" t="s">
        <v>34</v>
      </c>
      <c r="E86" s="14" t="s">
        <v>347</v>
      </c>
      <c r="F86" s="1" t="s">
        <v>347</v>
      </c>
      <c r="G86" s="1">
        <v>15</v>
      </c>
      <c r="H86" s="3" t="s">
        <v>348</v>
      </c>
      <c r="I86" s="1" t="s">
        <v>22</v>
      </c>
      <c r="J86" s="1" t="s">
        <v>349</v>
      </c>
      <c r="K86" s="1" t="s">
        <v>157</v>
      </c>
      <c r="L86" s="1" t="s">
        <v>23</v>
      </c>
      <c r="M86" s="1"/>
      <c r="N86" s="3"/>
      <c r="O86" s="6" t="s">
        <v>22</v>
      </c>
      <c r="P86" s="6" t="s">
        <v>1029</v>
      </c>
    </row>
    <row r="87" spans="1:16">
      <c r="A87" s="1" t="s">
        <v>350</v>
      </c>
      <c r="B87" s="1" t="s">
        <v>218</v>
      </c>
      <c r="C87" s="1" t="s">
        <v>153</v>
      </c>
      <c r="D87" s="1" t="s">
        <v>34</v>
      </c>
      <c r="E87" s="14" t="s">
        <v>873</v>
      </c>
      <c r="F87" s="15" t="s">
        <v>828</v>
      </c>
      <c r="G87" s="15">
        <v>11</v>
      </c>
      <c r="H87" s="3" t="s">
        <v>351</v>
      </c>
      <c r="I87" s="1" t="s">
        <v>109</v>
      </c>
      <c r="J87" s="1" t="s">
        <v>352</v>
      </c>
      <c r="K87" s="1" t="s">
        <v>165</v>
      </c>
      <c r="L87" s="1" t="s">
        <v>23</v>
      </c>
      <c r="M87" s="1"/>
      <c r="N87" s="3"/>
      <c r="O87" s="6" t="s">
        <v>1080</v>
      </c>
      <c r="P87" s="6" t="s">
        <v>1028</v>
      </c>
    </row>
    <row r="88" spans="1:16">
      <c r="A88" s="1" t="s">
        <v>353</v>
      </c>
      <c r="B88" s="1" t="s">
        <v>218</v>
      </c>
      <c r="C88" s="1" t="s">
        <v>173</v>
      </c>
      <c r="D88" s="1" t="s">
        <v>17</v>
      </c>
      <c r="E88" s="14" t="s">
        <v>354</v>
      </c>
      <c r="F88" s="1" t="s">
        <v>354</v>
      </c>
      <c r="G88" s="1">
        <v>9</v>
      </c>
      <c r="H88" s="3" t="s">
        <v>355</v>
      </c>
      <c r="I88" s="1" t="s">
        <v>244</v>
      </c>
      <c r="J88" s="1" t="s">
        <v>178</v>
      </c>
      <c r="K88" s="1" t="s">
        <v>22</v>
      </c>
      <c r="L88" s="1" t="s">
        <v>23</v>
      </c>
      <c r="M88" s="1"/>
      <c r="N88" s="3"/>
      <c r="O88" s="6" t="s">
        <v>22</v>
      </c>
      <c r="P88" s="6" t="s">
        <v>1029</v>
      </c>
    </row>
    <row r="89" spans="1:16">
      <c r="A89" s="1" t="s">
        <v>356</v>
      </c>
      <c r="B89" s="1" t="s">
        <v>218</v>
      </c>
      <c r="C89" s="1" t="s">
        <v>173</v>
      </c>
      <c r="D89" s="1" t="s">
        <v>17</v>
      </c>
      <c r="E89" s="14" t="s">
        <v>874</v>
      </c>
      <c r="F89" s="15" t="s">
        <v>806</v>
      </c>
      <c r="G89" s="15">
        <v>11</v>
      </c>
      <c r="H89" s="3" t="s">
        <v>357</v>
      </c>
      <c r="I89" s="1" t="s">
        <v>22</v>
      </c>
      <c r="J89" s="1" t="s">
        <v>358</v>
      </c>
      <c r="K89" s="1" t="s">
        <v>22</v>
      </c>
      <c r="L89" s="1" t="s">
        <v>23</v>
      </c>
      <c r="M89" s="1"/>
      <c r="N89" s="3"/>
      <c r="O89" s="6" t="s">
        <v>1081</v>
      </c>
      <c r="P89" s="6" t="s">
        <v>1032</v>
      </c>
    </row>
    <row r="90" spans="1:16">
      <c r="A90" s="1" t="s">
        <v>359</v>
      </c>
      <c r="B90" s="1" t="s">
        <v>218</v>
      </c>
      <c r="C90" s="1" t="s">
        <v>173</v>
      </c>
      <c r="D90" s="1" t="s">
        <v>30</v>
      </c>
      <c r="E90" s="14" t="s">
        <v>360</v>
      </c>
      <c r="F90" s="1" t="s">
        <v>360</v>
      </c>
      <c r="G90" s="1">
        <v>9</v>
      </c>
      <c r="H90" s="3" t="s">
        <v>361</v>
      </c>
      <c r="I90" s="1" t="s">
        <v>22</v>
      </c>
      <c r="J90" s="1" t="s">
        <v>188</v>
      </c>
      <c r="K90" s="1" t="s">
        <v>22</v>
      </c>
      <c r="L90" s="1" t="s">
        <v>23</v>
      </c>
      <c r="M90" s="1"/>
      <c r="N90" s="3"/>
      <c r="O90" s="6" t="s">
        <v>22</v>
      </c>
      <c r="P90" s="6" t="s">
        <v>1029</v>
      </c>
    </row>
    <row r="91" spans="1:16">
      <c r="A91" s="1" t="s">
        <v>362</v>
      </c>
      <c r="B91" s="1" t="s">
        <v>218</v>
      </c>
      <c r="C91" s="1" t="s">
        <v>173</v>
      </c>
      <c r="D91" s="1" t="s">
        <v>30</v>
      </c>
      <c r="E91" s="14" t="s">
        <v>363</v>
      </c>
      <c r="F91" s="1" t="s">
        <v>363</v>
      </c>
      <c r="G91" s="1">
        <v>15</v>
      </c>
      <c r="H91" s="3" t="s">
        <v>364</v>
      </c>
      <c r="I91" s="1" t="s">
        <v>22</v>
      </c>
      <c r="J91" s="1" t="s">
        <v>184</v>
      </c>
      <c r="K91" s="1" t="s">
        <v>22</v>
      </c>
      <c r="L91" s="1" t="s">
        <v>23</v>
      </c>
      <c r="M91" s="1"/>
      <c r="N91" s="3"/>
      <c r="O91" s="6" t="s">
        <v>22</v>
      </c>
      <c r="P91" s="6" t="s">
        <v>1029</v>
      </c>
    </row>
    <row r="92" spans="1:16">
      <c r="A92" s="1" t="s">
        <v>365</v>
      </c>
      <c r="B92" s="1" t="s">
        <v>218</v>
      </c>
      <c r="C92" s="1" t="s">
        <v>173</v>
      </c>
      <c r="D92" s="1" t="s">
        <v>34</v>
      </c>
      <c r="E92" s="14" t="s">
        <v>366</v>
      </c>
      <c r="F92" s="1" t="s">
        <v>366</v>
      </c>
      <c r="G92" s="1">
        <v>11</v>
      </c>
      <c r="H92" s="3" t="s">
        <v>367</v>
      </c>
      <c r="I92" s="1" t="s">
        <v>244</v>
      </c>
      <c r="J92" s="1" t="s">
        <v>368</v>
      </c>
      <c r="K92" s="1" t="s">
        <v>22</v>
      </c>
      <c r="L92" s="1" t="s">
        <v>23</v>
      </c>
      <c r="M92" s="1"/>
      <c r="N92" s="3"/>
      <c r="O92" s="6" t="s">
        <v>22</v>
      </c>
      <c r="P92" s="6" t="s">
        <v>1029</v>
      </c>
    </row>
    <row r="93" spans="1:16">
      <c r="A93" s="1" t="s">
        <v>369</v>
      </c>
      <c r="B93" s="1" t="s">
        <v>218</v>
      </c>
      <c r="C93" s="1" t="s">
        <v>173</v>
      </c>
      <c r="D93" s="1" t="s">
        <v>34</v>
      </c>
      <c r="E93" s="14" t="s">
        <v>370</v>
      </c>
      <c r="F93" s="1" t="s">
        <v>370</v>
      </c>
      <c r="G93" s="1">
        <v>16</v>
      </c>
      <c r="H93" s="3" t="s">
        <v>371</v>
      </c>
      <c r="I93" s="1" t="s">
        <v>109</v>
      </c>
      <c r="J93" s="1" t="s">
        <v>372</v>
      </c>
      <c r="K93" s="1" t="s">
        <v>22</v>
      </c>
      <c r="L93" s="1" t="s">
        <v>23</v>
      </c>
      <c r="M93" s="1"/>
      <c r="N93" s="3"/>
      <c r="O93" s="6" t="s">
        <v>22</v>
      </c>
      <c r="P93" s="6" t="s">
        <v>1029</v>
      </c>
    </row>
    <row r="94" spans="1:16">
      <c r="A94" s="1" t="s">
        <v>373</v>
      </c>
      <c r="B94" s="1" t="s">
        <v>374</v>
      </c>
      <c r="C94" s="1" t="s">
        <v>16</v>
      </c>
      <c r="D94" s="1" t="s">
        <v>17</v>
      </c>
      <c r="E94" s="14" t="s">
        <v>375</v>
      </c>
      <c r="F94" s="1" t="s">
        <v>375</v>
      </c>
      <c r="G94" s="1">
        <v>16</v>
      </c>
      <c r="H94" s="3" t="s">
        <v>376</v>
      </c>
      <c r="I94" s="1" t="s">
        <v>109</v>
      </c>
      <c r="J94" s="1" t="s">
        <v>134</v>
      </c>
      <c r="K94" s="1" t="s">
        <v>22</v>
      </c>
      <c r="L94" s="1" t="s">
        <v>23</v>
      </c>
      <c r="M94" s="1"/>
      <c r="N94" s="3"/>
      <c r="O94" s="6" t="s">
        <v>1082</v>
      </c>
      <c r="P94" s="6" t="s">
        <v>1028</v>
      </c>
    </row>
    <row r="95" spans="1:16">
      <c r="A95" s="1" t="s">
        <v>377</v>
      </c>
      <c r="B95" s="1" t="s">
        <v>374</v>
      </c>
      <c r="C95" s="1" t="s">
        <v>16</v>
      </c>
      <c r="D95" s="1" t="s">
        <v>17</v>
      </c>
      <c r="E95" s="14" t="s">
        <v>378</v>
      </c>
      <c r="F95" s="1" t="s">
        <v>378</v>
      </c>
      <c r="G95" s="1">
        <v>14</v>
      </c>
      <c r="H95" s="3" t="s">
        <v>379</v>
      </c>
      <c r="I95" s="1" t="s">
        <v>228</v>
      </c>
      <c r="J95" s="1" t="s">
        <v>380</v>
      </c>
      <c r="K95" s="1" t="s">
        <v>22</v>
      </c>
      <c r="L95" s="1" t="s">
        <v>23</v>
      </c>
      <c r="M95" s="1"/>
      <c r="N95" s="3"/>
      <c r="O95" s="6" t="s">
        <v>22</v>
      </c>
      <c r="P95" s="6" t="s">
        <v>1029</v>
      </c>
    </row>
    <row r="96" spans="1:16">
      <c r="A96" s="1" t="s">
        <v>381</v>
      </c>
      <c r="B96" s="1" t="s">
        <v>374</v>
      </c>
      <c r="C96" s="1" t="s">
        <v>16</v>
      </c>
      <c r="D96" s="1" t="s">
        <v>30</v>
      </c>
      <c r="E96" s="14" t="s">
        <v>382</v>
      </c>
      <c r="F96" s="1" t="s">
        <v>382</v>
      </c>
      <c r="G96" s="1">
        <v>11</v>
      </c>
      <c r="H96" s="3" t="s">
        <v>383</v>
      </c>
      <c r="I96" s="1" t="s">
        <v>384</v>
      </c>
      <c r="J96" s="1" t="s">
        <v>36</v>
      </c>
      <c r="K96" s="1" t="s">
        <v>22</v>
      </c>
      <c r="L96" s="1" t="s">
        <v>23</v>
      </c>
      <c r="M96" s="1"/>
      <c r="N96" s="3"/>
      <c r="O96" s="6" t="s">
        <v>22</v>
      </c>
      <c r="P96" s="6" t="s">
        <v>1029</v>
      </c>
    </row>
    <row r="97" spans="1:16">
      <c r="A97" s="1" t="s">
        <v>385</v>
      </c>
      <c r="B97" s="1" t="s">
        <v>374</v>
      </c>
      <c r="C97" s="1" t="s">
        <v>16</v>
      </c>
      <c r="D97" s="1" t="s">
        <v>30</v>
      </c>
      <c r="E97" s="14" t="s">
        <v>386</v>
      </c>
      <c r="F97" s="1" t="s">
        <v>386</v>
      </c>
      <c r="G97" s="1">
        <v>16</v>
      </c>
      <c r="H97" s="3" t="s">
        <v>387</v>
      </c>
      <c r="I97" s="1" t="s">
        <v>388</v>
      </c>
      <c r="J97" s="1" t="s">
        <v>37</v>
      </c>
      <c r="K97" s="1" t="s">
        <v>22</v>
      </c>
      <c r="L97" s="1" t="s">
        <v>23</v>
      </c>
      <c r="M97" s="1"/>
      <c r="N97" s="3"/>
      <c r="O97" s="6" t="s">
        <v>22</v>
      </c>
      <c r="P97" s="6" t="s">
        <v>1029</v>
      </c>
    </row>
    <row r="98" spans="1:16">
      <c r="A98" s="1" t="s">
        <v>389</v>
      </c>
      <c r="B98" s="1" t="s">
        <v>374</v>
      </c>
      <c r="C98" s="1" t="s">
        <v>16</v>
      </c>
      <c r="D98" s="1" t="s">
        <v>34</v>
      </c>
      <c r="E98" s="14" t="s">
        <v>390</v>
      </c>
      <c r="F98" s="1" t="s">
        <v>390</v>
      </c>
      <c r="G98" s="1">
        <v>14</v>
      </c>
      <c r="H98" s="3" t="s">
        <v>391</v>
      </c>
      <c r="I98" s="1" t="s">
        <v>392</v>
      </c>
      <c r="J98" s="1" t="s">
        <v>309</v>
      </c>
      <c r="K98" s="1" t="s">
        <v>111</v>
      </c>
      <c r="L98" s="1" t="s">
        <v>23</v>
      </c>
      <c r="M98" s="1"/>
      <c r="N98" s="3"/>
      <c r="O98" s="6" t="s">
        <v>22</v>
      </c>
      <c r="P98" s="6" t="s">
        <v>1029</v>
      </c>
    </row>
    <row r="99" spans="1:16">
      <c r="A99" s="1" t="s">
        <v>393</v>
      </c>
      <c r="B99" s="1" t="s">
        <v>374</v>
      </c>
      <c r="C99" s="1" t="s">
        <v>16</v>
      </c>
      <c r="D99" s="1" t="s">
        <v>34</v>
      </c>
      <c r="E99" s="14" t="s">
        <v>875</v>
      </c>
      <c r="F99" s="15" t="s">
        <v>894</v>
      </c>
      <c r="G99" s="15">
        <v>9</v>
      </c>
      <c r="H99" s="3" t="s">
        <v>394</v>
      </c>
      <c r="I99" s="1" t="s">
        <v>395</v>
      </c>
      <c r="J99" s="1" t="s">
        <v>236</v>
      </c>
      <c r="K99" s="1" t="s">
        <v>22</v>
      </c>
      <c r="L99" s="1" t="s">
        <v>23</v>
      </c>
      <c r="M99" s="1"/>
      <c r="N99" s="3"/>
      <c r="O99" s="6" t="s">
        <v>1083</v>
      </c>
      <c r="P99" s="6" t="s">
        <v>1028</v>
      </c>
    </row>
    <row r="100" spans="1:16">
      <c r="A100" s="1" t="s">
        <v>396</v>
      </c>
      <c r="B100" s="1" t="s">
        <v>374</v>
      </c>
      <c r="C100" s="1" t="s">
        <v>39</v>
      </c>
      <c r="D100" s="1" t="s">
        <v>17</v>
      </c>
      <c r="E100" s="14" t="s">
        <v>397</v>
      </c>
      <c r="F100" s="1" t="s">
        <v>397</v>
      </c>
      <c r="G100" s="1">
        <v>16</v>
      </c>
      <c r="H100" s="3" t="s">
        <v>398</v>
      </c>
      <c r="I100" s="1" t="s">
        <v>399</v>
      </c>
      <c r="J100" s="1" t="s">
        <v>45</v>
      </c>
      <c r="K100" s="1" t="s">
        <v>42</v>
      </c>
      <c r="L100" s="1" t="s">
        <v>23</v>
      </c>
      <c r="M100" s="1"/>
      <c r="N100" s="3"/>
      <c r="O100" s="6" t="s">
        <v>22</v>
      </c>
      <c r="P100" s="6" t="s">
        <v>1029</v>
      </c>
    </row>
    <row r="101" spans="1:16">
      <c r="A101" s="1" t="s">
        <v>400</v>
      </c>
      <c r="B101" s="1" t="s">
        <v>374</v>
      </c>
      <c r="C101" s="1" t="s">
        <v>39</v>
      </c>
      <c r="D101" s="1" t="s">
        <v>17</v>
      </c>
      <c r="E101" s="14" t="s">
        <v>401</v>
      </c>
      <c r="F101" s="1" t="s">
        <v>401</v>
      </c>
      <c r="G101" s="1">
        <v>15</v>
      </c>
      <c r="H101" s="3" t="s">
        <v>402</v>
      </c>
      <c r="I101" s="1" t="s">
        <v>384</v>
      </c>
      <c r="J101" s="1" t="s">
        <v>249</v>
      </c>
      <c r="K101" s="1" t="s">
        <v>42</v>
      </c>
      <c r="L101" s="1" t="s">
        <v>23</v>
      </c>
      <c r="M101" s="1"/>
      <c r="N101" s="3"/>
      <c r="O101" s="6" t="s">
        <v>22</v>
      </c>
      <c r="P101" s="6" t="s">
        <v>1029</v>
      </c>
    </row>
    <row r="102" spans="1:16">
      <c r="A102" s="1" t="s">
        <v>403</v>
      </c>
      <c r="B102" s="1" t="s">
        <v>374</v>
      </c>
      <c r="C102" s="1" t="s">
        <v>39</v>
      </c>
      <c r="D102" s="1" t="s">
        <v>30</v>
      </c>
      <c r="E102" s="14" t="s">
        <v>404</v>
      </c>
      <c r="F102" s="1" t="s">
        <v>404</v>
      </c>
      <c r="G102" s="1">
        <v>12</v>
      </c>
      <c r="H102" s="3" t="s">
        <v>405</v>
      </c>
      <c r="I102" s="1" t="s">
        <v>20</v>
      </c>
      <c r="J102" s="1" t="s">
        <v>51</v>
      </c>
      <c r="K102" s="1" t="s">
        <v>42</v>
      </c>
      <c r="L102" s="1" t="s">
        <v>23</v>
      </c>
      <c r="M102" s="1"/>
      <c r="N102" s="3"/>
      <c r="O102" s="6" t="s">
        <v>1084</v>
      </c>
      <c r="P102" s="6" t="s">
        <v>1032</v>
      </c>
    </row>
    <row r="103" spans="1:16">
      <c r="A103" s="1" t="s">
        <v>406</v>
      </c>
      <c r="B103" s="1" t="s">
        <v>374</v>
      </c>
      <c r="C103" s="1" t="s">
        <v>39</v>
      </c>
      <c r="D103" s="1" t="s">
        <v>30</v>
      </c>
      <c r="E103" s="14" t="s">
        <v>407</v>
      </c>
      <c r="F103" s="1" t="s">
        <v>407</v>
      </c>
      <c r="G103" s="1">
        <v>16</v>
      </c>
      <c r="H103" s="3" t="s">
        <v>408</v>
      </c>
      <c r="I103" s="1" t="s">
        <v>409</v>
      </c>
      <c r="J103" s="1" t="s">
        <v>45</v>
      </c>
      <c r="K103" s="1" t="s">
        <v>42</v>
      </c>
      <c r="L103" s="1" t="s">
        <v>23</v>
      </c>
      <c r="M103" s="1"/>
      <c r="N103" s="3"/>
      <c r="O103" s="6" t="s">
        <v>22</v>
      </c>
      <c r="P103" s="6" t="s">
        <v>1029</v>
      </c>
    </row>
    <row r="104" spans="1:16">
      <c r="A104" s="1" t="s">
        <v>410</v>
      </c>
      <c r="B104" s="1" t="s">
        <v>374</v>
      </c>
      <c r="C104" s="1" t="s">
        <v>39</v>
      </c>
      <c r="D104" s="1" t="s">
        <v>34</v>
      </c>
      <c r="E104" s="14" t="s">
        <v>876</v>
      </c>
      <c r="F104" s="15" t="s">
        <v>829</v>
      </c>
      <c r="G104" s="15">
        <v>12</v>
      </c>
      <c r="H104" s="3" t="s">
        <v>411</v>
      </c>
      <c r="I104" s="1" t="s">
        <v>412</v>
      </c>
      <c r="J104" s="1" t="s">
        <v>55</v>
      </c>
      <c r="K104" s="1" t="s">
        <v>42</v>
      </c>
      <c r="L104" s="1" t="s">
        <v>23</v>
      </c>
      <c r="M104" s="1"/>
      <c r="N104" s="3"/>
      <c r="O104" s="6" t="s">
        <v>1085</v>
      </c>
      <c r="P104" s="6" t="s">
        <v>1028</v>
      </c>
    </row>
    <row r="105" spans="1:16">
      <c r="A105" s="1" t="s">
        <v>413</v>
      </c>
      <c r="B105" s="1" t="s">
        <v>374</v>
      </c>
      <c r="C105" s="1" t="s">
        <v>39</v>
      </c>
      <c r="D105" s="1" t="s">
        <v>34</v>
      </c>
      <c r="E105" s="14" t="s">
        <v>414</v>
      </c>
      <c r="F105" s="1" t="s">
        <v>414</v>
      </c>
      <c r="G105" s="1">
        <v>15</v>
      </c>
      <c r="H105" s="3" t="s">
        <v>415</v>
      </c>
      <c r="I105" s="1" t="s">
        <v>22</v>
      </c>
      <c r="J105" s="1" t="s">
        <v>51</v>
      </c>
      <c r="K105" s="1" t="s">
        <v>42</v>
      </c>
      <c r="L105" s="1" t="s">
        <v>23</v>
      </c>
      <c r="M105" s="1"/>
      <c r="N105" s="3"/>
      <c r="O105" s="6" t="s">
        <v>22</v>
      </c>
      <c r="P105" s="6" t="s">
        <v>1029</v>
      </c>
    </row>
    <row r="106" spans="1:16" ht="48">
      <c r="A106" s="1" t="s">
        <v>416</v>
      </c>
      <c r="B106" s="1" t="s">
        <v>374</v>
      </c>
      <c r="C106" s="1" t="s">
        <v>57</v>
      </c>
      <c r="D106" s="1" t="s">
        <v>17</v>
      </c>
      <c r="E106" s="14" t="s">
        <v>417</v>
      </c>
      <c r="F106" s="1" t="s">
        <v>417</v>
      </c>
      <c r="G106" s="1">
        <v>13</v>
      </c>
      <c r="H106" s="3" t="s">
        <v>418</v>
      </c>
      <c r="I106" s="1" t="s">
        <v>228</v>
      </c>
      <c r="J106" s="1" t="s">
        <v>419</v>
      </c>
      <c r="K106" s="1" t="s">
        <v>22</v>
      </c>
      <c r="L106" s="1" t="s">
        <v>127</v>
      </c>
      <c r="M106" s="1" t="s">
        <v>201</v>
      </c>
      <c r="N106" s="3" t="s">
        <v>202</v>
      </c>
      <c r="O106" s="6" t="s">
        <v>22</v>
      </c>
      <c r="P106" s="6" t="s">
        <v>1029</v>
      </c>
    </row>
    <row r="107" spans="1:16">
      <c r="A107" s="1" t="s">
        <v>420</v>
      </c>
      <c r="B107" s="1" t="s">
        <v>374</v>
      </c>
      <c r="C107" s="1" t="s">
        <v>57</v>
      </c>
      <c r="D107" s="1" t="s">
        <v>17</v>
      </c>
      <c r="E107" s="14" t="s">
        <v>421</v>
      </c>
      <c r="F107" s="1" t="s">
        <v>421</v>
      </c>
      <c r="G107" s="1">
        <v>13</v>
      </c>
      <c r="H107" s="3" t="s">
        <v>422</v>
      </c>
      <c r="I107" s="1" t="s">
        <v>399</v>
      </c>
      <c r="J107" s="1" t="s">
        <v>134</v>
      </c>
      <c r="K107" s="1" t="s">
        <v>22</v>
      </c>
      <c r="L107" s="1" t="s">
        <v>23</v>
      </c>
      <c r="M107" s="1"/>
      <c r="N107" s="3"/>
      <c r="O107" s="6" t="s">
        <v>22</v>
      </c>
      <c r="P107" s="6" t="s">
        <v>1029</v>
      </c>
    </row>
    <row r="108" spans="1:16">
      <c r="A108" s="1" t="s">
        <v>423</v>
      </c>
      <c r="B108" s="1" t="s">
        <v>374</v>
      </c>
      <c r="C108" s="1" t="s">
        <v>57</v>
      </c>
      <c r="D108" s="1" t="s">
        <v>30</v>
      </c>
      <c r="E108" s="14" t="s">
        <v>424</v>
      </c>
      <c r="F108" s="1" t="s">
        <v>424</v>
      </c>
      <c r="G108" s="1">
        <v>13</v>
      </c>
      <c r="H108" s="3" t="s">
        <v>425</v>
      </c>
      <c r="I108" s="1" t="s">
        <v>264</v>
      </c>
      <c r="J108" s="1" t="s">
        <v>59</v>
      </c>
      <c r="K108" s="1" t="s">
        <v>22</v>
      </c>
      <c r="L108" s="1" t="s">
        <v>23</v>
      </c>
      <c r="M108" s="1"/>
      <c r="N108" s="3"/>
      <c r="O108" s="6" t="s">
        <v>22</v>
      </c>
      <c r="P108" s="6" t="s">
        <v>1029</v>
      </c>
    </row>
    <row r="109" spans="1:16">
      <c r="A109" s="1" t="s">
        <v>426</v>
      </c>
      <c r="B109" s="1" t="s">
        <v>374</v>
      </c>
      <c r="C109" s="1" t="s">
        <v>57</v>
      </c>
      <c r="D109" s="1" t="s">
        <v>30</v>
      </c>
      <c r="E109" s="14" t="s">
        <v>427</v>
      </c>
      <c r="F109" s="1" t="s">
        <v>427</v>
      </c>
      <c r="G109" s="1">
        <v>12</v>
      </c>
      <c r="H109" s="3" t="s">
        <v>428</v>
      </c>
      <c r="I109" s="1" t="s">
        <v>429</v>
      </c>
      <c r="J109" s="1" t="s">
        <v>59</v>
      </c>
      <c r="K109" s="1" t="s">
        <v>22</v>
      </c>
      <c r="L109" s="1" t="s">
        <v>23</v>
      </c>
      <c r="M109" s="1"/>
      <c r="N109" s="3"/>
      <c r="O109" s="6" t="s">
        <v>1086</v>
      </c>
      <c r="P109" s="6" t="s">
        <v>1028</v>
      </c>
    </row>
    <row r="110" spans="1:16">
      <c r="A110" s="1" t="s">
        <v>430</v>
      </c>
      <c r="B110" s="1" t="s">
        <v>374</v>
      </c>
      <c r="C110" s="1" t="s">
        <v>57</v>
      </c>
      <c r="D110" s="1" t="s">
        <v>34</v>
      </c>
      <c r="E110" s="14" t="s">
        <v>877</v>
      </c>
      <c r="F110" s="15" t="s">
        <v>830</v>
      </c>
      <c r="G110" s="15">
        <v>9</v>
      </c>
      <c r="H110" s="3" t="s">
        <v>431</v>
      </c>
      <c r="I110" s="1" t="s">
        <v>20</v>
      </c>
      <c r="J110" s="1" t="s">
        <v>59</v>
      </c>
      <c r="K110" s="1" t="s">
        <v>22</v>
      </c>
      <c r="L110" s="1" t="s">
        <v>23</v>
      </c>
      <c r="M110" s="1"/>
      <c r="N110" s="3"/>
      <c r="O110" s="6" t="s">
        <v>1087</v>
      </c>
      <c r="P110" s="6" t="s">
        <v>1032</v>
      </c>
    </row>
    <row r="111" spans="1:16">
      <c r="A111" s="1" t="s">
        <v>432</v>
      </c>
      <c r="B111" s="1" t="s">
        <v>374</v>
      </c>
      <c r="C111" s="1" t="s">
        <v>57</v>
      </c>
      <c r="D111" s="1" t="s">
        <v>34</v>
      </c>
      <c r="E111" s="14" t="s">
        <v>878</v>
      </c>
      <c r="F111" s="15" t="s">
        <v>831</v>
      </c>
      <c r="G111" s="15">
        <v>11</v>
      </c>
      <c r="H111" s="3" t="s">
        <v>433</v>
      </c>
      <c r="I111" s="1" t="s">
        <v>22</v>
      </c>
      <c r="J111" s="1" t="s">
        <v>434</v>
      </c>
      <c r="K111" s="1" t="s">
        <v>111</v>
      </c>
      <c r="L111" s="1" t="s">
        <v>23</v>
      </c>
      <c r="M111" s="1"/>
      <c r="N111" s="3"/>
      <c r="O111" s="6" t="s">
        <v>1088</v>
      </c>
      <c r="P111" s="6" t="s">
        <v>1028</v>
      </c>
    </row>
    <row r="112" spans="1:16">
      <c r="A112" s="1" t="s">
        <v>435</v>
      </c>
      <c r="B112" s="1" t="s">
        <v>374</v>
      </c>
      <c r="C112" s="1" t="s">
        <v>75</v>
      </c>
      <c r="D112" s="1" t="s">
        <v>17</v>
      </c>
      <c r="E112" s="14" t="s">
        <v>879</v>
      </c>
      <c r="F112" s="15" t="s">
        <v>832</v>
      </c>
      <c r="G112" s="15">
        <v>11</v>
      </c>
      <c r="H112" s="3" t="s">
        <v>436</v>
      </c>
      <c r="I112" s="1" t="s">
        <v>22</v>
      </c>
      <c r="J112" s="1" t="s">
        <v>81</v>
      </c>
      <c r="K112" s="1" t="s">
        <v>22</v>
      </c>
      <c r="L112" s="1" t="s">
        <v>23</v>
      </c>
      <c r="M112" s="1"/>
      <c r="N112" s="3"/>
      <c r="O112" s="6" t="s">
        <v>1089</v>
      </c>
      <c r="P112" s="6" t="s">
        <v>1032</v>
      </c>
    </row>
    <row r="113" spans="1:16">
      <c r="A113" s="1" t="s">
        <v>437</v>
      </c>
      <c r="B113" s="1" t="s">
        <v>374</v>
      </c>
      <c r="C113" s="1" t="s">
        <v>75</v>
      </c>
      <c r="D113" s="1" t="s">
        <v>17</v>
      </c>
      <c r="E113" s="14" t="s">
        <v>438</v>
      </c>
      <c r="F113" s="1" t="s">
        <v>438</v>
      </c>
      <c r="G113" s="1">
        <v>11</v>
      </c>
      <c r="H113" s="3" t="s">
        <v>439</v>
      </c>
      <c r="I113" s="1" t="s">
        <v>22</v>
      </c>
      <c r="J113" s="1" t="s">
        <v>440</v>
      </c>
      <c r="K113" s="1" t="s">
        <v>22</v>
      </c>
      <c r="L113" s="1" t="s">
        <v>23</v>
      </c>
      <c r="M113" s="1"/>
      <c r="N113" s="3"/>
      <c r="O113" s="6" t="s">
        <v>1090</v>
      </c>
      <c r="P113" s="6" t="s">
        <v>1032</v>
      </c>
    </row>
    <row r="114" spans="1:16">
      <c r="A114" s="1" t="s">
        <v>441</v>
      </c>
      <c r="B114" s="1" t="s">
        <v>374</v>
      </c>
      <c r="C114" s="1" t="s">
        <v>75</v>
      </c>
      <c r="D114" s="1" t="s">
        <v>30</v>
      </c>
      <c r="E114" s="14" t="s">
        <v>442</v>
      </c>
      <c r="F114" s="1" t="s">
        <v>442</v>
      </c>
      <c r="G114" s="1">
        <v>13</v>
      </c>
      <c r="H114" s="3" t="s">
        <v>443</v>
      </c>
      <c r="I114" s="1" t="s">
        <v>384</v>
      </c>
      <c r="J114" s="1" t="s">
        <v>78</v>
      </c>
      <c r="K114" s="1" t="s">
        <v>22</v>
      </c>
      <c r="L114" s="1" t="s">
        <v>23</v>
      </c>
      <c r="M114" s="1"/>
      <c r="N114" s="3"/>
      <c r="O114" s="6" t="s">
        <v>22</v>
      </c>
      <c r="P114" s="6" t="s">
        <v>1029</v>
      </c>
    </row>
    <row r="115" spans="1:16">
      <c r="A115" s="1" t="s">
        <v>444</v>
      </c>
      <c r="B115" s="1" t="s">
        <v>374</v>
      </c>
      <c r="C115" s="1" t="s">
        <v>75</v>
      </c>
      <c r="D115" s="1" t="s">
        <v>30</v>
      </c>
      <c r="E115" s="14" t="s">
        <v>445</v>
      </c>
      <c r="F115" s="1" t="s">
        <v>445</v>
      </c>
      <c r="G115" s="1">
        <v>15</v>
      </c>
      <c r="H115" s="3" t="s">
        <v>446</v>
      </c>
      <c r="I115" s="1" t="s">
        <v>399</v>
      </c>
      <c r="J115" s="1" t="s">
        <v>447</v>
      </c>
      <c r="K115" s="1" t="s">
        <v>22</v>
      </c>
      <c r="L115" s="1" t="s">
        <v>23</v>
      </c>
      <c r="M115" s="1"/>
      <c r="N115" s="3"/>
      <c r="O115" s="6" t="s">
        <v>22</v>
      </c>
      <c r="P115" s="6" t="s">
        <v>1029</v>
      </c>
    </row>
    <row r="116" spans="1:16">
      <c r="A116" s="1" t="s">
        <v>448</v>
      </c>
      <c r="B116" s="1" t="s">
        <v>374</v>
      </c>
      <c r="C116" s="1" t="s">
        <v>75</v>
      </c>
      <c r="D116" s="1" t="s">
        <v>34</v>
      </c>
      <c r="E116" s="14" t="s">
        <v>880</v>
      </c>
      <c r="F116" s="15" t="s">
        <v>833</v>
      </c>
      <c r="G116" s="15">
        <v>12</v>
      </c>
      <c r="H116" s="3" t="s">
        <v>449</v>
      </c>
      <c r="I116" s="1" t="s">
        <v>22</v>
      </c>
      <c r="J116" s="1" t="s">
        <v>450</v>
      </c>
      <c r="K116" s="1" t="s">
        <v>22</v>
      </c>
      <c r="L116" s="1" t="s">
        <v>23</v>
      </c>
      <c r="M116" s="1"/>
      <c r="N116" s="3"/>
      <c r="O116" s="6" t="s">
        <v>1091</v>
      </c>
      <c r="P116" s="6" t="s">
        <v>1028</v>
      </c>
    </row>
    <row r="117" spans="1:16">
      <c r="A117" s="1" t="s">
        <v>451</v>
      </c>
      <c r="B117" s="1" t="s">
        <v>374</v>
      </c>
      <c r="C117" s="1" t="s">
        <v>75</v>
      </c>
      <c r="D117" s="1" t="s">
        <v>34</v>
      </c>
      <c r="E117" s="14" t="s">
        <v>452</v>
      </c>
      <c r="F117" s="1" t="s">
        <v>452</v>
      </c>
      <c r="G117" s="1">
        <v>12</v>
      </c>
      <c r="H117" s="3" t="s">
        <v>453</v>
      </c>
      <c r="I117" s="1" t="s">
        <v>412</v>
      </c>
      <c r="J117" s="1" t="s">
        <v>93</v>
      </c>
      <c r="K117" s="1" t="s">
        <v>22</v>
      </c>
      <c r="L117" s="1" t="s">
        <v>23</v>
      </c>
      <c r="M117" s="1"/>
      <c r="N117" s="3"/>
      <c r="O117" s="6" t="s">
        <v>1092</v>
      </c>
      <c r="P117" s="6" t="s">
        <v>1028</v>
      </c>
    </row>
    <row r="118" spans="1:16">
      <c r="A118" s="1" t="s">
        <v>454</v>
      </c>
      <c r="B118" s="1" t="s">
        <v>374</v>
      </c>
      <c r="C118" s="1" t="s">
        <v>106</v>
      </c>
      <c r="D118" s="1" t="s">
        <v>17</v>
      </c>
      <c r="E118" s="14" t="s">
        <v>455</v>
      </c>
      <c r="F118" s="1" t="s">
        <v>455</v>
      </c>
      <c r="G118" s="1">
        <v>14</v>
      </c>
      <c r="H118" s="3" t="s">
        <v>456</v>
      </c>
      <c r="I118" s="1" t="s">
        <v>392</v>
      </c>
      <c r="J118" s="1" t="s">
        <v>309</v>
      </c>
      <c r="K118" s="1" t="s">
        <v>111</v>
      </c>
      <c r="L118" s="1" t="s">
        <v>23</v>
      </c>
      <c r="M118" s="1"/>
      <c r="N118" s="3"/>
      <c r="O118" s="6" t="s">
        <v>22</v>
      </c>
      <c r="P118" s="6" t="s">
        <v>1029</v>
      </c>
    </row>
    <row r="119" spans="1:16">
      <c r="A119" s="1" t="s">
        <v>457</v>
      </c>
      <c r="B119" s="1" t="s">
        <v>374</v>
      </c>
      <c r="C119" s="1" t="s">
        <v>106</v>
      </c>
      <c r="D119" s="1" t="s">
        <v>17</v>
      </c>
      <c r="E119" s="14" t="s">
        <v>881</v>
      </c>
      <c r="F119" s="15" t="s">
        <v>834</v>
      </c>
      <c r="G119" s="15">
        <v>10</v>
      </c>
      <c r="H119" s="3" t="s">
        <v>458</v>
      </c>
      <c r="I119" s="1" t="s">
        <v>109</v>
      </c>
      <c r="J119" s="1" t="s">
        <v>134</v>
      </c>
      <c r="K119" s="1" t="s">
        <v>111</v>
      </c>
      <c r="L119" s="1" t="s">
        <v>23</v>
      </c>
      <c r="M119" s="1"/>
      <c r="N119" s="3"/>
      <c r="O119" s="6" t="s">
        <v>1093</v>
      </c>
      <c r="P119" s="6" t="s">
        <v>1032</v>
      </c>
    </row>
    <row r="120" spans="1:16">
      <c r="A120" s="1" t="s">
        <v>459</v>
      </c>
      <c r="B120" s="1" t="s">
        <v>374</v>
      </c>
      <c r="C120" s="1" t="s">
        <v>106</v>
      </c>
      <c r="D120" s="1" t="s">
        <v>30</v>
      </c>
      <c r="E120" s="14" t="s">
        <v>882</v>
      </c>
      <c r="F120" s="15" t="s">
        <v>895</v>
      </c>
      <c r="G120" s="15">
        <v>10</v>
      </c>
      <c r="H120" s="3" t="s">
        <v>460</v>
      </c>
      <c r="I120" s="1" t="s">
        <v>461</v>
      </c>
      <c r="J120" s="1" t="s">
        <v>236</v>
      </c>
      <c r="K120" s="1" t="s">
        <v>111</v>
      </c>
      <c r="L120" s="1" t="s">
        <v>23</v>
      </c>
      <c r="M120" s="1"/>
      <c r="N120" s="3"/>
      <c r="O120" s="6" t="s">
        <v>1094</v>
      </c>
      <c r="P120" s="6" t="s">
        <v>1028</v>
      </c>
    </row>
    <row r="121" spans="1:16">
      <c r="A121" s="1" t="s">
        <v>462</v>
      </c>
      <c r="B121" s="1" t="s">
        <v>374</v>
      </c>
      <c r="C121" s="1" t="s">
        <v>106</v>
      </c>
      <c r="D121" s="1" t="s">
        <v>30</v>
      </c>
      <c r="E121" s="14" t="s">
        <v>463</v>
      </c>
      <c r="F121" s="1" t="s">
        <v>463</v>
      </c>
      <c r="G121" s="1">
        <v>9</v>
      </c>
      <c r="H121" s="3" t="s">
        <v>464</v>
      </c>
      <c r="I121" s="1" t="s">
        <v>248</v>
      </c>
      <c r="J121" s="1" t="s">
        <v>309</v>
      </c>
      <c r="K121" s="1" t="s">
        <v>111</v>
      </c>
      <c r="L121" s="1" t="s">
        <v>23</v>
      </c>
      <c r="M121" s="1"/>
      <c r="N121" s="3"/>
      <c r="O121" s="6" t="s">
        <v>22</v>
      </c>
      <c r="P121" s="6" t="s">
        <v>1029</v>
      </c>
    </row>
    <row r="122" spans="1:16">
      <c r="A122" s="1" t="s">
        <v>465</v>
      </c>
      <c r="B122" s="1" t="s">
        <v>374</v>
      </c>
      <c r="C122" s="1" t="s">
        <v>106</v>
      </c>
      <c r="D122" s="1" t="s">
        <v>34</v>
      </c>
      <c r="E122" s="14" t="s">
        <v>466</v>
      </c>
      <c r="F122" s="1" t="s">
        <v>466</v>
      </c>
      <c r="G122" s="1">
        <v>18</v>
      </c>
      <c r="H122" s="3" t="s">
        <v>467</v>
      </c>
      <c r="I122" s="1" t="s">
        <v>109</v>
      </c>
      <c r="J122" s="1" t="s">
        <v>236</v>
      </c>
      <c r="K122" s="1" t="s">
        <v>468</v>
      </c>
      <c r="L122" s="1" t="s">
        <v>23</v>
      </c>
      <c r="M122" s="1"/>
      <c r="N122" s="3"/>
      <c r="O122" s="6" t="s">
        <v>22</v>
      </c>
      <c r="P122" s="6" t="s">
        <v>1029</v>
      </c>
    </row>
    <row r="123" spans="1:16">
      <c r="A123" s="1" t="s">
        <v>469</v>
      </c>
      <c r="B123" s="1" t="s">
        <v>374</v>
      </c>
      <c r="C123" s="1" t="s">
        <v>131</v>
      </c>
      <c r="D123" s="1" t="s">
        <v>17</v>
      </c>
      <c r="E123" s="14" t="s">
        <v>470</v>
      </c>
      <c r="F123" s="1" t="s">
        <v>470</v>
      </c>
      <c r="G123" s="1">
        <v>11</v>
      </c>
      <c r="H123" s="3" t="s">
        <v>471</v>
      </c>
      <c r="I123" s="1" t="s">
        <v>228</v>
      </c>
      <c r="J123" s="1" t="s">
        <v>134</v>
      </c>
      <c r="K123" s="1" t="s">
        <v>111</v>
      </c>
      <c r="L123" s="1" t="s">
        <v>23</v>
      </c>
      <c r="M123" s="1"/>
      <c r="N123" s="3"/>
      <c r="O123" s="6" t="s">
        <v>22</v>
      </c>
      <c r="P123" s="6" t="s">
        <v>1029</v>
      </c>
    </row>
    <row r="124" spans="1:16">
      <c r="A124" s="1" t="s">
        <v>472</v>
      </c>
      <c r="B124" s="1" t="s">
        <v>374</v>
      </c>
      <c r="C124" s="1" t="s">
        <v>131</v>
      </c>
      <c r="D124" s="1" t="s">
        <v>17</v>
      </c>
      <c r="E124" s="14" t="s">
        <v>473</v>
      </c>
      <c r="F124" s="1" t="s">
        <v>473</v>
      </c>
      <c r="G124" s="1">
        <v>12</v>
      </c>
      <c r="H124" s="3" t="s">
        <v>474</v>
      </c>
      <c r="I124" s="1" t="s">
        <v>475</v>
      </c>
      <c r="J124" s="1" t="s">
        <v>32</v>
      </c>
      <c r="K124" s="1" t="s">
        <v>111</v>
      </c>
      <c r="L124" s="1" t="s">
        <v>23</v>
      </c>
      <c r="M124" s="1"/>
      <c r="N124" s="3"/>
      <c r="O124" s="6" t="s">
        <v>1095</v>
      </c>
      <c r="P124" s="6" t="s">
        <v>1028</v>
      </c>
    </row>
    <row r="125" spans="1:16">
      <c r="A125" s="1" t="s">
        <v>476</v>
      </c>
      <c r="B125" s="1" t="s">
        <v>374</v>
      </c>
      <c r="C125" s="1" t="s">
        <v>131</v>
      </c>
      <c r="D125" s="1" t="s">
        <v>30</v>
      </c>
      <c r="E125" s="14" t="s">
        <v>477</v>
      </c>
      <c r="F125" s="1" t="s">
        <v>477</v>
      </c>
      <c r="G125" s="1">
        <v>13</v>
      </c>
      <c r="H125" s="3" t="s">
        <v>478</v>
      </c>
      <c r="I125" s="1" t="s">
        <v>244</v>
      </c>
      <c r="J125" s="1" t="s">
        <v>134</v>
      </c>
      <c r="K125" s="1" t="s">
        <v>111</v>
      </c>
      <c r="L125" s="1" t="s">
        <v>23</v>
      </c>
      <c r="M125" s="1"/>
      <c r="N125" s="3"/>
      <c r="O125" s="6" t="s">
        <v>22</v>
      </c>
      <c r="P125" s="6" t="s">
        <v>1029</v>
      </c>
    </row>
    <row r="126" spans="1:16">
      <c r="A126" s="1" t="s">
        <v>479</v>
      </c>
      <c r="B126" s="1" t="s">
        <v>374</v>
      </c>
      <c r="C126" s="1" t="s">
        <v>131</v>
      </c>
      <c r="D126" s="1" t="s">
        <v>30</v>
      </c>
      <c r="E126" s="14" t="s">
        <v>480</v>
      </c>
      <c r="F126" s="1" t="s">
        <v>480</v>
      </c>
      <c r="G126" s="1">
        <v>11</v>
      </c>
      <c r="H126" s="3" t="s">
        <v>481</v>
      </c>
      <c r="I126" s="1" t="s">
        <v>248</v>
      </c>
      <c r="J126" s="1" t="s">
        <v>32</v>
      </c>
      <c r="K126" s="1" t="s">
        <v>111</v>
      </c>
      <c r="L126" s="1" t="s">
        <v>23</v>
      </c>
      <c r="M126" s="1"/>
      <c r="N126" s="3"/>
      <c r="O126" s="6" t="s">
        <v>22</v>
      </c>
      <c r="P126" s="6" t="s">
        <v>1029</v>
      </c>
    </row>
    <row r="127" spans="1:16">
      <c r="A127" s="1" t="s">
        <v>482</v>
      </c>
      <c r="B127" s="1" t="s">
        <v>374</v>
      </c>
      <c r="C127" s="1" t="s">
        <v>131</v>
      </c>
      <c r="D127" s="1" t="s">
        <v>34</v>
      </c>
      <c r="E127" s="14" t="s">
        <v>483</v>
      </c>
      <c r="F127" s="1" t="s">
        <v>483</v>
      </c>
      <c r="G127" s="1">
        <v>12</v>
      </c>
      <c r="H127" s="3" t="s">
        <v>328</v>
      </c>
      <c r="I127" s="1" t="s">
        <v>412</v>
      </c>
      <c r="J127" s="1" t="s">
        <v>32</v>
      </c>
      <c r="K127" s="1" t="s">
        <v>73</v>
      </c>
      <c r="L127" s="1" t="s">
        <v>23</v>
      </c>
      <c r="M127" s="1"/>
      <c r="N127" s="3"/>
      <c r="O127" s="6" t="s">
        <v>22</v>
      </c>
      <c r="P127" s="6" t="s">
        <v>1029</v>
      </c>
    </row>
    <row r="128" spans="1:16">
      <c r="A128" s="1" t="s">
        <v>484</v>
      </c>
      <c r="B128" s="1" t="s">
        <v>374</v>
      </c>
      <c r="C128" s="1" t="s">
        <v>153</v>
      </c>
      <c r="D128" s="1" t="s">
        <v>17</v>
      </c>
      <c r="E128" s="14" t="s">
        <v>485</v>
      </c>
      <c r="F128" s="1" t="s">
        <v>485</v>
      </c>
      <c r="G128" s="1">
        <v>11</v>
      </c>
      <c r="H128" s="3" t="s">
        <v>486</v>
      </c>
      <c r="I128" s="1" t="s">
        <v>109</v>
      </c>
      <c r="J128" s="1" t="s">
        <v>169</v>
      </c>
      <c r="K128" s="1" t="s">
        <v>157</v>
      </c>
      <c r="L128" s="1" t="s">
        <v>23</v>
      </c>
      <c r="M128" s="1"/>
      <c r="N128" s="3"/>
      <c r="O128" s="6" t="s">
        <v>1096</v>
      </c>
      <c r="P128" s="6" t="s">
        <v>1032</v>
      </c>
    </row>
    <row r="129" spans="1:16">
      <c r="A129" s="1" t="s">
        <v>487</v>
      </c>
      <c r="B129" s="1" t="s">
        <v>374</v>
      </c>
      <c r="C129" s="1" t="s">
        <v>153</v>
      </c>
      <c r="D129" s="1" t="s">
        <v>17</v>
      </c>
      <c r="E129" s="14" t="s">
        <v>488</v>
      </c>
      <c r="F129" s="1" t="s">
        <v>488</v>
      </c>
      <c r="G129" s="1">
        <v>15</v>
      </c>
      <c r="H129" s="3" t="s">
        <v>489</v>
      </c>
      <c r="I129" s="1" t="s">
        <v>240</v>
      </c>
      <c r="J129" s="1" t="s">
        <v>160</v>
      </c>
      <c r="K129" s="1" t="s">
        <v>157</v>
      </c>
      <c r="L129" s="1" t="s">
        <v>23</v>
      </c>
      <c r="M129" s="1"/>
      <c r="N129" s="3"/>
      <c r="O129" s="6" t="s">
        <v>22</v>
      </c>
      <c r="P129" s="6" t="s">
        <v>1029</v>
      </c>
    </row>
    <row r="130" spans="1:16">
      <c r="A130" s="1" t="s">
        <v>490</v>
      </c>
      <c r="B130" s="1" t="s">
        <v>374</v>
      </c>
      <c r="C130" s="1" t="s">
        <v>153</v>
      </c>
      <c r="D130" s="1" t="s">
        <v>30</v>
      </c>
      <c r="E130" s="14" t="s">
        <v>491</v>
      </c>
      <c r="F130" s="1" t="s">
        <v>491</v>
      </c>
      <c r="G130" s="1">
        <v>14</v>
      </c>
      <c r="H130" s="3" t="s">
        <v>492</v>
      </c>
      <c r="I130" s="1" t="s">
        <v>384</v>
      </c>
      <c r="J130" s="1" t="s">
        <v>336</v>
      </c>
      <c r="K130" s="1" t="s">
        <v>157</v>
      </c>
      <c r="L130" s="1" t="s">
        <v>23</v>
      </c>
      <c r="M130" s="1"/>
      <c r="N130" s="3"/>
      <c r="O130" s="6" t="s">
        <v>22</v>
      </c>
      <c r="P130" s="6" t="s">
        <v>1029</v>
      </c>
    </row>
    <row r="131" spans="1:16">
      <c r="A131" s="1" t="s">
        <v>493</v>
      </c>
      <c r="B131" s="1" t="s">
        <v>374</v>
      </c>
      <c r="C131" s="1" t="s">
        <v>153</v>
      </c>
      <c r="D131" s="1" t="s">
        <v>30</v>
      </c>
      <c r="E131" s="14" t="s">
        <v>494</v>
      </c>
      <c r="F131" s="1" t="s">
        <v>494</v>
      </c>
      <c r="G131" s="1">
        <v>14</v>
      </c>
      <c r="H131" s="3" t="s">
        <v>495</v>
      </c>
      <c r="I131" s="1" t="s">
        <v>240</v>
      </c>
      <c r="J131" s="1" t="s">
        <v>342</v>
      </c>
      <c r="K131" s="1" t="s">
        <v>157</v>
      </c>
      <c r="L131" s="1" t="s">
        <v>23</v>
      </c>
      <c r="M131" s="1"/>
      <c r="N131" s="3"/>
      <c r="O131" s="6" t="s">
        <v>22</v>
      </c>
      <c r="P131" s="6" t="s">
        <v>1029</v>
      </c>
    </row>
    <row r="132" spans="1:16">
      <c r="A132" s="1" t="s">
        <v>496</v>
      </c>
      <c r="B132" s="1" t="s">
        <v>374</v>
      </c>
      <c r="C132" s="1" t="s">
        <v>153</v>
      </c>
      <c r="D132" s="1" t="s">
        <v>34</v>
      </c>
      <c r="E132" s="14" t="s">
        <v>497</v>
      </c>
      <c r="F132" s="1" t="s">
        <v>497</v>
      </c>
      <c r="G132" s="1">
        <v>12</v>
      </c>
      <c r="H132" s="3" t="s">
        <v>498</v>
      </c>
      <c r="I132" s="1" t="s">
        <v>20</v>
      </c>
      <c r="J132" s="1" t="s">
        <v>499</v>
      </c>
      <c r="K132" s="1" t="s">
        <v>157</v>
      </c>
      <c r="L132" s="1" t="s">
        <v>23</v>
      </c>
      <c r="M132" s="1"/>
      <c r="N132" s="3"/>
      <c r="O132" s="6" t="s">
        <v>1097</v>
      </c>
      <c r="P132" s="6" t="s">
        <v>1032</v>
      </c>
    </row>
    <row r="133" spans="1:16" ht="48">
      <c r="A133" s="1" t="s">
        <v>500</v>
      </c>
      <c r="B133" s="1" t="s">
        <v>374</v>
      </c>
      <c r="C133" s="1" t="s">
        <v>173</v>
      </c>
      <c r="D133" s="1" t="s">
        <v>17</v>
      </c>
      <c r="E133" s="14" t="s">
        <v>501</v>
      </c>
      <c r="F133" s="1" t="s">
        <v>501</v>
      </c>
      <c r="G133" s="1">
        <v>14</v>
      </c>
      <c r="H133" s="3" t="s">
        <v>502</v>
      </c>
      <c r="I133" s="1" t="s">
        <v>399</v>
      </c>
      <c r="J133" s="1" t="s">
        <v>503</v>
      </c>
      <c r="K133" s="1" t="s">
        <v>22</v>
      </c>
      <c r="L133" s="1" t="s">
        <v>127</v>
      </c>
      <c r="M133" s="1" t="s">
        <v>504</v>
      </c>
      <c r="N133" s="3" t="s">
        <v>505</v>
      </c>
      <c r="O133" s="6" t="s">
        <v>22</v>
      </c>
      <c r="P133" s="6" t="s">
        <v>1029</v>
      </c>
    </row>
    <row r="134" spans="1:16">
      <c r="A134" s="1" t="s">
        <v>506</v>
      </c>
      <c r="B134" s="1" t="s">
        <v>374</v>
      </c>
      <c r="C134" s="1" t="s">
        <v>173</v>
      </c>
      <c r="D134" s="1" t="s">
        <v>17</v>
      </c>
      <c r="E134" s="14" t="s">
        <v>507</v>
      </c>
      <c r="F134" s="1" t="s">
        <v>507</v>
      </c>
      <c r="G134" s="1">
        <v>14</v>
      </c>
      <c r="H134" s="3" t="s">
        <v>508</v>
      </c>
      <c r="I134" s="1" t="s">
        <v>384</v>
      </c>
      <c r="J134" s="1" t="s">
        <v>358</v>
      </c>
      <c r="K134" s="1" t="s">
        <v>22</v>
      </c>
      <c r="L134" s="1" t="s">
        <v>23</v>
      </c>
      <c r="M134" s="1"/>
      <c r="N134" s="3"/>
      <c r="O134" s="6" t="s">
        <v>22</v>
      </c>
      <c r="P134" s="6" t="s">
        <v>1029</v>
      </c>
    </row>
    <row r="135" spans="1:16">
      <c r="A135" s="1" t="s">
        <v>509</v>
      </c>
      <c r="B135" s="1" t="s">
        <v>374</v>
      </c>
      <c r="C135" s="1" t="s">
        <v>173</v>
      </c>
      <c r="D135" s="1" t="s">
        <v>30</v>
      </c>
      <c r="E135" s="14" t="s">
        <v>883</v>
      </c>
      <c r="F135" s="15" t="s">
        <v>807</v>
      </c>
      <c r="G135" s="15">
        <v>8</v>
      </c>
      <c r="H135" s="3" t="s">
        <v>510</v>
      </c>
      <c r="I135" s="1" t="s">
        <v>22</v>
      </c>
      <c r="J135" s="1" t="s">
        <v>178</v>
      </c>
      <c r="K135" s="1" t="s">
        <v>22</v>
      </c>
      <c r="L135" s="1" t="s">
        <v>23</v>
      </c>
      <c r="M135" s="1"/>
      <c r="N135" s="3"/>
      <c r="O135" s="6" t="s">
        <v>1098</v>
      </c>
      <c r="P135" s="6" t="s">
        <v>1032</v>
      </c>
    </row>
    <row r="136" spans="1:16">
      <c r="A136" s="1" t="s">
        <v>511</v>
      </c>
      <c r="B136" s="1" t="s">
        <v>374</v>
      </c>
      <c r="C136" s="1" t="s">
        <v>173</v>
      </c>
      <c r="D136" s="1" t="s">
        <v>30</v>
      </c>
      <c r="E136" s="14" t="s">
        <v>884</v>
      </c>
      <c r="F136" s="15" t="s">
        <v>835</v>
      </c>
      <c r="G136" s="15">
        <v>12</v>
      </c>
      <c r="H136" s="3" t="s">
        <v>512</v>
      </c>
      <c r="I136" s="1" t="s">
        <v>412</v>
      </c>
      <c r="J136" s="1" t="s">
        <v>368</v>
      </c>
      <c r="K136" s="1" t="s">
        <v>22</v>
      </c>
      <c r="L136" s="1" t="s">
        <v>23</v>
      </c>
      <c r="M136" s="1"/>
      <c r="N136" s="3"/>
      <c r="O136" s="6" t="s">
        <v>1099</v>
      </c>
      <c r="P136" s="6" t="s">
        <v>1032</v>
      </c>
    </row>
    <row r="137" spans="1:16">
      <c r="A137" s="1" t="s">
        <v>513</v>
      </c>
      <c r="B137" s="1" t="s">
        <v>374</v>
      </c>
      <c r="C137" s="1" t="s">
        <v>173</v>
      </c>
      <c r="D137" s="1" t="s">
        <v>34</v>
      </c>
      <c r="E137" s="14" t="s">
        <v>514</v>
      </c>
      <c r="F137" s="1" t="s">
        <v>514</v>
      </c>
      <c r="G137" s="1">
        <v>15</v>
      </c>
      <c r="H137" s="3" t="s">
        <v>515</v>
      </c>
      <c r="I137" s="1" t="s">
        <v>248</v>
      </c>
      <c r="J137" s="1" t="s">
        <v>188</v>
      </c>
      <c r="K137" s="1" t="s">
        <v>22</v>
      </c>
      <c r="L137" s="1" t="s">
        <v>23</v>
      </c>
      <c r="M137" s="1"/>
      <c r="N137" s="3"/>
      <c r="O137" s="6" t="s">
        <v>22</v>
      </c>
      <c r="P137" s="6" t="s">
        <v>1029</v>
      </c>
    </row>
    <row r="138" spans="1:16">
      <c r="A138" s="1" t="s">
        <v>516</v>
      </c>
      <c r="B138" s="1" t="s">
        <v>374</v>
      </c>
      <c r="C138" s="1" t="s">
        <v>517</v>
      </c>
      <c r="D138" s="1" t="s">
        <v>17</v>
      </c>
      <c r="E138" s="14" t="s">
        <v>518</v>
      </c>
      <c r="F138" s="1" t="s">
        <v>518</v>
      </c>
      <c r="G138" s="1">
        <v>14</v>
      </c>
      <c r="H138" s="3" t="s">
        <v>519</v>
      </c>
      <c r="I138" s="1" t="s">
        <v>22</v>
      </c>
      <c r="J138" s="1" t="s">
        <v>520</v>
      </c>
      <c r="K138" s="1" t="s">
        <v>42</v>
      </c>
      <c r="L138" s="1" t="s">
        <v>23</v>
      </c>
      <c r="M138" s="1"/>
      <c r="N138" s="3"/>
      <c r="O138" s="6" t="s">
        <v>22</v>
      </c>
      <c r="P138" s="6" t="s">
        <v>1029</v>
      </c>
    </row>
    <row r="139" spans="1:16">
      <c r="A139" s="1" t="s">
        <v>521</v>
      </c>
      <c r="B139" s="1" t="s">
        <v>374</v>
      </c>
      <c r="C139" s="1" t="s">
        <v>517</v>
      </c>
      <c r="D139" s="1" t="s">
        <v>17</v>
      </c>
      <c r="E139" s="14" t="s">
        <v>522</v>
      </c>
      <c r="F139" s="1" t="s">
        <v>522</v>
      </c>
      <c r="G139" s="1">
        <v>9</v>
      </c>
      <c r="H139" s="3" t="s">
        <v>523</v>
      </c>
      <c r="I139" s="1" t="s">
        <v>524</v>
      </c>
      <c r="J139" s="1" t="s">
        <v>525</v>
      </c>
      <c r="K139" s="1" t="s">
        <v>42</v>
      </c>
      <c r="L139" s="1" t="s">
        <v>23</v>
      </c>
      <c r="M139" s="1"/>
      <c r="N139" s="3"/>
      <c r="O139" s="6" t="s">
        <v>22</v>
      </c>
      <c r="P139" s="6" t="s">
        <v>1029</v>
      </c>
    </row>
    <row r="140" spans="1:16">
      <c r="A140" s="1" t="s">
        <v>526</v>
      </c>
      <c r="B140" s="1" t="s">
        <v>374</v>
      </c>
      <c r="C140" s="1" t="s">
        <v>517</v>
      </c>
      <c r="D140" s="1" t="s">
        <v>30</v>
      </c>
      <c r="E140" s="14" t="s">
        <v>527</v>
      </c>
      <c r="F140" s="1" t="s">
        <v>527</v>
      </c>
      <c r="G140" s="1">
        <v>10</v>
      </c>
      <c r="H140" s="3" t="s">
        <v>528</v>
      </c>
      <c r="I140" s="1" t="s">
        <v>22</v>
      </c>
      <c r="J140" s="1" t="s">
        <v>529</v>
      </c>
      <c r="K140" s="1" t="s">
        <v>42</v>
      </c>
      <c r="L140" s="1" t="s">
        <v>23</v>
      </c>
      <c r="M140" s="1"/>
      <c r="N140" s="3"/>
      <c r="O140" s="6" t="s">
        <v>22</v>
      </c>
      <c r="P140" s="6" t="s">
        <v>1029</v>
      </c>
    </row>
    <row r="141" spans="1:16">
      <c r="A141" s="1" t="s">
        <v>530</v>
      </c>
      <c r="B141" s="1" t="s">
        <v>374</v>
      </c>
      <c r="C141" s="1" t="s">
        <v>517</v>
      </c>
      <c r="D141" s="1" t="s">
        <v>30</v>
      </c>
      <c r="E141" s="14" t="s">
        <v>531</v>
      </c>
      <c r="F141" s="1" t="s">
        <v>531</v>
      </c>
      <c r="G141" s="1">
        <v>14</v>
      </c>
      <c r="H141" s="3" t="s">
        <v>532</v>
      </c>
      <c r="I141" s="1" t="s">
        <v>399</v>
      </c>
      <c r="J141" s="1" t="s">
        <v>520</v>
      </c>
      <c r="K141" s="1" t="s">
        <v>42</v>
      </c>
      <c r="L141" s="1" t="s">
        <v>23</v>
      </c>
      <c r="M141" s="1"/>
      <c r="N141" s="3"/>
      <c r="O141" s="6" t="s">
        <v>22</v>
      </c>
      <c r="P141" s="6" t="s">
        <v>1029</v>
      </c>
    </row>
    <row r="142" spans="1:16">
      <c r="A142" s="1" t="s">
        <v>533</v>
      </c>
      <c r="B142" s="1" t="s">
        <v>374</v>
      </c>
      <c r="C142" s="1" t="s">
        <v>517</v>
      </c>
      <c r="D142" s="1" t="s">
        <v>34</v>
      </c>
      <c r="E142" s="14" t="s">
        <v>534</v>
      </c>
      <c r="F142" s="1" t="s">
        <v>534</v>
      </c>
      <c r="G142" s="1">
        <v>13</v>
      </c>
      <c r="H142" s="3" t="s">
        <v>535</v>
      </c>
      <c r="I142" s="1" t="s">
        <v>22</v>
      </c>
      <c r="J142" s="1" t="s">
        <v>525</v>
      </c>
      <c r="K142" s="1" t="s">
        <v>536</v>
      </c>
      <c r="L142" s="1" t="s">
        <v>23</v>
      </c>
      <c r="M142" s="1"/>
      <c r="N142" s="3"/>
      <c r="O142" s="6" t="s">
        <v>22</v>
      </c>
      <c r="P142" s="6" t="s">
        <v>1029</v>
      </c>
    </row>
    <row r="143" spans="1:16">
      <c r="A143" s="1" t="s">
        <v>537</v>
      </c>
      <c r="B143" s="1" t="s">
        <v>374</v>
      </c>
      <c r="C143" s="1" t="s">
        <v>196</v>
      </c>
      <c r="D143" s="1" t="s">
        <v>197</v>
      </c>
      <c r="E143" s="14" t="s">
        <v>538</v>
      </c>
      <c r="F143" s="1" t="s">
        <v>538</v>
      </c>
      <c r="G143" s="1">
        <v>12</v>
      </c>
      <c r="H143" s="3" t="s">
        <v>539</v>
      </c>
      <c r="I143" s="1" t="s">
        <v>22</v>
      </c>
      <c r="J143" s="1" t="s">
        <v>540</v>
      </c>
      <c r="K143" s="1" t="s">
        <v>22</v>
      </c>
      <c r="L143" s="1" t="s">
        <v>23</v>
      </c>
      <c r="M143" s="1"/>
      <c r="N143" s="3"/>
      <c r="O143" s="6" t="s">
        <v>1100</v>
      </c>
      <c r="P143" s="6" t="s">
        <v>1028</v>
      </c>
    </row>
    <row r="144" spans="1:16">
      <c r="A144" s="1" t="s">
        <v>541</v>
      </c>
      <c r="B144" s="1" t="s">
        <v>374</v>
      </c>
      <c r="C144" s="1" t="s">
        <v>196</v>
      </c>
      <c r="D144" s="1" t="s">
        <v>197</v>
      </c>
      <c r="E144" s="14" t="s">
        <v>542</v>
      </c>
      <c r="F144" s="1" t="s">
        <v>542</v>
      </c>
      <c r="G144" s="1">
        <v>16</v>
      </c>
      <c r="H144" s="3" t="s">
        <v>543</v>
      </c>
      <c r="I144" s="1" t="s">
        <v>22</v>
      </c>
      <c r="J144" s="1" t="s">
        <v>544</v>
      </c>
      <c r="K144" s="1" t="s">
        <v>22</v>
      </c>
      <c r="L144" s="1" t="s">
        <v>23</v>
      </c>
      <c r="M144" s="1"/>
      <c r="N144" s="3"/>
      <c r="O144" s="6" t="s">
        <v>1101</v>
      </c>
      <c r="P144" s="6" t="s">
        <v>1028</v>
      </c>
    </row>
    <row r="145" spans="1:16">
      <c r="A145" s="1" t="s">
        <v>545</v>
      </c>
      <c r="B145" s="1" t="s">
        <v>374</v>
      </c>
      <c r="C145" s="1" t="s">
        <v>212</v>
      </c>
      <c r="D145" s="1" t="s">
        <v>213</v>
      </c>
      <c r="E145" s="14" t="s">
        <v>546</v>
      </c>
      <c r="F145" s="1" t="s">
        <v>546</v>
      </c>
      <c r="G145" s="1">
        <v>14</v>
      </c>
      <c r="H145" s="3" t="s">
        <v>547</v>
      </c>
      <c r="I145" s="1" t="s">
        <v>109</v>
      </c>
      <c r="J145" s="1" t="s">
        <v>544</v>
      </c>
      <c r="K145" s="1" t="s">
        <v>42</v>
      </c>
      <c r="L145" s="1" t="s">
        <v>23</v>
      </c>
      <c r="M145" s="1"/>
      <c r="N145" s="3"/>
      <c r="O145" s="6" t="s">
        <v>1102</v>
      </c>
      <c r="P145" s="6" t="s">
        <v>1028</v>
      </c>
    </row>
    <row r="146" spans="1:16">
      <c r="A146" s="1" t="s">
        <v>548</v>
      </c>
      <c r="B146" s="1" t="s">
        <v>374</v>
      </c>
      <c r="C146" s="1" t="s">
        <v>212</v>
      </c>
      <c r="D146" s="1" t="s">
        <v>213</v>
      </c>
      <c r="E146" s="14" t="s">
        <v>549</v>
      </c>
      <c r="F146" s="1" t="s">
        <v>549</v>
      </c>
      <c r="G146" s="1">
        <v>12</v>
      </c>
      <c r="H146" s="3" t="s">
        <v>550</v>
      </c>
      <c r="I146" s="1" t="s">
        <v>109</v>
      </c>
      <c r="J146" s="1" t="s">
        <v>551</v>
      </c>
      <c r="K146" s="1" t="s">
        <v>22</v>
      </c>
      <c r="L146" s="1" t="s">
        <v>23</v>
      </c>
      <c r="M146" s="1"/>
      <c r="N146" s="3"/>
      <c r="O146" s="6" t="s">
        <v>1103</v>
      </c>
      <c r="P146" s="6" t="s">
        <v>1028</v>
      </c>
    </row>
    <row r="147" spans="1:16">
      <c r="A147" s="1" t="s">
        <v>552</v>
      </c>
      <c r="B147" s="1" t="s">
        <v>553</v>
      </c>
      <c r="C147" s="1" t="s">
        <v>517</v>
      </c>
      <c r="D147" s="1" t="s">
        <v>17</v>
      </c>
      <c r="E147" s="14" t="s">
        <v>554</v>
      </c>
      <c r="F147" s="1" t="s">
        <v>554</v>
      </c>
      <c r="G147" s="1">
        <v>12</v>
      </c>
      <c r="H147" s="3" t="s">
        <v>555</v>
      </c>
      <c r="I147" s="1" t="s">
        <v>20</v>
      </c>
      <c r="J147" s="1" t="s">
        <v>556</v>
      </c>
      <c r="K147" s="1" t="s">
        <v>42</v>
      </c>
      <c r="L147" s="1" t="s">
        <v>23</v>
      </c>
      <c r="M147" s="1"/>
      <c r="N147" s="3"/>
      <c r="O147" s="6" t="s">
        <v>22</v>
      </c>
      <c r="P147" s="6" t="s">
        <v>1029</v>
      </c>
    </row>
    <row r="148" spans="1:16">
      <c r="A148" s="1" t="s">
        <v>557</v>
      </c>
      <c r="B148" s="1" t="s">
        <v>553</v>
      </c>
      <c r="C148" s="1" t="s">
        <v>517</v>
      </c>
      <c r="D148" s="1" t="s">
        <v>17</v>
      </c>
      <c r="E148" s="14" t="s">
        <v>558</v>
      </c>
      <c r="F148" s="1" t="s">
        <v>558</v>
      </c>
      <c r="G148" s="1">
        <v>12</v>
      </c>
      <c r="H148" s="3" t="s">
        <v>559</v>
      </c>
      <c r="I148" s="1" t="s">
        <v>22</v>
      </c>
      <c r="J148" s="1" t="s">
        <v>45</v>
      </c>
      <c r="K148" s="1" t="s">
        <v>42</v>
      </c>
      <c r="L148" s="1" t="s">
        <v>23</v>
      </c>
      <c r="M148" s="1"/>
      <c r="N148" s="3"/>
      <c r="O148" s="6" t="s">
        <v>22</v>
      </c>
      <c r="P148" s="6" t="s">
        <v>1029</v>
      </c>
    </row>
    <row r="149" spans="1:16" ht="32">
      <c r="A149" s="1" t="s">
        <v>560</v>
      </c>
      <c r="B149" s="1" t="s">
        <v>553</v>
      </c>
      <c r="C149" s="1" t="s">
        <v>517</v>
      </c>
      <c r="D149" s="1" t="s">
        <v>17</v>
      </c>
      <c r="E149" s="14" t="s">
        <v>561</v>
      </c>
      <c r="F149" s="1" t="s">
        <v>562</v>
      </c>
      <c r="G149" s="1">
        <v>12</v>
      </c>
      <c r="H149" s="3" t="s">
        <v>563</v>
      </c>
      <c r="I149" s="1" t="s">
        <v>22</v>
      </c>
      <c r="J149" s="1" t="s">
        <v>45</v>
      </c>
      <c r="K149" s="1" t="s">
        <v>42</v>
      </c>
      <c r="L149" s="1" t="s">
        <v>193</v>
      </c>
      <c r="M149" s="1" t="s">
        <v>128</v>
      </c>
      <c r="N149" s="3" t="s">
        <v>564</v>
      </c>
      <c r="O149" s="6" t="s">
        <v>22</v>
      </c>
      <c r="P149" s="6" t="s">
        <v>1029</v>
      </c>
    </row>
    <row r="150" spans="1:16">
      <c r="A150" s="1" t="s">
        <v>565</v>
      </c>
      <c r="B150" s="1" t="s">
        <v>553</v>
      </c>
      <c r="C150" s="1" t="s">
        <v>517</v>
      </c>
      <c r="D150" s="1" t="s">
        <v>17</v>
      </c>
      <c r="E150" s="14" t="s">
        <v>566</v>
      </c>
      <c r="F150" s="1" t="s">
        <v>567</v>
      </c>
      <c r="G150" s="1">
        <v>13</v>
      </c>
      <c r="H150" s="3" t="s">
        <v>568</v>
      </c>
      <c r="I150" s="1" t="s">
        <v>22</v>
      </c>
      <c r="J150" s="1" t="s">
        <v>569</v>
      </c>
      <c r="K150" s="1" t="s">
        <v>42</v>
      </c>
      <c r="L150" s="1" t="s">
        <v>193</v>
      </c>
      <c r="M150" s="1"/>
      <c r="N150" s="3" t="s">
        <v>570</v>
      </c>
      <c r="O150" s="6" t="s">
        <v>22</v>
      </c>
      <c r="P150" s="6" t="s">
        <v>1029</v>
      </c>
    </row>
    <row r="151" spans="1:16">
      <c r="A151" s="1" t="s">
        <v>571</v>
      </c>
      <c r="B151" s="1" t="s">
        <v>553</v>
      </c>
      <c r="C151" s="1" t="s">
        <v>517</v>
      </c>
      <c r="D151" s="1" t="s">
        <v>17</v>
      </c>
      <c r="E151" s="14" t="s">
        <v>572</v>
      </c>
      <c r="F151" s="1" t="s">
        <v>572</v>
      </c>
      <c r="G151" s="1">
        <v>14</v>
      </c>
      <c r="H151" s="3" t="s">
        <v>573</v>
      </c>
      <c r="I151" s="1" t="s">
        <v>22</v>
      </c>
      <c r="J151" s="1" t="s">
        <v>556</v>
      </c>
      <c r="K151" s="1" t="s">
        <v>42</v>
      </c>
      <c r="L151" s="1" t="s">
        <v>23</v>
      </c>
      <c r="M151" s="1"/>
      <c r="N151" s="3"/>
      <c r="O151" s="6" t="s">
        <v>22</v>
      </c>
      <c r="P151" s="6" t="s">
        <v>1029</v>
      </c>
    </row>
    <row r="152" spans="1:16">
      <c r="A152" s="1" t="s">
        <v>574</v>
      </c>
      <c r="B152" s="1" t="s">
        <v>553</v>
      </c>
      <c r="C152" s="1" t="s">
        <v>517</v>
      </c>
      <c r="D152" s="1" t="s">
        <v>30</v>
      </c>
      <c r="E152" s="14" t="s">
        <v>575</v>
      </c>
      <c r="F152" s="1" t="s">
        <v>575</v>
      </c>
      <c r="G152" s="1">
        <v>11</v>
      </c>
      <c r="H152" s="3" t="s">
        <v>576</v>
      </c>
      <c r="I152" s="1" t="s">
        <v>22</v>
      </c>
      <c r="J152" s="1" t="s">
        <v>556</v>
      </c>
      <c r="K152" s="1" t="s">
        <v>42</v>
      </c>
      <c r="L152" s="1" t="s">
        <v>23</v>
      </c>
      <c r="M152" s="1"/>
      <c r="N152" s="3"/>
      <c r="O152" s="6" t="s">
        <v>22</v>
      </c>
      <c r="P152" s="6" t="s">
        <v>1029</v>
      </c>
    </row>
    <row r="153" spans="1:16">
      <c r="A153" s="1" t="s">
        <v>577</v>
      </c>
      <c r="B153" s="1" t="s">
        <v>553</v>
      </c>
      <c r="C153" s="1" t="s">
        <v>517</v>
      </c>
      <c r="D153" s="1" t="s">
        <v>30</v>
      </c>
      <c r="E153" s="14" t="s">
        <v>578</v>
      </c>
      <c r="F153" s="1" t="s">
        <v>578</v>
      </c>
      <c r="G153" s="1">
        <v>11</v>
      </c>
      <c r="H153" s="3" t="s">
        <v>579</v>
      </c>
      <c r="I153" s="1" t="s">
        <v>22</v>
      </c>
      <c r="J153" s="1" t="s">
        <v>45</v>
      </c>
      <c r="K153" s="1" t="s">
        <v>42</v>
      </c>
      <c r="L153" s="1" t="s">
        <v>23</v>
      </c>
      <c r="M153" s="1"/>
      <c r="N153" s="3"/>
      <c r="O153" s="6" t="s">
        <v>22</v>
      </c>
      <c r="P153" s="6" t="s">
        <v>1029</v>
      </c>
    </row>
    <row r="154" spans="1:16" ht="48">
      <c r="A154" s="1" t="s">
        <v>580</v>
      </c>
      <c r="B154" s="1" t="s">
        <v>553</v>
      </c>
      <c r="C154" s="1" t="s">
        <v>517</v>
      </c>
      <c r="D154" s="1" t="s">
        <v>30</v>
      </c>
      <c r="E154" s="14" t="s">
        <v>581</v>
      </c>
      <c r="F154" s="1" t="s">
        <v>581</v>
      </c>
      <c r="G154" s="1">
        <v>11</v>
      </c>
      <c r="H154" s="3" t="s">
        <v>582</v>
      </c>
      <c r="I154" s="1" t="s">
        <v>22</v>
      </c>
      <c r="J154" s="1" t="s">
        <v>45</v>
      </c>
      <c r="K154" s="1" t="s">
        <v>42</v>
      </c>
      <c r="L154" s="1" t="s">
        <v>27</v>
      </c>
      <c r="M154" s="1"/>
      <c r="N154" s="3" t="s">
        <v>583</v>
      </c>
      <c r="O154" s="6" t="s">
        <v>22</v>
      </c>
      <c r="P154" s="6" t="s">
        <v>1029</v>
      </c>
    </row>
    <row r="155" spans="1:16">
      <c r="A155" s="1" t="s">
        <v>584</v>
      </c>
      <c r="B155" s="1" t="s">
        <v>553</v>
      </c>
      <c r="C155" s="1" t="s">
        <v>517</v>
      </c>
      <c r="D155" s="1" t="s">
        <v>30</v>
      </c>
      <c r="E155" s="14" t="s">
        <v>585</v>
      </c>
      <c r="F155" s="1" t="s">
        <v>585</v>
      </c>
      <c r="G155" s="1">
        <v>10</v>
      </c>
      <c r="H155" s="3" t="s">
        <v>586</v>
      </c>
      <c r="I155" s="1" t="s">
        <v>22</v>
      </c>
      <c r="J155" s="1" t="s">
        <v>587</v>
      </c>
      <c r="K155" s="1" t="s">
        <v>42</v>
      </c>
      <c r="L155" s="1" t="s">
        <v>23</v>
      </c>
      <c r="M155" s="1"/>
      <c r="N155" s="3"/>
      <c r="O155" s="6" t="s">
        <v>22</v>
      </c>
      <c r="P155" s="6" t="s">
        <v>1029</v>
      </c>
    </row>
    <row r="156" spans="1:16">
      <c r="A156" s="1" t="s">
        <v>588</v>
      </c>
      <c r="B156" s="1" t="s">
        <v>553</v>
      </c>
      <c r="C156" s="1" t="s">
        <v>517</v>
      </c>
      <c r="D156" s="1" t="s">
        <v>30</v>
      </c>
      <c r="E156" s="14" t="s">
        <v>589</v>
      </c>
      <c r="F156" s="1" t="s">
        <v>589</v>
      </c>
      <c r="G156" s="1">
        <v>12</v>
      </c>
      <c r="H156" s="3" t="s">
        <v>590</v>
      </c>
      <c r="I156" s="1" t="s">
        <v>22</v>
      </c>
      <c r="J156" s="1" t="s">
        <v>591</v>
      </c>
      <c r="K156" s="1" t="s">
        <v>42</v>
      </c>
      <c r="L156" s="1" t="s">
        <v>23</v>
      </c>
      <c r="M156" s="1"/>
      <c r="N156" s="3"/>
      <c r="O156" s="6" t="s">
        <v>22</v>
      </c>
      <c r="P156" s="6" t="s">
        <v>1029</v>
      </c>
    </row>
    <row r="157" spans="1:16" ht="32">
      <c r="A157" s="1" t="s">
        <v>592</v>
      </c>
      <c r="B157" s="1" t="s">
        <v>553</v>
      </c>
      <c r="C157" s="1" t="s">
        <v>517</v>
      </c>
      <c r="D157" s="1" t="s">
        <v>34</v>
      </c>
      <c r="E157" s="14" t="s">
        <v>593</v>
      </c>
      <c r="F157" s="1" t="s">
        <v>593</v>
      </c>
      <c r="G157" s="1">
        <v>17</v>
      </c>
      <c r="H157" s="3" t="s">
        <v>594</v>
      </c>
      <c r="I157" s="1" t="s">
        <v>22</v>
      </c>
      <c r="J157" s="1" t="s">
        <v>556</v>
      </c>
      <c r="K157" s="1" t="s">
        <v>42</v>
      </c>
      <c r="L157" s="1" t="s">
        <v>127</v>
      </c>
      <c r="M157" s="1" t="s">
        <v>595</v>
      </c>
      <c r="N157" s="3" t="s">
        <v>596</v>
      </c>
      <c r="O157" s="6" t="s">
        <v>22</v>
      </c>
      <c r="P157" s="6" t="s">
        <v>1029</v>
      </c>
    </row>
    <row r="158" spans="1:16">
      <c r="A158" s="1" t="s">
        <v>597</v>
      </c>
      <c r="B158" s="1" t="s">
        <v>553</v>
      </c>
      <c r="C158" s="1" t="s">
        <v>517</v>
      </c>
      <c r="D158" s="1" t="s">
        <v>34</v>
      </c>
      <c r="E158" s="14" t="s">
        <v>598</v>
      </c>
      <c r="F158" s="1" t="s">
        <v>598</v>
      </c>
      <c r="G158" s="1">
        <v>14</v>
      </c>
      <c r="H158" s="3" t="s">
        <v>599</v>
      </c>
      <c r="I158" s="1" t="s">
        <v>22</v>
      </c>
      <c r="J158" s="1" t="s">
        <v>45</v>
      </c>
      <c r="K158" s="1" t="s">
        <v>42</v>
      </c>
      <c r="L158" s="1" t="s">
        <v>23</v>
      </c>
      <c r="M158" s="1"/>
      <c r="N158" s="3"/>
      <c r="O158" s="6" t="s">
        <v>22</v>
      </c>
      <c r="P158" s="6" t="s">
        <v>1029</v>
      </c>
    </row>
    <row r="159" spans="1:16" ht="32">
      <c r="A159" s="1" t="s">
        <v>600</v>
      </c>
      <c r="B159" s="1" t="s">
        <v>553</v>
      </c>
      <c r="C159" s="1" t="s">
        <v>517</v>
      </c>
      <c r="D159" s="1" t="s">
        <v>34</v>
      </c>
      <c r="E159" s="14" t="s">
        <v>601</v>
      </c>
      <c r="F159" s="1" t="s">
        <v>601</v>
      </c>
      <c r="G159" s="1">
        <v>12</v>
      </c>
      <c r="H159" s="3" t="s">
        <v>602</v>
      </c>
      <c r="I159" s="1" t="s">
        <v>22</v>
      </c>
      <c r="J159" s="1" t="s">
        <v>556</v>
      </c>
      <c r="K159" s="1" t="s">
        <v>42</v>
      </c>
      <c r="L159" s="1" t="s">
        <v>27</v>
      </c>
      <c r="M159" s="1"/>
      <c r="N159" s="3" t="s">
        <v>603</v>
      </c>
      <c r="O159" s="6" t="s">
        <v>22</v>
      </c>
      <c r="P159" s="6" t="s">
        <v>1029</v>
      </c>
    </row>
    <row r="160" spans="1:16" ht="48">
      <c r="A160" s="1" t="s">
        <v>604</v>
      </c>
      <c r="B160" s="1" t="s">
        <v>553</v>
      </c>
      <c r="C160" s="1" t="s">
        <v>517</v>
      </c>
      <c r="D160" s="1" t="s">
        <v>34</v>
      </c>
      <c r="E160" s="14" t="s">
        <v>605</v>
      </c>
      <c r="F160" s="1" t="s">
        <v>605</v>
      </c>
      <c r="G160" s="1">
        <v>13</v>
      </c>
      <c r="H160" s="3" t="s">
        <v>606</v>
      </c>
      <c r="I160" s="1" t="s">
        <v>22</v>
      </c>
      <c r="J160" s="1" t="s">
        <v>607</v>
      </c>
      <c r="K160" s="1" t="s">
        <v>42</v>
      </c>
      <c r="L160" s="1" t="s">
        <v>127</v>
      </c>
      <c r="M160" s="1" t="s">
        <v>504</v>
      </c>
      <c r="N160" s="3" t="s">
        <v>505</v>
      </c>
      <c r="O160" s="6" t="s">
        <v>22</v>
      </c>
      <c r="P160" s="6" t="s">
        <v>1029</v>
      </c>
    </row>
    <row r="161" spans="1:16">
      <c r="A161" s="1" t="s">
        <v>608</v>
      </c>
      <c r="B161" s="1" t="s">
        <v>553</v>
      </c>
      <c r="C161" s="1" t="s">
        <v>517</v>
      </c>
      <c r="D161" s="1" t="s">
        <v>34</v>
      </c>
      <c r="E161" s="14" t="s">
        <v>609</v>
      </c>
      <c r="F161" s="1" t="s">
        <v>609</v>
      </c>
      <c r="G161" s="1">
        <v>12</v>
      </c>
      <c r="H161" s="3" t="s">
        <v>610</v>
      </c>
      <c r="I161" s="1" t="s">
        <v>22</v>
      </c>
      <c r="J161" s="1" t="s">
        <v>591</v>
      </c>
      <c r="K161" s="1" t="s">
        <v>42</v>
      </c>
      <c r="L161" s="1" t="s">
        <v>23</v>
      </c>
      <c r="M161" s="1"/>
      <c r="N161" s="3"/>
      <c r="O161" s="6" t="s">
        <v>22</v>
      </c>
      <c r="P161" s="6" t="s">
        <v>1029</v>
      </c>
    </row>
    <row r="162" spans="1:16" ht="32">
      <c r="A162" s="1" t="s">
        <v>611</v>
      </c>
      <c r="B162" s="1" t="s">
        <v>553</v>
      </c>
      <c r="C162" s="1" t="s">
        <v>517</v>
      </c>
      <c r="D162" s="1" t="s">
        <v>34</v>
      </c>
      <c r="E162" s="14" t="s">
        <v>612</v>
      </c>
      <c r="F162" s="1" t="s">
        <v>612</v>
      </c>
      <c r="G162" s="1">
        <v>13</v>
      </c>
      <c r="H162" s="3" t="s">
        <v>613</v>
      </c>
      <c r="I162" s="1" t="s">
        <v>20</v>
      </c>
      <c r="J162" s="1" t="s">
        <v>556</v>
      </c>
      <c r="K162" s="1" t="s">
        <v>42</v>
      </c>
      <c r="L162" s="1" t="s">
        <v>127</v>
      </c>
      <c r="M162" s="1" t="s">
        <v>595</v>
      </c>
      <c r="N162" s="3" t="s">
        <v>596</v>
      </c>
      <c r="O162" s="6" t="s">
        <v>22</v>
      </c>
      <c r="P162" s="6" t="s">
        <v>1029</v>
      </c>
    </row>
    <row r="163" spans="1:16">
      <c r="A163" s="1" t="s">
        <v>614</v>
      </c>
      <c r="B163" s="1" t="s">
        <v>553</v>
      </c>
      <c r="C163" s="1" t="s">
        <v>106</v>
      </c>
      <c r="D163" s="1" t="s">
        <v>34</v>
      </c>
      <c r="E163" s="14" t="s">
        <v>885</v>
      </c>
      <c r="F163" s="15" t="s">
        <v>836</v>
      </c>
      <c r="G163" s="15">
        <v>10</v>
      </c>
      <c r="H163" s="3" t="s">
        <v>615</v>
      </c>
      <c r="I163" s="1" t="s">
        <v>109</v>
      </c>
      <c r="J163" s="1" t="s">
        <v>616</v>
      </c>
      <c r="K163" s="1" t="s">
        <v>111</v>
      </c>
      <c r="L163" s="1" t="s">
        <v>23</v>
      </c>
      <c r="M163" s="1"/>
      <c r="N163" s="3"/>
      <c r="O163" s="6" t="s">
        <v>1104</v>
      </c>
      <c r="P163" s="6" t="s">
        <v>1032</v>
      </c>
    </row>
    <row r="164" spans="1:16">
      <c r="A164" s="1" t="s">
        <v>617</v>
      </c>
      <c r="B164" s="1" t="s">
        <v>553</v>
      </c>
      <c r="C164" s="1" t="s">
        <v>106</v>
      </c>
      <c r="D164" s="1" t="s">
        <v>34</v>
      </c>
      <c r="E164" s="14" t="s">
        <v>886</v>
      </c>
      <c r="F164" s="15" t="s">
        <v>808</v>
      </c>
      <c r="G164" s="15">
        <v>12</v>
      </c>
      <c r="H164" s="3" t="s">
        <v>618</v>
      </c>
      <c r="I164" s="1" t="s">
        <v>109</v>
      </c>
      <c r="J164" s="1" t="s">
        <v>309</v>
      </c>
      <c r="K164" s="1" t="s">
        <v>111</v>
      </c>
      <c r="L164" s="1" t="s">
        <v>23</v>
      </c>
      <c r="M164" s="1"/>
      <c r="N164" s="3"/>
      <c r="O164" s="6" t="s">
        <v>1105</v>
      </c>
      <c r="P164" s="6" t="s">
        <v>1028</v>
      </c>
    </row>
    <row r="165" spans="1:16" ht="32">
      <c r="A165" s="1" t="s">
        <v>619</v>
      </c>
      <c r="B165" s="1" t="s">
        <v>553</v>
      </c>
      <c r="C165" s="1" t="s">
        <v>106</v>
      </c>
      <c r="D165" s="1" t="s">
        <v>34</v>
      </c>
      <c r="E165" s="14" t="s">
        <v>620</v>
      </c>
      <c r="F165" s="1" t="s">
        <v>620</v>
      </c>
      <c r="G165" s="1">
        <v>15</v>
      </c>
      <c r="H165" s="3" t="s">
        <v>621</v>
      </c>
      <c r="I165" s="1" t="s">
        <v>109</v>
      </c>
      <c r="J165" s="1" t="s">
        <v>309</v>
      </c>
      <c r="K165" s="1" t="s">
        <v>111</v>
      </c>
      <c r="L165" s="1" t="s">
        <v>27</v>
      </c>
      <c r="M165" s="1"/>
      <c r="N165" s="3" t="s">
        <v>622</v>
      </c>
      <c r="O165" s="6" t="s">
        <v>22</v>
      </c>
      <c r="P165" s="6" t="s">
        <v>1029</v>
      </c>
    </row>
    <row r="166" spans="1:16" ht="48">
      <c r="A166" s="1" t="s">
        <v>623</v>
      </c>
      <c r="B166" s="1" t="s">
        <v>553</v>
      </c>
      <c r="C166" s="1" t="s">
        <v>153</v>
      </c>
      <c r="D166" s="1" t="s">
        <v>34</v>
      </c>
      <c r="E166" s="14" t="s">
        <v>624</v>
      </c>
      <c r="F166" s="1" t="s">
        <v>624</v>
      </c>
      <c r="G166" s="1">
        <v>12</v>
      </c>
      <c r="H166" s="3" t="s">
        <v>625</v>
      </c>
      <c r="I166" s="1" t="s">
        <v>22</v>
      </c>
      <c r="J166" s="1" t="s">
        <v>336</v>
      </c>
      <c r="K166" s="1" t="s">
        <v>42</v>
      </c>
      <c r="L166" s="1" t="s">
        <v>127</v>
      </c>
      <c r="M166" s="1" t="s">
        <v>504</v>
      </c>
      <c r="N166" s="3" t="s">
        <v>505</v>
      </c>
      <c r="O166" s="6" t="s">
        <v>1106</v>
      </c>
      <c r="P166" s="6" t="s">
        <v>1032</v>
      </c>
    </row>
    <row r="167" spans="1:16">
      <c r="A167" s="1" t="s">
        <v>626</v>
      </c>
      <c r="B167" s="1" t="s">
        <v>553</v>
      </c>
      <c r="C167" s="1" t="s">
        <v>153</v>
      </c>
      <c r="D167" s="1" t="s">
        <v>34</v>
      </c>
      <c r="E167" s="14" t="s">
        <v>627</v>
      </c>
      <c r="F167" s="1" t="s">
        <v>627</v>
      </c>
      <c r="G167" s="1">
        <v>11</v>
      </c>
      <c r="H167" s="3" t="s">
        <v>628</v>
      </c>
      <c r="I167" s="1" t="s">
        <v>22</v>
      </c>
      <c r="J167" s="1" t="s">
        <v>629</v>
      </c>
      <c r="K167" s="1" t="s">
        <v>630</v>
      </c>
      <c r="L167" s="1" t="s">
        <v>23</v>
      </c>
      <c r="M167" s="1"/>
      <c r="N167" s="3"/>
      <c r="O167" s="6" t="s">
        <v>1107</v>
      </c>
      <c r="P167" s="6" t="s">
        <v>1032</v>
      </c>
    </row>
    <row r="168" spans="1:16">
      <c r="A168" s="1" t="s">
        <v>631</v>
      </c>
      <c r="B168" s="1" t="s">
        <v>553</v>
      </c>
      <c r="C168" s="1" t="s">
        <v>173</v>
      </c>
      <c r="D168" s="1" t="s">
        <v>34</v>
      </c>
      <c r="E168" s="14" t="s">
        <v>887</v>
      </c>
      <c r="F168" s="15" t="s">
        <v>896</v>
      </c>
      <c r="G168" s="15">
        <v>12</v>
      </c>
      <c r="H168" s="3" t="s">
        <v>632</v>
      </c>
      <c r="I168" s="1" t="s">
        <v>22</v>
      </c>
      <c r="J168" s="1" t="s">
        <v>629</v>
      </c>
      <c r="K168" s="1" t="s">
        <v>22</v>
      </c>
      <c r="L168" s="1" t="s">
        <v>23</v>
      </c>
      <c r="M168" s="1"/>
      <c r="N168" s="3"/>
      <c r="O168" s="6" t="s">
        <v>1108</v>
      </c>
      <c r="P168" s="6" t="s">
        <v>1032</v>
      </c>
    </row>
    <row r="169" spans="1:16" ht="32">
      <c r="A169" s="1" t="s">
        <v>633</v>
      </c>
      <c r="B169" s="1" t="s">
        <v>553</v>
      </c>
      <c r="C169" s="1" t="s">
        <v>131</v>
      </c>
      <c r="D169" s="1" t="s">
        <v>34</v>
      </c>
      <c r="E169" s="14" t="s">
        <v>634</v>
      </c>
      <c r="F169" s="1" t="s">
        <v>634</v>
      </c>
      <c r="G169" s="1">
        <v>15</v>
      </c>
      <c r="H169" s="3" t="s">
        <v>635</v>
      </c>
      <c r="I169" s="1" t="s">
        <v>22</v>
      </c>
      <c r="J169" s="1" t="s">
        <v>147</v>
      </c>
      <c r="K169" s="1" t="s">
        <v>111</v>
      </c>
      <c r="L169" s="1" t="s">
        <v>121</v>
      </c>
      <c r="M169" s="1"/>
      <c r="N169" s="3" t="s">
        <v>636</v>
      </c>
      <c r="O169" s="6" t="s">
        <v>22</v>
      </c>
      <c r="P169" s="6" t="s">
        <v>1029</v>
      </c>
    </row>
    <row r="170" spans="1:16">
      <c r="A170" s="1" t="s">
        <v>637</v>
      </c>
      <c r="B170" s="1" t="s">
        <v>553</v>
      </c>
      <c r="C170" s="1" t="s">
        <v>16</v>
      </c>
      <c r="D170" s="1" t="s">
        <v>17</v>
      </c>
      <c r="E170" s="14" t="s">
        <v>888</v>
      </c>
      <c r="F170" s="15" t="s">
        <v>809</v>
      </c>
      <c r="G170" s="15">
        <v>12</v>
      </c>
      <c r="H170" s="3" t="s">
        <v>638</v>
      </c>
      <c r="I170" s="1" t="s">
        <v>22</v>
      </c>
      <c r="J170" s="1" t="s">
        <v>45</v>
      </c>
      <c r="K170" s="1" t="s">
        <v>22</v>
      </c>
      <c r="L170" s="1" t="s">
        <v>23</v>
      </c>
      <c r="M170" s="1"/>
      <c r="N170" s="3"/>
      <c r="O170" s="6" t="s">
        <v>1109</v>
      </c>
      <c r="P170" s="6" t="s">
        <v>1032</v>
      </c>
    </row>
    <row r="171" spans="1:16">
      <c r="A171" s="1" t="s">
        <v>639</v>
      </c>
      <c r="B171" s="1" t="s">
        <v>553</v>
      </c>
      <c r="C171" s="1" t="s">
        <v>131</v>
      </c>
      <c r="D171" s="1" t="s">
        <v>17</v>
      </c>
      <c r="E171" s="14" t="s">
        <v>889</v>
      </c>
      <c r="F171" s="15" t="s">
        <v>837</v>
      </c>
      <c r="G171" s="15">
        <v>10</v>
      </c>
      <c r="H171" s="3" t="s">
        <v>640</v>
      </c>
      <c r="I171" s="1" t="s">
        <v>22</v>
      </c>
      <c r="J171" s="1" t="s">
        <v>134</v>
      </c>
      <c r="K171" s="1" t="s">
        <v>111</v>
      </c>
      <c r="L171" s="1" t="s">
        <v>23</v>
      </c>
      <c r="M171" s="1"/>
      <c r="N171" s="3"/>
      <c r="O171" s="6" t="s">
        <v>1110</v>
      </c>
      <c r="P171" s="6" t="s">
        <v>1028</v>
      </c>
    </row>
    <row r="172" spans="1:16">
      <c r="A172" s="1" t="s">
        <v>641</v>
      </c>
      <c r="B172" s="1" t="s">
        <v>553</v>
      </c>
      <c r="C172" s="1" t="s">
        <v>39</v>
      </c>
      <c r="D172" s="1" t="s">
        <v>17</v>
      </c>
      <c r="E172" s="14" t="s">
        <v>642</v>
      </c>
      <c r="F172" s="1" t="s">
        <v>642</v>
      </c>
      <c r="G172" s="1">
        <v>12</v>
      </c>
      <c r="H172" s="3" t="s">
        <v>643</v>
      </c>
      <c r="I172" s="1" t="s">
        <v>22</v>
      </c>
      <c r="J172" s="1" t="s">
        <v>45</v>
      </c>
      <c r="K172" s="1" t="s">
        <v>42</v>
      </c>
      <c r="L172" s="1" t="s">
        <v>23</v>
      </c>
      <c r="M172" s="1"/>
      <c r="N172" s="3"/>
      <c r="O172" s="6" t="s">
        <v>1111</v>
      </c>
      <c r="P172" s="6" t="s">
        <v>1032</v>
      </c>
    </row>
    <row r="173" spans="1:16">
      <c r="A173" s="1" t="s">
        <v>644</v>
      </c>
      <c r="B173" s="1" t="s">
        <v>553</v>
      </c>
      <c r="C173" s="1" t="s">
        <v>153</v>
      </c>
      <c r="D173" s="1" t="s">
        <v>17</v>
      </c>
      <c r="E173" s="14" t="s">
        <v>890</v>
      </c>
      <c r="F173" s="15" t="s">
        <v>838</v>
      </c>
      <c r="G173" s="15">
        <v>11</v>
      </c>
      <c r="H173" s="3" t="s">
        <v>645</v>
      </c>
      <c r="I173" s="1" t="s">
        <v>22</v>
      </c>
      <c r="J173" s="1" t="s">
        <v>336</v>
      </c>
      <c r="K173" s="1" t="s">
        <v>42</v>
      </c>
      <c r="L173" s="1" t="s">
        <v>23</v>
      </c>
      <c r="M173" s="1"/>
      <c r="N173" s="3"/>
      <c r="O173" s="6" t="s">
        <v>1112</v>
      </c>
      <c r="P173" s="6" t="s">
        <v>1028</v>
      </c>
    </row>
    <row r="174" spans="1:16">
      <c r="A174" s="1" t="s">
        <v>646</v>
      </c>
      <c r="B174" s="1" t="s">
        <v>553</v>
      </c>
      <c r="C174" s="1" t="s">
        <v>39</v>
      </c>
      <c r="D174" s="1" t="s">
        <v>17</v>
      </c>
      <c r="E174" s="14" t="s">
        <v>647</v>
      </c>
      <c r="F174" s="1" t="s">
        <v>647</v>
      </c>
      <c r="G174" s="1">
        <v>11</v>
      </c>
      <c r="H174" s="3" t="s">
        <v>648</v>
      </c>
      <c r="I174" s="1" t="s">
        <v>22</v>
      </c>
      <c r="J174" s="1" t="s">
        <v>45</v>
      </c>
      <c r="K174" s="1" t="s">
        <v>42</v>
      </c>
      <c r="L174" s="1" t="s">
        <v>23</v>
      </c>
      <c r="M174" s="1"/>
      <c r="N174" s="3"/>
      <c r="O174" s="6" t="s">
        <v>1113</v>
      </c>
      <c r="P174" s="6" t="s">
        <v>1032</v>
      </c>
    </row>
    <row r="175" spans="1:16">
      <c r="A175" s="1" t="s">
        <v>649</v>
      </c>
      <c r="B175" s="1" t="s">
        <v>553</v>
      </c>
      <c r="C175" s="1" t="s">
        <v>153</v>
      </c>
      <c r="D175" s="1" t="s">
        <v>17</v>
      </c>
      <c r="E175" s="14" t="s">
        <v>650</v>
      </c>
      <c r="F175" s="1" t="s">
        <v>650</v>
      </c>
      <c r="G175" s="1">
        <v>10</v>
      </c>
      <c r="H175" s="3" t="s">
        <v>651</v>
      </c>
      <c r="I175" s="1" t="s">
        <v>22</v>
      </c>
      <c r="J175" s="1" t="s">
        <v>336</v>
      </c>
      <c r="K175" s="1" t="s">
        <v>42</v>
      </c>
      <c r="L175" s="1" t="s">
        <v>23</v>
      </c>
      <c r="M175" s="1"/>
      <c r="N175" s="3"/>
      <c r="O175" s="6" t="s">
        <v>1114</v>
      </c>
      <c r="P175" s="6" t="s">
        <v>1032</v>
      </c>
    </row>
    <row r="176" spans="1:16">
      <c r="A176" s="1" t="s">
        <v>652</v>
      </c>
      <c r="B176" s="1" t="s">
        <v>553</v>
      </c>
      <c r="C176" s="1" t="s">
        <v>75</v>
      </c>
      <c r="D176" s="1" t="s">
        <v>30</v>
      </c>
      <c r="E176" s="14" t="s">
        <v>653</v>
      </c>
      <c r="F176" s="1" t="s">
        <v>653</v>
      </c>
      <c r="G176" s="1">
        <v>10</v>
      </c>
      <c r="H176" s="3" t="s">
        <v>654</v>
      </c>
      <c r="I176" s="1" t="s">
        <v>22</v>
      </c>
      <c r="J176" s="1" t="s">
        <v>78</v>
      </c>
      <c r="K176" s="1" t="s">
        <v>22</v>
      </c>
      <c r="L176" s="1" t="s">
        <v>23</v>
      </c>
      <c r="M176" s="1"/>
      <c r="N176" s="3"/>
      <c r="O176" s="6" t="s">
        <v>1115</v>
      </c>
      <c r="P176" s="6" t="s">
        <v>1032</v>
      </c>
    </row>
    <row r="177" spans="1:16">
      <c r="A177" s="1" t="s">
        <v>655</v>
      </c>
      <c r="B177" s="1" t="s">
        <v>553</v>
      </c>
      <c r="C177" s="1" t="s">
        <v>173</v>
      </c>
      <c r="D177" s="1" t="s">
        <v>30</v>
      </c>
      <c r="E177" s="14" t="s">
        <v>656</v>
      </c>
      <c r="F177" s="1" t="s">
        <v>656</v>
      </c>
      <c r="G177" s="1">
        <v>11</v>
      </c>
      <c r="H177" s="3" t="s">
        <v>657</v>
      </c>
      <c r="I177" s="1" t="s">
        <v>22</v>
      </c>
      <c r="J177" s="1" t="s">
        <v>629</v>
      </c>
      <c r="K177" s="1" t="s">
        <v>22</v>
      </c>
      <c r="L177" s="1" t="s">
        <v>23</v>
      </c>
      <c r="M177" s="1"/>
      <c r="N177" s="3"/>
      <c r="O177" s="6" t="s">
        <v>1116</v>
      </c>
      <c r="P177" s="6" t="s">
        <v>1032</v>
      </c>
    </row>
    <row r="178" spans="1:16">
      <c r="A178" s="1" t="s">
        <v>658</v>
      </c>
      <c r="B178" s="1" t="s">
        <v>553</v>
      </c>
      <c r="C178" s="1" t="s">
        <v>39</v>
      </c>
      <c r="D178" s="1" t="s">
        <v>30</v>
      </c>
      <c r="E178" s="14" t="s">
        <v>891</v>
      </c>
      <c r="F178" s="15" t="s">
        <v>810</v>
      </c>
      <c r="G178" s="15">
        <v>12</v>
      </c>
      <c r="H178" s="3" t="s">
        <v>659</v>
      </c>
      <c r="I178" s="1" t="s">
        <v>22</v>
      </c>
      <c r="J178" s="1" t="s">
        <v>48</v>
      </c>
      <c r="K178" s="1" t="s">
        <v>42</v>
      </c>
      <c r="L178" s="1" t="s">
        <v>23</v>
      </c>
      <c r="M178" s="1"/>
      <c r="N178" s="3"/>
      <c r="O178" s="6" t="s">
        <v>1117</v>
      </c>
      <c r="P178" s="6" t="s">
        <v>1032</v>
      </c>
    </row>
    <row r="179" spans="1:16">
      <c r="A179" s="1" t="s">
        <v>660</v>
      </c>
      <c r="B179" s="1" t="s">
        <v>553</v>
      </c>
      <c r="C179" s="1" t="s">
        <v>75</v>
      </c>
      <c r="D179" s="1" t="s">
        <v>30</v>
      </c>
      <c r="E179" s="14" t="s">
        <v>661</v>
      </c>
      <c r="F179" s="1" t="s">
        <v>661</v>
      </c>
      <c r="G179" s="1">
        <v>12</v>
      </c>
      <c r="H179" s="3" t="s">
        <v>662</v>
      </c>
      <c r="I179" s="1" t="s">
        <v>22</v>
      </c>
      <c r="J179" s="1" t="s">
        <v>134</v>
      </c>
      <c r="K179" s="1" t="s">
        <v>22</v>
      </c>
      <c r="L179" s="1" t="s">
        <v>23</v>
      </c>
      <c r="M179" s="1"/>
      <c r="N179" s="3"/>
      <c r="O179" s="6" t="s">
        <v>1118</v>
      </c>
      <c r="P179" s="6" t="s">
        <v>1032</v>
      </c>
    </row>
    <row r="180" spans="1:16">
      <c r="A180" s="1" t="s">
        <v>663</v>
      </c>
      <c r="B180" s="1" t="s">
        <v>553</v>
      </c>
      <c r="C180" s="1" t="s">
        <v>131</v>
      </c>
      <c r="D180" s="1" t="s">
        <v>30</v>
      </c>
      <c r="E180" s="14" t="s">
        <v>664</v>
      </c>
      <c r="F180" s="1" t="s">
        <v>664</v>
      </c>
      <c r="G180" s="1">
        <v>14</v>
      </c>
      <c r="H180" s="3" t="s">
        <v>665</v>
      </c>
      <c r="I180" s="1" t="s">
        <v>22</v>
      </c>
      <c r="J180" s="1" t="s">
        <v>147</v>
      </c>
      <c r="K180" s="1" t="s">
        <v>111</v>
      </c>
      <c r="L180" s="1" t="s">
        <v>23</v>
      </c>
      <c r="M180" s="1"/>
      <c r="N180" s="3"/>
      <c r="O180" s="6" t="s">
        <v>1119</v>
      </c>
      <c r="P180" s="6" t="s">
        <v>1028</v>
      </c>
    </row>
    <row r="181" spans="1:16">
      <c r="A181" s="1" t="s">
        <v>666</v>
      </c>
      <c r="B181" s="1" t="s">
        <v>553</v>
      </c>
      <c r="C181" s="1" t="s">
        <v>75</v>
      </c>
      <c r="D181" s="1" t="s">
        <v>17</v>
      </c>
      <c r="E181" s="14" t="s">
        <v>667</v>
      </c>
      <c r="F181" s="1" t="s">
        <v>667</v>
      </c>
      <c r="G181" s="1">
        <v>9</v>
      </c>
      <c r="H181" s="3" t="s">
        <v>668</v>
      </c>
      <c r="I181" s="1" t="s">
        <v>22</v>
      </c>
      <c r="J181" s="1" t="s">
        <v>78</v>
      </c>
      <c r="K181" s="1" t="s">
        <v>22</v>
      </c>
      <c r="L181" s="1" t="s">
        <v>23</v>
      </c>
      <c r="M181" s="1"/>
      <c r="N181" s="3"/>
      <c r="O181" s="6" t="s">
        <v>1120</v>
      </c>
      <c r="P181" s="6" t="s">
        <v>1032</v>
      </c>
    </row>
    <row r="182" spans="1:16">
      <c r="A182" s="1" t="s">
        <v>669</v>
      </c>
      <c r="B182" s="1" t="s">
        <v>553</v>
      </c>
      <c r="C182" s="1" t="s">
        <v>57</v>
      </c>
      <c r="D182" s="1" t="s">
        <v>30</v>
      </c>
      <c r="E182" s="14" t="s">
        <v>670</v>
      </c>
      <c r="F182" s="1" t="s">
        <v>670</v>
      </c>
      <c r="G182" s="1">
        <v>14</v>
      </c>
      <c r="H182" s="3" t="s">
        <v>671</v>
      </c>
      <c r="I182" s="1" t="s">
        <v>22</v>
      </c>
      <c r="J182" s="1" t="s">
        <v>59</v>
      </c>
      <c r="K182" s="1" t="s">
        <v>22</v>
      </c>
      <c r="L182" s="1" t="s">
        <v>23</v>
      </c>
      <c r="M182" s="1"/>
      <c r="N182" s="3"/>
      <c r="O182" s="6" t="s">
        <v>22</v>
      </c>
      <c r="P182" s="6" t="s">
        <v>1029</v>
      </c>
    </row>
    <row r="183" spans="1:16">
      <c r="A183" s="1" t="s">
        <v>672</v>
      </c>
      <c r="B183" s="1" t="s">
        <v>553</v>
      </c>
      <c r="C183" s="1" t="s">
        <v>173</v>
      </c>
      <c r="D183" s="1" t="s">
        <v>17</v>
      </c>
      <c r="E183" s="14" t="s">
        <v>892</v>
      </c>
      <c r="F183" s="15" t="s">
        <v>839</v>
      </c>
      <c r="G183" s="15">
        <v>10</v>
      </c>
      <c r="H183" s="3" t="s">
        <v>673</v>
      </c>
      <c r="I183" s="1" t="s">
        <v>22</v>
      </c>
      <c r="J183" s="1" t="s">
        <v>629</v>
      </c>
      <c r="K183" s="1" t="s">
        <v>22</v>
      </c>
      <c r="L183" s="1" t="s">
        <v>23</v>
      </c>
      <c r="M183" s="1"/>
      <c r="N183" s="3"/>
      <c r="O183" s="6" t="s">
        <v>1121</v>
      </c>
      <c r="P183" s="6" t="s">
        <v>1032</v>
      </c>
    </row>
    <row r="184" spans="1:16">
      <c r="A184" s="1" t="s">
        <v>674</v>
      </c>
      <c r="B184" s="1" t="s">
        <v>553</v>
      </c>
      <c r="C184" s="1" t="s">
        <v>57</v>
      </c>
      <c r="D184" s="1" t="s">
        <v>17</v>
      </c>
      <c r="E184" s="14" t="s">
        <v>675</v>
      </c>
      <c r="F184" s="1" t="s">
        <v>675</v>
      </c>
      <c r="G184" s="1">
        <v>12</v>
      </c>
      <c r="H184" s="3" t="s">
        <v>676</v>
      </c>
      <c r="I184" s="1" t="s">
        <v>22</v>
      </c>
      <c r="J184" s="1" t="s">
        <v>59</v>
      </c>
      <c r="K184" s="1" t="s">
        <v>22</v>
      </c>
      <c r="L184" s="1" t="s">
        <v>23</v>
      </c>
      <c r="M184" s="1"/>
      <c r="N184" s="3"/>
      <c r="O184" s="6" t="s">
        <v>1122</v>
      </c>
      <c r="P184" s="6" t="s">
        <v>1028</v>
      </c>
    </row>
    <row r="185" spans="1:16">
      <c r="A185" s="1" t="s">
        <v>677</v>
      </c>
      <c r="B185" s="1" t="s">
        <v>553</v>
      </c>
      <c r="C185" s="1" t="s">
        <v>57</v>
      </c>
      <c r="D185" s="1" t="s">
        <v>17</v>
      </c>
      <c r="E185" s="14" t="s">
        <v>678</v>
      </c>
      <c r="F185" s="1" t="s">
        <v>678</v>
      </c>
      <c r="G185" s="1">
        <v>12</v>
      </c>
      <c r="H185" s="3" t="s">
        <v>679</v>
      </c>
      <c r="I185" s="1" t="s">
        <v>22</v>
      </c>
      <c r="J185" s="1" t="s">
        <v>59</v>
      </c>
      <c r="K185" s="1" t="s">
        <v>22</v>
      </c>
      <c r="L185" s="1" t="s">
        <v>23</v>
      </c>
      <c r="M185" s="1"/>
      <c r="N185" s="3"/>
      <c r="O185" s="6" t="s">
        <v>1123</v>
      </c>
      <c r="P185" s="6" t="s">
        <v>1032</v>
      </c>
    </row>
    <row r="186" spans="1:16" ht="48">
      <c r="A186" s="1" t="s">
        <v>680</v>
      </c>
      <c r="B186" s="1" t="s">
        <v>553</v>
      </c>
      <c r="C186" s="1" t="s">
        <v>57</v>
      </c>
      <c r="D186" s="1" t="s">
        <v>17</v>
      </c>
      <c r="E186" s="14" t="s">
        <v>893</v>
      </c>
      <c r="F186" s="15" t="s">
        <v>811</v>
      </c>
      <c r="G186" s="15">
        <v>9</v>
      </c>
      <c r="H186" s="3" t="s">
        <v>681</v>
      </c>
      <c r="I186" s="1" t="s">
        <v>22</v>
      </c>
      <c r="J186" s="1" t="s">
        <v>59</v>
      </c>
      <c r="K186" s="1" t="s">
        <v>22</v>
      </c>
      <c r="L186" s="1" t="s">
        <v>127</v>
      </c>
      <c r="M186" s="1" t="s">
        <v>201</v>
      </c>
      <c r="N186" s="3" t="s">
        <v>202</v>
      </c>
      <c r="O186" s="6" t="s">
        <v>1124</v>
      </c>
      <c r="P186" s="6" t="s">
        <v>1028</v>
      </c>
    </row>
    <row r="187" spans="1:16">
      <c r="A187" s="1" t="s">
        <v>682</v>
      </c>
      <c r="B187" s="1" t="s">
        <v>553</v>
      </c>
      <c r="C187" s="1" t="s">
        <v>16</v>
      </c>
      <c r="D187" s="1" t="s">
        <v>30</v>
      </c>
      <c r="E187" s="14" t="s">
        <v>683</v>
      </c>
      <c r="F187" s="1" t="s">
        <v>683</v>
      </c>
      <c r="G187" s="1">
        <v>11</v>
      </c>
      <c r="H187" s="3" t="s">
        <v>684</v>
      </c>
      <c r="I187" s="1" t="s">
        <v>22</v>
      </c>
      <c r="J187" s="1" t="s">
        <v>134</v>
      </c>
      <c r="K187" s="1" t="s">
        <v>111</v>
      </c>
      <c r="L187" s="1" t="s">
        <v>23</v>
      </c>
      <c r="M187" s="1"/>
      <c r="N187" s="3"/>
      <c r="O187" s="6" t="s">
        <v>22</v>
      </c>
      <c r="P187" s="6" t="s">
        <v>1029</v>
      </c>
    </row>
    <row r="188" spans="1:16">
      <c r="A188" s="1" t="s">
        <v>685</v>
      </c>
      <c r="B188" s="1" t="s">
        <v>553</v>
      </c>
      <c r="C188" s="1" t="s">
        <v>196</v>
      </c>
      <c r="D188" s="1" t="s">
        <v>22</v>
      </c>
      <c r="E188" s="14" t="s">
        <v>686</v>
      </c>
      <c r="F188" s="1" t="s">
        <v>686</v>
      </c>
      <c r="G188" s="1">
        <v>12</v>
      </c>
      <c r="H188" s="3" t="s">
        <v>687</v>
      </c>
      <c r="I188" s="1" t="s">
        <v>22</v>
      </c>
      <c r="J188" s="1" t="s">
        <v>688</v>
      </c>
      <c r="K188" s="1" t="s">
        <v>22</v>
      </c>
      <c r="L188" s="1" t="s">
        <v>23</v>
      </c>
      <c r="M188" s="1"/>
      <c r="N188" s="3"/>
      <c r="O188" s="6" t="s">
        <v>1125</v>
      </c>
      <c r="P188" s="6" t="s">
        <v>1032</v>
      </c>
    </row>
    <row r="189" spans="1:16" ht="32">
      <c r="A189" s="1" t="s">
        <v>689</v>
      </c>
      <c r="B189" s="1" t="s">
        <v>553</v>
      </c>
      <c r="C189" s="1" t="s">
        <v>196</v>
      </c>
      <c r="D189" s="1" t="s">
        <v>22</v>
      </c>
      <c r="E189" s="14" t="s">
        <v>690</v>
      </c>
      <c r="F189" s="1" t="s">
        <v>691</v>
      </c>
      <c r="G189" s="1">
        <v>12</v>
      </c>
      <c r="H189" s="3" t="s">
        <v>692</v>
      </c>
      <c r="I189" s="1" t="s">
        <v>22</v>
      </c>
      <c r="J189" s="1" t="s">
        <v>688</v>
      </c>
      <c r="K189" s="1" t="s">
        <v>22</v>
      </c>
      <c r="L189" s="1" t="s">
        <v>193</v>
      </c>
      <c r="M189" s="1" t="s">
        <v>201</v>
      </c>
      <c r="N189" s="3" t="s">
        <v>693</v>
      </c>
      <c r="O189" s="6" t="s">
        <v>22</v>
      </c>
      <c r="P189" s="6" t="s">
        <v>1029</v>
      </c>
    </row>
    <row r="190" spans="1:16">
      <c r="A190" s="1" t="s">
        <v>694</v>
      </c>
      <c r="B190" s="1" t="s">
        <v>553</v>
      </c>
      <c r="C190" s="1" t="s">
        <v>212</v>
      </c>
      <c r="D190" s="1" t="s">
        <v>22</v>
      </c>
      <c r="E190" s="14" t="s">
        <v>695</v>
      </c>
      <c r="F190" s="1" t="s">
        <v>695</v>
      </c>
      <c r="G190" s="1">
        <v>12</v>
      </c>
      <c r="H190" s="3" t="s">
        <v>696</v>
      </c>
      <c r="I190" s="1" t="s">
        <v>22</v>
      </c>
      <c r="J190" s="1" t="s">
        <v>688</v>
      </c>
      <c r="K190" s="1" t="s">
        <v>22</v>
      </c>
      <c r="L190" s="1" t="s">
        <v>23</v>
      </c>
      <c r="M190" s="1"/>
      <c r="N190" s="3"/>
      <c r="O190" s="6" t="s">
        <v>1126</v>
      </c>
      <c r="P190" s="6" t="s">
        <v>1032</v>
      </c>
    </row>
    <row r="191" spans="1:16" ht="32">
      <c r="A191" s="1" t="s">
        <v>697</v>
      </c>
      <c r="B191" s="1" t="s">
        <v>553</v>
      </c>
      <c r="C191" s="1" t="s">
        <v>212</v>
      </c>
      <c r="D191" s="1" t="s">
        <v>22</v>
      </c>
      <c r="E191" s="14" t="s">
        <v>698</v>
      </c>
      <c r="F191" s="15" t="s">
        <v>840</v>
      </c>
      <c r="G191" s="15">
        <v>10</v>
      </c>
      <c r="H191" s="3" t="s">
        <v>699</v>
      </c>
      <c r="I191" s="1" t="s">
        <v>109</v>
      </c>
      <c r="J191" s="1" t="s">
        <v>688</v>
      </c>
      <c r="K191" s="1" t="s">
        <v>22</v>
      </c>
      <c r="L191" s="1" t="s">
        <v>193</v>
      </c>
      <c r="M191" s="1" t="s">
        <v>700</v>
      </c>
      <c r="N191" s="3" t="s">
        <v>701</v>
      </c>
      <c r="O191" s="6" t="s">
        <v>1127</v>
      </c>
      <c r="P191" s="6" t="s">
        <v>1028</v>
      </c>
    </row>
    <row r="192" spans="1:16">
      <c r="A192" s="6" t="s">
        <v>897</v>
      </c>
      <c r="B192" s="6" t="s">
        <v>898</v>
      </c>
      <c r="C192" s="6" t="s">
        <v>131</v>
      </c>
      <c r="D192" s="6" t="s">
        <v>30</v>
      </c>
      <c r="E192" s="6" t="s">
        <v>899</v>
      </c>
      <c r="F192" s="6" t="s">
        <v>899</v>
      </c>
      <c r="G192" s="6">
        <v>11</v>
      </c>
      <c r="H192" s="7" t="s">
        <v>900</v>
      </c>
      <c r="I192" s="6" t="s">
        <v>22</v>
      </c>
      <c r="J192" s="6" t="s">
        <v>901</v>
      </c>
      <c r="K192" s="6" t="s">
        <v>22</v>
      </c>
      <c r="L192" s="6" t="s">
        <v>902</v>
      </c>
      <c r="M192" s="6"/>
      <c r="N192" s="7" t="s">
        <v>903</v>
      </c>
      <c r="O192" s="6" t="s">
        <v>1128</v>
      </c>
      <c r="P192" s="6" t="s">
        <v>1032</v>
      </c>
    </row>
    <row r="193" spans="1:16">
      <c r="A193" s="6" t="s">
        <v>904</v>
      </c>
      <c r="B193" s="6" t="s">
        <v>898</v>
      </c>
      <c r="C193" s="6" t="s">
        <v>131</v>
      </c>
      <c r="D193" s="6" t="s">
        <v>34</v>
      </c>
      <c r="E193" s="6" t="s">
        <v>905</v>
      </c>
      <c r="F193" s="6" t="s">
        <v>905</v>
      </c>
      <c r="G193" s="6">
        <v>8</v>
      </c>
      <c r="H193" s="7" t="s">
        <v>906</v>
      </c>
      <c r="I193" s="6" t="s">
        <v>22</v>
      </c>
      <c r="J193" s="6" t="s">
        <v>907</v>
      </c>
      <c r="K193" s="6" t="s">
        <v>22</v>
      </c>
      <c r="L193" s="6" t="s">
        <v>902</v>
      </c>
      <c r="M193" s="6"/>
      <c r="N193" s="7" t="s">
        <v>908</v>
      </c>
      <c r="O193" s="6" t="s">
        <v>1129</v>
      </c>
      <c r="P193" s="6" t="s">
        <v>1032</v>
      </c>
    </row>
    <row r="194" spans="1:16">
      <c r="A194" s="6" t="s">
        <v>909</v>
      </c>
      <c r="B194" s="6" t="s">
        <v>898</v>
      </c>
      <c r="C194" s="6" t="s">
        <v>173</v>
      </c>
      <c r="D194" s="6" t="s">
        <v>34</v>
      </c>
      <c r="E194" s="6" t="s">
        <v>910</v>
      </c>
      <c r="F194" s="6" t="s">
        <v>910</v>
      </c>
      <c r="G194" s="6">
        <v>10</v>
      </c>
      <c r="H194" s="7" t="s">
        <v>911</v>
      </c>
      <c r="I194" s="6" t="s">
        <v>22</v>
      </c>
      <c r="J194" s="6" t="s">
        <v>912</v>
      </c>
      <c r="K194" s="6" t="s">
        <v>22</v>
      </c>
      <c r="L194" s="6" t="s">
        <v>902</v>
      </c>
      <c r="M194" s="6"/>
      <c r="N194" s="7" t="s">
        <v>913</v>
      </c>
      <c r="O194" s="6" t="s">
        <v>1130</v>
      </c>
      <c r="P194" s="6" t="s">
        <v>1032</v>
      </c>
    </row>
    <row r="195" spans="1:16">
      <c r="A195" s="6" t="s">
        <v>914</v>
      </c>
      <c r="B195" s="6" t="s">
        <v>898</v>
      </c>
      <c r="C195" s="6" t="s">
        <v>173</v>
      </c>
      <c r="D195" s="6" t="s">
        <v>34</v>
      </c>
      <c r="E195" s="6" t="s">
        <v>915</v>
      </c>
      <c r="F195" s="6" t="s">
        <v>915</v>
      </c>
      <c r="G195" s="6">
        <v>11</v>
      </c>
      <c r="H195" s="7" t="s">
        <v>916</v>
      </c>
      <c r="I195" s="6" t="s">
        <v>22</v>
      </c>
      <c r="J195" s="6" t="s">
        <v>917</v>
      </c>
      <c r="K195" s="6" t="s">
        <v>22</v>
      </c>
      <c r="L195" s="6" t="s">
        <v>902</v>
      </c>
      <c r="M195" s="6"/>
      <c r="N195" s="7" t="s">
        <v>918</v>
      </c>
      <c r="O195" s="6" t="s">
        <v>1131</v>
      </c>
      <c r="P195" s="6" t="s">
        <v>1032</v>
      </c>
    </row>
    <row r="196" spans="1:16">
      <c r="A196" s="6" t="s">
        <v>919</v>
      </c>
      <c r="B196" s="6" t="s">
        <v>898</v>
      </c>
      <c r="C196" s="6" t="s">
        <v>173</v>
      </c>
      <c r="D196" s="6" t="s">
        <v>30</v>
      </c>
      <c r="E196" s="6" t="s">
        <v>920</v>
      </c>
      <c r="F196" s="6" t="s">
        <v>920</v>
      </c>
      <c r="G196" s="6">
        <v>10</v>
      </c>
      <c r="H196" s="7" t="s">
        <v>921</v>
      </c>
      <c r="I196" s="6" t="s">
        <v>22</v>
      </c>
      <c r="J196" s="6" t="s">
        <v>922</v>
      </c>
      <c r="K196" s="6" t="s">
        <v>22</v>
      </c>
      <c r="L196" s="6" t="s">
        <v>902</v>
      </c>
      <c r="M196" s="6"/>
      <c r="N196" s="7" t="s">
        <v>923</v>
      </c>
      <c r="O196" s="6" t="s">
        <v>1132</v>
      </c>
      <c r="P196" s="6" t="s">
        <v>1032</v>
      </c>
    </row>
    <row r="197" spans="1:16">
      <c r="A197" s="6" t="s">
        <v>924</v>
      </c>
      <c r="B197" s="6" t="s">
        <v>898</v>
      </c>
      <c r="C197" s="6" t="s">
        <v>75</v>
      </c>
      <c r="D197" s="6" t="s">
        <v>30</v>
      </c>
      <c r="E197" s="6" t="s">
        <v>925</v>
      </c>
      <c r="F197" s="6" t="s">
        <v>925</v>
      </c>
      <c r="G197" s="6">
        <v>11</v>
      </c>
      <c r="H197" s="7" t="s">
        <v>926</v>
      </c>
      <c r="I197" s="6" t="s">
        <v>22</v>
      </c>
      <c r="J197" s="6" t="s">
        <v>927</v>
      </c>
      <c r="K197" s="6" t="s">
        <v>22</v>
      </c>
      <c r="L197" s="6" t="s">
        <v>902</v>
      </c>
      <c r="M197" s="6"/>
      <c r="N197" s="7" t="s">
        <v>928</v>
      </c>
      <c r="O197" s="6" t="s">
        <v>1133</v>
      </c>
      <c r="P197" s="6" t="s">
        <v>1032</v>
      </c>
    </row>
    <row r="198" spans="1:16">
      <c r="A198" s="6" t="s">
        <v>929</v>
      </c>
      <c r="B198" s="6" t="s">
        <v>898</v>
      </c>
      <c r="C198" s="6" t="s">
        <v>75</v>
      </c>
      <c r="D198" s="6" t="s">
        <v>30</v>
      </c>
      <c r="E198" s="6" t="s">
        <v>930</v>
      </c>
      <c r="F198" s="6" t="s">
        <v>930</v>
      </c>
      <c r="G198" s="6">
        <v>10</v>
      </c>
      <c r="H198" s="7" t="s">
        <v>931</v>
      </c>
      <c r="I198" s="6" t="s">
        <v>22</v>
      </c>
      <c r="J198" s="6" t="s">
        <v>927</v>
      </c>
      <c r="K198" s="6" t="s">
        <v>22</v>
      </c>
      <c r="L198" s="6" t="s">
        <v>902</v>
      </c>
      <c r="M198" s="6"/>
      <c r="N198" s="7" t="s">
        <v>932</v>
      </c>
      <c r="O198" s="6" t="s">
        <v>1134</v>
      </c>
      <c r="P198" s="6" t="s">
        <v>1032</v>
      </c>
    </row>
    <row r="199" spans="1:16">
      <c r="A199" s="6" t="s">
        <v>933</v>
      </c>
      <c r="B199" s="6" t="s">
        <v>898</v>
      </c>
      <c r="C199" s="6" t="s">
        <v>153</v>
      </c>
      <c r="D199" s="6" t="s">
        <v>30</v>
      </c>
      <c r="E199" s="6" t="s">
        <v>934</v>
      </c>
      <c r="F199" s="6" t="s">
        <v>934</v>
      </c>
      <c r="G199" s="6">
        <v>12</v>
      </c>
      <c r="H199" s="7" t="s">
        <v>935</v>
      </c>
      <c r="I199" s="6" t="s">
        <v>22</v>
      </c>
      <c r="J199" s="6" t="s">
        <v>936</v>
      </c>
      <c r="K199" s="6" t="s">
        <v>22</v>
      </c>
      <c r="L199" s="6" t="s">
        <v>902</v>
      </c>
      <c r="M199" s="6"/>
      <c r="N199" s="7" t="s">
        <v>937</v>
      </c>
      <c r="O199" s="6" t="s">
        <v>1135</v>
      </c>
      <c r="P199" s="6" t="s">
        <v>1032</v>
      </c>
    </row>
    <row r="200" spans="1:16">
      <c r="A200" s="6" t="s">
        <v>938</v>
      </c>
      <c r="B200" s="6" t="s">
        <v>898</v>
      </c>
      <c r="C200" s="6" t="s">
        <v>57</v>
      </c>
      <c r="D200" s="6" t="s">
        <v>30</v>
      </c>
      <c r="E200" s="6" t="s">
        <v>939</v>
      </c>
      <c r="F200" s="6" t="s">
        <v>939</v>
      </c>
      <c r="G200" s="6">
        <v>12</v>
      </c>
      <c r="H200" s="7" t="s">
        <v>940</v>
      </c>
      <c r="I200" s="6" t="s">
        <v>22</v>
      </c>
      <c r="J200" s="6" t="s">
        <v>941</v>
      </c>
      <c r="K200" s="6" t="s">
        <v>22</v>
      </c>
      <c r="L200" s="6" t="s">
        <v>902</v>
      </c>
      <c r="M200" s="6"/>
      <c r="N200" s="7" t="s">
        <v>942</v>
      </c>
      <c r="O200" s="6" t="s">
        <v>1136</v>
      </c>
      <c r="P200" s="6" t="s">
        <v>1032</v>
      </c>
    </row>
    <row r="201" spans="1:16">
      <c r="A201" s="6" t="s">
        <v>943</v>
      </c>
      <c r="B201" s="6" t="s">
        <v>898</v>
      </c>
      <c r="C201" s="6" t="s">
        <v>106</v>
      </c>
      <c r="D201" s="6" t="s">
        <v>17</v>
      </c>
      <c r="E201" s="6" t="s">
        <v>944</v>
      </c>
      <c r="F201" s="6" t="s">
        <v>944</v>
      </c>
      <c r="G201" s="6">
        <v>12</v>
      </c>
      <c r="H201" s="7" t="s">
        <v>945</v>
      </c>
      <c r="I201" s="6" t="s">
        <v>22</v>
      </c>
      <c r="J201" s="6" t="s">
        <v>907</v>
      </c>
      <c r="K201" s="6" t="s">
        <v>22</v>
      </c>
      <c r="L201" s="6" t="s">
        <v>902</v>
      </c>
      <c r="M201" s="6"/>
      <c r="N201" s="7" t="s">
        <v>946</v>
      </c>
      <c r="O201" s="6" t="s">
        <v>1137</v>
      </c>
      <c r="P201" s="6" t="s">
        <v>1032</v>
      </c>
    </row>
    <row r="202" spans="1:16">
      <c r="A202" s="6" t="s">
        <v>947</v>
      </c>
      <c r="B202" s="6" t="s">
        <v>898</v>
      </c>
      <c r="C202" s="6" t="s">
        <v>106</v>
      </c>
      <c r="D202" s="6" t="s">
        <v>17</v>
      </c>
      <c r="E202" s="6" t="s">
        <v>948</v>
      </c>
      <c r="F202" s="6" t="s">
        <v>948</v>
      </c>
      <c r="G202" s="6">
        <v>11</v>
      </c>
      <c r="H202" s="7" t="s">
        <v>949</v>
      </c>
      <c r="I202" s="6" t="s">
        <v>22</v>
      </c>
      <c r="J202" s="6" t="s">
        <v>901</v>
      </c>
      <c r="K202" s="6" t="s">
        <v>22</v>
      </c>
      <c r="L202" s="6" t="s">
        <v>902</v>
      </c>
      <c r="M202" s="6"/>
      <c r="N202" s="7" t="s">
        <v>950</v>
      </c>
      <c r="O202" s="6" t="s">
        <v>1138</v>
      </c>
      <c r="P202" s="6" t="s">
        <v>1032</v>
      </c>
    </row>
    <row r="203" spans="1:16">
      <c r="A203" s="6" t="s">
        <v>951</v>
      </c>
      <c r="B203" s="6" t="s">
        <v>898</v>
      </c>
      <c r="C203" s="6" t="s">
        <v>106</v>
      </c>
      <c r="D203" s="6" t="s">
        <v>30</v>
      </c>
      <c r="E203" s="6" t="s">
        <v>952</v>
      </c>
      <c r="F203" s="6" t="s">
        <v>952</v>
      </c>
      <c r="G203" s="6">
        <v>10</v>
      </c>
      <c r="H203" s="7" t="s">
        <v>953</v>
      </c>
      <c r="I203" s="6" t="s">
        <v>109</v>
      </c>
      <c r="J203" s="6" t="s">
        <v>907</v>
      </c>
      <c r="K203" s="6" t="s">
        <v>22</v>
      </c>
      <c r="L203" s="6" t="s">
        <v>902</v>
      </c>
      <c r="M203" s="6"/>
      <c r="N203" s="7" t="s">
        <v>954</v>
      </c>
      <c r="O203" s="6" t="s">
        <v>1139</v>
      </c>
      <c r="P203" s="6" t="s">
        <v>1032</v>
      </c>
    </row>
    <row r="204" spans="1:16">
      <c r="A204" s="6" t="s">
        <v>955</v>
      </c>
      <c r="B204" s="6" t="s">
        <v>898</v>
      </c>
      <c r="C204" s="6" t="s">
        <v>106</v>
      </c>
      <c r="D204" s="6" t="s">
        <v>34</v>
      </c>
      <c r="E204" s="6" t="s">
        <v>956</v>
      </c>
      <c r="F204" s="6" t="s">
        <v>956</v>
      </c>
      <c r="G204" s="6">
        <v>10</v>
      </c>
      <c r="H204" s="7" t="s">
        <v>957</v>
      </c>
      <c r="I204" s="6" t="s">
        <v>109</v>
      </c>
      <c r="J204" s="6" t="s">
        <v>901</v>
      </c>
      <c r="K204" s="6" t="s">
        <v>22</v>
      </c>
      <c r="L204" s="6" t="s">
        <v>902</v>
      </c>
      <c r="M204" s="6"/>
      <c r="N204" s="7" t="s">
        <v>958</v>
      </c>
      <c r="O204" s="6" t="s">
        <v>1140</v>
      </c>
      <c r="P204" s="6" t="s">
        <v>1032</v>
      </c>
    </row>
    <row r="205" spans="1:16">
      <c r="A205" s="6" t="s">
        <v>959</v>
      </c>
      <c r="B205" s="6" t="s">
        <v>898</v>
      </c>
      <c r="C205" s="6" t="s">
        <v>131</v>
      </c>
      <c r="D205" s="6" t="s">
        <v>30</v>
      </c>
      <c r="E205" s="6" t="s">
        <v>960</v>
      </c>
      <c r="F205" s="6" t="s">
        <v>960</v>
      </c>
      <c r="G205" s="6">
        <v>10</v>
      </c>
      <c r="H205" s="7" t="s">
        <v>961</v>
      </c>
      <c r="I205" s="6" t="s">
        <v>22</v>
      </c>
      <c r="J205" s="6" t="s">
        <v>901</v>
      </c>
      <c r="K205" s="6" t="s">
        <v>22</v>
      </c>
      <c r="L205" s="6" t="s">
        <v>902</v>
      </c>
      <c r="M205" s="6"/>
      <c r="N205" s="7" t="s">
        <v>962</v>
      </c>
      <c r="O205" s="6" t="s">
        <v>1141</v>
      </c>
      <c r="P205" s="6" t="s">
        <v>1032</v>
      </c>
    </row>
    <row r="206" spans="1:16">
      <c r="A206" s="6" t="s">
        <v>963</v>
      </c>
      <c r="B206" s="6" t="s">
        <v>898</v>
      </c>
      <c r="C206" s="6" t="s">
        <v>173</v>
      </c>
      <c r="D206" s="6" t="s">
        <v>34</v>
      </c>
      <c r="E206" s="6" t="s">
        <v>964</v>
      </c>
      <c r="F206" s="6" t="s">
        <v>964</v>
      </c>
      <c r="G206" s="6">
        <v>10</v>
      </c>
      <c r="H206" s="7" t="s">
        <v>965</v>
      </c>
      <c r="I206" s="6" t="s">
        <v>22</v>
      </c>
      <c r="J206" s="6" t="s">
        <v>922</v>
      </c>
      <c r="K206" s="6" t="s">
        <v>22</v>
      </c>
      <c r="L206" s="6" t="s">
        <v>902</v>
      </c>
      <c r="M206" s="6"/>
      <c r="N206" s="7" t="s">
        <v>966</v>
      </c>
      <c r="O206" s="6" t="s">
        <v>1142</v>
      </c>
      <c r="P206" s="6" t="s">
        <v>1032</v>
      </c>
    </row>
    <row r="207" spans="1:16">
      <c r="A207" s="6" t="s">
        <v>967</v>
      </c>
      <c r="B207" s="6" t="s">
        <v>898</v>
      </c>
      <c r="C207" s="6" t="s">
        <v>173</v>
      </c>
      <c r="D207" s="6" t="s">
        <v>30</v>
      </c>
      <c r="E207" s="6" t="s">
        <v>968</v>
      </c>
      <c r="F207" s="6" t="s">
        <v>968</v>
      </c>
      <c r="G207" s="6">
        <v>9</v>
      </c>
      <c r="H207" s="7" t="s">
        <v>969</v>
      </c>
      <c r="I207" s="6" t="s">
        <v>22</v>
      </c>
      <c r="J207" s="6" t="s">
        <v>970</v>
      </c>
      <c r="K207" s="6" t="s">
        <v>22</v>
      </c>
      <c r="L207" s="6" t="s">
        <v>902</v>
      </c>
      <c r="M207" s="6"/>
      <c r="N207" s="7" t="s">
        <v>971</v>
      </c>
      <c r="O207" s="6" t="s">
        <v>1143</v>
      </c>
      <c r="P207" s="6" t="s">
        <v>1032</v>
      </c>
    </row>
    <row r="208" spans="1:16">
      <c r="A208" s="6" t="s">
        <v>972</v>
      </c>
      <c r="B208" s="6" t="s">
        <v>898</v>
      </c>
      <c r="C208" s="6" t="s">
        <v>173</v>
      </c>
      <c r="D208" s="6" t="s">
        <v>30</v>
      </c>
      <c r="E208" s="6" t="s">
        <v>973</v>
      </c>
      <c r="F208" s="6" t="s">
        <v>973</v>
      </c>
      <c r="G208" s="6">
        <v>10</v>
      </c>
      <c r="H208" s="7" t="s">
        <v>974</v>
      </c>
      <c r="I208" s="6" t="s">
        <v>22</v>
      </c>
      <c r="J208" s="6" t="s">
        <v>917</v>
      </c>
      <c r="K208" s="6" t="s">
        <v>22</v>
      </c>
      <c r="L208" s="6" t="s">
        <v>902</v>
      </c>
      <c r="M208" s="6"/>
      <c r="N208" s="7" t="s">
        <v>975</v>
      </c>
      <c r="O208" s="6" t="s">
        <v>1144</v>
      </c>
      <c r="P208" s="6" t="s">
        <v>1032</v>
      </c>
    </row>
    <row r="209" spans="1:16">
      <c r="A209" s="6" t="s">
        <v>976</v>
      </c>
      <c r="B209" s="6" t="s">
        <v>898</v>
      </c>
      <c r="C209" s="6" t="s">
        <v>173</v>
      </c>
      <c r="D209" s="6" t="s">
        <v>34</v>
      </c>
      <c r="E209" s="6" t="s">
        <v>977</v>
      </c>
      <c r="F209" s="6" t="s">
        <v>977</v>
      </c>
      <c r="G209" s="6">
        <v>11</v>
      </c>
      <c r="H209" s="7" t="s">
        <v>978</v>
      </c>
      <c r="I209" s="6" t="s">
        <v>22</v>
      </c>
      <c r="J209" s="6" t="s">
        <v>917</v>
      </c>
      <c r="K209" s="6" t="s">
        <v>22</v>
      </c>
      <c r="L209" s="6" t="s">
        <v>902</v>
      </c>
      <c r="M209" s="6"/>
      <c r="N209" s="7" t="s">
        <v>979</v>
      </c>
      <c r="O209" s="6" t="s">
        <v>1145</v>
      </c>
      <c r="P209" s="6" t="s">
        <v>1032</v>
      </c>
    </row>
    <row r="210" spans="1:16">
      <c r="A210" s="6" t="s">
        <v>980</v>
      </c>
      <c r="B210" s="6" t="s">
        <v>898</v>
      </c>
      <c r="C210" s="6" t="s">
        <v>173</v>
      </c>
      <c r="D210" s="6" t="s">
        <v>17</v>
      </c>
      <c r="E210" s="6" t="s">
        <v>981</v>
      </c>
      <c r="F210" s="6" t="s">
        <v>981</v>
      </c>
      <c r="G210" s="6">
        <v>8</v>
      </c>
      <c r="H210" s="7" t="s">
        <v>982</v>
      </c>
      <c r="I210" s="6" t="s">
        <v>22</v>
      </c>
      <c r="J210" s="6" t="s">
        <v>917</v>
      </c>
      <c r="K210" s="6" t="s">
        <v>22</v>
      </c>
      <c r="L210" s="6" t="s">
        <v>902</v>
      </c>
      <c r="M210" s="6"/>
      <c r="N210" s="7" t="s">
        <v>983</v>
      </c>
      <c r="O210" s="6" t="s">
        <v>1146</v>
      </c>
      <c r="P210" s="6" t="s">
        <v>1032</v>
      </c>
    </row>
    <row r="211" spans="1:16">
      <c r="A211" s="6" t="s">
        <v>984</v>
      </c>
      <c r="B211" s="6" t="s">
        <v>898</v>
      </c>
      <c r="C211" s="6" t="s">
        <v>153</v>
      </c>
      <c r="D211" s="6" t="s">
        <v>30</v>
      </c>
      <c r="E211" s="6" t="s">
        <v>985</v>
      </c>
      <c r="F211" s="6" t="s">
        <v>985</v>
      </c>
      <c r="G211" s="6">
        <v>10</v>
      </c>
      <c r="H211" s="7" t="s">
        <v>986</v>
      </c>
      <c r="I211" s="6" t="s">
        <v>22</v>
      </c>
      <c r="J211" s="6" t="s">
        <v>987</v>
      </c>
      <c r="K211" s="6" t="s">
        <v>22</v>
      </c>
      <c r="L211" s="6" t="s">
        <v>902</v>
      </c>
      <c r="M211" s="6"/>
      <c r="N211" s="7" t="s">
        <v>988</v>
      </c>
      <c r="O211" s="6" t="s">
        <v>1147</v>
      </c>
      <c r="P211" s="6" t="s">
        <v>1032</v>
      </c>
    </row>
    <row r="212" spans="1:16">
      <c r="A212" s="6" t="s">
        <v>989</v>
      </c>
      <c r="B212" s="6" t="s">
        <v>898</v>
      </c>
      <c r="C212" s="6" t="s">
        <v>75</v>
      </c>
      <c r="D212" s="6" t="s">
        <v>30</v>
      </c>
      <c r="E212" s="6" t="s">
        <v>990</v>
      </c>
      <c r="F212" s="6" t="s">
        <v>990</v>
      </c>
      <c r="G212" s="6">
        <v>11</v>
      </c>
      <c r="H212" s="7" t="s">
        <v>991</v>
      </c>
      <c r="I212" s="6" t="s">
        <v>22</v>
      </c>
      <c r="J212" s="6" t="s">
        <v>927</v>
      </c>
      <c r="K212" s="6" t="s">
        <v>22</v>
      </c>
      <c r="L212" s="6" t="s">
        <v>902</v>
      </c>
      <c r="M212" s="6"/>
      <c r="N212" s="7" t="s">
        <v>992</v>
      </c>
      <c r="O212" s="6" t="s">
        <v>1148</v>
      </c>
      <c r="P212" s="6" t="s">
        <v>1032</v>
      </c>
    </row>
    <row r="213" spans="1:16">
      <c r="A213" s="6" t="s">
        <v>993</v>
      </c>
      <c r="B213" s="6" t="s">
        <v>898</v>
      </c>
      <c r="C213" s="6" t="s">
        <v>75</v>
      </c>
      <c r="D213" s="6" t="s">
        <v>17</v>
      </c>
      <c r="E213" s="6" t="s">
        <v>994</v>
      </c>
      <c r="F213" s="6" t="s">
        <v>994</v>
      </c>
      <c r="G213" s="6">
        <v>11</v>
      </c>
      <c r="H213" s="7" t="s">
        <v>995</v>
      </c>
      <c r="I213" s="6" t="s">
        <v>22</v>
      </c>
      <c r="J213" s="6" t="s">
        <v>927</v>
      </c>
      <c r="K213" s="6" t="s">
        <v>22</v>
      </c>
      <c r="L213" s="6" t="s">
        <v>902</v>
      </c>
      <c r="M213" s="6"/>
      <c r="N213" s="7" t="s">
        <v>996</v>
      </c>
      <c r="O213" s="6" t="s">
        <v>1149</v>
      </c>
      <c r="P213" s="6" t="s">
        <v>1032</v>
      </c>
    </row>
    <row r="214" spans="1:16">
      <c r="A214" s="6" t="s">
        <v>997</v>
      </c>
      <c r="B214" s="6" t="s">
        <v>898</v>
      </c>
      <c r="C214" s="6" t="s">
        <v>57</v>
      </c>
      <c r="D214" s="6" t="s">
        <v>30</v>
      </c>
      <c r="E214" s="6" t="s">
        <v>998</v>
      </c>
      <c r="F214" s="6" t="s">
        <v>998</v>
      </c>
      <c r="G214" s="6">
        <v>11</v>
      </c>
      <c r="H214" s="7" t="s">
        <v>999</v>
      </c>
      <c r="I214" s="6" t="s">
        <v>22</v>
      </c>
      <c r="J214" s="6" t="s">
        <v>941</v>
      </c>
      <c r="K214" s="6" t="s">
        <v>22</v>
      </c>
      <c r="L214" s="6" t="s">
        <v>902</v>
      </c>
      <c r="M214" s="6"/>
      <c r="N214" s="7" t="s">
        <v>1000</v>
      </c>
      <c r="O214" s="6" t="s">
        <v>1150</v>
      </c>
      <c r="P214" s="6" t="s">
        <v>1032</v>
      </c>
    </row>
    <row r="215" spans="1:16">
      <c r="A215" s="6" t="s">
        <v>1001</v>
      </c>
      <c r="B215" s="6" t="s">
        <v>898</v>
      </c>
      <c r="C215" s="6" t="s">
        <v>39</v>
      </c>
      <c r="D215" s="6" t="s">
        <v>30</v>
      </c>
      <c r="E215" s="6" t="s">
        <v>1002</v>
      </c>
      <c r="F215" s="6" t="s">
        <v>1002</v>
      </c>
      <c r="G215" s="6">
        <v>8</v>
      </c>
      <c r="H215" s="7" t="s">
        <v>1003</v>
      </c>
      <c r="I215" s="6" t="s">
        <v>22</v>
      </c>
      <c r="J215" s="6" t="s">
        <v>917</v>
      </c>
      <c r="K215" s="6" t="s">
        <v>22</v>
      </c>
      <c r="L215" s="6" t="s">
        <v>902</v>
      </c>
      <c r="M215" s="6"/>
      <c r="N215" s="7" t="s">
        <v>1004</v>
      </c>
      <c r="O215" s="6" t="s">
        <v>1151</v>
      </c>
      <c r="P215" s="6" t="s">
        <v>1032</v>
      </c>
    </row>
    <row r="216" spans="1:16">
      <c r="A216" s="6" t="s">
        <v>1005</v>
      </c>
      <c r="B216" s="6" t="s">
        <v>898</v>
      </c>
      <c r="C216" s="6" t="s">
        <v>106</v>
      </c>
      <c r="D216" s="6" t="s">
        <v>17</v>
      </c>
      <c r="E216" s="6" t="s">
        <v>1006</v>
      </c>
      <c r="F216" s="6" t="s">
        <v>1006</v>
      </c>
      <c r="G216" s="6">
        <v>10</v>
      </c>
      <c r="H216" s="7" t="s">
        <v>1007</v>
      </c>
      <c r="I216" s="6" t="s">
        <v>22</v>
      </c>
      <c r="J216" s="6" t="s">
        <v>901</v>
      </c>
      <c r="K216" s="6" t="s">
        <v>22</v>
      </c>
      <c r="L216" s="6" t="s">
        <v>902</v>
      </c>
      <c r="M216" s="6"/>
      <c r="N216" s="7" t="s">
        <v>1008</v>
      </c>
      <c r="O216" s="6" t="s">
        <v>1152</v>
      </c>
      <c r="P216" s="6" t="s">
        <v>1032</v>
      </c>
    </row>
    <row r="217" spans="1:16">
      <c r="A217" s="6" t="s">
        <v>1009</v>
      </c>
      <c r="B217" s="6" t="s">
        <v>898</v>
      </c>
      <c r="C217" s="6" t="s">
        <v>106</v>
      </c>
      <c r="D217" s="6" t="s">
        <v>30</v>
      </c>
      <c r="E217" s="6" t="s">
        <v>1010</v>
      </c>
      <c r="F217" s="6" t="s">
        <v>1010</v>
      </c>
      <c r="G217" s="6">
        <v>10</v>
      </c>
      <c r="H217" s="7" t="s">
        <v>1011</v>
      </c>
      <c r="I217" s="6" t="s">
        <v>22</v>
      </c>
      <c r="J217" s="6" t="s">
        <v>907</v>
      </c>
      <c r="K217" s="6" t="s">
        <v>22</v>
      </c>
      <c r="L217" s="6" t="s">
        <v>902</v>
      </c>
      <c r="M217" s="6"/>
      <c r="N217" s="7" t="s">
        <v>1012</v>
      </c>
      <c r="O217" s="6" t="s">
        <v>1153</v>
      </c>
      <c r="P217" s="6" t="s">
        <v>1032</v>
      </c>
    </row>
    <row r="218" spans="1:16">
      <c r="A218" s="6" t="s">
        <v>1013</v>
      </c>
      <c r="B218" s="6" t="s">
        <v>898</v>
      </c>
      <c r="C218" s="6" t="s">
        <v>106</v>
      </c>
      <c r="D218" s="6" t="s">
        <v>30</v>
      </c>
      <c r="E218" s="6" t="s">
        <v>1014</v>
      </c>
      <c r="F218" s="6" t="s">
        <v>1014</v>
      </c>
      <c r="G218" s="6">
        <v>10</v>
      </c>
      <c r="H218" s="7" t="s">
        <v>1015</v>
      </c>
      <c r="I218" s="6" t="s">
        <v>109</v>
      </c>
      <c r="J218" s="6" t="s">
        <v>907</v>
      </c>
      <c r="K218" s="6" t="s">
        <v>22</v>
      </c>
      <c r="L218" s="6" t="s">
        <v>902</v>
      </c>
      <c r="M218" s="6"/>
      <c r="N218" s="7" t="s">
        <v>1016</v>
      </c>
      <c r="O218" s="6" t="s">
        <v>1154</v>
      </c>
      <c r="P218" s="6" t="s">
        <v>1032</v>
      </c>
    </row>
    <row r="219" spans="1:16">
      <c r="A219" s="6" t="s">
        <v>1017</v>
      </c>
      <c r="B219" s="6" t="s">
        <v>898</v>
      </c>
      <c r="C219" s="6" t="s">
        <v>153</v>
      </c>
      <c r="D219" s="6" t="s">
        <v>34</v>
      </c>
      <c r="E219" s="6" t="s">
        <v>1018</v>
      </c>
      <c r="F219" s="6" t="s">
        <v>1018</v>
      </c>
      <c r="G219" s="6">
        <v>11</v>
      </c>
      <c r="H219" s="7" t="s">
        <v>1019</v>
      </c>
      <c r="I219" s="6" t="s">
        <v>22</v>
      </c>
      <c r="J219" s="6" t="s">
        <v>987</v>
      </c>
      <c r="K219" s="6" t="s">
        <v>22</v>
      </c>
      <c r="L219" s="6" t="s">
        <v>902</v>
      </c>
      <c r="M219" s="6"/>
      <c r="N219" s="7" t="s">
        <v>1020</v>
      </c>
      <c r="O219" s="6" t="s">
        <v>1155</v>
      </c>
      <c r="P219" s="6" t="s">
        <v>1032</v>
      </c>
    </row>
    <row r="220" spans="1:16">
      <c r="A220" s="6" t="s">
        <v>1021</v>
      </c>
      <c r="B220" s="6" t="s">
        <v>898</v>
      </c>
      <c r="C220" s="6" t="s">
        <v>173</v>
      </c>
      <c r="D220" s="6" t="s">
        <v>17</v>
      </c>
      <c r="E220" s="6" t="s">
        <v>1022</v>
      </c>
      <c r="F220" s="6" t="s">
        <v>1022</v>
      </c>
      <c r="G220" s="6">
        <v>7</v>
      </c>
      <c r="H220" s="7" t="s">
        <v>1023</v>
      </c>
      <c r="I220" s="6" t="s">
        <v>22</v>
      </c>
      <c r="J220" s="6" t="s">
        <v>917</v>
      </c>
      <c r="K220" s="6" t="s">
        <v>22</v>
      </c>
      <c r="L220" s="6" t="s">
        <v>902</v>
      </c>
      <c r="M220" s="6"/>
      <c r="N220" s="7" t="s">
        <v>1024</v>
      </c>
      <c r="O220" s="6" t="s">
        <v>1156</v>
      </c>
      <c r="P220" s="6" t="s">
        <v>1032</v>
      </c>
    </row>
    <row r="221" spans="1:16" ht="48">
      <c r="A221" s="6" t="s">
        <v>1159</v>
      </c>
      <c r="B221" s="6" t="s">
        <v>1160</v>
      </c>
      <c r="C221" s="6" t="s">
        <v>196</v>
      </c>
      <c r="D221" s="6" t="s">
        <v>197</v>
      </c>
      <c r="E221" s="6" t="s">
        <v>1161</v>
      </c>
      <c r="F221" s="6" t="s">
        <v>1161</v>
      </c>
      <c r="G221" s="6">
        <v>13</v>
      </c>
      <c r="H221" s="7" t="s">
        <v>1162</v>
      </c>
      <c r="I221" s="6" t="s">
        <v>22</v>
      </c>
      <c r="J221" s="6" t="s">
        <v>1181</v>
      </c>
      <c r="K221" s="6" t="s">
        <v>22</v>
      </c>
      <c r="L221" s="6" t="s">
        <v>1180</v>
      </c>
      <c r="M221" s="6"/>
      <c r="N221" s="7" t="s">
        <v>1182</v>
      </c>
      <c r="O221" s="6" t="s">
        <v>1183</v>
      </c>
      <c r="P221" s="6" t="s">
        <v>1184</v>
      </c>
    </row>
    <row r="222" spans="1:16" ht="48">
      <c r="A222" s="6" t="s">
        <v>1163</v>
      </c>
      <c r="B222" s="6" t="s">
        <v>1160</v>
      </c>
      <c r="C222" s="6" t="s">
        <v>196</v>
      </c>
      <c r="D222" s="6" t="s">
        <v>197</v>
      </c>
      <c r="E222" s="6" t="s">
        <v>1164</v>
      </c>
      <c r="F222" s="6" t="s">
        <v>1164</v>
      </c>
      <c r="G222" s="6">
        <v>11</v>
      </c>
      <c r="H222" s="7" t="s">
        <v>1165</v>
      </c>
      <c r="I222" s="6" t="s">
        <v>22</v>
      </c>
      <c r="J222" s="6" t="s">
        <v>1185</v>
      </c>
      <c r="K222" s="6" t="s">
        <v>22</v>
      </c>
      <c r="L222" s="6" t="s">
        <v>1180</v>
      </c>
      <c r="M222" s="6"/>
      <c r="N222" s="7" t="s">
        <v>1186</v>
      </c>
      <c r="O222" s="6" t="s">
        <v>1187</v>
      </c>
      <c r="P222" s="6" t="s">
        <v>1184</v>
      </c>
    </row>
    <row r="223" spans="1:16" ht="48">
      <c r="A223" s="6" t="s">
        <v>1166</v>
      </c>
      <c r="B223" s="6" t="s">
        <v>1160</v>
      </c>
      <c r="C223" s="6" t="s">
        <v>196</v>
      </c>
      <c r="D223" s="6" t="s">
        <v>197</v>
      </c>
      <c r="E223" s="6" t="s">
        <v>1167</v>
      </c>
      <c r="F223" s="6" t="s">
        <v>1167</v>
      </c>
      <c r="G223" s="6">
        <v>13</v>
      </c>
      <c r="H223" s="7" t="s">
        <v>1168</v>
      </c>
      <c r="I223" s="6" t="s">
        <v>1169</v>
      </c>
      <c r="J223" s="6" t="s">
        <v>987</v>
      </c>
      <c r="K223" s="6" t="s">
        <v>22</v>
      </c>
      <c r="L223" s="6" t="s">
        <v>23</v>
      </c>
      <c r="M223" s="6"/>
      <c r="N223" s="7" t="s">
        <v>1170</v>
      </c>
      <c r="O223" s="6" t="s">
        <v>1171</v>
      </c>
      <c r="P223" s="6" t="s">
        <v>1032</v>
      </c>
    </row>
    <row r="224" spans="1:16" ht="48">
      <c r="A224" s="6" t="s">
        <v>1172</v>
      </c>
      <c r="B224" s="6" t="s">
        <v>1160</v>
      </c>
      <c r="C224" s="6" t="s">
        <v>196</v>
      </c>
      <c r="D224" s="6" t="s">
        <v>197</v>
      </c>
      <c r="E224" s="6" t="s">
        <v>1173</v>
      </c>
      <c r="F224" s="6" t="s">
        <v>1173</v>
      </c>
      <c r="G224" s="6">
        <v>14</v>
      </c>
      <c r="H224" s="7" t="s">
        <v>1174</v>
      </c>
      <c r="I224" s="6" t="s">
        <v>1169</v>
      </c>
      <c r="J224" s="6" t="s">
        <v>987</v>
      </c>
      <c r="K224" s="6" t="s">
        <v>22</v>
      </c>
      <c r="L224" s="6" t="s">
        <v>23</v>
      </c>
      <c r="M224" s="6"/>
      <c r="N224" s="7" t="s">
        <v>1170</v>
      </c>
      <c r="O224" s="6" t="s">
        <v>1175</v>
      </c>
      <c r="P224" s="6" t="s">
        <v>1032</v>
      </c>
    </row>
    <row r="225" spans="1:16" ht="48">
      <c r="A225" s="6" t="s">
        <v>1176</v>
      </c>
      <c r="B225" s="6" t="s">
        <v>1160</v>
      </c>
      <c r="C225" s="6" t="s">
        <v>196</v>
      </c>
      <c r="D225" s="6" t="s">
        <v>197</v>
      </c>
      <c r="E225" s="6" t="s">
        <v>1177</v>
      </c>
      <c r="F225" s="6" t="s">
        <v>1177</v>
      </c>
      <c r="G225" s="6">
        <v>15</v>
      </c>
      <c r="H225" s="7" t="s">
        <v>1178</v>
      </c>
      <c r="I225" s="6" t="s">
        <v>1169</v>
      </c>
      <c r="J225" s="6" t="s">
        <v>987</v>
      </c>
      <c r="K225" s="6" t="s">
        <v>22</v>
      </c>
      <c r="L225" s="6" t="s">
        <v>23</v>
      </c>
      <c r="M225" s="6"/>
      <c r="N225" s="7" t="s">
        <v>1170</v>
      </c>
      <c r="O225" s="6" t="s">
        <v>1179</v>
      </c>
      <c r="P225" s="6" t="s">
        <v>1032</v>
      </c>
    </row>
    <row r="226" spans="1:16" ht="32">
      <c r="A226" s="16" t="s">
        <v>1188</v>
      </c>
      <c r="B226" s="16" t="s">
        <v>1189</v>
      </c>
      <c r="C226" s="16" t="s">
        <v>16</v>
      </c>
      <c r="D226" s="16" t="s">
        <v>17</v>
      </c>
      <c r="E226" s="16" t="s">
        <v>1190</v>
      </c>
      <c r="F226" s="16" t="s">
        <v>1191</v>
      </c>
      <c r="G226" s="16">
        <f t="shared" ref="G226:G289" si="0">LEN(F226)</f>
        <v>12</v>
      </c>
      <c r="H226" s="17" t="s">
        <v>1192</v>
      </c>
      <c r="I226" s="16" t="s">
        <v>109</v>
      </c>
      <c r="J226" s="16" t="s">
        <v>901</v>
      </c>
      <c r="K226" s="16" t="s">
        <v>22</v>
      </c>
      <c r="L226" s="16" t="s">
        <v>23</v>
      </c>
      <c r="M226" s="16"/>
      <c r="N226" s="17" t="s">
        <v>1193</v>
      </c>
      <c r="O226" s="16" t="s">
        <v>1194</v>
      </c>
      <c r="P226" s="16" t="s">
        <v>1195</v>
      </c>
    </row>
    <row r="227" spans="1:16" ht="32">
      <c r="A227" s="16" t="s">
        <v>1196</v>
      </c>
      <c r="B227" s="16" t="s">
        <v>1189</v>
      </c>
      <c r="C227" s="16" t="s">
        <v>16</v>
      </c>
      <c r="D227" s="16" t="s">
        <v>17</v>
      </c>
      <c r="E227" s="16" t="s">
        <v>1197</v>
      </c>
      <c r="F227" s="16" t="s">
        <v>1198</v>
      </c>
      <c r="G227" s="16">
        <f t="shared" si="0"/>
        <v>10</v>
      </c>
      <c r="H227" s="17" t="s">
        <v>1199</v>
      </c>
      <c r="I227" s="16" t="s">
        <v>109</v>
      </c>
      <c r="J227" s="16" t="s">
        <v>901</v>
      </c>
      <c r="K227" s="16" t="s">
        <v>22</v>
      </c>
      <c r="L227" s="16" t="s">
        <v>23</v>
      </c>
      <c r="M227" s="16"/>
      <c r="N227" s="17" t="s">
        <v>1200</v>
      </c>
      <c r="O227" s="16" t="s">
        <v>1201</v>
      </c>
      <c r="P227" s="16" t="s">
        <v>1195</v>
      </c>
    </row>
    <row r="228" spans="1:16" ht="32">
      <c r="A228" s="16" t="s">
        <v>1202</v>
      </c>
      <c r="B228" s="16" t="s">
        <v>1189</v>
      </c>
      <c r="C228" s="16" t="s">
        <v>39</v>
      </c>
      <c r="D228" s="16" t="s">
        <v>17</v>
      </c>
      <c r="E228" s="16" t="s">
        <v>1203</v>
      </c>
      <c r="F228" s="16" t="s">
        <v>1204</v>
      </c>
      <c r="G228" s="16">
        <f t="shared" si="0"/>
        <v>11</v>
      </c>
      <c r="H228" s="17" t="s">
        <v>1205</v>
      </c>
      <c r="I228" s="16" t="s">
        <v>109</v>
      </c>
      <c r="J228" s="16" t="s">
        <v>1206</v>
      </c>
      <c r="K228" s="16" t="s">
        <v>22</v>
      </c>
      <c r="L228" s="16" t="s">
        <v>23</v>
      </c>
      <c r="M228" s="16"/>
      <c r="N228" s="17" t="s">
        <v>1207</v>
      </c>
      <c r="O228" s="16" t="s">
        <v>1208</v>
      </c>
      <c r="P228" s="16" t="s">
        <v>1195</v>
      </c>
    </row>
    <row r="229" spans="1:16" ht="32">
      <c r="A229" s="16" t="s">
        <v>1209</v>
      </c>
      <c r="B229" s="16" t="s">
        <v>1189</v>
      </c>
      <c r="C229" s="16" t="s">
        <v>39</v>
      </c>
      <c r="D229" s="16" t="s">
        <v>30</v>
      </c>
      <c r="E229" s="16" t="s">
        <v>1210</v>
      </c>
      <c r="F229" s="16" t="s">
        <v>1211</v>
      </c>
      <c r="G229" s="16">
        <f t="shared" si="0"/>
        <v>12</v>
      </c>
      <c r="H229" s="17" t="s">
        <v>1212</v>
      </c>
      <c r="I229" s="16" t="s">
        <v>109</v>
      </c>
      <c r="J229" s="16" t="s">
        <v>1206</v>
      </c>
      <c r="K229" s="16" t="s">
        <v>22</v>
      </c>
      <c r="L229" s="16" t="s">
        <v>23</v>
      </c>
      <c r="M229" s="16"/>
      <c r="N229" s="17" t="s">
        <v>1213</v>
      </c>
      <c r="O229" s="16" t="s">
        <v>1214</v>
      </c>
      <c r="P229" s="16" t="s">
        <v>1195</v>
      </c>
    </row>
    <row r="230" spans="1:16" ht="32">
      <c r="A230" s="16" t="s">
        <v>1215</v>
      </c>
      <c r="B230" s="16" t="s">
        <v>1189</v>
      </c>
      <c r="C230" s="16" t="s">
        <v>39</v>
      </c>
      <c r="D230" s="16" t="s">
        <v>34</v>
      </c>
      <c r="E230" s="16" t="s">
        <v>1216</v>
      </c>
      <c r="F230" s="16" t="s">
        <v>1217</v>
      </c>
      <c r="G230" s="16">
        <f t="shared" si="0"/>
        <v>12</v>
      </c>
      <c r="H230" s="17" t="s">
        <v>1218</v>
      </c>
      <c r="I230" s="16" t="s">
        <v>109</v>
      </c>
      <c r="J230" s="16" t="s">
        <v>1206</v>
      </c>
      <c r="K230" s="16" t="s">
        <v>1219</v>
      </c>
      <c r="L230" s="16" t="s">
        <v>23</v>
      </c>
      <c r="M230" s="16"/>
      <c r="N230" s="17" t="s">
        <v>1220</v>
      </c>
      <c r="O230" s="16" t="s">
        <v>1221</v>
      </c>
      <c r="P230" s="16" t="s">
        <v>1195</v>
      </c>
    </row>
    <row r="231" spans="1:16" ht="32">
      <c r="A231" s="16" t="s">
        <v>1222</v>
      </c>
      <c r="B231" s="16" t="s">
        <v>1189</v>
      </c>
      <c r="C231" s="16" t="s">
        <v>57</v>
      </c>
      <c r="D231" s="16" t="s">
        <v>17</v>
      </c>
      <c r="E231" s="16" t="s">
        <v>1223</v>
      </c>
      <c r="F231" s="16" t="s">
        <v>1224</v>
      </c>
      <c r="G231" s="16">
        <f t="shared" si="0"/>
        <v>10</v>
      </c>
      <c r="H231" s="17" t="s">
        <v>1225</v>
      </c>
      <c r="I231" s="16" t="s">
        <v>109</v>
      </c>
      <c r="J231" s="16" t="s">
        <v>1226</v>
      </c>
      <c r="K231" s="16" t="s">
        <v>22</v>
      </c>
      <c r="L231" s="16" t="s">
        <v>23</v>
      </c>
      <c r="M231" s="16"/>
      <c r="N231" s="17" t="s">
        <v>1227</v>
      </c>
      <c r="O231" s="16" t="s">
        <v>1228</v>
      </c>
      <c r="P231" s="16" t="s">
        <v>1195</v>
      </c>
    </row>
    <row r="232" spans="1:16" ht="32">
      <c r="A232" s="16" t="s">
        <v>1229</v>
      </c>
      <c r="B232" s="16" t="s">
        <v>1189</v>
      </c>
      <c r="C232" s="16" t="s">
        <v>57</v>
      </c>
      <c r="D232" s="16" t="s">
        <v>17</v>
      </c>
      <c r="E232" s="16" t="s">
        <v>1230</v>
      </c>
      <c r="F232" s="16" t="s">
        <v>1231</v>
      </c>
      <c r="G232" s="16">
        <f t="shared" si="0"/>
        <v>12</v>
      </c>
      <c r="H232" s="17" t="s">
        <v>1232</v>
      </c>
      <c r="I232" s="16" t="s">
        <v>109</v>
      </c>
      <c r="J232" s="16" t="s">
        <v>1226</v>
      </c>
      <c r="K232" s="16" t="s">
        <v>22</v>
      </c>
      <c r="L232" s="16" t="s">
        <v>23</v>
      </c>
      <c r="M232" s="16"/>
      <c r="N232" s="17" t="s">
        <v>1233</v>
      </c>
      <c r="O232" s="16" t="s">
        <v>1234</v>
      </c>
      <c r="P232" s="16" t="s">
        <v>1195</v>
      </c>
    </row>
    <row r="233" spans="1:16" ht="32">
      <c r="A233" s="16" t="s">
        <v>1235</v>
      </c>
      <c r="B233" s="16" t="s">
        <v>1189</v>
      </c>
      <c r="C233" s="16" t="s">
        <v>75</v>
      </c>
      <c r="D233" s="16" t="s">
        <v>17</v>
      </c>
      <c r="E233" s="16" t="s">
        <v>1236</v>
      </c>
      <c r="F233" s="16" t="s">
        <v>1237</v>
      </c>
      <c r="G233" s="16">
        <f t="shared" si="0"/>
        <v>9</v>
      </c>
      <c r="H233" s="17" t="s">
        <v>1238</v>
      </c>
      <c r="I233" s="16" t="s">
        <v>109</v>
      </c>
      <c r="J233" s="16" t="s">
        <v>1239</v>
      </c>
      <c r="K233" s="16" t="s">
        <v>1240</v>
      </c>
      <c r="L233" s="16" t="s">
        <v>23</v>
      </c>
      <c r="M233" s="16"/>
      <c r="N233" s="17" t="s">
        <v>1241</v>
      </c>
      <c r="O233" s="16" t="s">
        <v>1242</v>
      </c>
      <c r="P233" s="16" t="s">
        <v>1195</v>
      </c>
    </row>
    <row r="234" spans="1:16" ht="32">
      <c r="A234" s="16" t="s">
        <v>1243</v>
      </c>
      <c r="B234" s="16" t="s">
        <v>1189</v>
      </c>
      <c r="C234" s="16" t="s">
        <v>75</v>
      </c>
      <c r="D234" s="16" t="s">
        <v>17</v>
      </c>
      <c r="E234" s="16" t="s">
        <v>1244</v>
      </c>
      <c r="F234" s="16" t="s">
        <v>1245</v>
      </c>
      <c r="G234" s="16">
        <f t="shared" si="0"/>
        <v>11</v>
      </c>
      <c r="H234" s="17" t="s">
        <v>1246</v>
      </c>
      <c r="I234" s="16" t="s">
        <v>109</v>
      </c>
      <c r="J234" s="16" t="s">
        <v>1239</v>
      </c>
      <c r="K234" s="16" t="s">
        <v>22</v>
      </c>
      <c r="L234" s="16" t="s">
        <v>23</v>
      </c>
      <c r="M234" s="16"/>
      <c r="N234" s="17" t="s">
        <v>1247</v>
      </c>
      <c r="O234" s="16" t="s">
        <v>1248</v>
      </c>
      <c r="P234" s="16" t="s">
        <v>1195</v>
      </c>
    </row>
    <row r="235" spans="1:16" ht="32">
      <c r="A235" s="16" t="s">
        <v>1249</v>
      </c>
      <c r="B235" s="16" t="s">
        <v>1189</v>
      </c>
      <c r="C235" s="16" t="s">
        <v>106</v>
      </c>
      <c r="D235" s="16" t="s">
        <v>17</v>
      </c>
      <c r="E235" s="16" t="s">
        <v>1250</v>
      </c>
      <c r="F235" s="16" t="s">
        <v>1251</v>
      </c>
      <c r="G235" s="16">
        <f t="shared" si="0"/>
        <v>12</v>
      </c>
      <c r="H235" s="17" t="s">
        <v>1252</v>
      </c>
      <c r="I235" s="16" t="s">
        <v>109</v>
      </c>
      <c r="J235" s="16" t="s">
        <v>1253</v>
      </c>
      <c r="K235" s="16" t="s">
        <v>22</v>
      </c>
      <c r="L235" s="16" t="s">
        <v>23</v>
      </c>
      <c r="M235" s="16"/>
      <c r="N235" s="17" t="s">
        <v>1254</v>
      </c>
      <c r="O235" s="16" t="s">
        <v>1255</v>
      </c>
      <c r="P235" s="16" t="s">
        <v>1195</v>
      </c>
    </row>
    <row r="236" spans="1:16" ht="32">
      <c r="A236" s="16" t="s">
        <v>1256</v>
      </c>
      <c r="B236" s="16" t="s">
        <v>1189</v>
      </c>
      <c r="C236" s="16" t="s">
        <v>106</v>
      </c>
      <c r="D236" s="16" t="s">
        <v>17</v>
      </c>
      <c r="E236" s="16" t="s">
        <v>1257</v>
      </c>
      <c r="F236" s="16" t="s">
        <v>1258</v>
      </c>
      <c r="G236" s="16">
        <f t="shared" si="0"/>
        <v>11</v>
      </c>
      <c r="H236" s="17" t="s">
        <v>1259</v>
      </c>
      <c r="I236" s="16" t="s">
        <v>109</v>
      </c>
      <c r="J236" s="16" t="s">
        <v>1253</v>
      </c>
      <c r="K236" s="16" t="s">
        <v>22</v>
      </c>
      <c r="L236" s="16" t="s">
        <v>23</v>
      </c>
      <c r="M236" s="16"/>
      <c r="N236" s="17" t="s">
        <v>1260</v>
      </c>
      <c r="O236" s="16" t="s">
        <v>1261</v>
      </c>
      <c r="P236" s="16" t="s">
        <v>1195</v>
      </c>
    </row>
    <row r="237" spans="1:16" ht="32">
      <c r="A237" s="16" t="s">
        <v>1262</v>
      </c>
      <c r="B237" s="16" t="s">
        <v>1189</v>
      </c>
      <c r="C237" s="16" t="s">
        <v>131</v>
      </c>
      <c r="D237" s="16" t="s">
        <v>17</v>
      </c>
      <c r="E237" s="16" t="s">
        <v>1263</v>
      </c>
      <c r="F237" s="16" t="s">
        <v>1264</v>
      </c>
      <c r="G237" s="16">
        <f t="shared" si="0"/>
        <v>10</v>
      </c>
      <c r="H237" s="17" t="s">
        <v>1265</v>
      </c>
      <c r="I237" s="16" t="s">
        <v>109</v>
      </c>
      <c r="J237" s="16" t="s">
        <v>1266</v>
      </c>
      <c r="K237" s="16" t="s">
        <v>22</v>
      </c>
      <c r="L237" s="16" t="s">
        <v>23</v>
      </c>
      <c r="M237" s="16"/>
      <c r="N237" s="17" t="s">
        <v>1267</v>
      </c>
      <c r="O237" s="16" t="s">
        <v>1268</v>
      </c>
      <c r="P237" s="16" t="s">
        <v>1195</v>
      </c>
    </row>
    <row r="238" spans="1:16" ht="32">
      <c r="A238" s="16" t="s">
        <v>1269</v>
      </c>
      <c r="B238" s="16" t="s">
        <v>1189</v>
      </c>
      <c r="C238" s="16" t="s">
        <v>131</v>
      </c>
      <c r="D238" s="16" t="s">
        <v>17</v>
      </c>
      <c r="E238" s="16" t="s">
        <v>1270</v>
      </c>
      <c r="F238" s="16" t="s">
        <v>1271</v>
      </c>
      <c r="G238" s="16">
        <f t="shared" si="0"/>
        <v>11</v>
      </c>
      <c r="H238" s="17" t="s">
        <v>1272</v>
      </c>
      <c r="I238" s="16" t="s">
        <v>109</v>
      </c>
      <c r="J238" s="16" t="s">
        <v>1266</v>
      </c>
      <c r="K238" s="16" t="s">
        <v>1240</v>
      </c>
      <c r="L238" s="16" t="s">
        <v>23</v>
      </c>
      <c r="M238" s="16"/>
      <c r="N238" s="17" t="s">
        <v>1273</v>
      </c>
      <c r="O238" s="16" t="s">
        <v>1274</v>
      </c>
      <c r="P238" s="16" t="s">
        <v>1195</v>
      </c>
    </row>
    <row r="239" spans="1:16" ht="32">
      <c r="A239" s="16" t="s">
        <v>1275</v>
      </c>
      <c r="B239" s="16" t="s">
        <v>1189</v>
      </c>
      <c r="C239" s="16" t="s">
        <v>153</v>
      </c>
      <c r="D239" s="16" t="s">
        <v>17</v>
      </c>
      <c r="E239" s="16" t="s">
        <v>1276</v>
      </c>
      <c r="F239" s="16" t="s">
        <v>1277</v>
      </c>
      <c r="G239" s="16">
        <f t="shared" si="0"/>
        <v>11</v>
      </c>
      <c r="H239" s="17" t="s">
        <v>1278</v>
      </c>
      <c r="I239" s="16" t="s">
        <v>109</v>
      </c>
      <c r="J239" s="16" t="s">
        <v>1206</v>
      </c>
      <c r="K239" s="16" t="s">
        <v>22</v>
      </c>
      <c r="L239" s="16" t="s">
        <v>23</v>
      </c>
      <c r="M239" s="16"/>
      <c r="N239" s="17" t="s">
        <v>1279</v>
      </c>
      <c r="O239" s="16" t="s">
        <v>1280</v>
      </c>
      <c r="P239" s="16" t="s">
        <v>1195</v>
      </c>
    </row>
    <row r="240" spans="1:16" ht="32">
      <c r="A240" s="16" t="s">
        <v>1281</v>
      </c>
      <c r="B240" s="16" t="s">
        <v>1189</v>
      </c>
      <c r="C240" s="16" t="s">
        <v>153</v>
      </c>
      <c r="D240" s="16" t="s">
        <v>17</v>
      </c>
      <c r="E240" s="16" t="s">
        <v>1282</v>
      </c>
      <c r="F240" s="16" t="s">
        <v>1283</v>
      </c>
      <c r="G240" s="16">
        <f t="shared" si="0"/>
        <v>11</v>
      </c>
      <c r="H240" s="17" t="s">
        <v>1284</v>
      </c>
      <c r="I240" s="16" t="s">
        <v>109</v>
      </c>
      <c r="J240" s="16" t="s">
        <v>1206</v>
      </c>
      <c r="K240" s="16" t="s">
        <v>1219</v>
      </c>
      <c r="L240" s="16" t="s">
        <v>23</v>
      </c>
      <c r="M240" s="16"/>
      <c r="N240" s="17" t="s">
        <v>1285</v>
      </c>
      <c r="O240" s="16" t="s">
        <v>1286</v>
      </c>
      <c r="P240" s="16" t="s">
        <v>1195</v>
      </c>
    </row>
    <row r="241" spans="1:16" ht="32">
      <c r="A241" s="16" t="s">
        <v>1287</v>
      </c>
      <c r="B241" s="16" t="s">
        <v>1189</v>
      </c>
      <c r="C241" s="16" t="s">
        <v>173</v>
      </c>
      <c r="D241" s="16" t="s">
        <v>17</v>
      </c>
      <c r="E241" s="16" t="s">
        <v>1288</v>
      </c>
      <c r="F241" s="16" t="s">
        <v>1289</v>
      </c>
      <c r="G241" s="16">
        <f t="shared" si="0"/>
        <v>12</v>
      </c>
      <c r="H241" s="17" t="s">
        <v>1290</v>
      </c>
      <c r="I241" s="16" t="s">
        <v>109</v>
      </c>
      <c r="J241" s="16" t="s">
        <v>1291</v>
      </c>
      <c r="K241" s="16" t="s">
        <v>22</v>
      </c>
      <c r="L241" s="16" t="s">
        <v>23</v>
      </c>
      <c r="M241" s="16"/>
      <c r="N241" s="17" t="s">
        <v>1292</v>
      </c>
      <c r="O241" s="16" t="s">
        <v>1293</v>
      </c>
      <c r="P241" s="16" t="s">
        <v>1195</v>
      </c>
    </row>
    <row r="242" spans="1:16" ht="32">
      <c r="A242" s="16" t="s">
        <v>1294</v>
      </c>
      <c r="B242" s="16" t="s">
        <v>1189</v>
      </c>
      <c r="C242" s="16" t="s">
        <v>173</v>
      </c>
      <c r="D242" s="16" t="s">
        <v>17</v>
      </c>
      <c r="E242" s="16" t="s">
        <v>1295</v>
      </c>
      <c r="F242" s="16" t="s">
        <v>1296</v>
      </c>
      <c r="G242" s="16">
        <f t="shared" si="0"/>
        <v>9</v>
      </c>
      <c r="H242" s="17" t="s">
        <v>1297</v>
      </c>
      <c r="I242" s="16" t="s">
        <v>109</v>
      </c>
      <c r="J242" s="16" t="s">
        <v>1291</v>
      </c>
      <c r="K242" s="16" t="s">
        <v>22</v>
      </c>
      <c r="L242" s="16" t="s">
        <v>23</v>
      </c>
      <c r="M242" s="16"/>
      <c r="N242" s="17" t="s">
        <v>1298</v>
      </c>
      <c r="O242" s="16" t="s">
        <v>1299</v>
      </c>
      <c r="P242" s="16" t="s">
        <v>1195</v>
      </c>
    </row>
    <row r="243" spans="1:16" ht="32">
      <c r="A243" s="16" t="s">
        <v>1300</v>
      </c>
      <c r="B243" s="16" t="s">
        <v>1189</v>
      </c>
      <c r="C243" s="16" t="s">
        <v>196</v>
      </c>
      <c r="D243" s="16" t="s">
        <v>197</v>
      </c>
      <c r="E243" s="16" t="s">
        <v>1301</v>
      </c>
      <c r="F243" s="16" t="s">
        <v>1302</v>
      </c>
      <c r="G243" s="16">
        <f t="shared" si="0"/>
        <v>11</v>
      </c>
      <c r="H243" s="17" t="s">
        <v>1303</v>
      </c>
      <c r="I243" s="16" t="s">
        <v>22</v>
      </c>
      <c r="J243" s="16" t="s">
        <v>901</v>
      </c>
      <c r="K243" s="16" t="s">
        <v>22</v>
      </c>
      <c r="L243" s="16" t="s">
        <v>23</v>
      </c>
      <c r="M243" s="16"/>
      <c r="N243" s="17" t="s">
        <v>1304</v>
      </c>
      <c r="O243" s="16" t="s">
        <v>1305</v>
      </c>
      <c r="P243" s="16" t="s">
        <v>1195</v>
      </c>
    </row>
    <row r="244" spans="1:16" ht="32">
      <c r="A244" s="16" t="s">
        <v>1306</v>
      </c>
      <c r="B244" s="16" t="s">
        <v>1189</v>
      </c>
      <c r="C244" s="16" t="s">
        <v>196</v>
      </c>
      <c r="D244" s="16" t="s">
        <v>197</v>
      </c>
      <c r="E244" s="16" t="s">
        <v>1307</v>
      </c>
      <c r="F244" s="16" t="s">
        <v>1308</v>
      </c>
      <c r="G244" s="16">
        <f t="shared" si="0"/>
        <v>11</v>
      </c>
      <c r="H244" s="17" t="s">
        <v>1309</v>
      </c>
      <c r="I244" s="16" t="s">
        <v>22</v>
      </c>
      <c r="J244" s="16" t="s">
        <v>901</v>
      </c>
      <c r="K244" s="16" t="s">
        <v>22</v>
      </c>
      <c r="L244" s="16" t="s">
        <v>23</v>
      </c>
      <c r="M244" s="16"/>
      <c r="N244" s="17" t="s">
        <v>1310</v>
      </c>
      <c r="O244" s="16" t="s">
        <v>1311</v>
      </c>
      <c r="P244" s="16" t="s">
        <v>1195</v>
      </c>
    </row>
    <row r="245" spans="1:16" ht="32">
      <c r="A245" s="16" t="s">
        <v>1312</v>
      </c>
      <c r="B245" s="16" t="s">
        <v>1189</v>
      </c>
      <c r="C245" s="16" t="s">
        <v>196</v>
      </c>
      <c r="D245" s="16" t="s">
        <v>197</v>
      </c>
      <c r="E245" s="16" t="s">
        <v>1313</v>
      </c>
      <c r="F245" s="16" t="s">
        <v>1314</v>
      </c>
      <c r="G245" s="16">
        <f t="shared" si="0"/>
        <v>10</v>
      </c>
      <c r="H245" s="17" t="s">
        <v>1315</v>
      </c>
      <c r="I245" s="16" t="s">
        <v>109</v>
      </c>
      <c r="J245" s="16" t="s">
        <v>901</v>
      </c>
      <c r="K245" s="16" t="s">
        <v>1219</v>
      </c>
      <c r="L245" s="16" t="s">
        <v>23</v>
      </c>
      <c r="M245" s="16"/>
      <c r="N245" s="17" t="s">
        <v>1316</v>
      </c>
      <c r="O245" s="16" t="s">
        <v>1317</v>
      </c>
      <c r="P245" s="16" t="s">
        <v>1195</v>
      </c>
    </row>
    <row r="246" spans="1:16" ht="32">
      <c r="A246" s="16" t="s">
        <v>1318</v>
      </c>
      <c r="B246" s="16" t="s">
        <v>1189</v>
      </c>
      <c r="C246" s="16" t="s">
        <v>16</v>
      </c>
      <c r="D246" s="16" t="s">
        <v>34</v>
      </c>
      <c r="E246" s="16" t="s">
        <v>1319</v>
      </c>
      <c r="F246" s="16" t="s">
        <v>1320</v>
      </c>
      <c r="G246" s="16">
        <f t="shared" si="0"/>
        <v>11</v>
      </c>
      <c r="H246" s="17" t="s">
        <v>1321</v>
      </c>
      <c r="I246" s="16" t="s">
        <v>109</v>
      </c>
      <c r="J246" s="16" t="s">
        <v>901</v>
      </c>
      <c r="K246" s="16" t="s">
        <v>22</v>
      </c>
      <c r="L246" s="16" t="s">
        <v>23</v>
      </c>
      <c r="M246" s="16"/>
      <c r="N246" s="17" t="s">
        <v>1322</v>
      </c>
      <c r="O246" s="16" t="s">
        <v>1323</v>
      </c>
      <c r="P246" s="16" t="s">
        <v>1195</v>
      </c>
    </row>
    <row r="247" spans="1:16" ht="32">
      <c r="A247" s="16" t="s">
        <v>1324</v>
      </c>
      <c r="B247" s="16" t="s">
        <v>1189</v>
      </c>
      <c r="C247" s="16" t="s">
        <v>16</v>
      </c>
      <c r="D247" s="16" t="s">
        <v>17</v>
      </c>
      <c r="E247" s="16" t="s">
        <v>1325</v>
      </c>
      <c r="F247" s="16" t="s">
        <v>1326</v>
      </c>
      <c r="G247" s="16">
        <f t="shared" si="0"/>
        <v>10</v>
      </c>
      <c r="H247" s="17" t="s">
        <v>1327</v>
      </c>
      <c r="I247" s="16" t="s">
        <v>109</v>
      </c>
      <c r="J247" s="16" t="s">
        <v>901</v>
      </c>
      <c r="K247" s="16" t="s">
        <v>22</v>
      </c>
      <c r="L247" s="16" t="s">
        <v>23</v>
      </c>
      <c r="M247" s="16"/>
      <c r="N247" s="17" t="s">
        <v>1328</v>
      </c>
      <c r="O247" s="16" t="s">
        <v>1329</v>
      </c>
      <c r="P247" s="16" t="s">
        <v>1195</v>
      </c>
    </row>
    <row r="248" spans="1:16" ht="32">
      <c r="A248" s="16" t="s">
        <v>1330</v>
      </c>
      <c r="B248" s="16" t="s">
        <v>1189</v>
      </c>
      <c r="C248" s="16" t="s">
        <v>39</v>
      </c>
      <c r="D248" s="16" t="s">
        <v>17</v>
      </c>
      <c r="E248" s="16" t="s">
        <v>1331</v>
      </c>
      <c r="F248" s="16" t="s">
        <v>1332</v>
      </c>
      <c r="G248" s="16">
        <f t="shared" si="0"/>
        <v>10</v>
      </c>
      <c r="H248" s="17" t="s">
        <v>1333</v>
      </c>
      <c r="I248" s="16" t="s">
        <v>109</v>
      </c>
      <c r="J248" s="16" t="s">
        <v>1206</v>
      </c>
      <c r="K248" s="16" t="s">
        <v>22</v>
      </c>
      <c r="L248" s="16" t="s">
        <v>23</v>
      </c>
      <c r="M248" s="16"/>
      <c r="N248" s="17" t="s">
        <v>1334</v>
      </c>
      <c r="O248" s="16" t="s">
        <v>1335</v>
      </c>
      <c r="P248" s="16" t="s">
        <v>1195</v>
      </c>
    </row>
    <row r="249" spans="1:16" ht="32">
      <c r="A249" s="16" t="s">
        <v>1336</v>
      </c>
      <c r="B249" s="16" t="s">
        <v>1189</v>
      </c>
      <c r="C249" s="16" t="s">
        <v>39</v>
      </c>
      <c r="D249" s="16" t="s">
        <v>17</v>
      </c>
      <c r="E249" s="16" t="s">
        <v>1337</v>
      </c>
      <c r="F249" s="16" t="s">
        <v>1338</v>
      </c>
      <c r="G249" s="16">
        <f t="shared" si="0"/>
        <v>12</v>
      </c>
      <c r="H249" s="17" t="s">
        <v>1339</v>
      </c>
      <c r="I249" s="16" t="s">
        <v>109</v>
      </c>
      <c r="J249" s="16" t="s">
        <v>1206</v>
      </c>
      <c r="K249" s="16" t="s">
        <v>1219</v>
      </c>
      <c r="L249" s="16" t="s">
        <v>23</v>
      </c>
      <c r="M249" s="16"/>
      <c r="N249" s="17" t="s">
        <v>1340</v>
      </c>
      <c r="O249" s="16" t="s">
        <v>1341</v>
      </c>
      <c r="P249" s="16" t="s">
        <v>1195</v>
      </c>
    </row>
    <row r="250" spans="1:16" ht="32">
      <c r="A250" s="16" t="s">
        <v>1342</v>
      </c>
      <c r="B250" s="16" t="s">
        <v>1189</v>
      </c>
      <c r="C250" s="16" t="s">
        <v>57</v>
      </c>
      <c r="D250" s="16" t="s">
        <v>17</v>
      </c>
      <c r="E250" s="16" t="s">
        <v>1343</v>
      </c>
      <c r="F250" s="16" t="s">
        <v>1344</v>
      </c>
      <c r="G250" s="16">
        <f t="shared" si="0"/>
        <v>12</v>
      </c>
      <c r="H250" s="17" t="s">
        <v>1345</v>
      </c>
      <c r="I250" s="16" t="s">
        <v>109</v>
      </c>
      <c r="J250" s="16" t="s">
        <v>1226</v>
      </c>
      <c r="K250" s="16" t="s">
        <v>1346</v>
      </c>
      <c r="L250" s="16" t="s">
        <v>23</v>
      </c>
      <c r="M250" s="16" t="s">
        <v>1347</v>
      </c>
      <c r="N250" s="17" t="s">
        <v>1348</v>
      </c>
      <c r="O250" s="16" t="s">
        <v>1349</v>
      </c>
      <c r="P250" s="16" t="s">
        <v>1195</v>
      </c>
    </row>
    <row r="251" spans="1:16" ht="32">
      <c r="A251" s="16" t="s">
        <v>1350</v>
      </c>
      <c r="B251" s="16" t="s">
        <v>1189</v>
      </c>
      <c r="C251" s="16" t="s">
        <v>57</v>
      </c>
      <c r="D251" s="16" t="s">
        <v>17</v>
      </c>
      <c r="E251" s="16" t="s">
        <v>1351</v>
      </c>
      <c r="F251" s="16" t="s">
        <v>1352</v>
      </c>
      <c r="G251" s="16">
        <f t="shared" si="0"/>
        <v>11</v>
      </c>
      <c r="H251" s="17" t="s">
        <v>1353</v>
      </c>
      <c r="I251" s="16" t="s">
        <v>109</v>
      </c>
      <c r="J251" s="16" t="s">
        <v>1226</v>
      </c>
      <c r="K251" s="16" t="s">
        <v>22</v>
      </c>
      <c r="L251" s="16" t="s">
        <v>23</v>
      </c>
      <c r="M251" s="16"/>
      <c r="N251" s="17" t="s">
        <v>1354</v>
      </c>
      <c r="O251" s="16" t="s">
        <v>1355</v>
      </c>
      <c r="P251" s="16" t="s">
        <v>1195</v>
      </c>
    </row>
    <row r="252" spans="1:16" ht="32">
      <c r="A252" s="16" t="s">
        <v>1356</v>
      </c>
      <c r="B252" s="16" t="s">
        <v>1189</v>
      </c>
      <c r="C252" s="16" t="s">
        <v>75</v>
      </c>
      <c r="D252" s="16" t="s">
        <v>17</v>
      </c>
      <c r="E252" s="16" t="s">
        <v>1357</v>
      </c>
      <c r="F252" s="16" t="s">
        <v>1358</v>
      </c>
      <c r="G252" s="16">
        <f t="shared" si="0"/>
        <v>12</v>
      </c>
      <c r="H252" s="17" t="s">
        <v>1359</v>
      </c>
      <c r="I252" s="16" t="s">
        <v>109</v>
      </c>
      <c r="J252" s="16" t="s">
        <v>1239</v>
      </c>
      <c r="K252" s="16" t="s">
        <v>22</v>
      </c>
      <c r="L252" s="16" t="s">
        <v>23</v>
      </c>
      <c r="M252" s="16"/>
      <c r="N252" s="17" t="s">
        <v>1360</v>
      </c>
      <c r="O252" s="16" t="s">
        <v>1361</v>
      </c>
      <c r="P252" s="16" t="s">
        <v>1195</v>
      </c>
    </row>
    <row r="253" spans="1:16" ht="32">
      <c r="A253" s="16" t="s">
        <v>1362</v>
      </c>
      <c r="B253" s="16" t="s">
        <v>1189</v>
      </c>
      <c r="C253" s="16" t="s">
        <v>75</v>
      </c>
      <c r="D253" s="16" t="s">
        <v>30</v>
      </c>
      <c r="E253" s="16" t="s">
        <v>1363</v>
      </c>
      <c r="F253" s="16" t="s">
        <v>1364</v>
      </c>
      <c r="G253" s="16">
        <f t="shared" si="0"/>
        <v>12</v>
      </c>
      <c r="H253" s="17" t="s">
        <v>1365</v>
      </c>
      <c r="I253" s="16" t="s">
        <v>109</v>
      </c>
      <c r="J253" s="16" t="s">
        <v>1239</v>
      </c>
      <c r="K253" s="16" t="s">
        <v>22</v>
      </c>
      <c r="L253" s="16" t="s">
        <v>23</v>
      </c>
      <c r="M253" s="16"/>
      <c r="N253" s="17" t="s">
        <v>1366</v>
      </c>
      <c r="O253" s="16" t="s">
        <v>1367</v>
      </c>
      <c r="P253" s="16" t="s">
        <v>1195</v>
      </c>
    </row>
    <row r="254" spans="1:16" ht="32">
      <c r="A254" s="16" t="s">
        <v>1368</v>
      </c>
      <c r="B254" s="16" t="s">
        <v>1189</v>
      </c>
      <c r="C254" s="16" t="s">
        <v>106</v>
      </c>
      <c r="D254" s="16" t="s">
        <v>34</v>
      </c>
      <c r="E254" s="16" t="s">
        <v>1369</v>
      </c>
      <c r="F254" s="16" t="s">
        <v>1370</v>
      </c>
      <c r="G254" s="16">
        <f t="shared" si="0"/>
        <v>11</v>
      </c>
      <c r="H254" s="17" t="s">
        <v>1371</v>
      </c>
      <c r="I254" s="16" t="s">
        <v>109</v>
      </c>
      <c r="J254" s="16" t="s">
        <v>1253</v>
      </c>
      <c r="K254" s="16" t="s">
        <v>22</v>
      </c>
      <c r="L254" s="16" t="s">
        <v>23</v>
      </c>
      <c r="M254" s="16"/>
      <c r="N254" s="17" t="s">
        <v>1372</v>
      </c>
      <c r="O254" s="16" t="s">
        <v>1373</v>
      </c>
      <c r="P254" s="16" t="s">
        <v>1195</v>
      </c>
    </row>
    <row r="255" spans="1:16" ht="32">
      <c r="A255" s="16" t="s">
        <v>1374</v>
      </c>
      <c r="B255" s="16" t="s">
        <v>1189</v>
      </c>
      <c r="C255" s="16" t="s">
        <v>106</v>
      </c>
      <c r="D255" s="16" t="s">
        <v>17</v>
      </c>
      <c r="E255" s="16" t="s">
        <v>1375</v>
      </c>
      <c r="F255" s="16" t="s">
        <v>1376</v>
      </c>
      <c r="G255" s="16">
        <f t="shared" si="0"/>
        <v>11</v>
      </c>
      <c r="H255" s="17" t="s">
        <v>1377</v>
      </c>
      <c r="I255" s="16" t="s">
        <v>109</v>
      </c>
      <c r="J255" s="16" t="s">
        <v>1253</v>
      </c>
      <c r="K255" s="16" t="s">
        <v>22</v>
      </c>
      <c r="L255" s="16" t="s">
        <v>23</v>
      </c>
      <c r="M255" s="16"/>
      <c r="N255" s="17" t="s">
        <v>1378</v>
      </c>
      <c r="O255" s="16" t="s">
        <v>1379</v>
      </c>
      <c r="P255" s="16" t="s">
        <v>1195</v>
      </c>
    </row>
    <row r="256" spans="1:16" ht="32">
      <c r="A256" s="16" t="s">
        <v>1380</v>
      </c>
      <c r="B256" s="16" t="s">
        <v>1189</v>
      </c>
      <c r="C256" s="16" t="s">
        <v>131</v>
      </c>
      <c r="D256" s="16" t="s">
        <v>17</v>
      </c>
      <c r="E256" s="16" t="s">
        <v>1381</v>
      </c>
      <c r="F256" s="16" t="s">
        <v>1382</v>
      </c>
      <c r="G256" s="16">
        <f t="shared" si="0"/>
        <v>11</v>
      </c>
      <c r="H256" s="17" t="s">
        <v>1383</v>
      </c>
      <c r="I256" s="16" t="s">
        <v>22</v>
      </c>
      <c r="J256" s="16" t="s">
        <v>1266</v>
      </c>
      <c r="K256" s="16" t="s">
        <v>22</v>
      </c>
      <c r="L256" s="16" t="s">
        <v>23</v>
      </c>
      <c r="M256" s="16"/>
      <c r="N256" s="17" t="s">
        <v>1384</v>
      </c>
      <c r="O256" s="16" t="s">
        <v>1385</v>
      </c>
      <c r="P256" s="16" t="s">
        <v>1195</v>
      </c>
    </row>
    <row r="257" spans="1:16" ht="32">
      <c r="A257" s="16" t="s">
        <v>1386</v>
      </c>
      <c r="B257" s="16" t="s">
        <v>1189</v>
      </c>
      <c r="C257" s="16" t="s">
        <v>131</v>
      </c>
      <c r="D257" s="16" t="s">
        <v>17</v>
      </c>
      <c r="E257" s="16" t="s">
        <v>1387</v>
      </c>
      <c r="F257" s="16" t="s">
        <v>1388</v>
      </c>
      <c r="G257" s="16">
        <f t="shared" si="0"/>
        <v>12</v>
      </c>
      <c r="H257" s="17" t="s">
        <v>1389</v>
      </c>
      <c r="I257" s="16" t="s">
        <v>109</v>
      </c>
      <c r="J257" s="16" t="s">
        <v>1266</v>
      </c>
      <c r="K257" s="16" t="s">
        <v>22</v>
      </c>
      <c r="L257" s="16" t="s">
        <v>23</v>
      </c>
      <c r="M257" s="16"/>
      <c r="N257" s="17" t="s">
        <v>1390</v>
      </c>
      <c r="O257" s="16" t="s">
        <v>1391</v>
      </c>
      <c r="P257" s="16" t="s">
        <v>1195</v>
      </c>
    </row>
    <row r="258" spans="1:16" ht="32">
      <c r="A258" s="16" t="s">
        <v>1392</v>
      </c>
      <c r="B258" s="16" t="s">
        <v>1189</v>
      </c>
      <c r="C258" s="16" t="s">
        <v>153</v>
      </c>
      <c r="D258" s="16" t="s">
        <v>34</v>
      </c>
      <c r="E258" s="16" t="s">
        <v>1393</v>
      </c>
      <c r="F258" s="16" t="s">
        <v>1394</v>
      </c>
      <c r="G258" s="16">
        <f t="shared" si="0"/>
        <v>12</v>
      </c>
      <c r="H258" s="17" t="s">
        <v>1395</v>
      </c>
      <c r="I258" s="16" t="s">
        <v>109</v>
      </c>
      <c r="J258" s="16" t="s">
        <v>1206</v>
      </c>
      <c r="K258" s="16" t="s">
        <v>22</v>
      </c>
      <c r="L258" s="16" t="s">
        <v>23</v>
      </c>
      <c r="M258" s="16"/>
      <c r="N258" s="17" t="s">
        <v>1396</v>
      </c>
      <c r="O258" s="16" t="s">
        <v>1397</v>
      </c>
      <c r="P258" s="16" t="s">
        <v>1195</v>
      </c>
    </row>
    <row r="259" spans="1:16" ht="32">
      <c r="A259" s="16" t="s">
        <v>1398</v>
      </c>
      <c r="B259" s="16" t="s">
        <v>1189</v>
      </c>
      <c r="C259" s="16" t="s">
        <v>153</v>
      </c>
      <c r="D259" s="16" t="s">
        <v>17</v>
      </c>
      <c r="E259" s="16" t="s">
        <v>1399</v>
      </c>
      <c r="F259" s="16" t="s">
        <v>1400</v>
      </c>
      <c r="G259" s="16">
        <f t="shared" si="0"/>
        <v>11</v>
      </c>
      <c r="H259" s="17" t="s">
        <v>1401</v>
      </c>
      <c r="I259" s="16" t="s">
        <v>109</v>
      </c>
      <c r="J259" s="16" t="s">
        <v>1206</v>
      </c>
      <c r="K259" s="16" t="s">
        <v>22</v>
      </c>
      <c r="L259" s="16" t="s">
        <v>23</v>
      </c>
      <c r="M259" s="16"/>
      <c r="N259" s="17" t="s">
        <v>1402</v>
      </c>
      <c r="O259" s="16" t="s">
        <v>1403</v>
      </c>
      <c r="P259" s="16" t="s">
        <v>1195</v>
      </c>
    </row>
    <row r="260" spans="1:16" ht="32">
      <c r="A260" s="16" t="s">
        <v>1404</v>
      </c>
      <c r="B260" s="16" t="s">
        <v>1189</v>
      </c>
      <c r="C260" s="16" t="s">
        <v>173</v>
      </c>
      <c r="D260" s="16" t="s">
        <v>34</v>
      </c>
      <c r="E260" s="16" t="s">
        <v>1405</v>
      </c>
      <c r="F260" s="16" t="s">
        <v>1406</v>
      </c>
      <c r="G260" s="16">
        <f t="shared" si="0"/>
        <v>10</v>
      </c>
      <c r="H260" s="17" t="s">
        <v>1407</v>
      </c>
      <c r="I260" s="16" t="s">
        <v>109</v>
      </c>
      <c r="J260" s="16" t="s">
        <v>1291</v>
      </c>
      <c r="K260" s="16" t="s">
        <v>22</v>
      </c>
      <c r="L260" s="16" t="s">
        <v>23</v>
      </c>
      <c r="M260" s="16"/>
      <c r="N260" s="17" t="s">
        <v>1408</v>
      </c>
      <c r="O260" s="16" t="s">
        <v>1409</v>
      </c>
      <c r="P260" s="16" t="s">
        <v>1195</v>
      </c>
    </row>
    <row r="261" spans="1:16" ht="32">
      <c r="A261" s="16" t="s">
        <v>1410</v>
      </c>
      <c r="B261" s="16" t="s">
        <v>1189</v>
      </c>
      <c r="C261" s="16" t="s">
        <v>173</v>
      </c>
      <c r="D261" s="16" t="s">
        <v>17</v>
      </c>
      <c r="E261" s="16" t="s">
        <v>1411</v>
      </c>
      <c r="F261" s="16" t="s">
        <v>1412</v>
      </c>
      <c r="G261" s="16">
        <f t="shared" si="0"/>
        <v>10</v>
      </c>
      <c r="H261" s="17" t="s">
        <v>1232</v>
      </c>
      <c r="I261" s="16" t="s">
        <v>109</v>
      </c>
      <c r="J261" s="16" t="s">
        <v>1291</v>
      </c>
      <c r="K261" s="16" t="s">
        <v>22</v>
      </c>
      <c r="L261" s="16" t="s">
        <v>23</v>
      </c>
      <c r="M261" s="16"/>
      <c r="N261" s="17" t="s">
        <v>1413</v>
      </c>
      <c r="O261" s="16" t="s">
        <v>1414</v>
      </c>
      <c r="P261" s="16" t="s">
        <v>1195</v>
      </c>
    </row>
    <row r="262" spans="1:16" ht="32">
      <c r="A262" s="16" t="s">
        <v>1415</v>
      </c>
      <c r="B262" s="16" t="s">
        <v>1189</v>
      </c>
      <c r="C262" s="16" t="s">
        <v>196</v>
      </c>
      <c r="D262" s="16" t="s">
        <v>197</v>
      </c>
      <c r="E262" s="16" t="s">
        <v>1416</v>
      </c>
      <c r="F262" s="16" t="s">
        <v>1417</v>
      </c>
      <c r="G262" s="16">
        <f t="shared" si="0"/>
        <v>12</v>
      </c>
      <c r="H262" s="17" t="s">
        <v>1418</v>
      </c>
      <c r="I262" s="16" t="s">
        <v>22</v>
      </c>
      <c r="J262" s="16" t="s">
        <v>901</v>
      </c>
      <c r="K262" s="16" t="s">
        <v>1219</v>
      </c>
      <c r="L262" s="16" t="s">
        <v>23</v>
      </c>
      <c r="M262" s="16"/>
      <c r="N262" s="17" t="s">
        <v>1419</v>
      </c>
      <c r="O262" s="16" t="s">
        <v>1420</v>
      </c>
      <c r="P262" s="16" t="s">
        <v>1195</v>
      </c>
    </row>
    <row r="263" spans="1:16" ht="32">
      <c r="A263" s="16" t="s">
        <v>1421</v>
      </c>
      <c r="B263" s="16" t="s">
        <v>1189</v>
      </c>
      <c r="C263" s="16" t="s">
        <v>196</v>
      </c>
      <c r="D263" s="16" t="s">
        <v>197</v>
      </c>
      <c r="E263" s="16" t="s">
        <v>1422</v>
      </c>
      <c r="F263" s="16" t="s">
        <v>1423</v>
      </c>
      <c r="G263" s="16">
        <f t="shared" si="0"/>
        <v>10</v>
      </c>
      <c r="H263" s="17" t="s">
        <v>1424</v>
      </c>
      <c r="I263" s="16" t="s">
        <v>109</v>
      </c>
      <c r="J263" s="16" t="s">
        <v>901</v>
      </c>
      <c r="K263" s="16" t="s">
        <v>22</v>
      </c>
      <c r="L263" s="16" t="s">
        <v>23</v>
      </c>
      <c r="M263" s="16"/>
      <c r="N263" s="17" t="s">
        <v>1425</v>
      </c>
      <c r="O263" s="16" t="s">
        <v>1426</v>
      </c>
      <c r="P263" s="16" t="s">
        <v>1195</v>
      </c>
    </row>
    <row r="264" spans="1:16" ht="32">
      <c r="A264" s="16" t="s">
        <v>1427</v>
      </c>
      <c r="B264" s="16" t="s">
        <v>1189</v>
      </c>
      <c r="C264" s="16" t="s">
        <v>16</v>
      </c>
      <c r="D264" s="16" t="s">
        <v>17</v>
      </c>
      <c r="E264" s="16" t="s">
        <v>1428</v>
      </c>
      <c r="F264" s="16" t="s">
        <v>1429</v>
      </c>
      <c r="G264" s="16">
        <f t="shared" si="0"/>
        <v>9</v>
      </c>
      <c r="H264" s="17" t="s">
        <v>1430</v>
      </c>
      <c r="I264" s="16" t="s">
        <v>109</v>
      </c>
      <c r="J264" s="16" t="s">
        <v>901</v>
      </c>
      <c r="K264" s="16" t="s">
        <v>22</v>
      </c>
      <c r="L264" s="16" t="s">
        <v>23</v>
      </c>
      <c r="M264" s="16"/>
      <c r="N264" s="17" t="s">
        <v>1431</v>
      </c>
      <c r="O264" s="16" t="s">
        <v>1432</v>
      </c>
      <c r="P264" s="16" t="s">
        <v>1195</v>
      </c>
    </row>
    <row r="265" spans="1:16" ht="32">
      <c r="A265" s="16" t="s">
        <v>1433</v>
      </c>
      <c r="B265" s="16" t="s">
        <v>1189</v>
      </c>
      <c r="C265" s="16" t="s">
        <v>16</v>
      </c>
      <c r="D265" s="16" t="s">
        <v>17</v>
      </c>
      <c r="E265" s="16" t="s">
        <v>1434</v>
      </c>
      <c r="F265" s="16" t="s">
        <v>1435</v>
      </c>
      <c r="G265" s="16">
        <f t="shared" si="0"/>
        <v>12</v>
      </c>
      <c r="H265" s="17" t="s">
        <v>1436</v>
      </c>
      <c r="I265" s="16" t="s">
        <v>109</v>
      </c>
      <c r="J265" s="16" t="s">
        <v>901</v>
      </c>
      <c r="K265" s="16" t="s">
        <v>22</v>
      </c>
      <c r="L265" s="16" t="s">
        <v>23</v>
      </c>
      <c r="M265" s="16"/>
      <c r="N265" s="17" t="s">
        <v>1437</v>
      </c>
      <c r="O265" s="16" t="s">
        <v>1438</v>
      </c>
      <c r="P265" s="16" t="s">
        <v>1195</v>
      </c>
    </row>
    <row r="266" spans="1:16" ht="32">
      <c r="A266" s="16" t="s">
        <v>1439</v>
      </c>
      <c r="B266" s="16" t="s">
        <v>1189</v>
      </c>
      <c r="C266" s="16" t="s">
        <v>39</v>
      </c>
      <c r="D266" s="16" t="s">
        <v>17</v>
      </c>
      <c r="E266" s="16" t="s">
        <v>1440</v>
      </c>
      <c r="F266" s="16" t="s">
        <v>1441</v>
      </c>
      <c r="G266" s="16">
        <f t="shared" si="0"/>
        <v>10</v>
      </c>
      <c r="H266" s="17" t="s">
        <v>1442</v>
      </c>
      <c r="I266" s="16" t="s">
        <v>109</v>
      </c>
      <c r="J266" s="16" t="s">
        <v>1206</v>
      </c>
      <c r="K266" s="16" t="s">
        <v>22</v>
      </c>
      <c r="L266" s="16" t="s">
        <v>23</v>
      </c>
      <c r="M266" s="16"/>
      <c r="N266" s="17" t="s">
        <v>1443</v>
      </c>
      <c r="O266" s="16" t="s">
        <v>1444</v>
      </c>
      <c r="P266" s="16" t="s">
        <v>1195</v>
      </c>
    </row>
    <row r="267" spans="1:16" ht="32">
      <c r="A267" s="16" t="s">
        <v>1445</v>
      </c>
      <c r="B267" s="16" t="s">
        <v>1189</v>
      </c>
      <c r="C267" s="16" t="s">
        <v>39</v>
      </c>
      <c r="D267" s="16" t="s">
        <v>17</v>
      </c>
      <c r="E267" s="16" t="s">
        <v>1446</v>
      </c>
      <c r="F267" s="16" t="s">
        <v>1447</v>
      </c>
      <c r="G267" s="16">
        <f t="shared" si="0"/>
        <v>11</v>
      </c>
      <c r="H267" s="17" t="s">
        <v>1448</v>
      </c>
      <c r="I267" s="16" t="s">
        <v>109</v>
      </c>
      <c r="J267" s="16" t="s">
        <v>1206</v>
      </c>
      <c r="K267" s="16" t="s">
        <v>22</v>
      </c>
      <c r="L267" s="16" t="s">
        <v>23</v>
      </c>
      <c r="M267" s="16"/>
      <c r="N267" s="17" t="s">
        <v>1449</v>
      </c>
      <c r="O267" s="16" t="s">
        <v>1450</v>
      </c>
      <c r="P267" s="16" t="s">
        <v>1195</v>
      </c>
    </row>
    <row r="268" spans="1:16" ht="32">
      <c r="A268" s="16" t="s">
        <v>1451</v>
      </c>
      <c r="B268" s="16" t="s">
        <v>1189</v>
      </c>
      <c r="C268" s="16" t="s">
        <v>39</v>
      </c>
      <c r="D268" s="16" t="s">
        <v>34</v>
      </c>
      <c r="E268" s="16" t="s">
        <v>1452</v>
      </c>
      <c r="F268" s="16" t="s">
        <v>1453</v>
      </c>
      <c r="G268" s="16">
        <f t="shared" si="0"/>
        <v>10</v>
      </c>
      <c r="H268" s="17" t="s">
        <v>1454</v>
      </c>
      <c r="I268" s="16" t="s">
        <v>109</v>
      </c>
      <c r="J268" s="16" t="s">
        <v>1206</v>
      </c>
      <c r="K268" s="16" t="s">
        <v>22</v>
      </c>
      <c r="L268" s="16" t="s">
        <v>23</v>
      </c>
      <c r="M268" s="16"/>
      <c r="N268" s="17" t="s">
        <v>1455</v>
      </c>
      <c r="O268" s="16" t="s">
        <v>1456</v>
      </c>
      <c r="P268" s="16" t="s">
        <v>1195</v>
      </c>
    </row>
    <row r="269" spans="1:16" ht="32">
      <c r="A269" s="16" t="s">
        <v>1457</v>
      </c>
      <c r="B269" s="16" t="s">
        <v>1189</v>
      </c>
      <c r="C269" s="16" t="s">
        <v>57</v>
      </c>
      <c r="D269" s="16" t="s">
        <v>17</v>
      </c>
      <c r="E269" s="16" t="s">
        <v>1458</v>
      </c>
      <c r="F269" s="16" t="s">
        <v>1459</v>
      </c>
      <c r="G269" s="16">
        <f t="shared" si="0"/>
        <v>11</v>
      </c>
      <c r="H269" s="17" t="s">
        <v>1460</v>
      </c>
      <c r="I269" s="16" t="s">
        <v>109</v>
      </c>
      <c r="J269" s="16" t="s">
        <v>1226</v>
      </c>
      <c r="K269" s="16" t="s">
        <v>22</v>
      </c>
      <c r="L269" s="16" t="s">
        <v>23</v>
      </c>
      <c r="M269" s="16"/>
      <c r="N269" s="17" t="s">
        <v>1461</v>
      </c>
      <c r="O269" s="16" t="s">
        <v>1462</v>
      </c>
      <c r="P269" s="16" t="s">
        <v>1195</v>
      </c>
    </row>
    <row r="270" spans="1:16" ht="32">
      <c r="A270" s="16" t="s">
        <v>1463</v>
      </c>
      <c r="B270" s="16" t="s">
        <v>1189</v>
      </c>
      <c r="C270" s="16" t="s">
        <v>57</v>
      </c>
      <c r="D270" s="16" t="s">
        <v>30</v>
      </c>
      <c r="E270" s="16" t="s">
        <v>1464</v>
      </c>
      <c r="F270" s="16" t="s">
        <v>1465</v>
      </c>
      <c r="G270" s="16">
        <f t="shared" si="0"/>
        <v>12</v>
      </c>
      <c r="H270" s="17" t="s">
        <v>1466</v>
      </c>
      <c r="I270" s="16" t="s">
        <v>109</v>
      </c>
      <c r="J270" s="16" t="s">
        <v>1226</v>
      </c>
      <c r="K270" s="16" t="s">
        <v>1467</v>
      </c>
      <c r="L270" s="16" t="s">
        <v>23</v>
      </c>
      <c r="M270" s="16"/>
      <c r="N270" s="17" t="s">
        <v>1468</v>
      </c>
      <c r="O270" s="16" t="s">
        <v>1469</v>
      </c>
      <c r="P270" s="16" t="s">
        <v>1195</v>
      </c>
    </row>
    <row r="271" spans="1:16" ht="32">
      <c r="A271" s="16" t="s">
        <v>1470</v>
      </c>
      <c r="B271" s="16" t="s">
        <v>1189</v>
      </c>
      <c r="C271" s="16" t="s">
        <v>57</v>
      </c>
      <c r="D271" s="16" t="s">
        <v>34</v>
      </c>
      <c r="E271" s="16" t="s">
        <v>1471</v>
      </c>
      <c r="F271" s="16" t="s">
        <v>1472</v>
      </c>
      <c r="G271" s="16">
        <f t="shared" si="0"/>
        <v>12</v>
      </c>
      <c r="H271" s="17" t="s">
        <v>1473</v>
      </c>
      <c r="I271" s="16" t="s">
        <v>109</v>
      </c>
      <c r="J271" s="16" t="s">
        <v>1226</v>
      </c>
      <c r="K271" s="16" t="s">
        <v>1467</v>
      </c>
      <c r="L271" s="16" t="s">
        <v>23</v>
      </c>
      <c r="M271" s="16"/>
      <c r="N271" s="17" t="s">
        <v>1474</v>
      </c>
      <c r="O271" s="16" t="s">
        <v>1475</v>
      </c>
      <c r="P271" s="16" t="s">
        <v>1195</v>
      </c>
    </row>
    <row r="272" spans="1:16" ht="32">
      <c r="A272" s="16" t="s">
        <v>1476</v>
      </c>
      <c r="B272" s="16" t="s">
        <v>1189</v>
      </c>
      <c r="C272" s="16" t="s">
        <v>75</v>
      </c>
      <c r="D272" s="16" t="s">
        <v>17</v>
      </c>
      <c r="E272" s="16" t="s">
        <v>1477</v>
      </c>
      <c r="F272" s="16" t="s">
        <v>1478</v>
      </c>
      <c r="G272" s="16">
        <f t="shared" si="0"/>
        <v>9</v>
      </c>
      <c r="H272" s="17" t="s">
        <v>1479</v>
      </c>
      <c r="I272" s="16" t="s">
        <v>109</v>
      </c>
      <c r="J272" s="16" t="s">
        <v>1239</v>
      </c>
      <c r="K272" s="16" t="s">
        <v>22</v>
      </c>
      <c r="L272" s="16" t="s">
        <v>23</v>
      </c>
      <c r="M272" s="16"/>
      <c r="N272" s="17" t="s">
        <v>1480</v>
      </c>
      <c r="O272" s="16" t="s">
        <v>1481</v>
      </c>
      <c r="P272" s="16" t="s">
        <v>1195</v>
      </c>
    </row>
    <row r="273" spans="1:16" ht="32">
      <c r="A273" s="16" t="s">
        <v>1482</v>
      </c>
      <c r="B273" s="16" t="s">
        <v>1189</v>
      </c>
      <c r="C273" s="16" t="s">
        <v>75</v>
      </c>
      <c r="D273" s="16" t="s">
        <v>30</v>
      </c>
      <c r="E273" s="16" t="s">
        <v>1483</v>
      </c>
      <c r="F273" s="16" t="s">
        <v>1484</v>
      </c>
      <c r="G273" s="16">
        <f t="shared" si="0"/>
        <v>10</v>
      </c>
      <c r="H273" s="17" t="s">
        <v>1485</v>
      </c>
      <c r="I273" s="16" t="s">
        <v>109</v>
      </c>
      <c r="J273" s="16" t="s">
        <v>1239</v>
      </c>
      <c r="K273" s="16" t="s">
        <v>22</v>
      </c>
      <c r="L273" s="16" t="s">
        <v>23</v>
      </c>
      <c r="M273" s="16"/>
      <c r="N273" s="17" t="s">
        <v>1486</v>
      </c>
      <c r="O273" s="16" t="s">
        <v>1487</v>
      </c>
      <c r="P273" s="16" t="s">
        <v>1195</v>
      </c>
    </row>
    <row r="274" spans="1:16" ht="32">
      <c r="A274" s="16" t="s">
        <v>1488</v>
      </c>
      <c r="B274" s="16" t="s">
        <v>1189</v>
      </c>
      <c r="C274" s="16" t="s">
        <v>75</v>
      </c>
      <c r="D274" s="16" t="s">
        <v>34</v>
      </c>
      <c r="E274" s="16" t="s">
        <v>1489</v>
      </c>
      <c r="F274" s="16" t="s">
        <v>1490</v>
      </c>
      <c r="G274" s="16">
        <f t="shared" si="0"/>
        <v>11</v>
      </c>
      <c r="H274" s="17" t="s">
        <v>1491</v>
      </c>
      <c r="I274" s="16" t="s">
        <v>109</v>
      </c>
      <c r="J274" s="16" t="s">
        <v>1239</v>
      </c>
      <c r="K274" s="16" t="s">
        <v>22</v>
      </c>
      <c r="L274" s="16" t="s">
        <v>23</v>
      </c>
      <c r="M274" s="16"/>
      <c r="N274" s="17" t="s">
        <v>1492</v>
      </c>
      <c r="O274" s="16" t="s">
        <v>1493</v>
      </c>
      <c r="P274" s="16" t="s">
        <v>1195</v>
      </c>
    </row>
    <row r="275" spans="1:16" ht="32">
      <c r="A275" s="16" t="s">
        <v>1494</v>
      </c>
      <c r="B275" s="16" t="s">
        <v>1189</v>
      </c>
      <c r="C275" s="16" t="s">
        <v>106</v>
      </c>
      <c r="D275" s="16" t="s">
        <v>17</v>
      </c>
      <c r="E275" s="16" t="s">
        <v>1495</v>
      </c>
      <c r="F275" s="16" t="s">
        <v>1496</v>
      </c>
      <c r="G275" s="16">
        <f t="shared" si="0"/>
        <v>10</v>
      </c>
      <c r="H275" s="17" t="s">
        <v>1497</v>
      </c>
      <c r="I275" s="16" t="s">
        <v>109</v>
      </c>
      <c r="J275" s="16" t="s">
        <v>1253</v>
      </c>
      <c r="K275" s="16" t="s">
        <v>22</v>
      </c>
      <c r="L275" s="16" t="s">
        <v>23</v>
      </c>
      <c r="M275" s="16"/>
      <c r="N275" s="17" t="s">
        <v>1498</v>
      </c>
      <c r="O275" s="16" t="s">
        <v>1499</v>
      </c>
      <c r="P275" s="16" t="s">
        <v>1195</v>
      </c>
    </row>
    <row r="276" spans="1:16" ht="32">
      <c r="A276" s="16" t="s">
        <v>1500</v>
      </c>
      <c r="B276" s="16" t="s">
        <v>1189</v>
      </c>
      <c r="C276" s="16" t="s">
        <v>106</v>
      </c>
      <c r="D276" s="16" t="s">
        <v>30</v>
      </c>
      <c r="E276" s="16" t="s">
        <v>1501</v>
      </c>
      <c r="F276" s="16" t="s">
        <v>1502</v>
      </c>
      <c r="G276" s="16">
        <f t="shared" si="0"/>
        <v>9</v>
      </c>
      <c r="H276" s="17" t="s">
        <v>1503</v>
      </c>
      <c r="I276" s="16" t="s">
        <v>109</v>
      </c>
      <c r="J276" s="16" t="s">
        <v>1253</v>
      </c>
      <c r="K276" s="16" t="s">
        <v>22</v>
      </c>
      <c r="L276" s="16" t="s">
        <v>23</v>
      </c>
      <c r="M276" s="16"/>
      <c r="N276" s="17" t="s">
        <v>1504</v>
      </c>
      <c r="O276" s="16" t="s">
        <v>1505</v>
      </c>
      <c r="P276" s="16" t="s">
        <v>1195</v>
      </c>
    </row>
    <row r="277" spans="1:16" ht="32">
      <c r="A277" s="16" t="s">
        <v>1506</v>
      </c>
      <c r="B277" s="16" t="s">
        <v>1189</v>
      </c>
      <c r="C277" s="16" t="s">
        <v>106</v>
      </c>
      <c r="D277" s="16" t="s">
        <v>34</v>
      </c>
      <c r="E277" s="16" t="s">
        <v>1507</v>
      </c>
      <c r="F277" s="16" t="s">
        <v>1508</v>
      </c>
      <c r="G277" s="16">
        <f t="shared" si="0"/>
        <v>10</v>
      </c>
      <c r="H277" s="17" t="s">
        <v>1509</v>
      </c>
      <c r="I277" s="16" t="s">
        <v>109</v>
      </c>
      <c r="J277" s="16" t="s">
        <v>1253</v>
      </c>
      <c r="K277" s="16" t="s">
        <v>22</v>
      </c>
      <c r="L277" s="16" t="s">
        <v>23</v>
      </c>
      <c r="M277" s="16"/>
      <c r="N277" s="17" t="s">
        <v>1510</v>
      </c>
      <c r="O277" s="16" t="s">
        <v>1511</v>
      </c>
      <c r="P277" s="16" t="s">
        <v>1195</v>
      </c>
    </row>
    <row r="278" spans="1:16" ht="32">
      <c r="A278" s="16" t="s">
        <v>1512</v>
      </c>
      <c r="B278" s="16" t="s">
        <v>1189</v>
      </c>
      <c r="C278" s="16" t="s">
        <v>131</v>
      </c>
      <c r="D278" s="16" t="s">
        <v>17</v>
      </c>
      <c r="E278" s="16" t="s">
        <v>1513</v>
      </c>
      <c r="F278" s="16" t="s">
        <v>1514</v>
      </c>
      <c r="G278" s="16">
        <f t="shared" si="0"/>
        <v>12</v>
      </c>
      <c r="H278" s="17" t="s">
        <v>1515</v>
      </c>
      <c r="I278" s="16" t="s">
        <v>109</v>
      </c>
      <c r="J278" s="16" t="s">
        <v>1266</v>
      </c>
      <c r="K278" s="16" t="s">
        <v>22</v>
      </c>
      <c r="L278" s="16" t="s">
        <v>23</v>
      </c>
      <c r="M278" s="16"/>
      <c r="N278" s="17" t="s">
        <v>1516</v>
      </c>
      <c r="O278" s="16" t="s">
        <v>1517</v>
      </c>
      <c r="P278" s="16" t="s">
        <v>1195</v>
      </c>
    </row>
    <row r="279" spans="1:16" ht="32">
      <c r="A279" s="16" t="s">
        <v>1518</v>
      </c>
      <c r="B279" s="16" t="s">
        <v>1189</v>
      </c>
      <c r="C279" s="16" t="s">
        <v>131</v>
      </c>
      <c r="D279" s="16" t="s">
        <v>30</v>
      </c>
      <c r="E279" s="16" t="s">
        <v>1519</v>
      </c>
      <c r="F279" s="16" t="s">
        <v>1520</v>
      </c>
      <c r="G279" s="16">
        <f t="shared" si="0"/>
        <v>10</v>
      </c>
      <c r="H279" s="17" t="s">
        <v>1521</v>
      </c>
      <c r="I279" s="16" t="s">
        <v>109</v>
      </c>
      <c r="J279" s="16" t="s">
        <v>1266</v>
      </c>
      <c r="K279" s="16" t="s">
        <v>22</v>
      </c>
      <c r="L279" s="16" t="s">
        <v>23</v>
      </c>
      <c r="M279" s="16"/>
      <c r="N279" s="17" t="s">
        <v>1522</v>
      </c>
      <c r="O279" s="16" t="s">
        <v>1523</v>
      </c>
      <c r="P279" s="16" t="s">
        <v>1195</v>
      </c>
    </row>
    <row r="280" spans="1:16" ht="32">
      <c r="A280" s="16" t="s">
        <v>1524</v>
      </c>
      <c r="B280" s="16" t="s">
        <v>1189</v>
      </c>
      <c r="C280" s="16" t="s">
        <v>131</v>
      </c>
      <c r="D280" s="16" t="s">
        <v>34</v>
      </c>
      <c r="E280" s="16" t="s">
        <v>1525</v>
      </c>
      <c r="F280" s="16" t="s">
        <v>1526</v>
      </c>
      <c r="G280" s="16">
        <f t="shared" si="0"/>
        <v>12</v>
      </c>
      <c r="H280" s="17" t="s">
        <v>1527</v>
      </c>
      <c r="I280" s="16" t="s">
        <v>109</v>
      </c>
      <c r="J280" s="16" t="s">
        <v>1266</v>
      </c>
      <c r="K280" s="16" t="s">
        <v>22</v>
      </c>
      <c r="L280" s="16" t="s">
        <v>23</v>
      </c>
      <c r="M280" s="16"/>
      <c r="N280" s="17" t="s">
        <v>1528</v>
      </c>
      <c r="O280" s="16" t="s">
        <v>1529</v>
      </c>
      <c r="P280" s="16" t="s">
        <v>1195</v>
      </c>
    </row>
    <row r="281" spans="1:16" ht="32">
      <c r="A281" s="16" t="s">
        <v>1530</v>
      </c>
      <c r="B281" s="16" t="s">
        <v>1189</v>
      </c>
      <c r="C281" s="16" t="s">
        <v>153</v>
      </c>
      <c r="D281" s="16" t="s">
        <v>17</v>
      </c>
      <c r="E281" s="16" t="s">
        <v>1531</v>
      </c>
      <c r="F281" s="16" t="s">
        <v>1532</v>
      </c>
      <c r="G281" s="16">
        <f t="shared" si="0"/>
        <v>11</v>
      </c>
      <c r="H281" s="17" t="s">
        <v>1533</v>
      </c>
      <c r="I281" s="16" t="s">
        <v>109</v>
      </c>
      <c r="J281" s="16" t="s">
        <v>1206</v>
      </c>
      <c r="K281" s="16" t="s">
        <v>22</v>
      </c>
      <c r="L281" s="16" t="s">
        <v>23</v>
      </c>
      <c r="M281" s="16"/>
      <c r="N281" s="17" t="s">
        <v>1534</v>
      </c>
      <c r="O281" s="16" t="s">
        <v>1535</v>
      </c>
      <c r="P281" s="16" t="s">
        <v>1195</v>
      </c>
    </row>
    <row r="282" spans="1:16" ht="32">
      <c r="A282" s="16" t="s">
        <v>1536</v>
      </c>
      <c r="B282" s="16" t="s">
        <v>1189</v>
      </c>
      <c r="C282" s="16" t="s">
        <v>153</v>
      </c>
      <c r="D282" s="16" t="s">
        <v>30</v>
      </c>
      <c r="E282" s="16" t="s">
        <v>1537</v>
      </c>
      <c r="F282" s="16" t="s">
        <v>1538</v>
      </c>
      <c r="G282" s="16">
        <f t="shared" si="0"/>
        <v>10</v>
      </c>
      <c r="H282" s="17" t="s">
        <v>1539</v>
      </c>
      <c r="I282" s="16" t="s">
        <v>109</v>
      </c>
      <c r="J282" s="16" t="s">
        <v>1206</v>
      </c>
      <c r="K282" s="16" t="s">
        <v>22</v>
      </c>
      <c r="L282" s="16" t="s">
        <v>23</v>
      </c>
      <c r="M282" s="16"/>
      <c r="N282" s="17" t="s">
        <v>1540</v>
      </c>
      <c r="O282" s="16" t="s">
        <v>1541</v>
      </c>
      <c r="P282" s="16" t="s">
        <v>1195</v>
      </c>
    </row>
    <row r="283" spans="1:16" ht="32">
      <c r="A283" s="16" t="s">
        <v>1542</v>
      </c>
      <c r="B283" s="16" t="s">
        <v>1189</v>
      </c>
      <c r="C283" s="16" t="s">
        <v>153</v>
      </c>
      <c r="D283" s="16" t="s">
        <v>34</v>
      </c>
      <c r="E283" s="16" t="s">
        <v>1543</v>
      </c>
      <c r="F283" s="16" t="s">
        <v>1544</v>
      </c>
      <c r="G283" s="16">
        <f t="shared" si="0"/>
        <v>11</v>
      </c>
      <c r="H283" s="17" t="s">
        <v>1545</v>
      </c>
      <c r="I283" s="16" t="s">
        <v>109</v>
      </c>
      <c r="J283" s="16" t="s">
        <v>1206</v>
      </c>
      <c r="K283" s="16" t="s">
        <v>22</v>
      </c>
      <c r="L283" s="16" t="s">
        <v>23</v>
      </c>
      <c r="M283" s="16"/>
      <c r="N283" s="17" t="s">
        <v>1546</v>
      </c>
      <c r="O283" s="16" t="s">
        <v>1547</v>
      </c>
      <c r="P283" s="16" t="s">
        <v>1195</v>
      </c>
    </row>
    <row r="284" spans="1:16" ht="32">
      <c r="A284" s="16" t="s">
        <v>1548</v>
      </c>
      <c r="B284" s="16" t="s">
        <v>1189</v>
      </c>
      <c r="C284" s="16" t="s">
        <v>173</v>
      </c>
      <c r="D284" s="16" t="s">
        <v>17</v>
      </c>
      <c r="E284" s="16" t="s">
        <v>1549</v>
      </c>
      <c r="F284" s="16" t="s">
        <v>1550</v>
      </c>
      <c r="G284" s="16">
        <f t="shared" si="0"/>
        <v>12</v>
      </c>
      <c r="H284" s="17" t="s">
        <v>1551</v>
      </c>
      <c r="I284" s="16" t="s">
        <v>109</v>
      </c>
      <c r="J284" s="16" t="s">
        <v>1291</v>
      </c>
      <c r="K284" s="16" t="s">
        <v>22</v>
      </c>
      <c r="L284" s="16" t="s">
        <v>23</v>
      </c>
      <c r="M284" s="16"/>
      <c r="N284" s="17" t="s">
        <v>1552</v>
      </c>
      <c r="O284" s="16" t="s">
        <v>1553</v>
      </c>
      <c r="P284" s="16" t="s">
        <v>1195</v>
      </c>
    </row>
    <row r="285" spans="1:16" ht="32">
      <c r="A285" s="16" t="s">
        <v>1554</v>
      </c>
      <c r="B285" s="16" t="s">
        <v>1189</v>
      </c>
      <c r="C285" s="16" t="s">
        <v>173</v>
      </c>
      <c r="D285" s="16" t="s">
        <v>30</v>
      </c>
      <c r="E285" s="16" t="s">
        <v>1555</v>
      </c>
      <c r="F285" s="16" t="s">
        <v>1556</v>
      </c>
      <c r="G285" s="16">
        <f t="shared" si="0"/>
        <v>12</v>
      </c>
      <c r="H285" s="17" t="s">
        <v>1557</v>
      </c>
      <c r="I285" s="16" t="s">
        <v>109</v>
      </c>
      <c r="J285" s="16" t="s">
        <v>1291</v>
      </c>
      <c r="K285" s="16" t="s">
        <v>22</v>
      </c>
      <c r="L285" s="16" t="s">
        <v>23</v>
      </c>
      <c r="M285" s="16"/>
      <c r="N285" s="17" t="s">
        <v>1558</v>
      </c>
      <c r="O285" s="16" t="s">
        <v>1559</v>
      </c>
      <c r="P285" s="16" t="s">
        <v>1195</v>
      </c>
    </row>
    <row r="286" spans="1:16" ht="32">
      <c r="A286" s="16" t="s">
        <v>1560</v>
      </c>
      <c r="B286" s="16" t="s">
        <v>1189</v>
      </c>
      <c r="C286" s="16" t="s">
        <v>173</v>
      </c>
      <c r="D286" s="16" t="s">
        <v>34</v>
      </c>
      <c r="E286" s="16" t="s">
        <v>1561</v>
      </c>
      <c r="F286" s="16" t="s">
        <v>1562</v>
      </c>
      <c r="G286" s="16">
        <f t="shared" si="0"/>
        <v>11</v>
      </c>
      <c r="H286" s="17" t="s">
        <v>1563</v>
      </c>
      <c r="I286" s="16" t="s">
        <v>109</v>
      </c>
      <c r="J286" s="16" t="s">
        <v>1291</v>
      </c>
      <c r="K286" s="16" t="s">
        <v>22</v>
      </c>
      <c r="L286" s="16" t="s">
        <v>23</v>
      </c>
      <c r="M286" s="16"/>
      <c r="N286" s="17" t="s">
        <v>1564</v>
      </c>
      <c r="O286" s="16" t="s">
        <v>1565</v>
      </c>
      <c r="P286" s="16" t="s">
        <v>1195</v>
      </c>
    </row>
    <row r="287" spans="1:16" ht="32">
      <c r="A287" s="16" t="s">
        <v>1566</v>
      </c>
      <c r="B287" s="16" t="s">
        <v>1189</v>
      </c>
      <c r="C287" s="16" t="s">
        <v>196</v>
      </c>
      <c r="D287" s="16" t="s">
        <v>197</v>
      </c>
      <c r="E287" s="16" t="s">
        <v>1567</v>
      </c>
      <c r="F287" s="16" t="s">
        <v>1568</v>
      </c>
      <c r="G287" s="16">
        <f t="shared" si="0"/>
        <v>11</v>
      </c>
      <c r="H287" s="17" t="s">
        <v>1569</v>
      </c>
      <c r="I287" s="16" t="s">
        <v>22</v>
      </c>
      <c r="J287" s="16" t="s">
        <v>901</v>
      </c>
      <c r="K287" s="16" t="s">
        <v>1219</v>
      </c>
      <c r="L287" s="16" t="s">
        <v>23</v>
      </c>
      <c r="M287" s="16"/>
      <c r="N287" s="17" t="s">
        <v>1570</v>
      </c>
      <c r="O287" s="16" t="s">
        <v>1571</v>
      </c>
      <c r="P287" s="16" t="s">
        <v>1195</v>
      </c>
    </row>
    <row r="288" spans="1:16" ht="32">
      <c r="A288" s="16" t="s">
        <v>1572</v>
      </c>
      <c r="B288" s="16" t="s">
        <v>1189</v>
      </c>
      <c r="C288" s="16" t="s">
        <v>196</v>
      </c>
      <c r="D288" s="16" t="s">
        <v>197</v>
      </c>
      <c r="E288" s="16" t="s">
        <v>1573</v>
      </c>
      <c r="F288" s="16" t="s">
        <v>1574</v>
      </c>
      <c r="G288" s="16">
        <f t="shared" si="0"/>
        <v>12</v>
      </c>
      <c r="H288" s="17" t="s">
        <v>1575</v>
      </c>
      <c r="I288" s="16" t="s">
        <v>22</v>
      </c>
      <c r="J288" s="16" t="s">
        <v>901</v>
      </c>
      <c r="K288" s="16" t="s">
        <v>22</v>
      </c>
      <c r="L288" s="16" t="s">
        <v>23</v>
      </c>
      <c r="M288" s="16"/>
      <c r="N288" s="17" t="s">
        <v>1576</v>
      </c>
      <c r="O288" s="16" t="s">
        <v>1577</v>
      </c>
      <c r="P288" s="16" t="s">
        <v>1195</v>
      </c>
    </row>
    <row r="289" spans="1:16" ht="32">
      <c r="A289" s="16" t="s">
        <v>1578</v>
      </c>
      <c r="B289" s="16" t="s">
        <v>1189</v>
      </c>
      <c r="C289" s="16" t="s">
        <v>16</v>
      </c>
      <c r="D289" s="16" t="s">
        <v>17</v>
      </c>
      <c r="E289" s="16" t="s">
        <v>1579</v>
      </c>
      <c r="F289" s="16" t="s">
        <v>1580</v>
      </c>
      <c r="G289" s="16">
        <f t="shared" si="0"/>
        <v>10</v>
      </c>
      <c r="H289" s="17" t="s">
        <v>1581</v>
      </c>
      <c r="I289" s="16" t="s">
        <v>22</v>
      </c>
      <c r="J289" s="16" t="s">
        <v>901</v>
      </c>
      <c r="K289" s="16" t="s">
        <v>22</v>
      </c>
      <c r="L289" s="16" t="s">
        <v>23</v>
      </c>
      <c r="M289" s="16"/>
      <c r="N289" s="17" t="s">
        <v>1582</v>
      </c>
      <c r="O289" s="16" t="s">
        <v>1583</v>
      </c>
      <c r="P289" s="16" t="s">
        <v>1195</v>
      </c>
    </row>
    <row r="290" spans="1:16" ht="32">
      <c r="A290" s="16" t="s">
        <v>1584</v>
      </c>
      <c r="B290" s="16" t="s">
        <v>1189</v>
      </c>
      <c r="C290" s="16" t="s">
        <v>16</v>
      </c>
      <c r="D290" s="16" t="s">
        <v>17</v>
      </c>
      <c r="E290" s="16" t="s">
        <v>1585</v>
      </c>
      <c r="F290" s="16" t="s">
        <v>1586</v>
      </c>
      <c r="G290" s="16">
        <f t="shared" ref="G290:G353" si="1">LEN(F290)</f>
        <v>12</v>
      </c>
      <c r="H290" s="17" t="s">
        <v>1587</v>
      </c>
      <c r="I290" s="16" t="s">
        <v>22</v>
      </c>
      <c r="J290" s="16" t="s">
        <v>901</v>
      </c>
      <c r="K290" s="16" t="s">
        <v>22</v>
      </c>
      <c r="L290" s="16" t="s">
        <v>23</v>
      </c>
      <c r="M290" s="16"/>
      <c r="N290" s="17" t="s">
        <v>1588</v>
      </c>
      <c r="O290" s="16" t="s">
        <v>1589</v>
      </c>
      <c r="P290" s="16" t="s">
        <v>1195</v>
      </c>
    </row>
    <row r="291" spans="1:16" ht="32">
      <c r="A291" s="16" t="s">
        <v>1590</v>
      </c>
      <c r="B291" s="16" t="s">
        <v>1189</v>
      </c>
      <c r="C291" s="16" t="s">
        <v>16</v>
      </c>
      <c r="D291" s="16" t="s">
        <v>17</v>
      </c>
      <c r="E291" s="16" t="s">
        <v>1591</v>
      </c>
      <c r="F291" s="16" t="s">
        <v>1592</v>
      </c>
      <c r="G291" s="16">
        <f t="shared" si="1"/>
        <v>12</v>
      </c>
      <c r="H291" s="17" t="s">
        <v>1593</v>
      </c>
      <c r="I291" s="16" t="s">
        <v>22</v>
      </c>
      <c r="J291" s="16" t="s">
        <v>901</v>
      </c>
      <c r="K291" s="16" t="s">
        <v>22</v>
      </c>
      <c r="L291" s="16" t="s">
        <v>23</v>
      </c>
      <c r="M291" s="16"/>
      <c r="N291" s="17" t="s">
        <v>1594</v>
      </c>
      <c r="O291" s="16" t="s">
        <v>1595</v>
      </c>
      <c r="P291" s="16" t="s">
        <v>1195</v>
      </c>
    </row>
    <row r="292" spans="1:16" ht="32">
      <c r="A292" s="16" t="s">
        <v>1596</v>
      </c>
      <c r="B292" s="16" t="s">
        <v>1189</v>
      </c>
      <c r="C292" s="16" t="s">
        <v>16</v>
      </c>
      <c r="D292" s="16" t="s">
        <v>17</v>
      </c>
      <c r="E292" s="16" t="s">
        <v>1597</v>
      </c>
      <c r="F292" s="16" t="s">
        <v>1598</v>
      </c>
      <c r="G292" s="16">
        <f t="shared" si="1"/>
        <v>11</v>
      </c>
      <c r="H292" s="17" t="s">
        <v>1599</v>
      </c>
      <c r="I292" s="16" t="s">
        <v>22</v>
      </c>
      <c r="J292" s="16" t="s">
        <v>901</v>
      </c>
      <c r="K292" s="16" t="s">
        <v>22</v>
      </c>
      <c r="L292" s="16" t="s">
        <v>23</v>
      </c>
      <c r="M292" s="16"/>
      <c r="N292" s="17" t="s">
        <v>1600</v>
      </c>
      <c r="O292" s="16" t="s">
        <v>1601</v>
      </c>
      <c r="P292" s="16" t="s">
        <v>1195</v>
      </c>
    </row>
    <row r="293" spans="1:16" ht="32">
      <c r="A293" s="16" t="s">
        <v>1602</v>
      </c>
      <c r="B293" s="16" t="s">
        <v>1189</v>
      </c>
      <c r="C293" s="16" t="s">
        <v>16</v>
      </c>
      <c r="D293" s="16" t="s">
        <v>17</v>
      </c>
      <c r="E293" s="16" t="s">
        <v>1603</v>
      </c>
      <c r="F293" s="16" t="s">
        <v>1604</v>
      </c>
      <c r="G293" s="16">
        <f t="shared" si="1"/>
        <v>11</v>
      </c>
      <c r="H293" s="17" t="s">
        <v>1605</v>
      </c>
      <c r="I293" s="16" t="s">
        <v>109</v>
      </c>
      <c r="J293" s="16" t="s">
        <v>901</v>
      </c>
      <c r="K293" s="16" t="s">
        <v>22</v>
      </c>
      <c r="L293" s="16" t="s">
        <v>23</v>
      </c>
      <c r="M293" s="16"/>
      <c r="N293" s="17" t="s">
        <v>1606</v>
      </c>
      <c r="O293" s="16" t="s">
        <v>1607</v>
      </c>
      <c r="P293" s="16" t="s">
        <v>1195</v>
      </c>
    </row>
    <row r="294" spans="1:16" ht="32">
      <c r="A294" s="16" t="s">
        <v>1608</v>
      </c>
      <c r="B294" s="16" t="s">
        <v>1189</v>
      </c>
      <c r="C294" s="16" t="s">
        <v>16</v>
      </c>
      <c r="D294" s="16" t="s">
        <v>17</v>
      </c>
      <c r="E294" s="16" t="s">
        <v>1609</v>
      </c>
      <c r="F294" s="16" t="s">
        <v>1610</v>
      </c>
      <c r="G294" s="16">
        <f t="shared" si="1"/>
        <v>11</v>
      </c>
      <c r="H294" s="17" t="s">
        <v>1611</v>
      </c>
      <c r="I294" s="16" t="s">
        <v>109</v>
      </c>
      <c r="J294" s="16" t="s">
        <v>901</v>
      </c>
      <c r="K294" s="16" t="s">
        <v>22</v>
      </c>
      <c r="L294" s="16" t="s">
        <v>23</v>
      </c>
      <c r="M294" s="16"/>
      <c r="N294" s="17" t="s">
        <v>1612</v>
      </c>
      <c r="O294" s="16" t="s">
        <v>1613</v>
      </c>
      <c r="P294" s="16" t="s">
        <v>1195</v>
      </c>
    </row>
    <row r="295" spans="1:16" ht="32">
      <c r="A295" s="16" t="s">
        <v>1614</v>
      </c>
      <c r="B295" s="16" t="s">
        <v>1189</v>
      </c>
      <c r="C295" s="16" t="s">
        <v>39</v>
      </c>
      <c r="D295" s="16" t="s">
        <v>17</v>
      </c>
      <c r="E295" s="16" t="s">
        <v>1615</v>
      </c>
      <c r="F295" s="16" t="s">
        <v>1616</v>
      </c>
      <c r="G295" s="16">
        <f t="shared" si="1"/>
        <v>12</v>
      </c>
      <c r="H295" s="17" t="s">
        <v>1617</v>
      </c>
      <c r="I295" s="16" t="s">
        <v>22</v>
      </c>
      <c r="J295" s="16" t="s">
        <v>1206</v>
      </c>
      <c r="K295" s="16" t="s">
        <v>22</v>
      </c>
      <c r="L295" s="16" t="s">
        <v>23</v>
      </c>
      <c r="M295" s="16"/>
      <c r="N295" s="17" t="s">
        <v>1618</v>
      </c>
      <c r="O295" s="16" t="s">
        <v>1619</v>
      </c>
      <c r="P295" s="16" t="s">
        <v>1195</v>
      </c>
    </row>
    <row r="296" spans="1:16" ht="32">
      <c r="A296" s="16" t="s">
        <v>1620</v>
      </c>
      <c r="B296" s="16" t="s">
        <v>1189</v>
      </c>
      <c r="C296" s="16" t="s">
        <v>39</v>
      </c>
      <c r="D296" s="16" t="s">
        <v>17</v>
      </c>
      <c r="E296" s="16" t="s">
        <v>1621</v>
      </c>
      <c r="F296" s="16" t="s">
        <v>1622</v>
      </c>
      <c r="G296" s="16">
        <f t="shared" si="1"/>
        <v>9</v>
      </c>
      <c r="H296" s="17" t="s">
        <v>1623</v>
      </c>
      <c r="I296" s="16" t="s">
        <v>22</v>
      </c>
      <c r="J296" s="16" t="s">
        <v>1206</v>
      </c>
      <c r="K296" s="16" t="s">
        <v>1219</v>
      </c>
      <c r="L296" s="16" t="s">
        <v>23</v>
      </c>
      <c r="M296" s="16"/>
      <c r="N296" s="17" t="s">
        <v>1624</v>
      </c>
      <c r="O296" s="16" t="s">
        <v>1625</v>
      </c>
      <c r="P296" s="16" t="s">
        <v>1195</v>
      </c>
    </row>
    <row r="297" spans="1:16" ht="32">
      <c r="A297" s="16" t="s">
        <v>1626</v>
      </c>
      <c r="B297" s="16" t="s">
        <v>1189</v>
      </c>
      <c r="C297" s="16" t="s">
        <v>39</v>
      </c>
      <c r="D297" s="16" t="s">
        <v>17</v>
      </c>
      <c r="E297" s="16" t="s">
        <v>1627</v>
      </c>
      <c r="F297" s="16" t="s">
        <v>1628</v>
      </c>
      <c r="G297" s="16">
        <f t="shared" si="1"/>
        <v>12</v>
      </c>
      <c r="H297" s="17" t="s">
        <v>1629</v>
      </c>
      <c r="I297" s="16" t="s">
        <v>22</v>
      </c>
      <c r="J297" s="16" t="s">
        <v>1206</v>
      </c>
      <c r="K297" s="16" t="s">
        <v>22</v>
      </c>
      <c r="L297" s="16" t="s">
        <v>23</v>
      </c>
      <c r="M297" s="16"/>
      <c r="N297" s="17" t="s">
        <v>1630</v>
      </c>
      <c r="O297" s="16" t="s">
        <v>1631</v>
      </c>
      <c r="P297" s="16" t="s">
        <v>1195</v>
      </c>
    </row>
    <row r="298" spans="1:16" ht="32">
      <c r="A298" s="16" t="s">
        <v>1632</v>
      </c>
      <c r="B298" s="16" t="s">
        <v>1189</v>
      </c>
      <c r="C298" s="16" t="s">
        <v>39</v>
      </c>
      <c r="D298" s="16" t="s">
        <v>17</v>
      </c>
      <c r="E298" s="16" t="s">
        <v>1633</v>
      </c>
      <c r="F298" s="16" t="s">
        <v>1634</v>
      </c>
      <c r="G298" s="16">
        <f t="shared" si="1"/>
        <v>12</v>
      </c>
      <c r="H298" s="17" t="s">
        <v>1635</v>
      </c>
      <c r="I298" s="16" t="s">
        <v>22</v>
      </c>
      <c r="J298" s="16" t="s">
        <v>1206</v>
      </c>
      <c r="K298" s="16" t="s">
        <v>1219</v>
      </c>
      <c r="L298" s="16" t="s">
        <v>23</v>
      </c>
      <c r="M298" s="16"/>
      <c r="N298" s="17" t="s">
        <v>1636</v>
      </c>
      <c r="O298" s="16" t="s">
        <v>1637</v>
      </c>
      <c r="P298" s="16" t="s">
        <v>1195</v>
      </c>
    </row>
    <row r="299" spans="1:16" ht="32">
      <c r="A299" s="16" t="s">
        <v>1638</v>
      </c>
      <c r="B299" s="16" t="s">
        <v>1189</v>
      </c>
      <c r="C299" s="16" t="s">
        <v>39</v>
      </c>
      <c r="D299" s="16" t="s">
        <v>17</v>
      </c>
      <c r="E299" s="16" t="s">
        <v>1639</v>
      </c>
      <c r="F299" s="16" t="s">
        <v>1640</v>
      </c>
      <c r="G299" s="16">
        <f t="shared" si="1"/>
        <v>12</v>
      </c>
      <c r="H299" s="17" t="s">
        <v>1641</v>
      </c>
      <c r="I299" s="16" t="s">
        <v>109</v>
      </c>
      <c r="J299" s="16" t="s">
        <v>1206</v>
      </c>
      <c r="K299" s="16" t="s">
        <v>22</v>
      </c>
      <c r="L299" s="16" t="s">
        <v>23</v>
      </c>
      <c r="M299" s="16"/>
      <c r="N299" s="17" t="s">
        <v>1642</v>
      </c>
      <c r="O299" s="16" t="s">
        <v>1643</v>
      </c>
      <c r="P299" s="16" t="s">
        <v>1195</v>
      </c>
    </row>
    <row r="300" spans="1:16" ht="32">
      <c r="A300" s="16" t="s">
        <v>1644</v>
      </c>
      <c r="B300" s="16" t="s">
        <v>1189</v>
      </c>
      <c r="C300" s="16" t="s">
        <v>39</v>
      </c>
      <c r="D300" s="16" t="s">
        <v>17</v>
      </c>
      <c r="E300" s="16" t="s">
        <v>1645</v>
      </c>
      <c r="F300" s="16" t="s">
        <v>1646</v>
      </c>
      <c r="G300" s="16">
        <f t="shared" si="1"/>
        <v>12</v>
      </c>
      <c r="H300" s="17" t="s">
        <v>1647</v>
      </c>
      <c r="I300" s="16" t="s">
        <v>109</v>
      </c>
      <c r="J300" s="16" t="s">
        <v>1206</v>
      </c>
      <c r="K300" s="16" t="s">
        <v>22</v>
      </c>
      <c r="L300" s="16" t="s">
        <v>23</v>
      </c>
      <c r="M300" s="16"/>
      <c r="N300" s="17" t="s">
        <v>1648</v>
      </c>
      <c r="O300" s="16" t="s">
        <v>1649</v>
      </c>
      <c r="P300" s="16" t="s">
        <v>1195</v>
      </c>
    </row>
    <row r="301" spans="1:16" ht="32">
      <c r="A301" s="16" t="s">
        <v>1650</v>
      </c>
      <c r="B301" s="16" t="s">
        <v>1189</v>
      </c>
      <c r="C301" s="16" t="s">
        <v>57</v>
      </c>
      <c r="D301" s="16" t="s">
        <v>17</v>
      </c>
      <c r="E301" s="16" t="s">
        <v>1651</v>
      </c>
      <c r="F301" s="16" t="s">
        <v>1652</v>
      </c>
      <c r="G301" s="16">
        <f t="shared" si="1"/>
        <v>11</v>
      </c>
      <c r="H301" s="17" t="s">
        <v>1653</v>
      </c>
      <c r="I301" s="16" t="s">
        <v>22</v>
      </c>
      <c r="J301" s="16" t="s">
        <v>1226</v>
      </c>
      <c r="K301" s="16" t="s">
        <v>22</v>
      </c>
      <c r="L301" s="16" t="s">
        <v>23</v>
      </c>
      <c r="M301" s="16"/>
      <c r="N301" s="17" t="s">
        <v>1654</v>
      </c>
      <c r="O301" s="16" t="s">
        <v>1655</v>
      </c>
      <c r="P301" s="16" t="s">
        <v>1195</v>
      </c>
    </row>
    <row r="302" spans="1:16" ht="32">
      <c r="A302" s="16" t="s">
        <v>1656</v>
      </c>
      <c r="B302" s="16" t="s">
        <v>1189</v>
      </c>
      <c r="C302" s="16" t="s">
        <v>57</v>
      </c>
      <c r="D302" s="16" t="s">
        <v>17</v>
      </c>
      <c r="E302" s="16" t="s">
        <v>1657</v>
      </c>
      <c r="F302" s="16" t="s">
        <v>1658</v>
      </c>
      <c r="G302" s="16">
        <f t="shared" si="1"/>
        <v>10</v>
      </c>
      <c r="H302" s="17" t="s">
        <v>1659</v>
      </c>
      <c r="I302" s="16" t="s">
        <v>22</v>
      </c>
      <c r="J302" s="16" t="s">
        <v>1226</v>
      </c>
      <c r="K302" s="16" t="s">
        <v>22</v>
      </c>
      <c r="L302" s="16" t="s">
        <v>23</v>
      </c>
      <c r="M302" s="16"/>
      <c r="N302" s="17" t="s">
        <v>1660</v>
      </c>
      <c r="O302" s="16" t="s">
        <v>1661</v>
      </c>
      <c r="P302" s="16" t="s">
        <v>1195</v>
      </c>
    </row>
    <row r="303" spans="1:16" ht="32">
      <c r="A303" s="16" t="s">
        <v>1662</v>
      </c>
      <c r="B303" s="16" t="s">
        <v>1189</v>
      </c>
      <c r="C303" s="16" t="s">
        <v>57</v>
      </c>
      <c r="D303" s="16" t="s">
        <v>17</v>
      </c>
      <c r="E303" s="16" t="s">
        <v>1663</v>
      </c>
      <c r="F303" s="16" t="s">
        <v>1664</v>
      </c>
      <c r="G303" s="16">
        <f t="shared" si="1"/>
        <v>9</v>
      </c>
      <c r="H303" s="17" t="s">
        <v>1665</v>
      </c>
      <c r="I303" s="16" t="s">
        <v>22</v>
      </c>
      <c r="J303" s="16" t="s">
        <v>1226</v>
      </c>
      <c r="K303" s="16" t="s">
        <v>22</v>
      </c>
      <c r="L303" s="16" t="s">
        <v>23</v>
      </c>
      <c r="M303" s="16"/>
      <c r="N303" s="17" t="s">
        <v>1666</v>
      </c>
      <c r="O303" s="16" t="s">
        <v>1667</v>
      </c>
      <c r="P303" s="16" t="s">
        <v>1195</v>
      </c>
    </row>
    <row r="304" spans="1:16" ht="32">
      <c r="A304" s="16" t="s">
        <v>1668</v>
      </c>
      <c r="B304" s="16" t="s">
        <v>1189</v>
      </c>
      <c r="C304" s="16" t="s">
        <v>57</v>
      </c>
      <c r="D304" s="16" t="s">
        <v>17</v>
      </c>
      <c r="E304" s="16" t="s">
        <v>1669</v>
      </c>
      <c r="F304" s="16" t="s">
        <v>1670</v>
      </c>
      <c r="G304" s="16">
        <f t="shared" si="1"/>
        <v>9</v>
      </c>
      <c r="H304" s="17" t="s">
        <v>1671</v>
      </c>
      <c r="I304" s="16" t="s">
        <v>22</v>
      </c>
      <c r="J304" s="16" t="s">
        <v>1226</v>
      </c>
      <c r="K304" s="16" t="s">
        <v>1346</v>
      </c>
      <c r="L304" s="16" t="s">
        <v>23</v>
      </c>
      <c r="M304" s="16" t="s">
        <v>1347</v>
      </c>
      <c r="N304" s="17" t="s">
        <v>1672</v>
      </c>
      <c r="O304" s="16" t="s">
        <v>1673</v>
      </c>
      <c r="P304" s="16" t="s">
        <v>1195</v>
      </c>
    </row>
    <row r="305" spans="1:16" ht="32">
      <c r="A305" s="16" t="s">
        <v>1674</v>
      </c>
      <c r="B305" s="16" t="s">
        <v>1189</v>
      </c>
      <c r="C305" s="16" t="s">
        <v>57</v>
      </c>
      <c r="D305" s="16" t="s">
        <v>17</v>
      </c>
      <c r="E305" s="16" t="s">
        <v>1675</v>
      </c>
      <c r="F305" s="16" t="s">
        <v>1676</v>
      </c>
      <c r="G305" s="16">
        <f t="shared" si="1"/>
        <v>9</v>
      </c>
      <c r="H305" s="17" t="s">
        <v>1677</v>
      </c>
      <c r="I305" s="16" t="s">
        <v>109</v>
      </c>
      <c r="J305" s="16" t="s">
        <v>1226</v>
      </c>
      <c r="K305" s="16" t="s">
        <v>1346</v>
      </c>
      <c r="L305" s="16" t="s">
        <v>23</v>
      </c>
      <c r="M305" s="16" t="s">
        <v>1347</v>
      </c>
      <c r="N305" s="17" t="s">
        <v>1678</v>
      </c>
      <c r="O305" s="16" t="s">
        <v>1679</v>
      </c>
      <c r="P305" s="16" t="s">
        <v>1195</v>
      </c>
    </row>
    <row r="306" spans="1:16" ht="32">
      <c r="A306" s="16" t="s">
        <v>1680</v>
      </c>
      <c r="B306" s="16" t="s">
        <v>1189</v>
      </c>
      <c r="C306" s="16" t="s">
        <v>57</v>
      </c>
      <c r="D306" s="16" t="s">
        <v>17</v>
      </c>
      <c r="E306" s="16" t="s">
        <v>1681</v>
      </c>
      <c r="F306" s="16" t="s">
        <v>1682</v>
      </c>
      <c r="G306" s="16">
        <f t="shared" si="1"/>
        <v>11</v>
      </c>
      <c r="H306" s="17" t="s">
        <v>1683</v>
      </c>
      <c r="I306" s="16" t="s">
        <v>109</v>
      </c>
      <c r="J306" s="16" t="s">
        <v>1226</v>
      </c>
      <c r="K306" s="16" t="s">
        <v>1467</v>
      </c>
      <c r="L306" s="16" t="s">
        <v>23</v>
      </c>
      <c r="M306" s="16"/>
      <c r="N306" s="17" t="s">
        <v>1684</v>
      </c>
      <c r="O306" s="16" t="s">
        <v>1685</v>
      </c>
      <c r="P306" s="16" t="s">
        <v>1195</v>
      </c>
    </row>
    <row r="307" spans="1:16" ht="32">
      <c r="A307" s="16" t="s">
        <v>1686</v>
      </c>
      <c r="B307" s="16" t="s">
        <v>1189</v>
      </c>
      <c r="C307" s="16" t="s">
        <v>75</v>
      </c>
      <c r="D307" s="16" t="s">
        <v>17</v>
      </c>
      <c r="E307" s="16" t="s">
        <v>1687</v>
      </c>
      <c r="F307" s="16" t="s">
        <v>1687</v>
      </c>
      <c r="G307" s="16">
        <f t="shared" si="1"/>
        <v>11</v>
      </c>
      <c r="H307" s="17" t="s">
        <v>1688</v>
      </c>
      <c r="I307" s="16" t="s">
        <v>22</v>
      </c>
      <c r="J307" s="16" t="s">
        <v>1239</v>
      </c>
      <c r="K307" s="16" t="s">
        <v>22</v>
      </c>
      <c r="L307" s="16" t="s">
        <v>23</v>
      </c>
      <c r="M307" s="16"/>
      <c r="N307" s="17" t="s">
        <v>1689</v>
      </c>
      <c r="O307" s="16" t="s">
        <v>1690</v>
      </c>
      <c r="P307" s="16" t="s">
        <v>1195</v>
      </c>
    </row>
    <row r="308" spans="1:16" ht="32">
      <c r="A308" s="16" t="s">
        <v>1691</v>
      </c>
      <c r="B308" s="16" t="s">
        <v>1189</v>
      </c>
      <c r="C308" s="16" t="s">
        <v>75</v>
      </c>
      <c r="D308" s="16" t="s">
        <v>17</v>
      </c>
      <c r="E308" s="16" t="s">
        <v>1692</v>
      </c>
      <c r="F308" s="16" t="s">
        <v>1693</v>
      </c>
      <c r="G308" s="16">
        <f t="shared" si="1"/>
        <v>10</v>
      </c>
      <c r="H308" s="17" t="s">
        <v>1694</v>
      </c>
      <c r="I308" s="16" t="s">
        <v>22</v>
      </c>
      <c r="J308" s="16" t="s">
        <v>1239</v>
      </c>
      <c r="K308" s="16" t="s">
        <v>22</v>
      </c>
      <c r="L308" s="16" t="s">
        <v>23</v>
      </c>
      <c r="M308" s="16"/>
      <c r="N308" s="17" t="s">
        <v>1695</v>
      </c>
      <c r="O308" s="16" t="s">
        <v>1696</v>
      </c>
      <c r="P308" s="16" t="s">
        <v>1195</v>
      </c>
    </row>
    <row r="309" spans="1:16" ht="32">
      <c r="A309" s="16" t="s">
        <v>1697</v>
      </c>
      <c r="B309" s="16" t="s">
        <v>1189</v>
      </c>
      <c r="C309" s="16" t="s">
        <v>75</v>
      </c>
      <c r="D309" s="16" t="s">
        <v>17</v>
      </c>
      <c r="E309" s="16" t="s">
        <v>1698</v>
      </c>
      <c r="F309" s="16" t="s">
        <v>1699</v>
      </c>
      <c r="G309" s="16">
        <f t="shared" si="1"/>
        <v>11</v>
      </c>
      <c r="H309" s="17" t="s">
        <v>1700</v>
      </c>
      <c r="I309" s="16" t="s">
        <v>22</v>
      </c>
      <c r="J309" s="16" t="s">
        <v>1239</v>
      </c>
      <c r="K309" s="16" t="s">
        <v>1240</v>
      </c>
      <c r="L309" s="16" t="s">
        <v>23</v>
      </c>
      <c r="M309" s="16"/>
      <c r="N309" s="17" t="s">
        <v>1701</v>
      </c>
      <c r="O309" s="16" t="s">
        <v>1702</v>
      </c>
      <c r="P309" s="16" t="s">
        <v>1195</v>
      </c>
    </row>
    <row r="310" spans="1:16" ht="32">
      <c r="A310" s="16" t="s">
        <v>1703</v>
      </c>
      <c r="B310" s="16" t="s">
        <v>1189</v>
      </c>
      <c r="C310" s="16" t="s">
        <v>75</v>
      </c>
      <c r="D310" s="16" t="s">
        <v>17</v>
      </c>
      <c r="E310" s="16" t="s">
        <v>1704</v>
      </c>
      <c r="F310" s="16" t="s">
        <v>1705</v>
      </c>
      <c r="G310" s="16">
        <f t="shared" si="1"/>
        <v>11</v>
      </c>
      <c r="H310" s="17" t="s">
        <v>1706</v>
      </c>
      <c r="I310" s="16" t="s">
        <v>22</v>
      </c>
      <c r="J310" s="16" t="s">
        <v>1239</v>
      </c>
      <c r="K310" s="16" t="s">
        <v>22</v>
      </c>
      <c r="L310" s="16" t="s">
        <v>23</v>
      </c>
      <c r="M310" s="16"/>
      <c r="N310" s="17" t="s">
        <v>1707</v>
      </c>
      <c r="O310" s="16" t="s">
        <v>1708</v>
      </c>
      <c r="P310" s="16" t="s">
        <v>1195</v>
      </c>
    </row>
    <row r="311" spans="1:16" ht="32">
      <c r="A311" s="16" t="s">
        <v>1709</v>
      </c>
      <c r="B311" s="16" t="s">
        <v>1189</v>
      </c>
      <c r="C311" s="16" t="s">
        <v>75</v>
      </c>
      <c r="D311" s="16" t="s">
        <v>17</v>
      </c>
      <c r="E311" s="16" t="s">
        <v>1710</v>
      </c>
      <c r="F311" s="16" t="s">
        <v>1711</v>
      </c>
      <c r="G311" s="16">
        <f t="shared" si="1"/>
        <v>11</v>
      </c>
      <c r="H311" s="17" t="s">
        <v>1712</v>
      </c>
      <c r="I311" s="16" t="s">
        <v>109</v>
      </c>
      <c r="J311" s="16" t="s">
        <v>1239</v>
      </c>
      <c r="K311" s="16" t="s">
        <v>22</v>
      </c>
      <c r="L311" s="16" t="s">
        <v>23</v>
      </c>
      <c r="M311" s="16"/>
      <c r="N311" s="17" t="s">
        <v>1713</v>
      </c>
      <c r="O311" s="16" t="s">
        <v>1714</v>
      </c>
      <c r="P311" s="16" t="s">
        <v>1195</v>
      </c>
    </row>
    <row r="312" spans="1:16" ht="32">
      <c r="A312" s="16" t="s">
        <v>1715</v>
      </c>
      <c r="B312" s="16" t="s">
        <v>1189</v>
      </c>
      <c r="C312" s="16" t="s">
        <v>75</v>
      </c>
      <c r="D312" s="16" t="s">
        <v>17</v>
      </c>
      <c r="E312" s="16" t="s">
        <v>1716</v>
      </c>
      <c r="F312" s="16" t="s">
        <v>1717</v>
      </c>
      <c r="G312" s="16">
        <f t="shared" si="1"/>
        <v>10</v>
      </c>
      <c r="H312" s="17" t="s">
        <v>1718</v>
      </c>
      <c r="I312" s="16" t="s">
        <v>109</v>
      </c>
      <c r="J312" s="16" t="s">
        <v>1239</v>
      </c>
      <c r="K312" s="16" t="s">
        <v>22</v>
      </c>
      <c r="L312" s="16" t="s">
        <v>23</v>
      </c>
      <c r="M312" s="16"/>
      <c r="N312" s="17" t="s">
        <v>1719</v>
      </c>
      <c r="O312" s="16" t="s">
        <v>1720</v>
      </c>
      <c r="P312" s="16" t="s">
        <v>1195</v>
      </c>
    </row>
    <row r="313" spans="1:16" ht="32">
      <c r="A313" s="16" t="s">
        <v>1721</v>
      </c>
      <c r="B313" s="16" t="s">
        <v>1189</v>
      </c>
      <c r="C313" s="16" t="s">
        <v>106</v>
      </c>
      <c r="D313" s="16" t="s">
        <v>17</v>
      </c>
      <c r="E313" s="16" t="s">
        <v>1722</v>
      </c>
      <c r="F313" s="16" t="s">
        <v>1723</v>
      </c>
      <c r="G313" s="16">
        <f t="shared" si="1"/>
        <v>11</v>
      </c>
      <c r="H313" s="17" t="s">
        <v>1724</v>
      </c>
      <c r="I313" s="16" t="s">
        <v>22</v>
      </c>
      <c r="J313" s="16" t="s">
        <v>1253</v>
      </c>
      <c r="K313" s="16" t="s">
        <v>22</v>
      </c>
      <c r="L313" s="16" t="s">
        <v>23</v>
      </c>
      <c r="M313" s="16"/>
      <c r="N313" s="17" t="s">
        <v>1725</v>
      </c>
      <c r="O313" s="16" t="s">
        <v>1726</v>
      </c>
      <c r="P313" s="16" t="s">
        <v>1195</v>
      </c>
    </row>
    <row r="314" spans="1:16" ht="32">
      <c r="A314" s="16" t="s">
        <v>1727</v>
      </c>
      <c r="B314" s="16" t="s">
        <v>1189</v>
      </c>
      <c r="C314" s="16" t="s">
        <v>106</v>
      </c>
      <c r="D314" s="16" t="s">
        <v>17</v>
      </c>
      <c r="E314" s="16" t="s">
        <v>1728</v>
      </c>
      <c r="F314" s="16" t="s">
        <v>1729</v>
      </c>
      <c r="G314" s="16">
        <f t="shared" si="1"/>
        <v>12</v>
      </c>
      <c r="H314" s="17" t="s">
        <v>1730</v>
      </c>
      <c r="I314" s="16" t="s">
        <v>22</v>
      </c>
      <c r="J314" s="16" t="s">
        <v>1253</v>
      </c>
      <c r="K314" s="16" t="s">
        <v>22</v>
      </c>
      <c r="L314" s="16" t="s">
        <v>23</v>
      </c>
      <c r="M314" s="16"/>
      <c r="N314" s="17" t="s">
        <v>1731</v>
      </c>
      <c r="O314" s="16" t="s">
        <v>1732</v>
      </c>
      <c r="P314" s="16" t="s">
        <v>1195</v>
      </c>
    </row>
    <row r="315" spans="1:16" ht="32">
      <c r="A315" s="16" t="s">
        <v>1733</v>
      </c>
      <c r="B315" s="16" t="s">
        <v>1189</v>
      </c>
      <c r="C315" s="16" t="s">
        <v>106</v>
      </c>
      <c r="D315" s="16" t="s">
        <v>17</v>
      </c>
      <c r="E315" s="16" t="s">
        <v>1734</v>
      </c>
      <c r="F315" s="16" t="s">
        <v>1735</v>
      </c>
      <c r="G315" s="16">
        <f t="shared" si="1"/>
        <v>12</v>
      </c>
      <c r="H315" s="17" t="s">
        <v>1736</v>
      </c>
      <c r="I315" s="16" t="s">
        <v>22</v>
      </c>
      <c r="J315" s="16" t="s">
        <v>1253</v>
      </c>
      <c r="K315" s="16" t="s">
        <v>22</v>
      </c>
      <c r="L315" s="16" t="s">
        <v>23</v>
      </c>
      <c r="M315" s="16"/>
      <c r="N315" s="17" t="s">
        <v>1737</v>
      </c>
      <c r="O315" s="16" t="s">
        <v>1738</v>
      </c>
      <c r="P315" s="16" t="s">
        <v>1195</v>
      </c>
    </row>
    <row r="316" spans="1:16" ht="32">
      <c r="A316" s="16" t="s">
        <v>1739</v>
      </c>
      <c r="B316" s="16" t="s">
        <v>1189</v>
      </c>
      <c r="C316" s="16" t="s">
        <v>106</v>
      </c>
      <c r="D316" s="16" t="s">
        <v>17</v>
      </c>
      <c r="E316" s="16" t="s">
        <v>1740</v>
      </c>
      <c r="F316" s="16" t="s">
        <v>1741</v>
      </c>
      <c r="G316" s="16">
        <f t="shared" si="1"/>
        <v>11</v>
      </c>
      <c r="H316" s="17" t="s">
        <v>1742</v>
      </c>
      <c r="I316" s="16" t="s">
        <v>22</v>
      </c>
      <c r="J316" s="16" t="s">
        <v>1253</v>
      </c>
      <c r="K316" s="16" t="s">
        <v>22</v>
      </c>
      <c r="L316" s="16" t="s">
        <v>23</v>
      </c>
      <c r="M316" s="16"/>
      <c r="N316" s="17" t="s">
        <v>1743</v>
      </c>
      <c r="O316" s="16" t="s">
        <v>1744</v>
      </c>
      <c r="P316" s="16" t="s">
        <v>1195</v>
      </c>
    </row>
    <row r="317" spans="1:16" ht="32">
      <c r="A317" s="16" t="s">
        <v>1745</v>
      </c>
      <c r="B317" s="16" t="s">
        <v>1189</v>
      </c>
      <c r="C317" s="16" t="s">
        <v>106</v>
      </c>
      <c r="D317" s="16" t="s">
        <v>17</v>
      </c>
      <c r="E317" s="16" t="s">
        <v>300</v>
      </c>
      <c r="F317" s="16" t="s">
        <v>1746</v>
      </c>
      <c r="G317" s="16">
        <f t="shared" si="1"/>
        <v>11</v>
      </c>
      <c r="H317" s="17" t="s">
        <v>1747</v>
      </c>
      <c r="I317" s="16" t="s">
        <v>109</v>
      </c>
      <c r="J317" s="16" t="s">
        <v>1253</v>
      </c>
      <c r="K317" s="16" t="s">
        <v>1346</v>
      </c>
      <c r="L317" s="16" t="s">
        <v>23</v>
      </c>
      <c r="M317" s="16" t="s">
        <v>1347</v>
      </c>
      <c r="N317" s="17" t="s">
        <v>1748</v>
      </c>
      <c r="O317" s="16" t="s">
        <v>1749</v>
      </c>
      <c r="P317" s="16" t="s">
        <v>1195</v>
      </c>
    </row>
    <row r="318" spans="1:16" ht="32">
      <c r="A318" s="16" t="s">
        <v>1750</v>
      </c>
      <c r="B318" s="16" t="s">
        <v>1189</v>
      </c>
      <c r="C318" s="16" t="s">
        <v>106</v>
      </c>
      <c r="D318" s="16" t="s">
        <v>17</v>
      </c>
      <c r="E318" s="16" t="s">
        <v>1751</v>
      </c>
      <c r="F318" s="16" t="s">
        <v>1752</v>
      </c>
      <c r="G318" s="16">
        <f t="shared" si="1"/>
        <v>9</v>
      </c>
      <c r="H318" s="17" t="s">
        <v>1753</v>
      </c>
      <c r="I318" s="16" t="s">
        <v>109</v>
      </c>
      <c r="J318" s="16" t="s">
        <v>1253</v>
      </c>
      <c r="K318" s="16" t="s">
        <v>1467</v>
      </c>
      <c r="L318" s="16" t="s">
        <v>23</v>
      </c>
      <c r="M318" s="16"/>
      <c r="N318" s="17" t="s">
        <v>1754</v>
      </c>
      <c r="O318" s="16" t="s">
        <v>1755</v>
      </c>
      <c r="P318" s="16" t="s">
        <v>1195</v>
      </c>
    </row>
    <row r="319" spans="1:16" ht="32">
      <c r="A319" s="16" t="s">
        <v>1756</v>
      </c>
      <c r="B319" s="16" t="s">
        <v>1189</v>
      </c>
      <c r="C319" s="16" t="s">
        <v>131</v>
      </c>
      <c r="D319" s="16" t="s">
        <v>17</v>
      </c>
      <c r="E319" s="16" t="s">
        <v>1757</v>
      </c>
      <c r="F319" s="16" t="s">
        <v>1758</v>
      </c>
      <c r="G319" s="16">
        <f t="shared" si="1"/>
        <v>12</v>
      </c>
      <c r="H319" s="17" t="s">
        <v>1759</v>
      </c>
      <c r="I319" s="16" t="s">
        <v>22</v>
      </c>
      <c r="J319" s="16" t="s">
        <v>1266</v>
      </c>
      <c r="K319" s="16" t="s">
        <v>22</v>
      </c>
      <c r="L319" s="16" t="s">
        <v>23</v>
      </c>
      <c r="M319" s="16"/>
      <c r="N319" s="17" t="s">
        <v>1760</v>
      </c>
      <c r="O319" s="16" t="s">
        <v>1761</v>
      </c>
      <c r="P319" s="16" t="s">
        <v>1195</v>
      </c>
    </row>
    <row r="320" spans="1:16" ht="32">
      <c r="A320" s="16" t="s">
        <v>1762</v>
      </c>
      <c r="B320" s="16" t="s">
        <v>1189</v>
      </c>
      <c r="C320" s="16" t="s">
        <v>131</v>
      </c>
      <c r="D320" s="16" t="s">
        <v>17</v>
      </c>
      <c r="E320" s="16" t="s">
        <v>1763</v>
      </c>
      <c r="F320" s="16" t="s">
        <v>1764</v>
      </c>
      <c r="G320" s="16">
        <f t="shared" si="1"/>
        <v>11</v>
      </c>
      <c r="H320" s="17" t="s">
        <v>1765</v>
      </c>
      <c r="I320" s="16" t="s">
        <v>22</v>
      </c>
      <c r="J320" s="16" t="s">
        <v>1266</v>
      </c>
      <c r="K320" s="16" t="s">
        <v>1346</v>
      </c>
      <c r="L320" s="16" t="s">
        <v>23</v>
      </c>
      <c r="M320" s="16" t="s">
        <v>1347</v>
      </c>
      <c r="N320" s="17" t="s">
        <v>1766</v>
      </c>
      <c r="O320" s="16" t="s">
        <v>1767</v>
      </c>
      <c r="P320" s="16" t="s">
        <v>1195</v>
      </c>
    </row>
    <row r="321" spans="1:16" ht="32">
      <c r="A321" s="16" t="s">
        <v>1768</v>
      </c>
      <c r="B321" s="16" t="s">
        <v>1189</v>
      </c>
      <c r="C321" s="16" t="s">
        <v>131</v>
      </c>
      <c r="D321" s="16" t="s">
        <v>17</v>
      </c>
      <c r="E321" s="16" t="s">
        <v>1769</v>
      </c>
      <c r="F321" s="16" t="s">
        <v>1770</v>
      </c>
      <c r="G321" s="16">
        <f t="shared" si="1"/>
        <v>10</v>
      </c>
      <c r="H321" s="17" t="s">
        <v>1771</v>
      </c>
      <c r="I321" s="16" t="s">
        <v>22</v>
      </c>
      <c r="J321" s="16" t="s">
        <v>1266</v>
      </c>
      <c r="K321" s="16" t="s">
        <v>22</v>
      </c>
      <c r="L321" s="16" t="s">
        <v>23</v>
      </c>
      <c r="M321" s="16"/>
      <c r="N321" s="17" t="s">
        <v>1772</v>
      </c>
      <c r="O321" s="16" t="s">
        <v>1773</v>
      </c>
      <c r="P321" s="16" t="s">
        <v>1195</v>
      </c>
    </row>
    <row r="322" spans="1:16" ht="32">
      <c r="A322" s="16" t="s">
        <v>1774</v>
      </c>
      <c r="B322" s="16" t="s">
        <v>1189</v>
      </c>
      <c r="C322" s="16" t="s">
        <v>131</v>
      </c>
      <c r="D322" s="16" t="s">
        <v>17</v>
      </c>
      <c r="E322" s="16" t="s">
        <v>1775</v>
      </c>
      <c r="F322" s="16" t="s">
        <v>1776</v>
      </c>
      <c r="G322" s="16">
        <f t="shared" si="1"/>
        <v>10</v>
      </c>
      <c r="H322" s="17" t="s">
        <v>1777</v>
      </c>
      <c r="I322" s="16" t="s">
        <v>22</v>
      </c>
      <c r="J322" s="16" t="s">
        <v>1266</v>
      </c>
      <c r="K322" s="16" t="s">
        <v>22</v>
      </c>
      <c r="L322" s="16" t="s">
        <v>23</v>
      </c>
      <c r="M322" s="16"/>
      <c r="N322" s="17" t="s">
        <v>1778</v>
      </c>
      <c r="O322" s="16" t="s">
        <v>1779</v>
      </c>
      <c r="P322" s="16" t="s">
        <v>1195</v>
      </c>
    </row>
    <row r="323" spans="1:16" ht="32">
      <c r="A323" s="16" t="s">
        <v>1780</v>
      </c>
      <c r="B323" s="16" t="s">
        <v>1189</v>
      </c>
      <c r="C323" s="16" t="s">
        <v>131</v>
      </c>
      <c r="D323" s="16" t="s">
        <v>17</v>
      </c>
      <c r="E323" s="16" t="s">
        <v>1781</v>
      </c>
      <c r="F323" s="16" t="s">
        <v>1782</v>
      </c>
      <c r="G323" s="16">
        <f t="shared" si="1"/>
        <v>11</v>
      </c>
      <c r="H323" s="17" t="s">
        <v>1783</v>
      </c>
      <c r="I323" s="16" t="s">
        <v>109</v>
      </c>
      <c r="J323" s="16" t="s">
        <v>1266</v>
      </c>
      <c r="K323" s="16" t="s">
        <v>22</v>
      </c>
      <c r="L323" s="16" t="s">
        <v>23</v>
      </c>
      <c r="M323" s="16"/>
      <c r="N323" s="17" t="s">
        <v>1784</v>
      </c>
      <c r="O323" s="16" t="s">
        <v>1785</v>
      </c>
      <c r="P323" s="16" t="s">
        <v>1195</v>
      </c>
    </row>
    <row r="324" spans="1:16" ht="32">
      <c r="A324" s="16" t="s">
        <v>1786</v>
      </c>
      <c r="B324" s="16" t="s">
        <v>1189</v>
      </c>
      <c r="C324" s="16" t="s">
        <v>131</v>
      </c>
      <c r="D324" s="16" t="s">
        <v>17</v>
      </c>
      <c r="E324" s="16" t="s">
        <v>1787</v>
      </c>
      <c r="F324" s="16" t="s">
        <v>1788</v>
      </c>
      <c r="G324" s="16">
        <f t="shared" si="1"/>
        <v>11</v>
      </c>
      <c r="H324" s="17" t="s">
        <v>1789</v>
      </c>
      <c r="I324" s="16" t="s">
        <v>109</v>
      </c>
      <c r="J324" s="16" t="s">
        <v>1266</v>
      </c>
      <c r="K324" s="16" t="s">
        <v>22</v>
      </c>
      <c r="L324" s="16" t="s">
        <v>23</v>
      </c>
      <c r="M324" s="16"/>
      <c r="N324" s="17" t="s">
        <v>1790</v>
      </c>
      <c r="O324" s="16" t="s">
        <v>1791</v>
      </c>
      <c r="P324" s="16" t="s">
        <v>1195</v>
      </c>
    </row>
    <row r="325" spans="1:16" ht="32">
      <c r="A325" s="16" t="s">
        <v>1792</v>
      </c>
      <c r="B325" s="16" t="s">
        <v>1189</v>
      </c>
      <c r="C325" s="16" t="s">
        <v>153</v>
      </c>
      <c r="D325" s="16" t="s">
        <v>17</v>
      </c>
      <c r="E325" s="16" t="s">
        <v>1793</v>
      </c>
      <c r="F325" s="16" t="s">
        <v>1794</v>
      </c>
      <c r="G325" s="16">
        <f t="shared" si="1"/>
        <v>11</v>
      </c>
      <c r="H325" s="17" t="s">
        <v>1795</v>
      </c>
      <c r="I325" s="16" t="s">
        <v>22</v>
      </c>
      <c r="J325" s="16" t="s">
        <v>1206</v>
      </c>
      <c r="K325" s="16" t="s">
        <v>22</v>
      </c>
      <c r="L325" s="16" t="s">
        <v>23</v>
      </c>
      <c r="M325" s="16"/>
      <c r="N325" s="17" t="s">
        <v>1796</v>
      </c>
      <c r="O325" s="16" t="s">
        <v>1797</v>
      </c>
      <c r="P325" s="16" t="s">
        <v>1195</v>
      </c>
    </row>
    <row r="326" spans="1:16" ht="32">
      <c r="A326" s="16" t="s">
        <v>1798</v>
      </c>
      <c r="B326" s="16" t="s">
        <v>1189</v>
      </c>
      <c r="C326" s="16" t="s">
        <v>153</v>
      </c>
      <c r="D326" s="16" t="s">
        <v>17</v>
      </c>
      <c r="E326" s="16" t="s">
        <v>1799</v>
      </c>
      <c r="F326" s="16" t="s">
        <v>1800</v>
      </c>
      <c r="G326" s="16">
        <f t="shared" si="1"/>
        <v>10</v>
      </c>
      <c r="H326" s="17" t="s">
        <v>1801</v>
      </c>
      <c r="I326" s="16" t="s">
        <v>22</v>
      </c>
      <c r="J326" s="16" t="s">
        <v>1206</v>
      </c>
      <c r="K326" s="16" t="s">
        <v>1219</v>
      </c>
      <c r="L326" s="16" t="s">
        <v>23</v>
      </c>
      <c r="M326" s="16"/>
      <c r="N326" s="17" t="s">
        <v>1802</v>
      </c>
      <c r="O326" s="16" t="s">
        <v>1803</v>
      </c>
      <c r="P326" s="16" t="s">
        <v>1195</v>
      </c>
    </row>
    <row r="327" spans="1:16" ht="32">
      <c r="A327" s="16" t="s">
        <v>1804</v>
      </c>
      <c r="B327" s="16" t="s">
        <v>1189</v>
      </c>
      <c r="C327" s="16" t="s">
        <v>153</v>
      </c>
      <c r="D327" s="16" t="s">
        <v>17</v>
      </c>
      <c r="E327" s="16" t="s">
        <v>1805</v>
      </c>
      <c r="F327" s="16" t="s">
        <v>1806</v>
      </c>
      <c r="G327" s="16">
        <f t="shared" si="1"/>
        <v>10</v>
      </c>
      <c r="H327" s="17" t="s">
        <v>1807</v>
      </c>
      <c r="I327" s="16" t="s">
        <v>22</v>
      </c>
      <c r="J327" s="16" t="s">
        <v>1206</v>
      </c>
      <c r="K327" s="16" t="s">
        <v>1219</v>
      </c>
      <c r="L327" s="16" t="s">
        <v>23</v>
      </c>
      <c r="M327" s="16"/>
      <c r="N327" s="17" t="s">
        <v>1808</v>
      </c>
      <c r="O327" s="16" t="s">
        <v>1809</v>
      </c>
      <c r="P327" s="16" t="s">
        <v>1195</v>
      </c>
    </row>
    <row r="328" spans="1:16" ht="32">
      <c r="A328" s="16" t="s">
        <v>1810</v>
      </c>
      <c r="B328" s="16" t="s">
        <v>1189</v>
      </c>
      <c r="C328" s="16" t="s">
        <v>153</v>
      </c>
      <c r="D328" s="16" t="s">
        <v>17</v>
      </c>
      <c r="E328" s="16" t="s">
        <v>1811</v>
      </c>
      <c r="F328" s="16" t="s">
        <v>1812</v>
      </c>
      <c r="G328" s="16">
        <f t="shared" si="1"/>
        <v>9</v>
      </c>
      <c r="H328" s="17" t="s">
        <v>1813</v>
      </c>
      <c r="I328" s="16" t="s">
        <v>22</v>
      </c>
      <c r="J328" s="16" t="s">
        <v>1206</v>
      </c>
      <c r="K328" s="16" t="s">
        <v>1219</v>
      </c>
      <c r="L328" s="16" t="s">
        <v>23</v>
      </c>
      <c r="M328" s="16"/>
      <c r="N328" s="17" t="s">
        <v>1814</v>
      </c>
      <c r="O328" s="16" t="s">
        <v>1815</v>
      </c>
      <c r="P328" s="16" t="s">
        <v>1195</v>
      </c>
    </row>
    <row r="329" spans="1:16" ht="32">
      <c r="A329" s="16" t="s">
        <v>1816</v>
      </c>
      <c r="B329" s="16" t="s">
        <v>1189</v>
      </c>
      <c r="C329" s="16" t="s">
        <v>153</v>
      </c>
      <c r="D329" s="16" t="s">
        <v>17</v>
      </c>
      <c r="E329" s="16" t="s">
        <v>1817</v>
      </c>
      <c r="F329" s="16" t="s">
        <v>1818</v>
      </c>
      <c r="G329" s="16">
        <f t="shared" si="1"/>
        <v>11</v>
      </c>
      <c r="H329" s="17" t="s">
        <v>1819</v>
      </c>
      <c r="I329" s="16" t="s">
        <v>109</v>
      </c>
      <c r="J329" s="16" t="s">
        <v>1206</v>
      </c>
      <c r="K329" s="16" t="s">
        <v>22</v>
      </c>
      <c r="L329" s="16" t="s">
        <v>23</v>
      </c>
      <c r="M329" s="16"/>
      <c r="N329" s="17" t="s">
        <v>1820</v>
      </c>
      <c r="O329" s="16" t="s">
        <v>1821</v>
      </c>
      <c r="P329" s="16" t="s">
        <v>1195</v>
      </c>
    </row>
    <row r="330" spans="1:16" ht="32">
      <c r="A330" s="16" t="s">
        <v>1822</v>
      </c>
      <c r="B330" s="16" t="s">
        <v>1189</v>
      </c>
      <c r="C330" s="16" t="s">
        <v>153</v>
      </c>
      <c r="D330" s="16" t="s">
        <v>17</v>
      </c>
      <c r="E330" s="16" t="s">
        <v>1823</v>
      </c>
      <c r="F330" s="16" t="s">
        <v>1824</v>
      </c>
      <c r="G330" s="16">
        <f t="shared" si="1"/>
        <v>11</v>
      </c>
      <c r="H330" s="17" t="s">
        <v>1825</v>
      </c>
      <c r="I330" s="16" t="s">
        <v>109</v>
      </c>
      <c r="J330" s="16" t="s">
        <v>1206</v>
      </c>
      <c r="K330" s="16" t="s">
        <v>1219</v>
      </c>
      <c r="L330" s="16" t="s">
        <v>23</v>
      </c>
      <c r="M330" s="16"/>
      <c r="N330" s="17" t="s">
        <v>1826</v>
      </c>
      <c r="O330" s="16" t="s">
        <v>1827</v>
      </c>
      <c r="P330" s="16" t="s">
        <v>1195</v>
      </c>
    </row>
    <row r="331" spans="1:16" ht="32">
      <c r="A331" s="16" t="s">
        <v>1828</v>
      </c>
      <c r="B331" s="16" t="s">
        <v>1189</v>
      </c>
      <c r="C331" s="16" t="s">
        <v>173</v>
      </c>
      <c r="D331" s="16" t="s">
        <v>17</v>
      </c>
      <c r="E331" s="16" t="s">
        <v>1829</v>
      </c>
      <c r="F331" s="16" t="s">
        <v>1830</v>
      </c>
      <c r="G331" s="16">
        <f t="shared" si="1"/>
        <v>9</v>
      </c>
      <c r="H331" s="17" t="s">
        <v>1831</v>
      </c>
      <c r="I331" s="16" t="s">
        <v>22</v>
      </c>
      <c r="J331" s="16" t="s">
        <v>1291</v>
      </c>
      <c r="K331" s="16" t="s">
        <v>22</v>
      </c>
      <c r="L331" s="16" t="s">
        <v>23</v>
      </c>
      <c r="M331" s="16"/>
      <c r="N331" s="17" t="s">
        <v>1832</v>
      </c>
      <c r="O331" s="16" t="s">
        <v>1833</v>
      </c>
      <c r="P331" s="16" t="s">
        <v>1195</v>
      </c>
    </row>
    <row r="332" spans="1:16" ht="32">
      <c r="A332" s="16" t="s">
        <v>1834</v>
      </c>
      <c r="B332" s="16" t="s">
        <v>1189</v>
      </c>
      <c r="C332" s="16" t="s">
        <v>173</v>
      </c>
      <c r="D332" s="16" t="s">
        <v>17</v>
      </c>
      <c r="E332" s="16" t="s">
        <v>1835</v>
      </c>
      <c r="F332" s="16" t="s">
        <v>1836</v>
      </c>
      <c r="G332" s="16">
        <f t="shared" si="1"/>
        <v>10</v>
      </c>
      <c r="H332" s="17" t="s">
        <v>1837</v>
      </c>
      <c r="I332" s="16" t="s">
        <v>22</v>
      </c>
      <c r="J332" s="16" t="s">
        <v>1291</v>
      </c>
      <c r="K332" s="16" t="s">
        <v>22</v>
      </c>
      <c r="L332" s="16" t="s">
        <v>23</v>
      </c>
      <c r="M332" s="16"/>
      <c r="N332" s="17" t="s">
        <v>1838</v>
      </c>
      <c r="O332" s="16" t="s">
        <v>1839</v>
      </c>
      <c r="P332" s="16" t="s">
        <v>1195</v>
      </c>
    </row>
    <row r="333" spans="1:16" ht="32">
      <c r="A333" s="16" t="s">
        <v>1840</v>
      </c>
      <c r="B333" s="16" t="s">
        <v>1189</v>
      </c>
      <c r="C333" s="16" t="s">
        <v>173</v>
      </c>
      <c r="D333" s="16" t="s">
        <v>17</v>
      </c>
      <c r="E333" s="16" t="s">
        <v>1841</v>
      </c>
      <c r="F333" s="16" t="s">
        <v>1841</v>
      </c>
      <c r="G333" s="16">
        <f t="shared" si="1"/>
        <v>11</v>
      </c>
      <c r="H333" s="17" t="s">
        <v>1842</v>
      </c>
      <c r="I333" s="16" t="s">
        <v>22</v>
      </c>
      <c r="J333" s="16" t="s">
        <v>1291</v>
      </c>
      <c r="K333" s="16" t="s">
        <v>22</v>
      </c>
      <c r="L333" s="16" t="s">
        <v>23</v>
      </c>
      <c r="M333" s="16"/>
      <c r="N333" s="17" t="s">
        <v>1843</v>
      </c>
      <c r="O333" s="16" t="s">
        <v>1844</v>
      </c>
      <c r="P333" s="16" t="s">
        <v>1195</v>
      </c>
    </row>
    <row r="334" spans="1:16" ht="32">
      <c r="A334" s="16" t="s">
        <v>1845</v>
      </c>
      <c r="B334" s="16" t="s">
        <v>1189</v>
      </c>
      <c r="C334" s="16" t="s">
        <v>173</v>
      </c>
      <c r="D334" s="16" t="s">
        <v>17</v>
      </c>
      <c r="E334" s="16" t="s">
        <v>1846</v>
      </c>
      <c r="F334" s="16" t="s">
        <v>1847</v>
      </c>
      <c r="G334" s="16">
        <f t="shared" si="1"/>
        <v>10</v>
      </c>
      <c r="H334" s="17" t="s">
        <v>1848</v>
      </c>
      <c r="I334" s="16" t="s">
        <v>22</v>
      </c>
      <c r="J334" s="16" t="s">
        <v>1291</v>
      </c>
      <c r="K334" s="16" t="s">
        <v>1240</v>
      </c>
      <c r="L334" s="16" t="s">
        <v>23</v>
      </c>
      <c r="M334" s="16"/>
      <c r="N334" s="17" t="s">
        <v>1849</v>
      </c>
      <c r="O334" s="16" t="s">
        <v>1850</v>
      </c>
      <c r="P334" s="16" t="s">
        <v>1195</v>
      </c>
    </row>
    <row r="335" spans="1:16" ht="32">
      <c r="A335" s="16" t="s">
        <v>1851</v>
      </c>
      <c r="B335" s="16" t="s">
        <v>1189</v>
      </c>
      <c r="C335" s="16" t="s">
        <v>173</v>
      </c>
      <c r="D335" s="16" t="s">
        <v>17</v>
      </c>
      <c r="E335" s="16" t="s">
        <v>1852</v>
      </c>
      <c r="F335" s="16" t="s">
        <v>1853</v>
      </c>
      <c r="G335" s="16">
        <f t="shared" si="1"/>
        <v>12</v>
      </c>
      <c r="H335" s="17" t="s">
        <v>1854</v>
      </c>
      <c r="I335" s="16" t="s">
        <v>109</v>
      </c>
      <c r="J335" s="16" t="s">
        <v>1291</v>
      </c>
      <c r="K335" s="16" t="s">
        <v>22</v>
      </c>
      <c r="L335" s="16" t="s">
        <v>23</v>
      </c>
      <c r="M335" s="16"/>
      <c r="N335" s="17" t="s">
        <v>1855</v>
      </c>
      <c r="O335" s="16" t="s">
        <v>1856</v>
      </c>
      <c r="P335" s="16" t="s">
        <v>1195</v>
      </c>
    </row>
    <row r="336" spans="1:16" ht="32">
      <c r="A336" s="16" t="s">
        <v>1857</v>
      </c>
      <c r="B336" s="16" t="s">
        <v>1189</v>
      </c>
      <c r="C336" s="16" t="s">
        <v>173</v>
      </c>
      <c r="D336" s="16" t="s">
        <v>17</v>
      </c>
      <c r="E336" s="16" t="s">
        <v>1858</v>
      </c>
      <c r="F336" s="16" t="s">
        <v>1859</v>
      </c>
      <c r="G336" s="16">
        <f t="shared" si="1"/>
        <v>10</v>
      </c>
      <c r="H336" s="17" t="s">
        <v>1860</v>
      </c>
      <c r="I336" s="16" t="s">
        <v>109</v>
      </c>
      <c r="J336" s="16" t="s">
        <v>1291</v>
      </c>
      <c r="K336" s="16" t="s">
        <v>22</v>
      </c>
      <c r="L336" s="16" t="s">
        <v>23</v>
      </c>
      <c r="M336" s="16"/>
      <c r="N336" s="17" t="s">
        <v>1861</v>
      </c>
      <c r="O336" s="16" t="s">
        <v>1862</v>
      </c>
      <c r="P336" s="16" t="s">
        <v>1195</v>
      </c>
    </row>
    <row r="337" spans="1:16" ht="32">
      <c r="A337" s="16" t="s">
        <v>1863</v>
      </c>
      <c r="B337" s="16" t="s">
        <v>1189</v>
      </c>
      <c r="C337" s="16" t="s">
        <v>173</v>
      </c>
      <c r="D337" s="16" t="s">
        <v>17</v>
      </c>
      <c r="E337" s="16" t="s">
        <v>1864</v>
      </c>
      <c r="F337" s="16" t="s">
        <v>1865</v>
      </c>
      <c r="G337" s="16">
        <f t="shared" si="1"/>
        <v>11</v>
      </c>
      <c r="H337" s="17" t="s">
        <v>1866</v>
      </c>
      <c r="I337" s="16" t="s">
        <v>22</v>
      </c>
      <c r="J337" s="16" t="s">
        <v>1291</v>
      </c>
      <c r="K337" s="16" t="s">
        <v>22</v>
      </c>
      <c r="L337" s="16" t="s">
        <v>23</v>
      </c>
      <c r="M337" s="16"/>
      <c r="N337" s="17" t="s">
        <v>1867</v>
      </c>
      <c r="O337" s="16" t="s">
        <v>1868</v>
      </c>
      <c r="P337" s="16" t="s">
        <v>1195</v>
      </c>
    </row>
    <row r="338" spans="1:16" ht="32">
      <c r="A338" s="16" t="s">
        <v>1869</v>
      </c>
      <c r="B338" s="16" t="s">
        <v>1189</v>
      </c>
      <c r="C338" s="16" t="s">
        <v>173</v>
      </c>
      <c r="D338" s="16" t="s">
        <v>17</v>
      </c>
      <c r="E338" s="16" t="s">
        <v>1870</v>
      </c>
      <c r="F338" s="16" t="s">
        <v>1871</v>
      </c>
      <c r="G338" s="16">
        <f t="shared" si="1"/>
        <v>9</v>
      </c>
      <c r="H338" s="17" t="s">
        <v>1872</v>
      </c>
      <c r="I338" s="16" t="s">
        <v>22</v>
      </c>
      <c r="J338" s="16" t="s">
        <v>1291</v>
      </c>
      <c r="K338" s="16" t="s">
        <v>22</v>
      </c>
      <c r="L338" s="16" t="s">
        <v>23</v>
      </c>
      <c r="M338" s="16"/>
      <c r="N338" s="17" t="s">
        <v>1873</v>
      </c>
      <c r="O338" s="16" t="s">
        <v>1874</v>
      </c>
      <c r="P338" s="16" t="s">
        <v>1195</v>
      </c>
    </row>
    <row r="339" spans="1:16" ht="32">
      <c r="A339" s="16" t="s">
        <v>1875</v>
      </c>
      <c r="B339" s="16" t="s">
        <v>1189</v>
      </c>
      <c r="C339" s="16" t="s">
        <v>75</v>
      </c>
      <c r="D339" s="16" t="s">
        <v>17</v>
      </c>
      <c r="E339" s="16" t="s">
        <v>1876</v>
      </c>
      <c r="F339" s="16" t="s">
        <v>1877</v>
      </c>
      <c r="G339" s="16">
        <f t="shared" si="1"/>
        <v>12</v>
      </c>
      <c r="H339" s="17" t="s">
        <v>1878</v>
      </c>
      <c r="I339" s="16" t="s">
        <v>22</v>
      </c>
      <c r="J339" s="16" t="s">
        <v>1239</v>
      </c>
      <c r="K339" s="16" t="s">
        <v>22</v>
      </c>
      <c r="L339" s="16" t="s">
        <v>23</v>
      </c>
      <c r="M339" s="16"/>
      <c r="N339" s="17" t="s">
        <v>1879</v>
      </c>
      <c r="O339" s="16" t="s">
        <v>1880</v>
      </c>
      <c r="P339" s="16" t="s">
        <v>1195</v>
      </c>
    </row>
    <row r="340" spans="1:16" ht="32">
      <c r="A340" s="16" t="s">
        <v>1881</v>
      </c>
      <c r="B340" s="16" t="s">
        <v>1189</v>
      </c>
      <c r="C340" s="16" t="s">
        <v>57</v>
      </c>
      <c r="D340" s="16" t="s">
        <v>17</v>
      </c>
      <c r="E340" s="16" t="s">
        <v>1882</v>
      </c>
      <c r="F340" s="16" t="s">
        <v>1883</v>
      </c>
      <c r="G340" s="16">
        <f t="shared" si="1"/>
        <v>10</v>
      </c>
      <c r="H340" s="17" t="s">
        <v>1884</v>
      </c>
      <c r="I340" s="16" t="s">
        <v>22</v>
      </c>
      <c r="J340" s="16" t="s">
        <v>1226</v>
      </c>
      <c r="K340" s="16" t="s">
        <v>22</v>
      </c>
      <c r="L340" s="16" t="s">
        <v>23</v>
      </c>
      <c r="M340" s="16"/>
      <c r="N340" s="17" t="s">
        <v>1885</v>
      </c>
      <c r="O340" s="16" t="s">
        <v>1886</v>
      </c>
      <c r="P340" s="16" t="s">
        <v>1195</v>
      </c>
    </row>
    <row r="341" spans="1:16" ht="32">
      <c r="A341" s="16" t="s">
        <v>1887</v>
      </c>
      <c r="B341" s="16" t="s">
        <v>1189</v>
      </c>
      <c r="C341" s="16" t="s">
        <v>57</v>
      </c>
      <c r="D341" s="16" t="s">
        <v>17</v>
      </c>
      <c r="E341" s="16" t="s">
        <v>1888</v>
      </c>
      <c r="F341" s="16" t="s">
        <v>1889</v>
      </c>
      <c r="G341" s="16">
        <f t="shared" si="1"/>
        <v>10</v>
      </c>
      <c r="H341" s="17" t="s">
        <v>1890</v>
      </c>
      <c r="I341" s="16" t="s">
        <v>22</v>
      </c>
      <c r="J341" s="16" t="s">
        <v>1226</v>
      </c>
      <c r="K341" s="16" t="s">
        <v>22</v>
      </c>
      <c r="L341" s="16" t="s">
        <v>23</v>
      </c>
      <c r="M341" s="16"/>
      <c r="N341" s="17" t="s">
        <v>1891</v>
      </c>
      <c r="O341" s="16" t="s">
        <v>1892</v>
      </c>
      <c r="P341" s="16" t="s">
        <v>1195</v>
      </c>
    </row>
    <row r="342" spans="1:16" ht="32">
      <c r="A342" s="16" t="s">
        <v>1893</v>
      </c>
      <c r="B342" s="16" t="s">
        <v>1189</v>
      </c>
      <c r="C342" s="16" t="s">
        <v>39</v>
      </c>
      <c r="D342" s="16" t="s">
        <v>17</v>
      </c>
      <c r="E342" s="16" t="s">
        <v>1894</v>
      </c>
      <c r="F342" s="16" t="s">
        <v>1895</v>
      </c>
      <c r="G342" s="16">
        <f t="shared" si="1"/>
        <v>10</v>
      </c>
      <c r="H342" s="17" t="s">
        <v>1896</v>
      </c>
      <c r="I342" s="16" t="s">
        <v>22</v>
      </c>
      <c r="J342" s="16" t="s">
        <v>1206</v>
      </c>
      <c r="K342" s="16" t="s">
        <v>22</v>
      </c>
      <c r="L342" s="16" t="s">
        <v>23</v>
      </c>
      <c r="M342" s="16"/>
      <c r="N342" s="17" t="s">
        <v>1897</v>
      </c>
      <c r="O342" s="16" t="s">
        <v>1898</v>
      </c>
      <c r="P342" s="16" t="s">
        <v>1195</v>
      </c>
    </row>
    <row r="343" spans="1:16" ht="32">
      <c r="A343" s="16" t="s">
        <v>1899</v>
      </c>
      <c r="B343" s="16" t="s">
        <v>1189</v>
      </c>
      <c r="C343" s="16" t="s">
        <v>212</v>
      </c>
      <c r="D343" s="16" t="s">
        <v>213</v>
      </c>
      <c r="E343" s="16" t="s">
        <v>1900</v>
      </c>
      <c r="F343" s="16" t="s">
        <v>1900</v>
      </c>
      <c r="G343" s="16">
        <f t="shared" si="1"/>
        <v>10</v>
      </c>
      <c r="H343" s="17" t="s">
        <v>1901</v>
      </c>
      <c r="I343" s="16" t="s">
        <v>22</v>
      </c>
      <c r="J343" s="16" t="s">
        <v>901</v>
      </c>
      <c r="K343" s="16" t="s">
        <v>1467</v>
      </c>
      <c r="L343" s="16" t="s">
        <v>23</v>
      </c>
      <c r="M343" s="16"/>
      <c r="N343" s="17" t="s">
        <v>1902</v>
      </c>
      <c r="O343" s="16" t="s">
        <v>1903</v>
      </c>
      <c r="P343" s="16" t="s">
        <v>1195</v>
      </c>
    </row>
    <row r="344" spans="1:16" ht="32">
      <c r="A344" s="16" t="s">
        <v>1904</v>
      </c>
      <c r="B344" s="16" t="s">
        <v>1189</v>
      </c>
      <c r="C344" s="16" t="s">
        <v>16</v>
      </c>
      <c r="D344" s="16" t="s">
        <v>17</v>
      </c>
      <c r="E344" s="16" t="s">
        <v>1905</v>
      </c>
      <c r="F344" s="16" t="s">
        <v>1905</v>
      </c>
      <c r="G344" s="16">
        <f t="shared" si="1"/>
        <v>12</v>
      </c>
      <c r="H344" s="17" t="s">
        <v>1906</v>
      </c>
      <c r="I344" s="16" t="s">
        <v>20</v>
      </c>
      <c r="J344" s="16" t="s">
        <v>901</v>
      </c>
      <c r="K344" s="16" t="s">
        <v>22</v>
      </c>
      <c r="L344" s="16" t="s">
        <v>23</v>
      </c>
      <c r="M344" s="16"/>
      <c r="N344" s="17" t="s">
        <v>1907</v>
      </c>
      <c r="O344" s="16" t="s">
        <v>1908</v>
      </c>
      <c r="P344" s="16" t="s">
        <v>1195</v>
      </c>
    </row>
    <row r="345" spans="1:16" ht="32">
      <c r="A345" s="16" t="s">
        <v>1909</v>
      </c>
      <c r="B345" s="16" t="s">
        <v>1189</v>
      </c>
      <c r="C345" s="16" t="s">
        <v>16</v>
      </c>
      <c r="D345" s="16" t="s">
        <v>17</v>
      </c>
      <c r="E345" s="16" t="s">
        <v>1910</v>
      </c>
      <c r="F345" s="16" t="s">
        <v>1910</v>
      </c>
      <c r="G345" s="16">
        <f t="shared" si="1"/>
        <v>12</v>
      </c>
      <c r="H345" s="17" t="s">
        <v>1911</v>
      </c>
      <c r="I345" s="16" t="s">
        <v>20</v>
      </c>
      <c r="J345" s="16" t="s">
        <v>901</v>
      </c>
      <c r="K345" s="16" t="s">
        <v>22</v>
      </c>
      <c r="L345" s="16" t="s">
        <v>23</v>
      </c>
      <c r="M345" s="16"/>
      <c r="N345" s="17" t="s">
        <v>1912</v>
      </c>
      <c r="O345" s="16" t="s">
        <v>1913</v>
      </c>
      <c r="P345" s="16" t="s">
        <v>1195</v>
      </c>
    </row>
    <row r="346" spans="1:16" ht="32">
      <c r="A346" s="16" t="s">
        <v>1914</v>
      </c>
      <c r="B346" s="16" t="s">
        <v>1189</v>
      </c>
      <c r="C346" s="16" t="s">
        <v>39</v>
      </c>
      <c r="D346" s="16" t="s">
        <v>17</v>
      </c>
      <c r="E346" s="16" t="s">
        <v>1915</v>
      </c>
      <c r="F346" s="16" t="s">
        <v>1915</v>
      </c>
      <c r="G346" s="16">
        <f t="shared" si="1"/>
        <v>11</v>
      </c>
      <c r="H346" s="17" t="s">
        <v>1916</v>
      </c>
      <c r="I346" s="16" t="s">
        <v>22</v>
      </c>
      <c r="J346" s="16" t="s">
        <v>1206</v>
      </c>
      <c r="K346" s="16" t="s">
        <v>1219</v>
      </c>
      <c r="L346" s="16" t="s">
        <v>23</v>
      </c>
      <c r="M346" s="16"/>
      <c r="N346" s="17" t="s">
        <v>1917</v>
      </c>
      <c r="O346" s="16" t="s">
        <v>1918</v>
      </c>
      <c r="P346" s="16" t="s">
        <v>1195</v>
      </c>
    </row>
    <row r="347" spans="1:16" ht="32">
      <c r="A347" s="16" t="s">
        <v>1919</v>
      </c>
      <c r="B347" s="16" t="s">
        <v>1189</v>
      </c>
      <c r="C347" s="16" t="s">
        <v>39</v>
      </c>
      <c r="D347" s="16" t="s">
        <v>17</v>
      </c>
      <c r="E347" s="16" t="s">
        <v>1920</v>
      </c>
      <c r="F347" s="16" t="s">
        <v>1920</v>
      </c>
      <c r="G347" s="16">
        <f t="shared" si="1"/>
        <v>10</v>
      </c>
      <c r="H347" s="17" t="s">
        <v>1921</v>
      </c>
      <c r="I347" s="16" t="s">
        <v>22</v>
      </c>
      <c r="J347" s="16" t="s">
        <v>1206</v>
      </c>
      <c r="K347" s="16" t="s">
        <v>1219</v>
      </c>
      <c r="L347" s="16" t="s">
        <v>23</v>
      </c>
      <c r="M347" s="16"/>
      <c r="N347" s="17" t="s">
        <v>1922</v>
      </c>
      <c r="O347" s="16" t="s">
        <v>1923</v>
      </c>
      <c r="P347" s="16" t="s">
        <v>1195</v>
      </c>
    </row>
    <row r="348" spans="1:16" ht="32">
      <c r="A348" s="16" t="s">
        <v>1924</v>
      </c>
      <c r="B348" s="16" t="s">
        <v>1189</v>
      </c>
      <c r="C348" s="16" t="s">
        <v>39</v>
      </c>
      <c r="D348" s="16" t="s">
        <v>17</v>
      </c>
      <c r="E348" s="16" t="s">
        <v>1925</v>
      </c>
      <c r="F348" s="16" t="s">
        <v>1925</v>
      </c>
      <c r="G348" s="16">
        <f t="shared" si="1"/>
        <v>11</v>
      </c>
      <c r="H348" s="17" t="s">
        <v>1926</v>
      </c>
      <c r="I348" s="16" t="s">
        <v>22</v>
      </c>
      <c r="J348" s="16" t="s">
        <v>1206</v>
      </c>
      <c r="K348" s="16" t="s">
        <v>1219</v>
      </c>
      <c r="L348" s="16" t="s">
        <v>23</v>
      </c>
      <c r="M348" s="16"/>
      <c r="N348" s="17" t="s">
        <v>1927</v>
      </c>
      <c r="O348" s="16" t="s">
        <v>1928</v>
      </c>
      <c r="P348" s="16" t="s">
        <v>1195</v>
      </c>
    </row>
    <row r="349" spans="1:16" ht="32">
      <c r="A349" s="16" t="s">
        <v>1929</v>
      </c>
      <c r="B349" s="16" t="s">
        <v>1189</v>
      </c>
      <c r="C349" s="16" t="s">
        <v>153</v>
      </c>
      <c r="D349" s="16" t="s">
        <v>17</v>
      </c>
      <c r="E349" s="16" t="s">
        <v>1930</v>
      </c>
      <c r="F349" s="16" t="s">
        <v>1930</v>
      </c>
      <c r="G349" s="16">
        <f t="shared" si="1"/>
        <v>9</v>
      </c>
      <c r="H349" s="17" t="s">
        <v>1931</v>
      </c>
      <c r="I349" s="16" t="s">
        <v>22</v>
      </c>
      <c r="J349" s="16" t="s">
        <v>1206</v>
      </c>
      <c r="K349" s="16" t="s">
        <v>1219</v>
      </c>
      <c r="L349" s="16" t="s">
        <v>23</v>
      </c>
      <c r="M349" s="16"/>
      <c r="N349" s="17" t="s">
        <v>1932</v>
      </c>
      <c r="O349" s="16" t="s">
        <v>1933</v>
      </c>
      <c r="P349" s="16" t="s">
        <v>1195</v>
      </c>
    </row>
    <row r="350" spans="1:16" ht="32">
      <c r="A350" s="16" t="s">
        <v>1934</v>
      </c>
      <c r="B350" s="16" t="s">
        <v>1189</v>
      </c>
      <c r="C350" s="16" t="s">
        <v>153</v>
      </c>
      <c r="D350" s="16" t="s">
        <v>17</v>
      </c>
      <c r="E350" s="16" t="s">
        <v>1935</v>
      </c>
      <c r="F350" s="16" t="s">
        <v>1935</v>
      </c>
      <c r="G350" s="16">
        <f t="shared" si="1"/>
        <v>11</v>
      </c>
      <c r="H350" s="17" t="s">
        <v>1936</v>
      </c>
      <c r="I350" s="16" t="s">
        <v>22</v>
      </c>
      <c r="J350" s="16" t="s">
        <v>1206</v>
      </c>
      <c r="K350" s="16" t="s">
        <v>22</v>
      </c>
      <c r="L350" s="16" t="s">
        <v>23</v>
      </c>
      <c r="M350" s="16"/>
      <c r="N350" s="17" t="s">
        <v>1937</v>
      </c>
      <c r="O350" s="16" t="s">
        <v>1938</v>
      </c>
      <c r="P350" s="16" t="s">
        <v>1195</v>
      </c>
    </row>
    <row r="351" spans="1:16" ht="32">
      <c r="A351" s="16" t="s">
        <v>1939</v>
      </c>
      <c r="B351" s="16" t="s">
        <v>1189</v>
      </c>
      <c r="C351" s="16" t="s">
        <v>153</v>
      </c>
      <c r="D351" s="16" t="s">
        <v>17</v>
      </c>
      <c r="E351" s="16" t="s">
        <v>1940</v>
      </c>
      <c r="F351" s="16" t="s">
        <v>1940</v>
      </c>
      <c r="G351" s="16">
        <f t="shared" si="1"/>
        <v>10</v>
      </c>
      <c r="H351" s="17" t="s">
        <v>1941</v>
      </c>
      <c r="I351" s="16" t="s">
        <v>22</v>
      </c>
      <c r="J351" s="16" t="s">
        <v>1206</v>
      </c>
      <c r="K351" s="16" t="s">
        <v>22</v>
      </c>
      <c r="L351" s="16" t="s">
        <v>23</v>
      </c>
      <c r="M351" s="16"/>
      <c r="N351" s="17" t="s">
        <v>1942</v>
      </c>
      <c r="O351" s="16" t="s">
        <v>1943</v>
      </c>
      <c r="P351" s="16" t="s">
        <v>1195</v>
      </c>
    </row>
    <row r="352" spans="1:16" ht="32">
      <c r="A352" s="16" t="s">
        <v>1944</v>
      </c>
      <c r="B352" s="16" t="s">
        <v>1189</v>
      </c>
      <c r="C352" s="16" t="s">
        <v>57</v>
      </c>
      <c r="D352" s="16" t="s">
        <v>17</v>
      </c>
      <c r="E352" s="16" t="s">
        <v>1945</v>
      </c>
      <c r="F352" s="16" t="s">
        <v>1945</v>
      </c>
      <c r="G352" s="16">
        <f t="shared" si="1"/>
        <v>9</v>
      </c>
      <c r="H352" s="17" t="s">
        <v>1946</v>
      </c>
      <c r="I352" s="16" t="s">
        <v>22</v>
      </c>
      <c r="J352" s="16" t="s">
        <v>1226</v>
      </c>
      <c r="K352" s="16" t="s">
        <v>1346</v>
      </c>
      <c r="L352" s="16" t="s">
        <v>23</v>
      </c>
      <c r="M352" s="16" t="s">
        <v>1347</v>
      </c>
      <c r="N352" s="17" t="s">
        <v>1947</v>
      </c>
      <c r="O352" s="16" t="s">
        <v>1948</v>
      </c>
      <c r="P352" s="16" t="s">
        <v>1195</v>
      </c>
    </row>
    <row r="353" spans="1:16" ht="32">
      <c r="A353" s="16" t="s">
        <v>1949</v>
      </c>
      <c r="B353" s="16" t="s">
        <v>1189</v>
      </c>
      <c r="C353" s="16" t="s">
        <v>57</v>
      </c>
      <c r="D353" s="16" t="s">
        <v>17</v>
      </c>
      <c r="E353" s="16" t="s">
        <v>1950</v>
      </c>
      <c r="F353" s="16" t="s">
        <v>1950</v>
      </c>
      <c r="G353" s="16">
        <f t="shared" si="1"/>
        <v>9</v>
      </c>
      <c r="H353" s="17" t="s">
        <v>1951</v>
      </c>
      <c r="I353" s="16" t="s">
        <v>22</v>
      </c>
      <c r="J353" s="16" t="s">
        <v>1226</v>
      </c>
      <c r="K353" s="16" t="s">
        <v>22</v>
      </c>
      <c r="L353" s="16" t="s">
        <v>23</v>
      </c>
      <c r="M353" s="16"/>
      <c r="N353" s="17" t="s">
        <v>1952</v>
      </c>
      <c r="O353" s="16" t="s">
        <v>1953</v>
      </c>
      <c r="P353" s="16" t="s">
        <v>1195</v>
      </c>
    </row>
    <row r="354" spans="1:16" ht="32">
      <c r="A354" s="16" t="s">
        <v>1954</v>
      </c>
      <c r="B354" s="16" t="s">
        <v>1189</v>
      </c>
      <c r="C354" s="16" t="s">
        <v>57</v>
      </c>
      <c r="D354" s="16" t="s">
        <v>17</v>
      </c>
      <c r="E354" s="16" t="s">
        <v>1955</v>
      </c>
      <c r="F354" s="16" t="s">
        <v>1955</v>
      </c>
      <c r="G354" s="16">
        <f t="shared" ref="G354:G417" si="2">LEN(F354)</f>
        <v>11</v>
      </c>
      <c r="H354" s="17" t="s">
        <v>1956</v>
      </c>
      <c r="I354" s="16" t="s">
        <v>22</v>
      </c>
      <c r="J354" s="16" t="s">
        <v>1226</v>
      </c>
      <c r="K354" s="16" t="s">
        <v>1240</v>
      </c>
      <c r="L354" s="16" t="s">
        <v>23</v>
      </c>
      <c r="M354" s="16"/>
      <c r="N354" s="17" t="s">
        <v>1957</v>
      </c>
      <c r="O354" s="16" t="s">
        <v>1958</v>
      </c>
      <c r="P354" s="16" t="s">
        <v>1195</v>
      </c>
    </row>
    <row r="355" spans="1:16" ht="32">
      <c r="A355" s="16" t="s">
        <v>1959</v>
      </c>
      <c r="B355" s="16" t="s">
        <v>1189</v>
      </c>
      <c r="C355" s="16" t="s">
        <v>75</v>
      </c>
      <c r="D355" s="16" t="s">
        <v>17</v>
      </c>
      <c r="E355" s="16" t="s">
        <v>1960</v>
      </c>
      <c r="F355" s="16" t="s">
        <v>1960</v>
      </c>
      <c r="G355" s="16">
        <f t="shared" si="2"/>
        <v>9</v>
      </c>
      <c r="H355" s="17" t="s">
        <v>1961</v>
      </c>
      <c r="I355" s="16" t="s">
        <v>22</v>
      </c>
      <c r="J355" s="16" t="s">
        <v>1239</v>
      </c>
      <c r="K355" s="16" t="s">
        <v>1240</v>
      </c>
      <c r="L355" s="16" t="s">
        <v>23</v>
      </c>
      <c r="M355" s="16"/>
      <c r="N355" s="17" t="s">
        <v>1962</v>
      </c>
      <c r="O355" s="16" t="s">
        <v>1963</v>
      </c>
      <c r="P355" s="16" t="s">
        <v>1195</v>
      </c>
    </row>
    <row r="356" spans="1:16" ht="32">
      <c r="A356" s="16" t="s">
        <v>1964</v>
      </c>
      <c r="B356" s="16" t="s">
        <v>1189</v>
      </c>
      <c r="C356" s="16" t="s">
        <v>75</v>
      </c>
      <c r="D356" s="16" t="s">
        <v>17</v>
      </c>
      <c r="E356" s="16" t="s">
        <v>1965</v>
      </c>
      <c r="F356" s="16" t="s">
        <v>1965</v>
      </c>
      <c r="G356" s="16">
        <f t="shared" si="2"/>
        <v>8</v>
      </c>
      <c r="H356" s="17" t="s">
        <v>1966</v>
      </c>
      <c r="I356" s="16" t="s">
        <v>22</v>
      </c>
      <c r="J356" s="16" t="s">
        <v>1239</v>
      </c>
      <c r="K356" s="16" t="s">
        <v>22</v>
      </c>
      <c r="L356" s="16" t="s">
        <v>23</v>
      </c>
      <c r="M356" s="16"/>
      <c r="N356" s="17" t="s">
        <v>1967</v>
      </c>
      <c r="O356" s="16" t="s">
        <v>1968</v>
      </c>
      <c r="P356" s="16" t="s">
        <v>1195</v>
      </c>
    </row>
    <row r="357" spans="1:16" ht="32">
      <c r="A357" s="16" t="s">
        <v>1969</v>
      </c>
      <c r="B357" s="16" t="s">
        <v>1189</v>
      </c>
      <c r="C357" s="16" t="s">
        <v>173</v>
      </c>
      <c r="D357" s="16" t="s">
        <v>17</v>
      </c>
      <c r="E357" s="16" t="s">
        <v>1970</v>
      </c>
      <c r="F357" s="16" t="s">
        <v>1970</v>
      </c>
      <c r="G357" s="16">
        <f t="shared" si="2"/>
        <v>11</v>
      </c>
      <c r="H357" s="17" t="s">
        <v>1971</v>
      </c>
      <c r="I357" s="16" t="s">
        <v>22</v>
      </c>
      <c r="J357" s="16" t="s">
        <v>1291</v>
      </c>
      <c r="K357" s="16" t="s">
        <v>22</v>
      </c>
      <c r="L357" s="16" t="s">
        <v>23</v>
      </c>
      <c r="M357" s="16"/>
      <c r="N357" s="17" t="s">
        <v>1972</v>
      </c>
      <c r="O357" s="16" t="s">
        <v>1973</v>
      </c>
      <c r="P357" s="16" t="s">
        <v>1195</v>
      </c>
    </row>
    <row r="358" spans="1:16" ht="32">
      <c r="A358" s="16" t="s">
        <v>1974</v>
      </c>
      <c r="B358" s="16" t="s">
        <v>1189</v>
      </c>
      <c r="C358" s="16" t="s">
        <v>173</v>
      </c>
      <c r="D358" s="16" t="s">
        <v>17</v>
      </c>
      <c r="E358" s="16" t="s">
        <v>1975</v>
      </c>
      <c r="F358" s="16" t="s">
        <v>1975</v>
      </c>
      <c r="G358" s="16">
        <f t="shared" si="2"/>
        <v>9</v>
      </c>
      <c r="H358" s="17" t="s">
        <v>1976</v>
      </c>
      <c r="I358" s="16" t="s">
        <v>22</v>
      </c>
      <c r="J358" s="16" t="s">
        <v>1291</v>
      </c>
      <c r="K358" s="16" t="s">
        <v>22</v>
      </c>
      <c r="L358" s="16" t="s">
        <v>23</v>
      </c>
      <c r="M358" s="16"/>
      <c r="N358" s="17" t="s">
        <v>1977</v>
      </c>
      <c r="O358" s="16" t="s">
        <v>1978</v>
      </c>
      <c r="P358" s="16" t="s">
        <v>1195</v>
      </c>
    </row>
    <row r="359" spans="1:16" ht="32">
      <c r="A359" s="16" t="s">
        <v>1979</v>
      </c>
      <c r="B359" s="16" t="s">
        <v>1189</v>
      </c>
      <c r="C359" s="16" t="s">
        <v>106</v>
      </c>
      <c r="D359" s="16" t="s">
        <v>17</v>
      </c>
      <c r="E359" s="16" t="s">
        <v>1980</v>
      </c>
      <c r="F359" s="16" t="s">
        <v>1980</v>
      </c>
      <c r="G359" s="16">
        <f t="shared" si="2"/>
        <v>11</v>
      </c>
      <c r="H359" s="17" t="s">
        <v>1981</v>
      </c>
      <c r="I359" s="16" t="s">
        <v>109</v>
      </c>
      <c r="J359" s="16" t="s">
        <v>1253</v>
      </c>
      <c r="K359" s="16" t="s">
        <v>1346</v>
      </c>
      <c r="L359" s="16" t="s">
        <v>23</v>
      </c>
      <c r="M359" s="16" t="s">
        <v>1347</v>
      </c>
      <c r="N359" s="17" t="s">
        <v>1982</v>
      </c>
      <c r="O359" s="16" t="s">
        <v>1983</v>
      </c>
      <c r="P359" s="16" t="s">
        <v>1195</v>
      </c>
    </row>
    <row r="360" spans="1:16" ht="32">
      <c r="A360" s="16" t="s">
        <v>1984</v>
      </c>
      <c r="B360" s="16" t="s">
        <v>1189</v>
      </c>
      <c r="C360" s="16" t="s">
        <v>106</v>
      </c>
      <c r="D360" s="16" t="s">
        <v>17</v>
      </c>
      <c r="E360" s="16" t="s">
        <v>1985</v>
      </c>
      <c r="F360" s="16" t="s">
        <v>1985</v>
      </c>
      <c r="G360" s="16">
        <f t="shared" si="2"/>
        <v>11</v>
      </c>
      <c r="H360" s="17" t="s">
        <v>1986</v>
      </c>
      <c r="I360" s="16" t="s">
        <v>109</v>
      </c>
      <c r="J360" s="16" t="s">
        <v>1253</v>
      </c>
      <c r="K360" s="16" t="s">
        <v>22</v>
      </c>
      <c r="L360" s="16" t="s">
        <v>23</v>
      </c>
      <c r="M360" s="16"/>
      <c r="N360" s="17" t="s">
        <v>1987</v>
      </c>
      <c r="O360" s="16" t="s">
        <v>1988</v>
      </c>
      <c r="P360" s="16" t="s">
        <v>1195</v>
      </c>
    </row>
    <row r="361" spans="1:16" ht="32">
      <c r="A361" s="16" t="s">
        <v>1989</v>
      </c>
      <c r="B361" s="16" t="s">
        <v>1189</v>
      </c>
      <c r="C361" s="16" t="s">
        <v>131</v>
      </c>
      <c r="D361" s="16" t="s">
        <v>17</v>
      </c>
      <c r="E361" s="16" t="s">
        <v>1990</v>
      </c>
      <c r="F361" s="16" t="s">
        <v>1990</v>
      </c>
      <c r="G361" s="16">
        <f t="shared" si="2"/>
        <v>12</v>
      </c>
      <c r="H361" s="17" t="s">
        <v>1991</v>
      </c>
      <c r="I361" s="16" t="s">
        <v>22</v>
      </c>
      <c r="J361" s="16" t="s">
        <v>1266</v>
      </c>
      <c r="K361" s="16" t="s">
        <v>22</v>
      </c>
      <c r="L361" s="16" t="s">
        <v>23</v>
      </c>
      <c r="M361" s="16"/>
      <c r="N361" s="17" t="s">
        <v>1992</v>
      </c>
      <c r="O361" s="16" t="s">
        <v>1993</v>
      </c>
      <c r="P361" s="16" t="s">
        <v>1195</v>
      </c>
    </row>
    <row r="362" spans="1:16" ht="32">
      <c r="A362" s="16" t="s">
        <v>1994</v>
      </c>
      <c r="B362" s="16" t="s">
        <v>1189</v>
      </c>
      <c r="C362" s="16" t="s">
        <v>131</v>
      </c>
      <c r="D362" s="16" t="s">
        <v>17</v>
      </c>
      <c r="E362" s="16" t="s">
        <v>1995</v>
      </c>
      <c r="F362" s="16" t="s">
        <v>1995</v>
      </c>
      <c r="G362" s="16">
        <f t="shared" si="2"/>
        <v>9</v>
      </c>
      <c r="H362" s="17" t="s">
        <v>1996</v>
      </c>
      <c r="I362" s="16" t="s">
        <v>22</v>
      </c>
      <c r="J362" s="16" t="s">
        <v>1266</v>
      </c>
      <c r="K362" s="16" t="s">
        <v>1240</v>
      </c>
      <c r="L362" s="16" t="s">
        <v>23</v>
      </c>
      <c r="M362" s="16"/>
      <c r="N362" s="17" t="s">
        <v>1997</v>
      </c>
      <c r="O362" s="16" t="s">
        <v>1998</v>
      </c>
      <c r="P362" s="16" t="s">
        <v>1195</v>
      </c>
    </row>
    <row r="363" spans="1:16" ht="32">
      <c r="A363" s="16" t="s">
        <v>1999</v>
      </c>
      <c r="B363" s="16" t="s">
        <v>1189</v>
      </c>
      <c r="C363" s="16" t="s">
        <v>131</v>
      </c>
      <c r="D363" s="16" t="s">
        <v>17</v>
      </c>
      <c r="E363" s="16" t="s">
        <v>2000</v>
      </c>
      <c r="F363" s="16" t="s">
        <v>2001</v>
      </c>
      <c r="G363" s="16">
        <f t="shared" si="2"/>
        <v>11</v>
      </c>
      <c r="H363" s="17" t="s">
        <v>2002</v>
      </c>
      <c r="I363" s="16" t="s">
        <v>22</v>
      </c>
      <c r="J363" s="16" t="s">
        <v>1266</v>
      </c>
      <c r="K363" s="16" t="s">
        <v>22</v>
      </c>
      <c r="L363" s="16" t="s">
        <v>23</v>
      </c>
      <c r="M363" s="16"/>
      <c r="N363" s="17" t="s">
        <v>2003</v>
      </c>
      <c r="O363" s="16" t="s">
        <v>2004</v>
      </c>
      <c r="P363" s="16" t="s">
        <v>1195</v>
      </c>
    </row>
    <row r="364" spans="1:16" ht="32">
      <c r="A364" s="16" t="s">
        <v>2005</v>
      </c>
      <c r="B364" s="16" t="s">
        <v>1189</v>
      </c>
      <c r="C364" s="16" t="s">
        <v>16</v>
      </c>
      <c r="D364" s="16" t="s">
        <v>17</v>
      </c>
      <c r="E364" s="16" t="s">
        <v>2006</v>
      </c>
      <c r="F364" s="16" t="s">
        <v>2007</v>
      </c>
      <c r="G364" s="16">
        <f t="shared" si="2"/>
        <v>12</v>
      </c>
      <c r="H364" s="17" t="s">
        <v>2008</v>
      </c>
      <c r="I364" s="16" t="s">
        <v>20</v>
      </c>
      <c r="J364" s="16" t="s">
        <v>2009</v>
      </c>
      <c r="K364" s="16" t="s">
        <v>22</v>
      </c>
      <c r="L364" s="16" t="s">
        <v>23</v>
      </c>
      <c r="M364" s="16"/>
      <c r="N364" s="17" t="s">
        <v>2010</v>
      </c>
      <c r="O364" s="16" t="s">
        <v>2011</v>
      </c>
      <c r="P364" s="16" t="s">
        <v>1195</v>
      </c>
    </row>
    <row r="365" spans="1:16" ht="32">
      <c r="A365" s="16" t="s">
        <v>2012</v>
      </c>
      <c r="B365" s="16" t="s">
        <v>1189</v>
      </c>
      <c r="C365" s="16" t="s">
        <v>16</v>
      </c>
      <c r="D365" s="16" t="s">
        <v>17</v>
      </c>
      <c r="E365" s="16" t="s">
        <v>2013</v>
      </c>
      <c r="F365" s="16" t="s">
        <v>2014</v>
      </c>
      <c r="G365" s="16">
        <f t="shared" si="2"/>
        <v>12</v>
      </c>
      <c r="H365" s="17" t="s">
        <v>2015</v>
      </c>
      <c r="I365" s="16" t="s">
        <v>20</v>
      </c>
      <c r="J365" s="16" t="s">
        <v>2009</v>
      </c>
      <c r="K365" s="16" t="s">
        <v>22</v>
      </c>
      <c r="L365" s="16" t="s">
        <v>23</v>
      </c>
      <c r="M365" s="16"/>
      <c r="N365" s="17" t="s">
        <v>2016</v>
      </c>
      <c r="O365" s="16" t="s">
        <v>2017</v>
      </c>
      <c r="P365" s="16" t="s">
        <v>1195</v>
      </c>
    </row>
    <row r="366" spans="1:16" ht="32">
      <c r="A366" s="16" t="s">
        <v>2018</v>
      </c>
      <c r="B366" s="16" t="s">
        <v>1189</v>
      </c>
      <c r="C366" s="16" t="s">
        <v>16</v>
      </c>
      <c r="D366" s="16" t="s">
        <v>17</v>
      </c>
      <c r="E366" s="16" t="s">
        <v>2019</v>
      </c>
      <c r="F366" s="16" t="s">
        <v>2020</v>
      </c>
      <c r="G366" s="16">
        <f t="shared" si="2"/>
        <v>12</v>
      </c>
      <c r="H366" s="17" t="s">
        <v>2021</v>
      </c>
      <c r="I366" s="16" t="s">
        <v>20</v>
      </c>
      <c r="J366" s="16" t="s">
        <v>2009</v>
      </c>
      <c r="K366" s="16" t="s">
        <v>22</v>
      </c>
      <c r="L366" s="16" t="s">
        <v>23</v>
      </c>
      <c r="M366" s="16"/>
      <c r="N366" s="17" t="s">
        <v>2022</v>
      </c>
      <c r="O366" s="16" t="s">
        <v>2023</v>
      </c>
      <c r="P366" s="16" t="s">
        <v>1195</v>
      </c>
    </row>
    <row r="367" spans="1:16" ht="32">
      <c r="A367" s="16" t="s">
        <v>2024</v>
      </c>
      <c r="B367" s="16" t="s">
        <v>1189</v>
      </c>
      <c r="C367" s="16" t="s">
        <v>16</v>
      </c>
      <c r="D367" s="16" t="s">
        <v>17</v>
      </c>
      <c r="E367" s="16" t="s">
        <v>2025</v>
      </c>
      <c r="F367" s="16" t="s">
        <v>2026</v>
      </c>
      <c r="G367" s="16">
        <f t="shared" si="2"/>
        <v>12</v>
      </c>
      <c r="H367" s="17" t="s">
        <v>2027</v>
      </c>
      <c r="I367" s="16" t="s">
        <v>20</v>
      </c>
      <c r="J367" s="16" t="s">
        <v>2009</v>
      </c>
      <c r="K367" s="16" t="s">
        <v>22</v>
      </c>
      <c r="L367" s="16" t="s">
        <v>23</v>
      </c>
      <c r="M367" s="16"/>
      <c r="N367" s="17" t="s">
        <v>2028</v>
      </c>
      <c r="O367" s="16" t="s">
        <v>2029</v>
      </c>
      <c r="P367" s="16" t="s">
        <v>1195</v>
      </c>
    </row>
    <row r="368" spans="1:16" ht="32">
      <c r="A368" s="16" t="s">
        <v>2030</v>
      </c>
      <c r="B368" s="16" t="s">
        <v>1189</v>
      </c>
      <c r="C368" s="16" t="s">
        <v>16</v>
      </c>
      <c r="D368" s="16" t="s">
        <v>17</v>
      </c>
      <c r="E368" s="16" t="s">
        <v>2031</v>
      </c>
      <c r="F368" s="16" t="s">
        <v>2032</v>
      </c>
      <c r="G368" s="16">
        <f t="shared" si="2"/>
        <v>12</v>
      </c>
      <c r="H368" s="17" t="s">
        <v>2033</v>
      </c>
      <c r="I368" s="16" t="s">
        <v>20</v>
      </c>
      <c r="J368" s="16" t="s">
        <v>2009</v>
      </c>
      <c r="K368" s="16" t="s">
        <v>22</v>
      </c>
      <c r="L368" s="16" t="s">
        <v>23</v>
      </c>
      <c r="M368" s="16"/>
      <c r="N368" s="17" t="s">
        <v>2034</v>
      </c>
      <c r="O368" s="16" t="s">
        <v>2035</v>
      </c>
      <c r="P368" s="16" t="s">
        <v>1195</v>
      </c>
    </row>
    <row r="369" spans="1:16" ht="32">
      <c r="A369" s="16" t="s">
        <v>2036</v>
      </c>
      <c r="B369" s="16" t="s">
        <v>1189</v>
      </c>
      <c r="C369" s="16" t="s">
        <v>39</v>
      </c>
      <c r="D369" s="16" t="s">
        <v>17</v>
      </c>
      <c r="E369" s="16" t="s">
        <v>2037</v>
      </c>
      <c r="F369" s="16" t="s">
        <v>2038</v>
      </c>
      <c r="G369" s="16">
        <f t="shared" si="2"/>
        <v>12</v>
      </c>
      <c r="H369" s="17" t="s">
        <v>2039</v>
      </c>
      <c r="I369" s="16" t="s">
        <v>20</v>
      </c>
      <c r="J369" s="16" t="s">
        <v>1206</v>
      </c>
      <c r="K369" s="16" t="s">
        <v>22</v>
      </c>
      <c r="L369" s="16" t="s">
        <v>23</v>
      </c>
      <c r="M369" s="16"/>
      <c r="N369" s="17" t="s">
        <v>2040</v>
      </c>
      <c r="O369" s="16" t="s">
        <v>2041</v>
      </c>
      <c r="P369" s="16" t="s">
        <v>1195</v>
      </c>
    </row>
    <row r="370" spans="1:16" ht="32">
      <c r="A370" s="16" t="s">
        <v>2042</v>
      </c>
      <c r="B370" s="16" t="s">
        <v>1189</v>
      </c>
      <c r="C370" s="16" t="s">
        <v>39</v>
      </c>
      <c r="D370" s="16" t="s">
        <v>17</v>
      </c>
      <c r="E370" s="16" t="s">
        <v>2043</v>
      </c>
      <c r="F370" s="16" t="s">
        <v>2044</v>
      </c>
      <c r="G370" s="16">
        <f t="shared" si="2"/>
        <v>12</v>
      </c>
      <c r="H370" s="17" t="s">
        <v>2045</v>
      </c>
      <c r="I370" s="16" t="s">
        <v>20</v>
      </c>
      <c r="J370" s="16" t="s">
        <v>1206</v>
      </c>
      <c r="K370" s="16" t="s">
        <v>22</v>
      </c>
      <c r="L370" s="16" t="s">
        <v>23</v>
      </c>
      <c r="M370" s="16"/>
      <c r="N370" s="17" t="s">
        <v>2046</v>
      </c>
      <c r="O370" s="16" t="s">
        <v>2047</v>
      </c>
      <c r="P370" s="16" t="s">
        <v>1195</v>
      </c>
    </row>
    <row r="371" spans="1:16" ht="32">
      <c r="A371" s="16" t="s">
        <v>2048</v>
      </c>
      <c r="B371" s="16" t="s">
        <v>1189</v>
      </c>
      <c r="C371" s="16" t="s">
        <v>39</v>
      </c>
      <c r="D371" s="16" t="s">
        <v>17</v>
      </c>
      <c r="E371" s="16" t="s">
        <v>2049</v>
      </c>
      <c r="F371" s="16" t="s">
        <v>2050</v>
      </c>
      <c r="G371" s="16">
        <f t="shared" si="2"/>
        <v>12</v>
      </c>
      <c r="H371" s="17" t="s">
        <v>2051</v>
      </c>
      <c r="I371" s="16" t="s">
        <v>20</v>
      </c>
      <c r="J371" s="16" t="s">
        <v>1206</v>
      </c>
      <c r="K371" s="16" t="s">
        <v>22</v>
      </c>
      <c r="L371" s="16" t="s">
        <v>23</v>
      </c>
      <c r="M371" s="16"/>
      <c r="N371" s="17" t="s">
        <v>2052</v>
      </c>
      <c r="O371" s="16" t="s">
        <v>2053</v>
      </c>
      <c r="P371" s="16" t="s">
        <v>1195</v>
      </c>
    </row>
    <row r="372" spans="1:16" ht="32">
      <c r="A372" s="16" t="s">
        <v>2054</v>
      </c>
      <c r="B372" s="16" t="s">
        <v>1189</v>
      </c>
      <c r="C372" s="16" t="s">
        <v>39</v>
      </c>
      <c r="D372" s="16" t="s">
        <v>17</v>
      </c>
      <c r="E372" s="16" t="s">
        <v>2055</v>
      </c>
      <c r="F372" s="16" t="s">
        <v>2055</v>
      </c>
      <c r="G372" s="16">
        <f t="shared" si="2"/>
        <v>12</v>
      </c>
      <c r="H372" s="17" t="s">
        <v>2056</v>
      </c>
      <c r="I372" s="16" t="s">
        <v>20</v>
      </c>
      <c r="J372" s="16" t="s">
        <v>1206</v>
      </c>
      <c r="K372" s="16" t="s">
        <v>22</v>
      </c>
      <c r="L372" s="16" t="s">
        <v>23</v>
      </c>
      <c r="M372" s="16"/>
      <c r="N372" s="17" t="s">
        <v>2057</v>
      </c>
      <c r="O372" s="16" t="s">
        <v>2058</v>
      </c>
      <c r="P372" s="16" t="s">
        <v>1195</v>
      </c>
    </row>
    <row r="373" spans="1:16" ht="32">
      <c r="A373" s="16" t="s">
        <v>2059</v>
      </c>
      <c r="B373" s="16" t="s">
        <v>1189</v>
      </c>
      <c r="C373" s="16" t="s">
        <v>39</v>
      </c>
      <c r="D373" s="16" t="s">
        <v>17</v>
      </c>
      <c r="E373" s="16" t="s">
        <v>2060</v>
      </c>
      <c r="F373" s="16" t="s">
        <v>2061</v>
      </c>
      <c r="G373" s="16">
        <f t="shared" si="2"/>
        <v>11</v>
      </c>
      <c r="H373" s="17" t="s">
        <v>2062</v>
      </c>
      <c r="I373" s="16" t="s">
        <v>20</v>
      </c>
      <c r="J373" s="16" t="s">
        <v>1206</v>
      </c>
      <c r="K373" s="16" t="s">
        <v>1240</v>
      </c>
      <c r="L373" s="16" t="s">
        <v>23</v>
      </c>
      <c r="M373" s="16"/>
      <c r="N373" s="17" t="s">
        <v>2063</v>
      </c>
      <c r="O373" s="16" t="s">
        <v>2064</v>
      </c>
      <c r="P373" s="16" t="s">
        <v>1195</v>
      </c>
    </row>
    <row r="374" spans="1:16" ht="32">
      <c r="A374" s="16" t="s">
        <v>2065</v>
      </c>
      <c r="B374" s="16" t="s">
        <v>1189</v>
      </c>
      <c r="C374" s="16" t="s">
        <v>153</v>
      </c>
      <c r="D374" s="16" t="s">
        <v>17</v>
      </c>
      <c r="E374" s="16" t="s">
        <v>2066</v>
      </c>
      <c r="F374" s="16" t="s">
        <v>2066</v>
      </c>
      <c r="G374" s="16">
        <f t="shared" si="2"/>
        <v>12</v>
      </c>
      <c r="H374" s="17" t="s">
        <v>2067</v>
      </c>
      <c r="I374" s="16" t="s">
        <v>20</v>
      </c>
      <c r="J374" s="16" t="s">
        <v>1206</v>
      </c>
      <c r="K374" s="16" t="s">
        <v>1219</v>
      </c>
      <c r="L374" s="16" t="s">
        <v>23</v>
      </c>
      <c r="M374" s="16"/>
      <c r="N374" s="17" t="s">
        <v>2068</v>
      </c>
      <c r="O374" s="16" t="s">
        <v>2069</v>
      </c>
      <c r="P374" s="16" t="s">
        <v>1195</v>
      </c>
    </row>
    <row r="375" spans="1:16" ht="32">
      <c r="A375" s="16" t="s">
        <v>2070</v>
      </c>
      <c r="B375" s="16" t="s">
        <v>1189</v>
      </c>
      <c r="C375" s="16" t="s">
        <v>153</v>
      </c>
      <c r="D375" s="16" t="s">
        <v>17</v>
      </c>
      <c r="E375" s="16" t="s">
        <v>2071</v>
      </c>
      <c r="F375" s="16" t="s">
        <v>2071</v>
      </c>
      <c r="G375" s="16">
        <f t="shared" si="2"/>
        <v>12</v>
      </c>
      <c r="H375" s="17" t="s">
        <v>2072</v>
      </c>
      <c r="I375" s="16" t="s">
        <v>20</v>
      </c>
      <c r="J375" s="16" t="s">
        <v>1206</v>
      </c>
      <c r="K375" s="16" t="s">
        <v>1219</v>
      </c>
      <c r="L375" s="16" t="s">
        <v>23</v>
      </c>
      <c r="M375" s="16"/>
      <c r="N375" s="17" t="s">
        <v>2073</v>
      </c>
      <c r="O375" s="16" t="s">
        <v>2074</v>
      </c>
      <c r="P375" s="16" t="s">
        <v>1195</v>
      </c>
    </row>
    <row r="376" spans="1:16" ht="32">
      <c r="A376" s="16" t="s">
        <v>2075</v>
      </c>
      <c r="B376" s="16" t="s">
        <v>1189</v>
      </c>
      <c r="C376" s="16" t="s">
        <v>153</v>
      </c>
      <c r="D376" s="16" t="s">
        <v>17</v>
      </c>
      <c r="E376" s="16" t="s">
        <v>2076</v>
      </c>
      <c r="F376" s="16" t="s">
        <v>2076</v>
      </c>
      <c r="G376" s="16">
        <f t="shared" si="2"/>
        <v>11</v>
      </c>
      <c r="H376" s="17" t="s">
        <v>2077</v>
      </c>
      <c r="I376" s="16" t="s">
        <v>20</v>
      </c>
      <c r="J376" s="16" t="s">
        <v>1206</v>
      </c>
      <c r="K376" s="16" t="s">
        <v>1219</v>
      </c>
      <c r="L376" s="16" t="s">
        <v>23</v>
      </c>
      <c r="M376" s="16"/>
      <c r="N376" s="17" t="s">
        <v>2078</v>
      </c>
      <c r="O376" s="16" t="s">
        <v>2079</v>
      </c>
      <c r="P376" s="16" t="s">
        <v>1195</v>
      </c>
    </row>
    <row r="377" spans="1:16" ht="32">
      <c r="A377" s="16" t="s">
        <v>2080</v>
      </c>
      <c r="B377" s="16" t="s">
        <v>1189</v>
      </c>
      <c r="C377" s="16" t="s">
        <v>153</v>
      </c>
      <c r="D377" s="16" t="s">
        <v>17</v>
      </c>
      <c r="E377" s="16" t="s">
        <v>2081</v>
      </c>
      <c r="F377" s="16" t="s">
        <v>2081</v>
      </c>
      <c r="G377" s="16">
        <f t="shared" si="2"/>
        <v>11</v>
      </c>
      <c r="H377" s="17" t="s">
        <v>2082</v>
      </c>
      <c r="I377" s="16" t="s">
        <v>20</v>
      </c>
      <c r="J377" s="16" t="s">
        <v>1206</v>
      </c>
      <c r="K377" s="16" t="s">
        <v>1219</v>
      </c>
      <c r="L377" s="16" t="s">
        <v>23</v>
      </c>
      <c r="M377" s="16"/>
      <c r="N377" s="17" t="s">
        <v>2083</v>
      </c>
      <c r="O377" s="16" t="s">
        <v>2084</v>
      </c>
      <c r="P377" s="16" t="s">
        <v>1195</v>
      </c>
    </row>
    <row r="378" spans="1:16" ht="32">
      <c r="A378" s="16" t="s">
        <v>2085</v>
      </c>
      <c r="B378" s="16" t="s">
        <v>1189</v>
      </c>
      <c r="C378" s="16" t="s">
        <v>153</v>
      </c>
      <c r="D378" s="16" t="s">
        <v>17</v>
      </c>
      <c r="E378" s="16" t="s">
        <v>2086</v>
      </c>
      <c r="F378" s="16" t="s">
        <v>2087</v>
      </c>
      <c r="G378" s="16">
        <f t="shared" si="2"/>
        <v>12</v>
      </c>
      <c r="H378" s="17" t="s">
        <v>2088</v>
      </c>
      <c r="I378" s="16" t="s">
        <v>20</v>
      </c>
      <c r="J378" s="16" t="s">
        <v>1206</v>
      </c>
      <c r="K378" s="16" t="s">
        <v>1219</v>
      </c>
      <c r="L378" s="16" t="s">
        <v>23</v>
      </c>
      <c r="M378" s="16"/>
      <c r="N378" s="17" t="s">
        <v>2089</v>
      </c>
      <c r="O378" s="16" t="s">
        <v>2090</v>
      </c>
      <c r="P378" s="16" t="s">
        <v>1195</v>
      </c>
    </row>
    <row r="379" spans="1:16" ht="32">
      <c r="A379" s="16" t="s">
        <v>2091</v>
      </c>
      <c r="B379" s="16" t="s">
        <v>1189</v>
      </c>
      <c r="C379" s="16" t="s">
        <v>153</v>
      </c>
      <c r="D379" s="16" t="s">
        <v>17</v>
      </c>
      <c r="E379" s="16" t="s">
        <v>2092</v>
      </c>
      <c r="F379" s="16" t="s">
        <v>2093</v>
      </c>
      <c r="G379" s="16">
        <f t="shared" si="2"/>
        <v>11</v>
      </c>
      <c r="H379" s="17" t="s">
        <v>2094</v>
      </c>
      <c r="I379" s="16" t="s">
        <v>20</v>
      </c>
      <c r="J379" s="16" t="s">
        <v>1206</v>
      </c>
      <c r="K379" s="16" t="s">
        <v>1219</v>
      </c>
      <c r="L379" s="16" t="s">
        <v>23</v>
      </c>
      <c r="M379" s="16"/>
      <c r="N379" s="17" t="s">
        <v>2095</v>
      </c>
      <c r="O379" s="16" t="s">
        <v>2096</v>
      </c>
      <c r="P379" s="16" t="s">
        <v>1195</v>
      </c>
    </row>
    <row r="380" spans="1:16" ht="32">
      <c r="A380" s="16" t="s">
        <v>2097</v>
      </c>
      <c r="B380" s="16" t="s">
        <v>1189</v>
      </c>
      <c r="C380" s="16" t="s">
        <v>173</v>
      </c>
      <c r="D380" s="16" t="s">
        <v>17</v>
      </c>
      <c r="E380" s="16" t="s">
        <v>2098</v>
      </c>
      <c r="F380" s="16" t="s">
        <v>2099</v>
      </c>
      <c r="G380" s="16">
        <f t="shared" si="2"/>
        <v>11</v>
      </c>
      <c r="H380" s="17" t="s">
        <v>2100</v>
      </c>
      <c r="I380" s="16" t="s">
        <v>20</v>
      </c>
      <c r="J380" s="16" t="s">
        <v>1291</v>
      </c>
      <c r="K380" s="16" t="s">
        <v>22</v>
      </c>
      <c r="L380" s="16" t="s">
        <v>23</v>
      </c>
      <c r="M380" s="16"/>
      <c r="N380" s="17" t="s">
        <v>2101</v>
      </c>
      <c r="O380" s="16" t="s">
        <v>2102</v>
      </c>
      <c r="P380" s="16" t="s">
        <v>1195</v>
      </c>
    </row>
    <row r="381" spans="1:16" ht="32">
      <c r="A381" s="16" t="s">
        <v>2103</v>
      </c>
      <c r="B381" s="16" t="s">
        <v>1189</v>
      </c>
      <c r="C381" s="16" t="s">
        <v>75</v>
      </c>
      <c r="D381" s="16" t="s">
        <v>17</v>
      </c>
      <c r="E381" s="16" t="s">
        <v>2104</v>
      </c>
      <c r="F381" s="16" t="s">
        <v>2105</v>
      </c>
      <c r="G381" s="16">
        <f t="shared" si="2"/>
        <v>12</v>
      </c>
      <c r="H381" s="17" t="s">
        <v>2106</v>
      </c>
      <c r="I381" s="16" t="s">
        <v>20</v>
      </c>
      <c r="J381" s="16" t="s">
        <v>1239</v>
      </c>
      <c r="K381" s="16" t="s">
        <v>22</v>
      </c>
      <c r="L381" s="16" t="s">
        <v>23</v>
      </c>
      <c r="M381" s="16"/>
      <c r="N381" s="17" t="s">
        <v>2107</v>
      </c>
      <c r="O381" s="16" t="s">
        <v>2108</v>
      </c>
      <c r="P381" s="16" t="s">
        <v>1195</v>
      </c>
    </row>
    <row r="382" spans="1:16" ht="32">
      <c r="A382" s="16" t="s">
        <v>2109</v>
      </c>
      <c r="B382" s="16" t="s">
        <v>1189</v>
      </c>
      <c r="C382" s="16" t="s">
        <v>173</v>
      </c>
      <c r="D382" s="16" t="s">
        <v>17</v>
      </c>
      <c r="E382" s="16" t="s">
        <v>2110</v>
      </c>
      <c r="F382" s="16" t="s">
        <v>2110</v>
      </c>
      <c r="G382" s="16">
        <f t="shared" si="2"/>
        <v>11</v>
      </c>
      <c r="H382" s="17" t="s">
        <v>2111</v>
      </c>
      <c r="I382" s="16" t="s">
        <v>207</v>
      </c>
      <c r="J382" s="16" t="s">
        <v>1291</v>
      </c>
      <c r="K382" s="16" t="s">
        <v>22</v>
      </c>
      <c r="L382" s="16" t="s">
        <v>23</v>
      </c>
      <c r="M382" s="16"/>
      <c r="N382" s="17" t="s">
        <v>2112</v>
      </c>
      <c r="O382" s="16" t="s">
        <v>2113</v>
      </c>
      <c r="P382" s="16" t="s">
        <v>1195</v>
      </c>
    </row>
    <row r="383" spans="1:16" ht="32">
      <c r="A383" s="16" t="s">
        <v>2114</v>
      </c>
      <c r="B383" s="16" t="s">
        <v>1189</v>
      </c>
      <c r="C383" s="16" t="s">
        <v>173</v>
      </c>
      <c r="D383" s="16" t="s">
        <v>17</v>
      </c>
      <c r="E383" s="16" t="s">
        <v>2115</v>
      </c>
      <c r="F383" s="16" t="s">
        <v>2116</v>
      </c>
      <c r="G383" s="16">
        <f t="shared" si="2"/>
        <v>11</v>
      </c>
      <c r="H383" s="17" t="s">
        <v>2117</v>
      </c>
      <c r="I383" s="16" t="s">
        <v>207</v>
      </c>
      <c r="J383" s="16" t="s">
        <v>1291</v>
      </c>
      <c r="K383" s="16" t="s">
        <v>22</v>
      </c>
      <c r="L383" s="16" t="s">
        <v>23</v>
      </c>
      <c r="M383" s="16"/>
      <c r="N383" s="17" t="s">
        <v>2118</v>
      </c>
      <c r="O383" s="16" t="s">
        <v>2119</v>
      </c>
      <c r="P383" s="16" t="s">
        <v>1195</v>
      </c>
    </row>
    <row r="384" spans="1:16" ht="32">
      <c r="A384" s="16" t="s">
        <v>2120</v>
      </c>
      <c r="B384" s="16" t="s">
        <v>1189</v>
      </c>
      <c r="C384" s="16" t="s">
        <v>173</v>
      </c>
      <c r="D384" s="16" t="s">
        <v>17</v>
      </c>
      <c r="E384" s="16" t="s">
        <v>2121</v>
      </c>
      <c r="F384" s="16" t="s">
        <v>2122</v>
      </c>
      <c r="G384" s="16">
        <f t="shared" si="2"/>
        <v>12</v>
      </c>
      <c r="H384" s="17" t="s">
        <v>2123</v>
      </c>
      <c r="I384" s="16" t="s">
        <v>207</v>
      </c>
      <c r="J384" s="16" t="s">
        <v>1291</v>
      </c>
      <c r="K384" s="16" t="s">
        <v>22</v>
      </c>
      <c r="L384" s="16" t="s">
        <v>23</v>
      </c>
      <c r="M384" s="16"/>
      <c r="N384" s="17" t="s">
        <v>2124</v>
      </c>
      <c r="O384" s="16" t="s">
        <v>2125</v>
      </c>
      <c r="P384" s="16" t="s">
        <v>1195</v>
      </c>
    </row>
    <row r="385" spans="1:16" ht="32">
      <c r="A385" s="16" t="s">
        <v>2126</v>
      </c>
      <c r="B385" s="16" t="s">
        <v>1189</v>
      </c>
      <c r="C385" s="16" t="s">
        <v>173</v>
      </c>
      <c r="D385" s="16" t="s">
        <v>17</v>
      </c>
      <c r="E385" s="16" t="s">
        <v>2127</v>
      </c>
      <c r="F385" s="16" t="s">
        <v>2127</v>
      </c>
      <c r="G385" s="16">
        <f t="shared" si="2"/>
        <v>11</v>
      </c>
      <c r="H385" s="17" t="s">
        <v>2128</v>
      </c>
      <c r="I385" s="16" t="s">
        <v>207</v>
      </c>
      <c r="J385" s="16" t="s">
        <v>1291</v>
      </c>
      <c r="K385" s="16" t="s">
        <v>22</v>
      </c>
      <c r="L385" s="16" t="s">
        <v>23</v>
      </c>
      <c r="M385" s="16"/>
      <c r="N385" s="17" t="s">
        <v>2129</v>
      </c>
      <c r="O385" s="16" t="s">
        <v>2130</v>
      </c>
      <c r="P385" s="16" t="s">
        <v>1195</v>
      </c>
    </row>
    <row r="386" spans="1:16" ht="32">
      <c r="A386" s="16" t="s">
        <v>2131</v>
      </c>
      <c r="B386" s="16" t="s">
        <v>1189</v>
      </c>
      <c r="C386" s="16" t="s">
        <v>173</v>
      </c>
      <c r="D386" s="16" t="s">
        <v>17</v>
      </c>
      <c r="E386" s="16" t="s">
        <v>2132</v>
      </c>
      <c r="F386" s="16" t="s">
        <v>2132</v>
      </c>
      <c r="G386" s="16">
        <f t="shared" si="2"/>
        <v>12</v>
      </c>
      <c r="H386" s="17" t="s">
        <v>2133</v>
      </c>
      <c r="I386" s="16" t="s">
        <v>207</v>
      </c>
      <c r="J386" s="16" t="s">
        <v>1291</v>
      </c>
      <c r="K386" s="16" t="s">
        <v>22</v>
      </c>
      <c r="L386" s="16" t="s">
        <v>23</v>
      </c>
      <c r="M386" s="16"/>
      <c r="N386" s="17" t="s">
        <v>2134</v>
      </c>
      <c r="O386" s="16" t="s">
        <v>2135</v>
      </c>
      <c r="P386" s="16" t="s">
        <v>1195</v>
      </c>
    </row>
    <row r="387" spans="1:16" ht="32">
      <c r="A387" s="16" t="s">
        <v>2136</v>
      </c>
      <c r="B387" s="16" t="s">
        <v>1189</v>
      </c>
      <c r="C387" s="16" t="s">
        <v>173</v>
      </c>
      <c r="D387" s="16" t="s">
        <v>17</v>
      </c>
      <c r="E387" s="16" t="s">
        <v>2137</v>
      </c>
      <c r="F387" s="16" t="s">
        <v>2137</v>
      </c>
      <c r="G387" s="16">
        <f t="shared" si="2"/>
        <v>11</v>
      </c>
      <c r="H387" s="17" t="s">
        <v>2138</v>
      </c>
      <c r="I387" s="16" t="s">
        <v>207</v>
      </c>
      <c r="J387" s="16" t="s">
        <v>1291</v>
      </c>
      <c r="K387" s="16" t="s">
        <v>22</v>
      </c>
      <c r="L387" s="16" t="s">
        <v>23</v>
      </c>
      <c r="M387" s="16"/>
      <c r="N387" s="17" t="s">
        <v>2139</v>
      </c>
      <c r="O387" s="16" t="s">
        <v>2140</v>
      </c>
      <c r="P387" s="16" t="s">
        <v>1195</v>
      </c>
    </row>
    <row r="388" spans="1:16" ht="32">
      <c r="A388" s="16" t="s">
        <v>2141</v>
      </c>
      <c r="B388" s="16" t="s">
        <v>1189</v>
      </c>
      <c r="C388" s="16" t="s">
        <v>153</v>
      </c>
      <c r="D388" s="16" t="s">
        <v>17</v>
      </c>
      <c r="E388" s="16" t="s">
        <v>2142</v>
      </c>
      <c r="F388" s="16" t="s">
        <v>2142</v>
      </c>
      <c r="G388" s="16">
        <f t="shared" si="2"/>
        <v>12</v>
      </c>
      <c r="H388" s="17" t="s">
        <v>2143</v>
      </c>
      <c r="I388" s="16" t="s">
        <v>207</v>
      </c>
      <c r="J388" s="16" t="s">
        <v>1206</v>
      </c>
      <c r="K388" s="16" t="s">
        <v>1219</v>
      </c>
      <c r="L388" s="16" t="s">
        <v>23</v>
      </c>
      <c r="M388" s="16"/>
      <c r="N388" s="17" t="s">
        <v>2144</v>
      </c>
      <c r="O388" s="16" t="s">
        <v>2145</v>
      </c>
      <c r="P388" s="16" t="s">
        <v>1195</v>
      </c>
    </row>
    <row r="389" spans="1:16" ht="32">
      <c r="A389" s="16" t="s">
        <v>2146</v>
      </c>
      <c r="B389" s="16" t="s">
        <v>1189</v>
      </c>
      <c r="C389" s="16" t="s">
        <v>153</v>
      </c>
      <c r="D389" s="16" t="s">
        <v>17</v>
      </c>
      <c r="E389" s="16" t="s">
        <v>2147</v>
      </c>
      <c r="F389" s="16" t="s">
        <v>2147</v>
      </c>
      <c r="G389" s="16">
        <f t="shared" si="2"/>
        <v>12</v>
      </c>
      <c r="H389" s="17" t="s">
        <v>2148</v>
      </c>
      <c r="I389" s="16" t="s">
        <v>207</v>
      </c>
      <c r="J389" s="16" t="s">
        <v>1206</v>
      </c>
      <c r="K389" s="16" t="s">
        <v>1219</v>
      </c>
      <c r="L389" s="16" t="s">
        <v>23</v>
      </c>
      <c r="M389" s="16"/>
      <c r="N389" s="17" t="s">
        <v>2149</v>
      </c>
      <c r="O389" s="16" t="s">
        <v>2150</v>
      </c>
      <c r="P389" s="16" t="s">
        <v>1195</v>
      </c>
    </row>
    <row r="390" spans="1:16" ht="32">
      <c r="A390" s="16" t="s">
        <v>2151</v>
      </c>
      <c r="B390" s="16" t="s">
        <v>1189</v>
      </c>
      <c r="C390" s="16" t="s">
        <v>153</v>
      </c>
      <c r="D390" s="16" t="s">
        <v>17</v>
      </c>
      <c r="E390" s="16" t="s">
        <v>2152</v>
      </c>
      <c r="F390" s="16" t="s">
        <v>2152</v>
      </c>
      <c r="G390" s="16">
        <f t="shared" si="2"/>
        <v>12</v>
      </c>
      <c r="H390" s="17" t="s">
        <v>2153</v>
      </c>
      <c r="I390" s="16" t="s">
        <v>207</v>
      </c>
      <c r="J390" s="16" t="s">
        <v>1206</v>
      </c>
      <c r="K390" s="16" t="s">
        <v>1219</v>
      </c>
      <c r="L390" s="16" t="s">
        <v>23</v>
      </c>
      <c r="M390" s="16"/>
      <c r="N390" s="17" t="s">
        <v>2154</v>
      </c>
      <c r="O390" s="16" t="s">
        <v>2155</v>
      </c>
      <c r="P390" s="16" t="s">
        <v>1195</v>
      </c>
    </row>
    <row r="391" spans="1:16" ht="32">
      <c r="A391" s="16" t="s">
        <v>2156</v>
      </c>
      <c r="B391" s="16" t="s">
        <v>1189</v>
      </c>
      <c r="C391" s="16" t="s">
        <v>153</v>
      </c>
      <c r="D391" s="16" t="s">
        <v>17</v>
      </c>
      <c r="E391" s="16" t="s">
        <v>2157</v>
      </c>
      <c r="F391" s="16" t="s">
        <v>2158</v>
      </c>
      <c r="G391" s="16">
        <f t="shared" si="2"/>
        <v>11</v>
      </c>
      <c r="H391" s="17" t="s">
        <v>2159</v>
      </c>
      <c r="I391" s="16" t="s">
        <v>207</v>
      </c>
      <c r="J391" s="16" t="s">
        <v>1206</v>
      </c>
      <c r="K391" s="16" t="s">
        <v>1219</v>
      </c>
      <c r="L391" s="16" t="s">
        <v>23</v>
      </c>
      <c r="M391" s="16"/>
      <c r="N391" s="17" t="s">
        <v>2160</v>
      </c>
      <c r="O391" s="16" t="s">
        <v>2161</v>
      </c>
      <c r="P391" s="16" t="s">
        <v>1195</v>
      </c>
    </row>
    <row r="392" spans="1:16" ht="32">
      <c r="A392" s="16" t="s">
        <v>2162</v>
      </c>
      <c r="B392" s="16" t="s">
        <v>1189</v>
      </c>
      <c r="C392" s="16" t="s">
        <v>153</v>
      </c>
      <c r="D392" s="16" t="s">
        <v>17</v>
      </c>
      <c r="E392" s="16" t="s">
        <v>2163</v>
      </c>
      <c r="F392" s="16" t="s">
        <v>2163</v>
      </c>
      <c r="G392" s="16">
        <f t="shared" si="2"/>
        <v>12</v>
      </c>
      <c r="H392" s="17" t="s">
        <v>2164</v>
      </c>
      <c r="I392" s="16" t="s">
        <v>207</v>
      </c>
      <c r="J392" s="16" t="s">
        <v>1206</v>
      </c>
      <c r="K392" s="16" t="s">
        <v>1219</v>
      </c>
      <c r="L392" s="16" t="s">
        <v>23</v>
      </c>
      <c r="M392" s="16"/>
      <c r="N392" s="17" t="s">
        <v>2165</v>
      </c>
      <c r="O392" s="16" t="s">
        <v>2166</v>
      </c>
      <c r="P392" s="16" t="s">
        <v>1195</v>
      </c>
    </row>
    <row r="393" spans="1:16" ht="32">
      <c r="A393" s="16" t="s">
        <v>2167</v>
      </c>
      <c r="B393" s="16" t="s">
        <v>1189</v>
      </c>
      <c r="C393" s="16" t="s">
        <v>39</v>
      </c>
      <c r="D393" s="16" t="s">
        <v>17</v>
      </c>
      <c r="E393" s="16" t="s">
        <v>2168</v>
      </c>
      <c r="F393" s="16" t="s">
        <v>2168</v>
      </c>
      <c r="G393" s="16">
        <f t="shared" si="2"/>
        <v>12</v>
      </c>
      <c r="H393" s="17" t="s">
        <v>2169</v>
      </c>
      <c r="I393" s="16" t="s">
        <v>207</v>
      </c>
      <c r="J393" s="16" t="s">
        <v>1206</v>
      </c>
      <c r="K393" s="16" t="s">
        <v>22</v>
      </c>
      <c r="L393" s="16" t="s">
        <v>23</v>
      </c>
      <c r="M393" s="16"/>
      <c r="N393" s="17" t="s">
        <v>2170</v>
      </c>
      <c r="O393" s="16" t="s">
        <v>2171</v>
      </c>
      <c r="P393" s="16" t="s">
        <v>1195</v>
      </c>
    </row>
    <row r="394" spans="1:16" ht="32">
      <c r="A394" s="16" t="s">
        <v>2172</v>
      </c>
      <c r="B394" s="16" t="s">
        <v>1189</v>
      </c>
      <c r="C394" s="16" t="s">
        <v>39</v>
      </c>
      <c r="D394" s="16" t="s">
        <v>17</v>
      </c>
      <c r="E394" s="16" t="s">
        <v>2173</v>
      </c>
      <c r="F394" s="16" t="s">
        <v>2173</v>
      </c>
      <c r="G394" s="16">
        <f t="shared" si="2"/>
        <v>12</v>
      </c>
      <c r="H394" s="17" t="s">
        <v>2174</v>
      </c>
      <c r="I394" s="16" t="s">
        <v>207</v>
      </c>
      <c r="J394" s="16" t="s">
        <v>1206</v>
      </c>
      <c r="K394" s="16" t="s">
        <v>22</v>
      </c>
      <c r="L394" s="16" t="s">
        <v>23</v>
      </c>
      <c r="M394" s="16"/>
      <c r="N394" s="17" t="s">
        <v>2175</v>
      </c>
      <c r="O394" s="16" t="s">
        <v>2176</v>
      </c>
      <c r="P394" s="16" t="s">
        <v>1195</v>
      </c>
    </row>
    <row r="395" spans="1:16" ht="32">
      <c r="A395" s="16" t="s">
        <v>2177</v>
      </c>
      <c r="B395" s="16" t="s">
        <v>1189</v>
      </c>
      <c r="C395" s="16" t="s">
        <v>39</v>
      </c>
      <c r="D395" s="16" t="s">
        <v>17</v>
      </c>
      <c r="E395" s="16" t="s">
        <v>2178</v>
      </c>
      <c r="F395" s="16" t="s">
        <v>2178</v>
      </c>
      <c r="G395" s="16">
        <f t="shared" si="2"/>
        <v>11</v>
      </c>
      <c r="H395" s="17" t="s">
        <v>2179</v>
      </c>
      <c r="I395" s="16" t="s">
        <v>207</v>
      </c>
      <c r="J395" s="16" t="s">
        <v>1206</v>
      </c>
      <c r="K395" s="16" t="s">
        <v>22</v>
      </c>
      <c r="L395" s="16" t="s">
        <v>23</v>
      </c>
      <c r="M395" s="16"/>
      <c r="N395" s="17" t="s">
        <v>2180</v>
      </c>
      <c r="O395" s="16" t="s">
        <v>2181</v>
      </c>
      <c r="P395" s="16" t="s">
        <v>1195</v>
      </c>
    </row>
    <row r="396" spans="1:16" ht="32">
      <c r="A396" s="16" t="s">
        <v>2182</v>
      </c>
      <c r="B396" s="16" t="s">
        <v>1189</v>
      </c>
      <c r="C396" s="16" t="s">
        <v>39</v>
      </c>
      <c r="D396" s="16" t="s">
        <v>17</v>
      </c>
      <c r="E396" s="16" t="s">
        <v>2183</v>
      </c>
      <c r="F396" s="16" t="s">
        <v>2183</v>
      </c>
      <c r="G396" s="16">
        <f t="shared" si="2"/>
        <v>11</v>
      </c>
      <c r="H396" s="17" t="s">
        <v>2184</v>
      </c>
      <c r="I396" s="16" t="s">
        <v>207</v>
      </c>
      <c r="J396" s="16" t="s">
        <v>1206</v>
      </c>
      <c r="K396" s="16" t="s">
        <v>22</v>
      </c>
      <c r="L396" s="16" t="s">
        <v>23</v>
      </c>
      <c r="M396" s="16"/>
      <c r="N396" s="17" t="s">
        <v>2185</v>
      </c>
      <c r="O396" s="16" t="s">
        <v>2186</v>
      </c>
      <c r="P396" s="16" t="s">
        <v>1195</v>
      </c>
    </row>
    <row r="397" spans="1:16" ht="32">
      <c r="A397" s="16" t="s">
        <v>2187</v>
      </c>
      <c r="B397" s="16" t="s">
        <v>1189</v>
      </c>
      <c r="C397" s="16" t="s">
        <v>39</v>
      </c>
      <c r="D397" s="16" t="s">
        <v>17</v>
      </c>
      <c r="E397" s="16" t="s">
        <v>2188</v>
      </c>
      <c r="F397" s="16" t="s">
        <v>2188</v>
      </c>
      <c r="G397" s="16">
        <f t="shared" si="2"/>
        <v>12</v>
      </c>
      <c r="H397" s="17" t="s">
        <v>2189</v>
      </c>
      <c r="I397" s="16" t="s">
        <v>207</v>
      </c>
      <c r="J397" s="16" t="s">
        <v>1206</v>
      </c>
      <c r="K397" s="16" t="s">
        <v>22</v>
      </c>
      <c r="L397" s="16" t="s">
        <v>23</v>
      </c>
      <c r="M397" s="16"/>
      <c r="N397" s="17" t="s">
        <v>2190</v>
      </c>
      <c r="O397" s="16" t="s">
        <v>2191</v>
      </c>
      <c r="P397" s="16" t="s">
        <v>1195</v>
      </c>
    </row>
    <row r="398" spans="1:16" ht="32">
      <c r="A398" s="16" t="s">
        <v>2192</v>
      </c>
      <c r="B398" s="16" t="s">
        <v>1189</v>
      </c>
      <c r="C398" s="16" t="s">
        <v>39</v>
      </c>
      <c r="D398" s="16" t="s">
        <v>17</v>
      </c>
      <c r="E398" s="16" t="s">
        <v>2193</v>
      </c>
      <c r="F398" s="16" t="s">
        <v>2194</v>
      </c>
      <c r="G398" s="16">
        <f t="shared" si="2"/>
        <v>12</v>
      </c>
      <c r="H398" s="17" t="s">
        <v>2195</v>
      </c>
      <c r="I398" s="16" t="s">
        <v>207</v>
      </c>
      <c r="J398" s="16" t="s">
        <v>1206</v>
      </c>
      <c r="K398" s="16" t="s">
        <v>22</v>
      </c>
      <c r="L398" s="16" t="s">
        <v>23</v>
      </c>
      <c r="M398" s="16"/>
      <c r="N398" s="17" t="s">
        <v>2196</v>
      </c>
      <c r="O398" s="16" t="s">
        <v>2197</v>
      </c>
      <c r="P398" s="16" t="s">
        <v>1195</v>
      </c>
    </row>
    <row r="399" spans="1:16" ht="32">
      <c r="A399" s="16" t="s">
        <v>2198</v>
      </c>
      <c r="B399" s="16" t="s">
        <v>1189</v>
      </c>
      <c r="C399" s="16" t="s">
        <v>75</v>
      </c>
      <c r="D399" s="16" t="s">
        <v>17</v>
      </c>
      <c r="E399" s="16" t="s">
        <v>2199</v>
      </c>
      <c r="F399" s="16" t="s">
        <v>2200</v>
      </c>
      <c r="G399" s="16">
        <f t="shared" si="2"/>
        <v>12</v>
      </c>
      <c r="H399" s="17" t="s">
        <v>2201</v>
      </c>
      <c r="I399" s="16" t="s">
        <v>207</v>
      </c>
      <c r="J399" s="16" t="s">
        <v>1239</v>
      </c>
      <c r="K399" s="16" t="s">
        <v>22</v>
      </c>
      <c r="L399" s="16" t="s">
        <v>23</v>
      </c>
      <c r="M399" s="16"/>
      <c r="N399" s="17" t="s">
        <v>2202</v>
      </c>
      <c r="O399" s="16" t="s">
        <v>2203</v>
      </c>
      <c r="P399" s="16" t="s">
        <v>1195</v>
      </c>
    </row>
    <row r="400" spans="1:16" ht="32">
      <c r="A400" s="16" t="s">
        <v>2204</v>
      </c>
      <c r="B400" s="16" t="s">
        <v>1189</v>
      </c>
      <c r="C400" s="16" t="s">
        <v>75</v>
      </c>
      <c r="D400" s="16" t="s">
        <v>17</v>
      </c>
      <c r="E400" s="16" t="s">
        <v>2205</v>
      </c>
      <c r="F400" s="16" t="s">
        <v>2206</v>
      </c>
      <c r="G400" s="16">
        <f t="shared" si="2"/>
        <v>12</v>
      </c>
      <c r="H400" s="17" t="s">
        <v>2207</v>
      </c>
      <c r="I400" s="16" t="s">
        <v>207</v>
      </c>
      <c r="J400" s="16" t="s">
        <v>1239</v>
      </c>
      <c r="K400" s="16" t="s">
        <v>22</v>
      </c>
      <c r="L400" s="16" t="s">
        <v>23</v>
      </c>
      <c r="M400" s="16"/>
      <c r="N400" s="17" t="s">
        <v>2208</v>
      </c>
      <c r="O400" s="16" t="s">
        <v>2209</v>
      </c>
      <c r="P400" s="16" t="s">
        <v>1195</v>
      </c>
    </row>
    <row r="401" spans="1:16" ht="32">
      <c r="A401" s="16" t="s">
        <v>2210</v>
      </c>
      <c r="B401" s="16" t="s">
        <v>1189</v>
      </c>
      <c r="C401" s="16" t="s">
        <v>16</v>
      </c>
      <c r="D401" s="16" t="s">
        <v>17</v>
      </c>
      <c r="E401" s="16" t="s">
        <v>2211</v>
      </c>
      <c r="F401" s="16" t="s">
        <v>2211</v>
      </c>
      <c r="G401" s="16">
        <f t="shared" si="2"/>
        <v>12</v>
      </c>
      <c r="H401" s="17" t="s">
        <v>2212</v>
      </c>
      <c r="I401" s="16" t="s">
        <v>207</v>
      </c>
      <c r="J401" s="16" t="s">
        <v>901</v>
      </c>
      <c r="K401" s="16" t="s">
        <v>22</v>
      </c>
      <c r="L401" s="16" t="s">
        <v>23</v>
      </c>
      <c r="M401" s="16"/>
      <c r="N401" s="17" t="s">
        <v>2213</v>
      </c>
      <c r="O401" s="16" t="s">
        <v>2214</v>
      </c>
      <c r="P401" s="16" t="s">
        <v>1195</v>
      </c>
    </row>
    <row r="402" spans="1:16" ht="32">
      <c r="A402" s="16" t="s">
        <v>2215</v>
      </c>
      <c r="B402" s="16" t="s">
        <v>1189</v>
      </c>
      <c r="C402" s="16" t="s">
        <v>173</v>
      </c>
      <c r="D402" s="16" t="s">
        <v>17</v>
      </c>
      <c r="E402" s="16" t="s">
        <v>2216</v>
      </c>
      <c r="F402" s="16" t="s">
        <v>2216</v>
      </c>
      <c r="G402" s="16">
        <f t="shared" si="2"/>
        <v>11</v>
      </c>
      <c r="H402" s="17" t="s">
        <v>2217</v>
      </c>
      <c r="I402" s="16" t="s">
        <v>207</v>
      </c>
      <c r="J402" s="16" t="s">
        <v>1291</v>
      </c>
      <c r="K402" s="16" t="s">
        <v>22</v>
      </c>
      <c r="L402" s="16" t="s">
        <v>23</v>
      </c>
      <c r="M402" s="16"/>
      <c r="N402" s="17" t="s">
        <v>2218</v>
      </c>
      <c r="O402" s="16" t="s">
        <v>2219</v>
      </c>
      <c r="P402" s="16" t="s">
        <v>1195</v>
      </c>
    </row>
    <row r="403" spans="1:16" ht="32">
      <c r="A403" s="16" t="s">
        <v>2220</v>
      </c>
      <c r="B403" s="16" t="s">
        <v>1189</v>
      </c>
      <c r="C403" s="16" t="s">
        <v>173</v>
      </c>
      <c r="D403" s="16" t="s">
        <v>17</v>
      </c>
      <c r="E403" s="16" t="s">
        <v>2221</v>
      </c>
      <c r="F403" s="16" t="s">
        <v>2221</v>
      </c>
      <c r="G403" s="16">
        <f t="shared" si="2"/>
        <v>12</v>
      </c>
      <c r="H403" s="17" t="s">
        <v>2222</v>
      </c>
      <c r="I403" s="16" t="s">
        <v>207</v>
      </c>
      <c r="J403" s="16" t="s">
        <v>1291</v>
      </c>
      <c r="K403" s="16" t="s">
        <v>22</v>
      </c>
      <c r="L403" s="16" t="s">
        <v>23</v>
      </c>
      <c r="M403" s="16"/>
      <c r="N403" s="17" t="s">
        <v>2223</v>
      </c>
      <c r="O403" s="16" t="s">
        <v>2224</v>
      </c>
      <c r="P403" s="16" t="s">
        <v>1195</v>
      </c>
    </row>
    <row r="404" spans="1:16" ht="32">
      <c r="A404" s="16" t="s">
        <v>2225</v>
      </c>
      <c r="B404" s="16" t="s">
        <v>1189</v>
      </c>
      <c r="C404" s="16" t="s">
        <v>173</v>
      </c>
      <c r="D404" s="16" t="s">
        <v>17</v>
      </c>
      <c r="E404" s="16" t="s">
        <v>2226</v>
      </c>
      <c r="F404" s="16" t="s">
        <v>2226</v>
      </c>
      <c r="G404" s="16">
        <f t="shared" si="2"/>
        <v>12</v>
      </c>
      <c r="H404" s="17" t="s">
        <v>2227</v>
      </c>
      <c r="I404" s="16" t="s">
        <v>207</v>
      </c>
      <c r="J404" s="16" t="s">
        <v>1291</v>
      </c>
      <c r="K404" s="16" t="s">
        <v>22</v>
      </c>
      <c r="L404" s="16" t="s">
        <v>23</v>
      </c>
      <c r="M404" s="16"/>
      <c r="N404" s="17" t="s">
        <v>2228</v>
      </c>
      <c r="O404" s="16" t="s">
        <v>2229</v>
      </c>
      <c r="P404" s="16" t="s">
        <v>1195</v>
      </c>
    </row>
    <row r="405" spans="1:16" ht="32">
      <c r="A405" s="16" t="s">
        <v>2230</v>
      </c>
      <c r="B405" s="16" t="s">
        <v>1189</v>
      </c>
      <c r="C405" s="16" t="s">
        <v>173</v>
      </c>
      <c r="D405" s="16" t="s">
        <v>17</v>
      </c>
      <c r="E405" s="16" t="s">
        <v>2231</v>
      </c>
      <c r="F405" s="16" t="s">
        <v>2231</v>
      </c>
      <c r="G405" s="16">
        <f t="shared" si="2"/>
        <v>12</v>
      </c>
      <c r="H405" s="17" t="s">
        <v>2232</v>
      </c>
      <c r="I405" s="16" t="s">
        <v>207</v>
      </c>
      <c r="J405" s="16" t="s">
        <v>1291</v>
      </c>
      <c r="K405" s="16" t="s">
        <v>22</v>
      </c>
      <c r="L405" s="16" t="s">
        <v>23</v>
      </c>
      <c r="M405" s="16"/>
      <c r="N405" s="17" t="s">
        <v>2233</v>
      </c>
      <c r="O405" s="16" t="s">
        <v>2234</v>
      </c>
      <c r="P405" s="16" t="s">
        <v>1195</v>
      </c>
    </row>
    <row r="406" spans="1:16" ht="32">
      <c r="A406" s="16" t="s">
        <v>2235</v>
      </c>
      <c r="B406" s="16" t="s">
        <v>1189</v>
      </c>
      <c r="C406" s="16" t="s">
        <v>173</v>
      </c>
      <c r="D406" s="16" t="s">
        <v>17</v>
      </c>
      <c r="E406" s="16" t="s">
        <v>2236</v>
      </c>
      <c r="F406" s="16" t="s">
        <v>2236</v>
      </c>
      <c r="G406" s="16">
        <f t="shared" si="2"/>
        <v>12</v>
      </c>
      <c r="H406" s="17" t="s">
        <v>2237</v>
      </c>
      <c r="I406" s="16" t="s">
        <v>207</v>
      </c>
      <c r="J406" s="16" t="s">
        <v>1291</v>
      </c>
      <c r="K406" s="16" t="s">
        <v>22</v>
      </c>
      <c r="L406" s="16" t="s">
        <v>23</v>
      </c>
      <c r="M406" s="16"/>
      <c r="N406" s="17" t="s">
        <v>2238</v>
      </c>
      <c r="O406" s="16" t="s">
        <v>2239</v>
      </c>
      <c r="P406" s="16" t="s">
        <v>1195</v>
      </c>
    </row>
    <row r="407" spans="1:16" ht="32">
      <c r="A407" s="16" t="s">
        <v>2240</v>
      </c>
      <c r="B407" s="16" t="s">
        <v>1189</v>
      </c>
      <c r="C407" s="16" t="s">
        <v>153</v>
      </c>
      <c r="D407" s="16" t="s">
        <v>17</v>
      </c>
      <c r="E407" s="16" t="s">
        <v>2241</v>
      </c>
      <c r="F407" s="16" t="s">
        <v>2241</v>
      </c>
      <c r="G407" s="16">
        <f t="shared" si="2"/>
        <v>12</v>
      </c>
      <c r="H407" s="17" t="s">
        <v>2242</v>
      </c>
      <c r="I407" s="16" t="s">
        <v>207</v>
      </c>
      <c r="J407" s="16" t="s">
        <v>1206</v>
      </c>
      <c r="K407" s="16" t="s">
        <v>1219</v>
      </c>
      <c r="L407" s="16" t="s">
        <v>23</v>
      </c>
      <c r="M407" s="16"/>
      <c r="N407" s="17" t="s">
        <v>2243</v>
      </c>
      <c r="O407" s="16" t="s">
        <v>2244</v>
      </c>
      <c r="P407" s="16" t="s">
        <v>1195</v>
      </c>
    </row>
    <row r="408" spans="1:16" ht="32">
      <c r="A408" s="16" t="s">
        <v>2245</v>
      </c>
      <c r="B408" s="16" t="s">
        <v>1189</v>
      </c>
      <c r="C408" s="16" t="s">
        <v>153</v>
      </c>
      <c r="D408" s="16" t="s">
        <v>17</v>
      </c>
      <c r="E408" s="16" t="s">
        <v>2246</v>
      </c>
      <c r="F408" s="16" t="s">
        <v>2246</v>
      </c>
      <c r="G408" s="16">
        <f t="shared" si="2"/>
        <v>11</v>
      </c>
      <c r="H408" s="17" t="s">
        <v>2247</v>
      </c>
      <c r="I408" s="16" t="s">
        <v>207</v>
      </c>
      <c r="J408" s="16" t="s">
        <v>1206</v>
      </c>
      <c r="K408" s="16" t="s">
        <v>1219</v>
      </c>
      <c r="L408" s="16" t="s">
        <v>23</v>
      </c>
      <c r="M408" s="16"/>
      <c r="N408" s="17" t="s">
        <v>2248</v>
      </c>
      <c r="O408" s="16" t="s">
        <v>2249</v>
      </c>
      <c r="P408" s="16" t="s">
        <v>1195</v>
      </c>
    </row>
    <row r="409" spans="1:16" ht="32">
      <c r="A409" s="16" t="s">
        <v>2250</v>
      </c>
      <c r="B409" s="16" t="s">
        <v>1189</v>
      </c>
      <c r="C409" s="16" t="s">
        <v>153</v>
      </c>
      <c r="D409" s="16" t="s">
        <v>17</v>
      </c>
      <c r="E409" s="16" t="s">
        <v>2251</v>
      </c>
      <c r="F409" s="16" t="s">
        <v>2251</v>
      </c>
      <c r="G409" s="16">
        <f t="shared" si="2"/>
        <v>11</v>
      </c>
      <c r="H409" s="17" t="s">
        <v>2252</v>
      </c>
      <c r="I409" s="16" t="s">
        <v>207</v>
      </c>
      <c r="J409" s="16" t="s">
        <v>1206</v>
      </c>
      <c r="K409" s="16" t="s">
        <v>1219</v>
      </c>
      <c r="L409" s="16" t="s">
        <v>23</v>
      </c>
      <c r="M409" s="16"/>
      <c r="N409" s="17" t="s">
        <v>2253</v>
      </c>
      <c r="O409" s="16" t="s">
        <v>2254</v>
      </c>
      <c r="P409" s="16" t="s">
        <v>1195</v>
      </c>
    </row>
    <row r="410" spans="1:16" ht="32">
      <c r="A410" s="16" t="s">
        <v>2255</v>
      </c>
      <c r="B410" s="16" t="s">
        <v>1189</v>
      </c>
      <c r="C410" s="16" t="s">
        <v>39</v>
      </c>
      <c r="D410" s="16" t="s">
        <v>17</v>
      </c>
      <c r="E410" s="16" t="s">
        <v>2256</v>
      </c>
      <c r="F410" s="16" t="s">
        <v>2256</v>
      </c>
      <c r="G410" s="16">
        <f t="shared" si="2"/>
        <v>12</v>
      </c>
      <c r="H410" s="17" t="s">
        <v>2257</v>
      </c>
      <c r="I410" s="16" t="s">
        <v>207</v>
      </c>
      <c r="J410" s="16" t="s">
        <v>1206</v>
      </c>
      <c r="K410" s="16" t="s">
        <v>22</v>
      </c>
      <c r="L410" s="16" t="s">
        <v>23</v>
      </c>
      <c r="M410" s="16"/>
      <c r="N410" s="17" t="s">
        <v>2258</v>
      </c>
      <c r="O410" s="16" t="s">
        <v>2259</v>
      </c>
      <c r="P410" s="16" t="s">
        <v>1195</v>
      </c>
    </row>
    <row r="411" spans="1:16" ht="32">
      <c r="A411" s="16" t="s">
        <v>2260</v>
      </c>
      <c r="B411" s="16" t="s">
        <v>1189</v>
      </c>
      <c r="C411" s="16" t="s">
        <v>39</v>
      </c>
      <c r="D411" s="16" t="s">
        <v>17</v>
      </c>
      <c r="E411" s="16" t="s">
        <v>2261</v>
      </c>
      <c r="F411" s="16" t="s">
        <v>2261</v>
      </c>
      <c r="G411" s="16">
        <f t="shared" si="2"/>
        <v>11</v>
      </c>
      <c r="H411" s="17" t="s">
        <v>2262</v>
      </c>
      <c r="I411" s="16" t="s">
        <v>207</v>
      </c>
      <c r="J411" s="16" t="s">
        <v>1206</v>
      </c>
      <c r="K411" s="16" t="s">
        <v>22</v>
      </c>
      <c r="L411" s="16" t="s">
        <v>23</v>
      </c>
      <c r="M411" s="16"/>
      <c r="N411" s="17" t="s">
        <v>2263</v>
      </c>
      <c r="O411" s="16" t="s">
        <v>2264</v>
      </c>
      <c r="P411" s="16" t="s">
        <v>1195</v>
      </c>
    </row>
    <row r="412" spans="1:16" ht="32">
      <c r="A412" s="16" t="s">
        <v>2265</v>
      </c>
      <c r="B412" s="16" t="s">
        <v>1189</v>
      </c>
      <c r="C412" s="16" t="s">
        <v>39</v>
      </c>
      <c r="D412" s="16" t="s">
        <v>17</v>
      </c>
      <c r="E412" s="16" t="s">
        <v>2266</v>
      </c>
      <c r="F412" s="16" t="s">
        <v>2266</v>
      </c>
      <c r="G412" s="16">
        <f t="shared" si="2"/>
        <v>11</v>
      </c>
      <c r="H412" s="17" t="s">
        <v>2267</v>
      </c>
      <c r="I412" s="16" t="s">
        <v>207</v>
      </c>
      <c r="J412" s="16" t="s">
        <v>1206</v>
      </c>
      <c r="K412" s="16" t="s">
        <v>22</v>
      </c>
      <c r="L412" s="16" t="s">
        <v>23</v>
      </c>
      <c r="M412" s="16"/>
      <c r="N412" s="17" t="s">
        <v>2268</v>
      </c>
      <c r="O412" s="16" t="s">
        <v>2269</v>
      </c>
      <c r="P412" s="16" t="s">
        <v>1195</v>
      </c>
    </row>
    <row r="413" spans="1:16" ht="32">
      <c r="A413" s="16" t="s">
        <v>2270</v>
      </c>
      <c r="B413" s="16" t="s">
        <v>1189</v>
      </c>
      <c r="C413" s="16" t="s">
        <v>39</v>
      </c>
      <c r="D413" s="16" t="s">
        <v>17</v>
      </c>
      <c r="E413" s="16" t="s">
        <v>2271</v>
      </c>
      <c r="F413" s="16" t="s">
        <v>2272</v>
      </c>
      <c r="G413" s="16">
        <f t="shared" si="2"/>
        <v>11</v>
      </c>
      <c r="H413" s="17" t="s">
        <v>2273</v>
      </c>
      <c r="I413" s="16" t="s">
        <v>207</v>
      </c>
      <c r="J413" s="16" t="s">
        <v>1206</v>
      </c>
      <c r="K413" s="16" t="s">
        <v>1240</v>
      </c>
      <c r="L413" s="16" t="s">
        <v>23</v>
      </c>
      <c r="M413" s="16"/>
      <c r="N413" s="17" t="s">
        <v>2274</v>
      </c>
      <c r="O413" s="16" t="s">
        <v>2275</v>
      </c>
      <c r="P413" s="16" t="s">
        <v>1195</v>
      </c>
    </row>
    <row r="414" spans="1:16" ht="32">
      <c r="A414" s="16" t="s">
        <v>2276</v>
      </c>
      <c r="B414" s="16" t="s">
        <v>1189</v>
      </c>
      <c r="C414" s="16" t="s">
        <v>39</v>
      </c>
      <c r="D414" s="16" t="s">
        <v>17</v>
      </c>
      <c r="E414" s="16" t="s">
        <v>2277</v>
      </c>
      <c r="F414" s="16" t="s">
        <v>2277</v>
      </c>
      <c r="G414" s="16">
        <f t="shared" si="2"/>
        <v>12</v>
      </c>
      <c r="H414" s="17" t="s">
        <v>2278</v>
      </c>
      <c r="I414" s="16" t="s">
        <v>207</v>
      </c>
      <c r="J414" s="16" t="s">
        <v>1206</v>
      </c>
      <c r="K414" s="16" t="s">
        <v>22</v>
      </c>
      <c r="L414" s="16" t="s">
        <v>23</v>
      </c>
      <c r="M414" s="16"/>
      <c r="N414" s="17" t="s">
        <v>2279</v>
      </c>
      <c r="O414" s="16" t="s">
        <v>2280</v>
      </c>
      <c r="P414" s="16" t="s">
        <v>1195</v>
      </c>
    </row>
    <row r="415" spans="1:16" ht="32">
      <c r="A415" s="16" t="s">
        <v>2281</v>
      </c>
      <c r="B415" s="16" t="s">
        <v>1189</v>
      </c>
      <c r="C415" s="16" t="s">
        <v>39</v>
      </c>
      <c r="D415" s="16" t="s">
        <v>17</v>
      </c>
      <c r="E415" s="16" t="s">
        <v>2282</v>
      </c>
      <c r="F415" s="16" t="s">
        <v>2282</v>
      </c>
      <c r="G415" s="16">
        <f t="shared" si="2"/>
        <v>12</v>
      </c>
      <c r="H415" s="17" t="s">
        <v>2283</v>
      </c>
      <c r="I415" s="16" t="s">
        <v>207</v>
      </c>
      <c r="J415" s="16" t="s">
        <v>1206</v>
      </c>
      <c r="K415" s="16" t="s">
        <v>22</v>
      </c>
      <c r="L415" s="16" t="s">
        <v>23</v>
      </c>
      <c r="M415" s="16"/>
      <c r="N415" s="17" t="s">
        <v>2284</v>
      </c>
      <c r="O415" s="16" t="s">
        <v>2285</v>
      </c>
      <c r="P415" s="16" t="s">
        <v>1195</v>
      </c>
    </row>
    <row r="416" spans="1:16" ht="32">
      <c r="A416" s="16" t="s">
        <v>2286</v>
      </c>
      <c r="B416" s="16" t="s">
        <v>1189</v>
      </c>
      <c r="C416" s="16" t="s">
        <v>39</v>
      </c>
      <c r="D416" s="16" t="s">
        <v>17</v>
      </c>
      <c r="E416" s="16" t="s">
        <v>2287</v>
      </c>
      <c r="F416" s="16" t="s">
        <v>2287</v>
      </c>
      <c r="G416" s="16">
        <f t="shared" si="2"/>
        <v>12</v>
      </c>
      <c r="H416" s="17" t="s">
        <v>2288</v>
      </c>
      <c r="I416" s="16" t="s">
        <v>207</v>
      </c>
      <c r="J416" s="16" t="s">
        <v>1206</v>
      </c>
      <c r="K416" s="16" t="s">
        <v>22</v>
      </c>
      <c r="L416" s="16" t="s">
        <v>23</v>
      </c>
      <c r="M416" s="16"/>
      <c r="N416" s="17" t="s">
        <v>2289</v>
      </c>
      <c r="O416" s="16" t="s">
        <v>2290</v>
      </c>
      <c r="P416" s="16" t="s">
        <v>1195</v>
      </c>
    </row>
    <row r="417" spans="1:16" ht="32">
      <c r="A417" s="16" t="s">
        <v>2291</v>
      </c>
      <c r="B417" s="16" t="s">
        <v>1189</v>
      </c>
      <c r="C417" s="16" t="s">
        <v>39</v>
      </c>
      <c r="D417" s="16" t="s">
        <v>17</v>
      </c>
      <c r="E417" s="16" t="s">
        <v>2292</v>
      </c>
      <c r="F417" s="16" t="s">
        <v>2292</v>
      </c>
      <c r="G417" s="16">
        <f t="shared" si="2"/>
        <v>12</v>
      </c>
      <c r="H417" s="17" t="s">
        <v>2293</v>
      </c>
      <c r="I417" s="16" t="s">
        <v>207</v>
      </c>
      <c r="J417" s="16" t="s">
        <v>1206</v>
      </c>
      <c r="K417" s="16" t="s">
        <v>22</v>
      </c>
      <c r="L417" s="16" t="s">
        <v>23</v>
      </c>
      <c r="M417" s="16"/>
      <c r="N417" s="17" t="s">
        <v>2294</v>
      </c>
      <c r="O417" s="16" t="s">
        <v>2295</v>
      </c>
      <c r="P417" s="16" t="s">
        <v>1195</v>
      </c>
    </row>
    <row r="418" spans="1:16" ht="32">
      <c r="A418" s="16" t="s">
        <v>2296</v>
      </c>
      <c r="B418" s="16" t="s">
        <v>1189</v>
      </c>
      <c r="C418" s="16" t="s">
        <v>39</v>
      </c>
      <c r="D418" s="16" t="s">
        <v>17</v>
      </c>
      <c r="E418" s="16" t="s">
        <v>2297</v>
      </c>
      <c r="F418" s="16" t="s">
        <v>2297</v>
      </c>
      <c r="G418" s="16">
        <f t="shared" ref="G418:G452" si="3">LEN(F418)</f>
        <v>12</v>
      </c>
      <c r="H418" s="17" t="s">
        <v>2298</v>
      </c>
      <c r="I418" s="16" t="s">
        <v>207</v>
      </c>
      <c r="J418" s="16" t="s">
        <v>1206</v>
      </c>
      <c r="K418" s="16" t="s">
        <v>22</v>
      </c>
      <c r="L418" s="16" t="s">
        <v>23</v>
      </c>
      <c r="M418" s="16"/>
      <c r="N418" s="17" t="s">
        <v>2299</v>
      </c>
      <c r="O418" s="16" t="s">
        <v>2300</v>
      </c>
      <c r="P418" s="16" t="s">
        <v>1195</v>
      </c>
    </row>
    <row r="419" spans="1:16" ht="32">
      <c r="A419" s="16" t="s">
        <v>2301</v>
      </c>
      <c r="B419" s="16" t="s">
        <v>1189</v>
      </c>
      <c r="C419" s="16" t="s">
        <v>75</v>
      </c>
      <c r="D419" s="16" t="s">
        <v>17</v>
      </c>
      <c r="E419" s="16" t="s">
        <v>2302</v>
      </c>
      <c r="F419" s="16" t="s">
        <v>2303</v>
      </c>
      <c r="G419" s="16">
        <f t="shared" si="3"/>
        <v>12</v>
      </c>
      <c r="H419" s="17" t="s">
        <v>2304</v>
      </c>
      <c r="I419" s="16" t="s">
        <v>207</v>
      </c>
      <c r="J419" s="16" t="s">
        <v>1239</v>
      </c>
      <c r="K419" s="16" t="s">
        <v>22</v>
      </c>
      <c r="L419" s="16" t="s">
        <v>23</v>
      </c>
      <c r="M419" s="16"/>
      <c r="N419" s="17" t="s">
        <v>2305</v>
      </c>
      <c r="O419" s="16" t="s">
        <v>2306</v>
      </c>
      <c r="P419" s="16" t="s">
        <v>1195</v>
      </c>
    </row>
    <row r="420" spans="1:16" ht="32">
      <c r="A420" s="16" t="s">
        <v>2307</v>
      </c>
      <c r="B420" s="16" t="s">
        <v>1189</v>
      </c>
      <c r="C420" s="16" t="s">
        <v>75</v>
      </c>
      <c r="D420" s="16" t="s">
        <v>17</v>
      </c>
      <c r="E420" s="16" t="s">
        <v>2308</v>
      </c>
      <c r="F420" s="16" t="s">
        <v>2309</v>
      </c>
      <c r="G420" s="16">
        <f t="shared" si="3"/>
        <v>11</v>
      </c>
      <c r="H420" s="17" t="s">
        <v>2310</v>
      </c>
      <c r="I420" s="16" t="s">
        <v>207</v>
      </c>
      <c r="J420" s="16" t="s">
        <v>1239</v>
      </c>
      <c r="K420" s="16" t="s">
        <v>22</v>
      </c>
      <c r="L420" s="16" t="s">
        <v>23</v>
      </c>
      <c r="M420" s="16"/>
      <c r="N420" s="17" t="s">
        <v>2311</v>
      </c>
      <c r="O420" s="16" t="s">
        <v>2312</v>
      </c>
      <c r="P420" s="16" t="s">
        <v>1195</v>
      </c>
    </row>
    <row r="421" spans="1:16" ht="32">
      <c r="A421" s="16" t="s">
        <v>2313</v>
      </c>
      <c r="B421" s="16" t="s">
        <v>1189</v>
      </c>
      <c r="C421" s="16" t="s">
        <v>75</v>
      </c>
      <c r="D421" s="16" t="s">
        <v>17</v>
      </c>
      <c r="E421" s="16" t="s">
        <v>2314</v>
      </c>
      <c r="F421" s="16" t="s">
        <v>2315</v>
      </c>
      <c r="G421" s="16">
        <f t="shared" si="3"/>
        <v>12</v>
      </c>
      <c r="H421" s="17" t="s">
        <v>2316</v>
      </c>
      <c r="I421" s="16" t="s">
        <v>207</v>
      </c>
      <c r="J421" s="16" t="s">
        <v>1239</v>
      </c>
      <c r="K421" s="16" t="s">
        <v>22</v>
      </c>
      <c r="L421" s="16" t="s">
        <v>23</v>
      </c>
      <c r="M421" s="16"/>
      <c r="N421" s="17" t="s">
        <v>2317</v>
      </c>
      <c r="O421" s="16" t="s">
        <v>2318</v>
      </c>
      <c r="P421" s="16" t="s">
        <v>1195</v>
      </c>
    </row>
    <row r="422" spans="1:16" ht="32">
      <c r="A422" s="16" t="s">
        <v>2319</v>
      </c>
      <c r="B422" s="16" t="s">
        <v>1189</v>
      </c>
      <c r="C422" s="16" t="s">
        <v>16</v>
      </c>
      <c r="D422" s="16" t="s">
        <v>17</v>
      </c>
      <c r="E422" s="16" t="s">
        <v>2320</v>
      </c>
      <c r="F422" s="16" t="s">
        <v>2320</v>
      </c>
      <c r="G422" s="16">
        <f t="shared" si="3"/>
        <v>12</v>
      </c>
      <c r="H422" s="17" t="s">
        <v>2321</v>
      </c>
      <c r="I422" s="16" t="s">
        <v>207</v>
      </c>
      <c r="J422" s="16" t="s">
        <v>901</v>
      </c>
      <c r="K422" s="16" t="s">
        <v>22</v>
      </c>
      <c r="L422" s="16" t="s">
        <v>23</v>
      </c>
      <c r="M422" s="16"/>
      <c r="N422" s="17" t="s">
        <v>2322</v>
      </c>
      <c r="O422" s="16" t="s">
        <v>2323</v>
      </c>
      <c r="P422" s="16" t="s">
        <v>1195</v>
      </c>
    </row>
    <row r="423" spans="1:16" ht="32">
      <c r="A423" s="16" t="s">
        <v>2324</v>
      </c>
      <c r="B423" s="16" t="s">
        <v>1189</v>
      </c>
      <c r="C423" s="16" t="s">
        <v>16</v>
      </c>
      <c r="D423" s="16" t="s">
        <v>17</v>
      </c>
      <c r="E423" s="16" t="s">
        <v>2325</v>
      </c>
      <c r="F423" s="16" t="s">
        <v>2326</v>
      </c>
      <c r="G423" s="16">
        <f t="shared" si="3"/>
        <v>12</v>
      </c>
      <c r="H423" s="17" t="s">
        <v>2327</v>
      </c>
      <c r="I423" s="16" t="s">
        <v>20</v>
      </c>
      <c r="J423" s="16" t="s">
        <v>2009</v>
      </c>
      <c r="K423" s="16" t="s">
        <v>22</v>
      </c>
      <c r="L423" s="16" t="s">
        <v>23</v>
      </c>
      <c r="M423" s="16"/>
      <c r="N423" s="17" t="s">
        <v>2328</v>
      </c>
      <c r="O423" s="16" t="s">
        <v>2329</v>
      </c>
      <c r="P423" s="16" t="s">
        <v>1195</v>
      </c>
    </row>
    <row r="424" spans="1:16" ht="32">
      <c r="A424" s="16" t="s">
        <v>2330</v>
      </c>
      <c r="B424" s="16" t="s">
        <v>1189</v>
      </c>
      <c r="C424" s="16" t="s">
        <v>16</v>
      </c>
      <c r="D424" s="16" t="s">
        <v>17</v>
      </c>
      <c r="E424" s="16" t="s">
        <v>2331</v>
      </c>
      <c r="F424" s="16" t="s">
        <v>2332</v>
      </c>
      <c r="G424" s="16">
        <f t="shared" si="3"/>
        <v>12</v>
      </c>
      <c r="H424" s="17" t="s">
        <v>2333</v>
      </c>
      <c r="I424" s="16" t="s">
        <v>20</v>
      </c>
      <c r="J424" s="16" t="s">
        <v>2009</v>
      </c>
      <c r="K424" s="16" t="s">
        <v>22</v>
      </c>
      <c r="L424" s="16" t="s">
        <v>23</v>
      </c>
      <c r="M424" s="16"/>
      <c r="N424" s="17" t="s">
        <v>2334</v>
      </c>
      <c r="O424" s="16" t="s">
        <v>2335</v>
      </c>
      <c r="P424" s="16" t="s">
        <v>1195</v>
      </c>
    </row>
    <row r="425" spans="1:16" ht="32">
      <c r="A425" s="16" t="s">
        <v>2336</v>
      </c>
      <c r="B425" s="16" t="s">
        <v>1189</v>
      </c>
      <c r="C425" s="16" t="s">
        <v>16</v>
      </c>
      <c r="D425" s="16" t="s">
        <v>17</v>
      </c>
      <c r="E425" s="16" t="s">
        <v>2337</v>
      </c>
      <c r="F425" s="16" t="s">
        <v>2338</v>
      </c>
      <c r="G425" s="16">
        <f t="shared" si="3"/>
        <v>12</v>
      </c>
      <c r="H425" s="17" t="s">
        <v>2339</v>
      </c>
      <c r="I425" s="16" t="s">
        <v>20</v>
      </c>
      <c r="J425" s="16" t="s">
        <v>2009</v>
      </c>
      <c r="K425" s="16" t="s">
        <v>22</v>
      </c>
      <c r="L425" s="16" t="s">
        <v>23</v>
      </c>
      <c r="M425" s="16"/>
      <c r="N425" s="17" t="s">
        <v>2340</v>
      </c>
      <c r="O425" s="16" t="s">
        <v>2341</v>
      </c>
      <c r="P425" s="16" t="s">
        <v>1195</v>
      </c>
    </row>
    <row r="426" spans="1:16" ht="32">
      <c r="A426" s="16" t="s">
        <v>2342</v>
      </c>
      <c r="B426" s="16" t="s">
        <v>1189</v>
      </c>
      <c r="C426" s="16" t="s">
        <v>16</v>
      </c>
      <c r="D426" s="16" t="s">
        <v>17</v>
      </c>
      <c r="E426" s="16" t="s">
        <v>2343</v>
      </c>
      <c r="F426" s="16" t="s">
        <v>2344</v>
      </c>
      <c r="G426" s="16">
        <f t="shared" si="3"/>
        <v>12</v>
      </c>
      <c r="H426" s="17" t="s">
        <v>2345</v>
      </c>
      <c r="I426" s="16" t="s">
        <v>20</v>
      </c>
      <c r="J426" s="16" t="s">
        <v>2009</v>
      </c>
      <c r="K426" s="16" t="s">
        <v>22</v>
      </c>
      <c r="L426" s="16" t="s">
        <v>23</v>
      </c>
      <c r="M426" s="16"/>
      <c r="N426" s="17" t="s">
        <v>2346</v>
      </c>
      <c r="O426" s="16" t="s">
        <v>2347</v>
      </c>
      <c r="P426" s="16" t="s">
        <v>1195</v>
      </c>
    </row>
    <row r="427" spans="1:16" ht="32">
      <c r="A427" s="16" t="s">
        <v>2348</v>
      </c>
      <c r="B427" s="16" t="s">
        <v>1189</v>
      </c>
      <c r="C427" s="16" t="s">
        <v>39</v>
      </c>
      <c r="D427" s="16" t="s">
        <v>17</v>
      </c>
      <c r="E427" s="16" t="s">
        <v>2349</v>
      </c>
      <c r="F427" s="16" t="s">
        <v>2350</v>
      </c>
      <c r="G427" s="16">
        <f t="shared" si="3"/>
        <v>11</v>
      </c>
      <c r="H427" s="17" t="s">
        <v>2351</v>
      </c>
      <c r="I427" s="16" t="s">
        <v>20</v>
      </c>
      <c r="J427" s="16" t="s">
        <v>1206</v>
      </c>
      <c r="K427" s="16" t="s">
        <v>22</v>
      </c>
      <c r="L427" s="16" t="s">
        <v>23</v>
      </c>
      <c r="M427" s="16"/>
      <c r="N427" s="17" t="s">
        <v>2352</v>
      </c>
      <c r="O427" s="16" t="s">
        <v>2353</v>
      </c>
      <c r="P427" s="16" t="s">
        <v>1195</v>
      </c>
    </row>
    <row r="428" spans="1:16" ht="32">
      <c r="A428" s="16" t="s">
        <v>2354</v>
      </c>
      <c r="B428" s="16" t="s">
        <v>1189</v>
      </c>
      <c r="C428" s="16" t="s">
        <v>39</v>
      </c>
      <c r="D428" s="16" t="s">
        <v>17</v>
      </c>
      <c r="E428" s="16" t="s">
        <v>2355</v>
      </c>
      <c r="F428" s="16" t="s">
        <v>2356</v>
      </c>
      <c r="G428" s="16">
        <f t="shared" si="3"/>
        <v>12</v>
      </c>
      <c r="H428" s="17" t="s">
        <v>2357</v>
      </c>
      <c r="I428" s="16" t="s">
        <v>20</v>
      </c>
      <c r="J428" s="16" t="s">
        <v>1206</v>
      </c>
      <c r="K428" s="16" t="s">
        <v>1240</v>
      </c>
      <c r="L428" s="16" t="s">
        <v>23</v>
      </c>
      <c r="M428" s="16"/>
      <c r="N428" s="17" t="s">
        <v>2358</v>
      </c>
      <c r="O428" s="16" t="s">
        <v>2359</v>
      </c>
      <c r="P428" s="16" t="s">
        <v>1195</v>
      </c>
    </row>
    <row r="429" spans="1:16" ht="32">
      <c r="A429" s="16" t="s">
        <v>2360</v>
      </c>
      <c r="B429" s="16" t="s">
        <v>1189</v>
      </c>
      <c r="C429" s="16" t="s">
        <v>39</v>
      </c>
      <c r="D429" s="16" t="s">
        <v>17</v>
      </c>
      <c r="E429" s="16" t="s">
        <v>2361</v>
      </c>
      <c r="F429" s="16" t="s">
        <v>2361</v>
      </c>
      <c r="G429" s="16">
        <f t="shared" si="3"/>
        <v>12</v>
      </c>
      <c r="H429" s="17" t="s">
        <v>2362</v>
      </c>
      <c r="I429" s="16" t="s">
        <v>20</v>
      </c>
      <c r="J429" s="16" t="s">
        <v>1206</v>
      </c>
      <c r="K429" s="16" t="s">
        <v>22</v>
      </c>
      <c r="L429" s="16" t="s">
        <v>23</v>
      </c>
      <c r="M429" s="16"/>
      <c r="N429" s="17" t="s">
        <v>2363</v>
      </c>
      <c r="O429" s="16" t="s">
        <v>2364</v>
      </c>
      <c r="P429" s="16" t="s">
        <v>1195</v>
      </c>
    </row>
    <row r="430" spans="1:16" ht="32">
      <c r="A430" s="16" t="s">
        <v>2365</v>
      </c>
      <c r="B430" s="16" t="s">
        <v>1189</v>
      </c>
      <c r="C430" s="16" t="s">
        <v>153</v>
      </c>
      <c r="D430" s="16" t="s">
        <v>17</v>
      </c>
      <c r="E430" s="16" t="s">
        <v>2366</v>
      </c>
      <c r="F430" s="16" t="s">
        <v>2366</v>
      </c>
      <c r="G430" s="16">
        <f t="shared" si="3"/>
        <v>12</v>
      </c>
      <c r="H430" s="17" t="s">
        <v>2367</v>
      </c>
      <c r="I430" s="16" t="s">
        <v>20</v>
      </c>
      <c r="J430" s="16" t="s">
        <v>1206</v>
      </c>
      <c r="K430" s="16" t="s">
        <v>1219</v>
      </c>
      <c r="L430" s="16" t="s">
        <v>23</v>
      </c>
      <c r="M430" s="16"/>
      <c r="N430" s="17" t="s">
        <v>2368</v>
      </c>
      <c r="O430" s="16" t="s">
        <v>2369</v>
      </c>
      <c r="P430" s="16" t="s">
        <v>1195</v>
      </c>
    </row>
    <row r="431" spans="1:16" ht="32">
      <c r="A431" s="16" t="s">
        <v>2370</v>
      </c>
      <c r="B431" s="16" t="s">
        <v>1189</v>
      </c>
      <c r="C431" s="16" t="s">
        <v>153</v>
      </c>
      <c r="D431" s="16" t="s">
        <v>17</v>
      </c>
      <c r="E431" s="16" t="s">
        <v>2371</v>
      </c>
      <c r="F431" s="16" t="s">
        <v>2372</v>
      </c>
      <c r="G431" s="16">
        <f t="shared" si="3"/>
        <v>12</v>
      </c>
      <c r="H431" s="17" t="s">
        <v>2373</v>
      </c>
      <c r="I431" s="16" t="s">
        <v>20</v>
      </c>
      <c r="J431" s="16" t="s">
        <v>1206</v>
      </c>
      <c r="K431" s="16" t="s">
        <v>1219</v>
      </c>
      <c r="L431" s="16" t="s">
        <v>23</v>
      </c>
      <c r="M431" s="16"/>
      <c r="N431" s="17" t="s">
        <v>2374</v>
      </c>
      <c r="O431" s="16" t="s">
        <v>2375</v>
      </c>
      <c r="P431" s="16" t="s">
        <v>1195</v>
      </c>
    </row>
    <row r="432" spans="1:16" ht="32">
      <c r="A432" s="16" t="s">
        <v>2376</v>
      </c>
      <c r="B432" s="16" t="s">
        <v>1189</v>
      </c>
      <c r="C432" s="16" t="s">
        <v>153</v>
      </c>
      <c r="D432" s="16" t="s">
        <v>17</v>
      </c>
      <c r="E432" s="16" t="s">
        <v>2377</v>
      </c>
      <c r="F432" s="16" t="s">
        <v>2378</v>
      </c>
      <c r="G432" s="16">
        <f t="shared" si="3"/>
        <v>12</v>
      </c>
      <c r="H432" s="17" t="s">
        <v>2379</v>
      </c>
      <c r="I432" s="16" t="s">
        <v>20</v>
      </c>
      <c r="J432" s="16" t="s">
        <v>1206</v>
      </c>
      <c r="K432" s="16" t="s">
        <v>1219</v>
      </c>
      <c r="L432" s="16" t="s">
        <v>23</v>
      </c>
      <c r="M432" s="16"/>
      <c r="N432" s="17" t="s">
        <v>2380</v>
      </c>
      <c r="O432" s="16" t="s">
        <v>2381</v>
      </c>
      <c r="P432" s="16" t="s">
        <v>1195</v>
      </c>
    </row>
    <row r="433" spans="1:16" ht="32">
      <c r="A433" s="16" t="s">
        <v>2382</v>
      </c>
      <c r="B433" s="16" t="s">
        <v>1189</v>
      </c>
      <c r="C433" s="16" t="s">
        <v>173</v>
      </c>
      <c r="D433" s="16" t="s">
        <v>17</v>
      </c>
      <c r="E433" s="16" t="s">
        <v>2383</v>
      </c>
      <c r="F433" s="16" t="s">
        <v>2383</v>
      </c>
      <c r="G433" s="16">
        <f t="shared" si="3"/>
        <v>11</v>
      </c>
      <c r="H433" s="17" t="s">
        <v>2384</v>
      </c>
      <c r="I433" s="16" t="s">
        <v>20</v>
      </c>
      <c r="J433" s="16" t="s">
        <v>1291</v>
      </c>
      <c r="K433" s="16" t="s">
        <v>22</v>
      </c>
      <c r="L433" s="16" t="s">
        <v>23</v>
      </c>
      <c r="M433" s="16"/>
      <c r="N433" s="17" t="s">
        <v>2385</v>
      </c>
      <c r="O433" s="16" t="s">
        <v>2386</v>
      </c>
      <c r="P433" s="16" t="s">
        <v>1195</v>
      </c>
    </row>
    <row r="434" spans="1:16" ht="32">
      <c r="A434" s="16" t="s">
        <v>2387</v>
      </c>
      <c r="B434" s="16" t="s">
        <v>1189</v>
      </c>
      <c r="C434" s="16" t="s">
        <v>173</v>
      </c>
      <c r="D434" s="16" t="s">
        <v>17</v>
      </c>
      <c r="E434" s="16" t="s">
        <v>2388</v>
      </c>
      <c r="F434" s="16" t="s">
        <v>2389</v>
      </c>
      <c r="G434" s="16">
        <f t="shared" si="3"/>
        <v>12</v>
      </c>
      <c r="H434" s="17" t="s">
        <v>2390</v>
      </c>
      <c r="I434" s="16" t="s">
        <v>20</v>
      </c>
      <c r="J434" s="16" t="s">
        <v>1291</v>
      </c>
      <c r="K434" s="16" t="s">
        <v>22</v>
      </c>
      <c r="L434" s="16" t="s">
        <v>23</v>
      </c>
      <c r="M434" s="16"/>
      <c r="N434" s="17" t="s">
        <v>2391</v>
      </c>
      <c r="O434" s="16" t="s">
        <v>2392</v>
      </c>
      <c r="P434" s="16" t="s">
        <v>1195</v>
      </c>
    </row>
    <row r="435" spans="1:16" ht="32">
      <c r="A435" s="16" t="s">
        <v>2393</v>
      </c>
      <c r="B435" s="16" t="s">
        <v>1189</v>
      </c>
      <c r="C435" s="16" t="s">
        <v>75</v>
      </c>
      <c r="D435" s="16" t="s">
        <v>17</v>
      </c>
      <c r="E435" s="16" t="s">
        <v>2394</v>
      </c>
      <c r="F435" s="16" t="s">
        <v>2395</v>
      </c>
      <c r="G435" s="16">
        <f t="shared" si="3"/>
        <v>11</v>
      </c>
      <c r="H435" s="17" t="s">
        <v>2396</v>
      </c>
      <c r="I435" s="16" t="s">
        <v>20</v>
      </c>
      <c r="J435" s="16" t="s">
        <v>1239</v>
      </c>
      <c r="K435" s="16" t="s">
        <v>22</v>
      </c>
      <c r="L435" s="16" t="s">
        <v>23</v>
      </c>
      <c r="M435" s="16"/>
      <c r="N435" s="17" t="s">
        <v>2397</v>
      </c>
      <c r="O435" s="16" t="s">
        <v>2398</v>
      </c>
      <c r="P435" s="16" t="s">
        <v>1195</v>
      </c>
    </row>
    <row r="436" spans="1:16" ht="32">
      <c r="A436" s="16" t="s">
        <v>2399</v>
      </c>
      <c r="B436" s="16" t="s">
        <v>1189</v>
      </c>
      <c r="C436" s="16" t="s">
        <v>75</v>
      </c>
      <c r="D436" s="16" t="s">
        <v>17</v>
      </c>
      <c r="E436" s="16" t="s">
        <v>2400</v>
      </c>
      <c r="F436" s="16" t="s">
        <v>2401</v>
      </c>
      <c r="G436" s="16">
        <f t="shared" si="3"/>
        <v>12</v>
      </c>
      <c r="H436" s="17" t="s">
        <v>2402</v>
      </c>
      <c r="I436" s="16" t="s">
        <v>20</v>
      </c>
      <c r="J436" s="16" t="s">
        <v>1239</v>
      </c>
      <c r="K436" s="16" t="s">
        <v>22</v>
      </c>
      <c r="L436" s="16" t="s">
        <v>23</v>
      </c>
      <c r="M436" s="16"/>
      <c r="N436" s="17" t="s">
        <v>2403</v>
      </c>
      <c r="O436" s="16" t="s">
        <v>2404</v>
      </c>
      <c r="P436" s="16" t="s">
        <v>1195</v>
      </c>
    </row>
    <row r="437" spans="1:16" ht="32">
      <c r="A437" s="16" t="s">
        <v>2405</v>
      </c>
      <c r="B437" s="16" t="s">
        <v>1189</v>
      </c>
      <c r="C437" s="16" t="s">
        <v>16</v>
      </c>
      <c r="D437" s="16" t="s">
        <v>17</v>
      </c>
      <c r="E437" s="16" t="s">
        <v>2406</v>
      </c>
      <c r="F437" s="16" t="s">
        <v>2407</v>
      </c>
      <c r="G437" s="16">
        <f t="shared" si="3"/>
        <v>12</v>
      </c>
      <c r="H437" s="17" t="s">
        <v>2408</v>
      </c>
      <c r="I437" s="16" t="s">
        <v>20</v>
      </c>
      <c r="J437" s="16" t="s">
        <v>2009</v>
      </c>
      <c r="K437" s="16" t="s">
        <v>22</v>
      </c>
      <c r="L437" s="16" t="s">
        <v>23</v>
      </c>
      <c r="M437" s="16"/>
      <c r="N437" s="17" t="s">
        <v>2409</v>
      </c>
      <c r="O437" s="16" t="s">
        <v>2410</v>
      </c>
      <c r="P437" s="16" t="s">
        <v>1195</v>
      </c>
    </row>
    <row r="438" spans="1:16" ht="32">
      <c r="A438" s="16" t="s">
        <v>2411</v>
      </c>
      <c r="B438" s="16" t="s">
        <v>1189</v>
      </c>
      <c r="C438" s="16" t="s">
        <v>16</v>
      </c>
      <c r="D438" s="16" t="s">
        <v>17</v>
      </c>
      <c r="E438" s="16" t="s">
        <v>2412</v>
      </c>
      <c r="F438" s="16" t="s">
        <v>2413</v>
      </c>
      <c r="G438" s="16">
        <f t="shared" si="3"/>
        <v>12</v>
      </c>
      <c r="H438" s="17" t="s">
        <v>2414</v>
      </c>
      <c r="I438" s="16" t="s">
        <v>20</v>
      </c>
      <c r="J438" s="16" t="s">
        <v>2009</v>
      </c>
      <c r="K438" s="16" t="s">
        <v>22</v>
      </c>
      <c r="L438" s="16" t="s">
        <v>23</v>
      </c>
      <c r="M438" s="16"/>
      <c r="N438" s="17" t="s">
        <v>2415</v>
      </c>
      <c r="O438" s="16" t="s">
        <v>2416</v>
      </c>
      <c r="P438" s="16" t="s">
        <v>1195</v>
      </c>
    </row>
    <row r="439" spans="1:16" ht="32">
      <c r="A439" s="16" t="s">
        <v>2417</v>
      </c>
      <c r="B439" s="16" t="s">
        <v>1189</v>
      </c>
      <c r="C439" s="16" t="s">
        <v>39</v>
      </c>
      <c r="D439" s="16" t="s">
        <v>17</v>
      </c>
      <c r="E439" s="16" t="s">
        <v>2418</v>
      </c>
      <c r="F439" s="16" t="s">
        <v>2419</v>
      </c>
      <c r="G439" s="16">
        <f t="shared" si="3"/>
        <v>11</v>
      </c>
      <c r="H439" s="17" t="s">
        <v>2420</v>
      </c>
      <c r="I439" s="16" t="s">
        <v>20</v>
      </c>
      <c r="J439" s="16" t="s">
        <v>1206</v>
      </c>
      <c r="K439" s="16" t="s">
        <v>22</v>
      </c>
      <c r="L439" s="16" t="s">
        <v>23</v>
      </c>
      <c r="M439" s="16"/>
      <c r="N439" s="17" t="s">
        <v>2421</v>
      </c>
      <c r="O439" s="16" t="s">
        <v>2422</v>
      </c>
      <c r="P439" s="16" t="s">
        <v>1195</v>
      </c>
    </row>
    <row r="440" spans="1:16" ht="32">
      <c r="A440" s="16" t="s">
        <v>2423</v>
      </c>
      <c r="B440" s="16" t="s">
        <v>1189</v>
      </c>
      <c r="C440" s="16" t="s">
        <v>39</v>
      </c>
      <c r="D440" s="16" t="s">
        <v>17</v>
      </c>
      <c r="E440" s="16" t="s">
        <v>2424</v>
      </c>
      <c r="F440" s="16" t="s">
        <v>2425</v>
      </c>
      <c r="G440" s="16">
        <f t="shared" si="3"/>
        <v>11</v>
      </c>
      <c r="H440" s="17" t="s">
        <v>2426</v>
      </c>
      <c r="I440" s="16" t="s">
        <v>20</v>
      </c>
      <c r="J440" s="16" t="s">
        <v>1206</v>
      </c>
      <c r="K440" s="16" t="s">
        <v>22</v>
      </c>
      <c r="L440" s="16" t="s">
        <v>23</v>
      </c>
      <c r="M440" s="16"/>
      <c r="N440" s="17" t="s">
        <v>2427</v>
      </c>
      <c r="O440" s="16" t="s">
        <v>2428</v>
      </c>
      <c r="P440" s="16" t="s">
        <v>1195</v>
      </c>
    </row>
    <row r="441" spans="1:16" ht="32">
      <c r="A441" s="16" t="s">
        <v>2429</v>
      </c>
      <c r="B441" s="16" t="s">
        <v>1189</v>
      </c>
      <c r="C441" s="16" t="s">
        <v>39</v>
      </c>
      <c r="D441" s="16" t="s">
        <v>17</v>
      </c>
      <c r="E441" s="16" t="s">
        <v>2430</v>
      </c>
      <c r="F441" s="16" t="s">
        <v>2430</v>
      </c>
      <c r="G441" s="16">
        <f t="shared" si="3"/>
        <v>12</v>
      </c>
      <c r="H441" s="17" t="s">
        <v>2431</v>
      </c>
      <c r="I441" s="16" t="s">
        <v>20</v>
      </c>
      <c r="J441" s="16" t="s">
        <v>1206</v>
      </c>
      <c r="K441" s="16" t="s">
        <v>22</v>
      </c>
      <c r="L441" s="16" t="s">
        <v>23</v>
      </c>
      <c r="M441" s="16"/>
      <c r="N441" s="17" t="s">
        <v>2432</v>
      </c>
      <c r="O441" s="16" t="s">
        <v>2433</v>
      </c>
      <c r="P441" s="16" t="s">
        <v>1195</v>
      </c>
    </row>
    <row r="442" spans="1:16" ht="32">
      <c r="A442" s="16" t="s">
        <v>2434</v>
      </c>
      <c r="B442" s="16" t="s">
        <v>1189</v>
      </c>
      <c r="C442" s="16" t="s">
        <v>153</v>
      </c>
      <c r="D442" s="16" t="s">
        <v>17</v>
      </c>
      <c r="E442" s="16" t="s">
        <v>2435</v>
      </c>
      <c r="F442" s="16" t="s">
        <v>2436</v>
      </c>
      <c r="G442" s="16">
        <f t="shared" si="3"/>
        <v>12</v>
      </c>
      <c r="H442" s="17" t="s">
        <v>2437</v>
      </c>
      <c r="I442" s="16" t="s">
        <v>20</v>
      </c>
      <c r="J442" s="16" t="s">
        <v>1206</v>
      </c>
      <c r="K442" s="16" t="s">
        <v>1219</v>
      </c>
      <c r="L442" s="16" t="s">
        <v>23</v>
      </c>
      <c r="M442" s="16"/>
      <c r="N442" s="17" t="s">
        <v>2438</v>
      </c>
      <c r="O442" s="16" t="s">
        <v>2439</v>
      </c>
      <c r="P442" s="16" t="s">
        <v>1195</v>
      </c>
    </row>
    <row r="443" spans="1:16" ht="32">
      <c r="A443" s="16" t="s">
        <v>2440</v>
      </c>
      <c r="B443" s="16" t="s">
        <v>1189</v>
      </c>
      <c r="C443" s="16" t="s">
        <v>153</v>
      </c>
      <c r="D443" s="16" t="s">
        <v>17</v>
      </c>
      <c r="E443" s="16" t="s">
        <v>2441</v>
      </c>
      <c r="F443" s="16" t="s">
        <v>2442</v>
      </c>
      <c r="G443" s="16">
        <f t="shared" si="3"/>
        <v>12</v>
      </c>
      <c r="H443" s="17" t="s">
        <v>2443</v>
      </c>
      <c r="I443" s="16" t="s">
        <v>20</v>
      </c>
      <c r="J443" s="16" t="s">
        <v>1206</v>
      </c>
      <c r="K443" s="16" t="s">
        <v>1219</v>
      </c>
      <c r="L443" s="16" t="s">
        <v>23</v>
      </c>
      <c r="M443" s="16"/>
      <c r="N443" s="17" t="s">
        <v>2444</v>
      </c>
      <c r="O443" s="16" t="s">
        <v>2445</v>
      </c>
      <c r="P443" s="16" t="s">
        <v>1195</v>
      </c>
    </row>
    <row r="444" spans="1:16" ht="32">
      <c r="A444" s="16" t="s">
        <v>2446</v>
      </c>
      <c r="B444" s="16" t="s">
        <v>1189</v>
      </c>
      <c r="C444" s="16" t="s">
        <v>153</v>
      </c>
      <c r="D444" s="16" t="s">
        <v>17</v>
      </c>
      <c r="E444" s="16" t="s">
        <v>2447</v>
      </c>
      <c r="F444" s="16" t="s">
        <v>2448</v>
      </c>
      <c r="G444" s="16">
        <f t="shared" si="3"/>
        <v>12</v>
      </c>
      <c r="H444" s="17" t="s">
        <v>2379</v>
      </c>
      <c r="I444" s="16" t="s">
        <v>20</v>
      </c>
      <c r="J444" s="16" t="s">
        <v>1206</v>
      </c>
      <c r="K444" s="16" t="s">
        <v>1219</v>
      </c>
      <c r="L444" s="16" t="s">
        <v>23</v>
      </c>
      <c r="M444" s="16"/>
      <c r="N444" s="17" t="s">
        <v>2449</v>
      </c>
      <c r="O444" s="16" t="s">
        <v>2450</v>
      </c>
      <c r="P444" s="16" t="s">
        <v>1195</v>
      </c>
    </row>
    <row r="445" spans="1:16" ht="32">
      <c r="A445" s="16" t="s">
        <v>2451</v>
      </c>
      <c r="B445" s="16" t="s">
        <v>1189</v>
      </c>
      <c r="C445" s="16" t="s">
        <v>39</v>
      </c>
      <c r="D445" s="16" t="s">
        <v>17</v>
      </c>
      <c r="E445" s="16" t="s">
        <v>2452</v>
      </c>
      <c r="F445" s="16" t="s">
        <v>2453</v>
      </c>
      <c r="G445" s="16">
        <f t="shared" si="3"/>
        <v>11</v>
      </c>
      <c r="H445" s="17" t="s">
        <v>2454</v>
      </c>
      <c r="I445" s="16" t="s">
        <v>20</v>
      </c>
      <c r="J445" s="16" t="s">
        <v>1206</v>
      </c>
      <c r="K445" s="16" t="s">
        <v>1240</v>
      </c>
      <c r="L445" s="16" t="s">
        <v>23</v>
      </c>
      <c r="M445" s="16"/>
      <c r="N445" s="17" t="s">
        <v>2455</v>
      </c>
      <c r="O445" s="16" t="s">
        <v>2456</v>
      </c>
      <c r="P445" s="16" t="s">
        <v>1195</v>
      </c>
    </row>
    <row r="446" spans="1:16" ht="32">
      <c r="A446" s="16" t="s">
        <v>2457</v>
      </c>
      <c r="B446" s="16" t="s">
        <v>1189</v>
      </c>
      <c r="C446" s="16" t="s">
        <v>39</v>
      </c>
      <c r="D446" s="16" t="s">
        <v>17</v>
      </c>
      <c r="E446" s="16" t="s">
        <v>2458</v>
      </c>
      <c r="F446" s="16" t="s">
        <v>2459</v>
      </c>
      <c r="G446" s="16">
        <f t="shared" si="3"/>
        <v>12</v>
      </c>
      <c r="H446" s="17" t="s">
        <v>2460</v>
      </c>
      <c r="I446" s="16" t="s">
        <v>20</v>
      </c>
      <c r="J446" s="16" t="s">
        <v>1206</v>
      </c>
      <c r="K446" s="16" t="s">
        <v>1240</v>
      </c>
      <c r="L446" s="16" t="s">
        <v>23</v>
      </c>
      <c r="M446" s="16"/>
      <c r="N446" s="17" t="s">
        <v>2461</v>
      </c>
      <c r="O446" s="16" t="s">
        <v>2462</v>
      </c>
      <c r="P446" s="16" t="s">
        <v>1195</v>
      </c>
    </row>
    <row r="447" spans="1:16" ht="32">
      <c r="A447" s="16" t="s">
        <v>2463</v>
      </c>
      <c r="B447" s="16" t="s">
        <v>1189</v>
      </c>
      <c r="C447" s="16" t="s">
        <v>39</v>
      </c>
      <c r="D447" s="16" t="s">
        <v>17</v>
      </c>
      <c r="E447" s="16" t="s">
        <v>2464</v>
      </c>
      <c r="F447" s="16" t="s">
        <v>2465</v>
      </c>
      <c r="G447" s="16">
        <f t="shared" si="3"/>
        <v>11</v>
      </c>
      <c r="H447" s="17" t="s">
        <v>2466</v>
      </c>
      <c r="I447" s="16" t="s">
        <v>20</v>
      </c>
      <c r="J447" s="16" t="s">
        <v>1206</v>
      </c>
      <c r="K447" s="16" t="s">
        <v>1240</v>
      </c>
      <c r="L447" s="16" t="s">
        <v>23</v>
      </c>
      <c r="M447" s="16"/>
      <c r="N447" s="17" t="s">
        <v>2467</v>
      </c>
      <c r="O447" s="16" t="s">
        <v>2468</v>
      </c>
      <c r="P447" s="16" t="s">
        <v>1195</v>
      </c>
    </row>
    <row r="448" spans="1:16" ht="32">
      <c r="A448" s="16" t="s">
        <v>2469</v>
      </c>
      <c r="B448" s="16" t="s">
        <v>1189</v>
      </c>
      <c r="C448" s="16" t="s">
        <v>39</v>
      </c>
      <c r="D448" s="16" t="s">
        <v>17</v>
      </c>
      <c r="E448" s="16" t="s">
        <v>2470</v>
      </c>
      <c r="F448" s="16" t="s">
        <v>2471</v>
      </c>
      <c r="G448" s="16">
        <f t="shared" si="3"/>
        <v>11</v>
      </c>
      <c r="H448" s="17" t="s">
        <v>2472</v>
      </c>
      <c r="I448" s="16" t="s">
        <v>207</v>
      </c>
      <c r="J448" s="16" t="s">
        <v>1206</v>
      </c>
      <c r="K448" s="16" t="s">
        <v>1240</v>
      </c>
      <c r="L448" s="16" t="s">
        <v>23</v>
      </c>
      <c r="M448" s="16"/>
      <c r="N448" s="17" t="s">
        <v>2473</v>
      </c>
      <c r="O448" s="16" t="s">
        <v>2474</v>
      </c>
      <c r="P448" s="16" t="s">
        <v>1195</v>
      </c>
    </row>
    <row r="449" spans="1:16" ht="32">
      <c r="A449" s="16" t="s">
        <v>2475</v>
      </c>
      <c r="B449" s="16" t="s">
        <v>1189</v>
      </c>
      <c r="C449" s="16" t="s">
        <v>39</v>
      </c>
      <c r="D449" s="16" t="s">
        <v>17</v>
      </c>
      <c r="E449" s="16" t="s">
        <v>2476</v>
      </c>
      <c r="F449" s="16" t="s">
        <v>2477</v>
      </c>
      <c r="G449" s="16">
        <f t="shared" si="3"/>
        <v>10</v>
      </c>
      <c r="H449" s="17" t="s">
        <v>2478</v>
      </c>
      <c r="I449" s="16" t="s">
        <v>207</v>
      </c>
      <c r="J449" s="16" t="s">
        <v>1206</v>
      </c>
      <c r="K449" s="16" t="s">
        <v>1240</v>
      </c>
      <c r="L449" s="16" t="s">
        <v>23</v>
      </c>
      <c r="M449" s="16"/>
      <c r="N449" s="17" t="s">
        <v>2479</v>
      </c>
      <c r="O449" s="16" t="s">
        <v>2480</v>
      </c>
      <c r="P449" s="16" t="s">
        <v>1195</v>
      </c>
    </row>
    <row r="450" spans="1:16" ht="32">
      <c r="A450" s="16" t="s">
        <v>2481</v>
      </c>
      <c r="B450" s="16" t="s">
        <v>1189</v>
      </c>
      <c r="C450" s="16" t="s">
        <v>39</v>
      </c>
      <c r="D450" s="16" t="s">
        <v>17</v>
      </c>
      <c r="E450" s="16" t="s">
        <v>2482</v>
      </c>
      <c r="F450" s="16" t="s">
        <v>2483</v>
      </c>
      <c r="G450" s="16">
        <f t="shared" si="3"/>
        <v>11</v>
      </c>
      <c r="H450" s="17" t="s">
        <v>2484</v>
      </c>
      <c r="I450" s="16" t="s">
        <v>207</v>
      </c>
      <c r="J450" s="16" t="s">
        <v>1206</v>
      </c>
      <c r="K450" s="16" t="s">
        <v>1240</v>
      </c>
      <c r="L450" s="16" t="s">
        <v>23</v>
      </c>
      <c r="M450" s="16"/>
      <c r="N450" s="17" t="s">
        <v>2485</v>
      </c>
      <c r="O450" s="16" t="s">
        <v>2486</v>
      </c>
      <c r="P450" s="16" t="s">
        <v>1195</v>
      </c>
    </row>
    <row r="451" spans="1:16" ht="32">
      <c r="A451" s="16" t="s">
        <v>2487</v>
      </c>
      <c r="B451" s="16" t="s">
        <v>1189</v>
      </c>
      <c r="C451" s="16" t="s">
        <v>39</v>
      </c>
      <c r="D451" s="16" t="s">
        <v>17</v>
      </c>
      <c r="E451" s="16" t="s">
        <v>2488</v>
      </c>
      <c r="F451" s="16" t="s">
        <v>2489</v>
      </c>
      <c r="G451" s="16">
        <f t="shared" si="3"/>
        <v>11</v>
      </c>
      <c r="H451" s="17" t="s">
        <v>2490</v>
      </c>
      <c r="I451" s="16" t="s">
        <v>207</v>
      </c>
      <c r="J451" s="16" t="s">
        <v>1206</v>
      </c>
      <c r="K451" s="16" t="s">
        <v>1240</v>
      </c>
      <c r="L451" s="16" t="s">
        <v>141</v>
      </c>
      <c r="M451" s="16" t="s">
        <v>2491</v>
      </c>
      <c r="N451" s="17" t="s">
        <v>2492</v>
      </c>
      <c r="O451" s="16" t="s">
        <v>2493</v>
      </c>
      <c r="P451" s="16" t="s">
        <v>1195</v>
      </c>
    </row>
    <row r="452" spans="1:16" ht="32">
      <c r="A452" s="16" t="s">
        <v>2494</v>
      </c>
      <c r="B452" s="16" t="s">
        <v>1189</v>
      </c>
      <c r="C452" s="16" t="s">
        <v>39</v>
      </c>
      <c r="D452" s="16" t="s">
        <v>17</v>
      </c>
      <c r="E452" s="16" t="s">
        <v>2495</v>
      </c>
      <c r="F452" s="16" t="s">
        <v>2496</v>
      </c>
      <c r="G452" s="16">
        <f t="shared" si="3"/>
        <v>11</v>
      </c>
      <c r="H452" s="17" t="s">
        <v>2497</v>
      </c>
      <c r="I452" s="16" t="s">
        <v>207</v>
      </c>
      <c r="J452" s="16" t="s">
        <v>1206</v>
      </c>
      <c r="K452" s="16" t="s">
        <v>1240</v>
      </c>
      <c r="L452" s="16" t="s">
        <v>23</v>
      </c>
      <c r="M452" s="16"/>
      <c r="N452" s="17" t="s">
        <v>2498</v>
      </c>
      <c r="O452" s="16" t="s">
        <v>2499</v>
      </c>
      <c r="P452" s="16" t="s">
        <v>1195</v>
      </c>
    </row>
  </sheetData>
  <autoFilter ref="A1:N1" xr:uid="{DBEA781C-07E7-4393-BF75-138E1A6EB613}"/>
  <phoneticPr fontId="1" type="noConversion"/>
  <conditionalFormatting sqref="G2:G191">
    <cfRule type="cellIs" dxfId="5" priority="6" stopIfTrue="1" operator="greaterThan">
      <formula>22</formula>
    </cfRule>
  </conditionalFormatting>
  <conditionalFormatting sqref="L2:L191">
    <cfRule type="cellIs" dxfId="4" priority="1" stopIfTrue="1" operator="equal">
      <formula>"""삭제"""</formula>
    </cfRule>
    <cfRule type="cellIs" dxfId="3" priority="2" stopIfTrue="1" operator="equal">
      <formula>"""보류"""</formula>
    </cfRule>
    <cfRule type="cellIs" dxfId="2" priority="3" stopIfTrue="1" operator="equal">
      <formula>"""수정"""</formula>
    </cfRule>
    <cfRule type="cellIs" dxfId="1" priority="4" stopIfTrue="1" operator="equal">
      <formula>"""조건부"""</formula>
    </cfRule>
    <cfRule type="cellIs" dxfId="0" priority="5" stopIfTrue="1" operator="equal">
      <formula>"""확인 필요"""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1E91-9932-4D38-A29A-1DD626050276}">
  <dimension ref="A1:E8"/>
  <sheetViews>
    <sheetView workbookViewId="0">
      <pane ySplit="1" topLeftCell="A2" activePane="bottomLeft" state="frozen"/>
      <selection pane="bottomLeft"/>
    </sheetView>
  </sheetViews>
  <sheetFormatPr defaultRowHeight="17"/>
  <cols>
    <col min="1" max="2" width="22.58203125" customWidth="1"/>
    <col min="3" max="4" width="60.58203125" customWidth="1"/>
    <col min="5" max="5" width="48.58203125" customWidth="1"/>
  </cols>
  <sheetData>
    <row r="1" spans="1:5" ht="28" customHeight="1">
      <c r="A1" s="2" t="s">
        <v>702</v>
      </c>
      <c r="B1" s="2" t="s">
        <v>703</v>
      </c>
      <c r="C1" s="2" t="s">
        <v>704</v>
      </c>
      <c r="D1" s="2" t="s">
        <v>705</v>
      </c>
      <c r="E1" s="2" t="s">
        <v>706</v>
      </c>
    </row>
    <row r="2" spans="1:5" ht="48">
      <c r="A2" s="1" t="s">
        <v>201</v>
      </c>
      <c r="B2" s="1" t="s">
        <v>707</v>
      </c>
      <c r="C2" s="3" t="s">
        <v>708</v>
      </c>
      <c r="D2" s="3" t="s">
        <v>709</v>
      </c>
      <c r="E2" s="1" t="s">
        <v>710</v>
      </c>
    </row>
    <row r="3" spans="1:5" ht="64">
      <c r="A3" s="1" t="s">
        <v>711</v>
      </c>
      <c r="B3" s="1" t="s">
        <v>712</v>
      </c>
      <c r="C3" s="3" t="s">
        <v>713</v>
      </c>
      <c r="D3" s="3" t="s">
        <v>714</v>
      </c>
      <c r="E3" s="1" t="s">
        <v>715</v>
      </c>
    </row>
    <row r="4" spans="1:5" ht="32">
      <c r="A4" s="1" t="s">
        <v>504</v>
      </c>
      <c r="B4" s="1" t="s">
        <v>716</v>
      </c>
      <c r="C4" s="3" t="s">
        <v>717</v>
      </c>
      <c r="D4" s="3" t="s">
        <v>718</v>
      </c>
      <c r="E4" s="1" t="s">
        <v>719</v>
      </c>
    </row>
    <row r="5" spans="1:5" ht="32">
      <c r="A5" s="1" t="s">
        <v>595</v>
      </c>
      <c r="B5" s="1" t="s">
        <v>720</v>
      </c>
      <c r="C5" s="3" t="s">
        <v>721</v>
      </c>
      <c r="D5" s="3" t="s">
        <v>722</v>
      </c>
      <c r="E5" s="1" t="s">
        <v>723</v>
      </c>
    </row>
    <row r="6" spans="1:5" ht="32">
      <c r="A6" s="1" t="s">
        <v>724</v>
      </c>
      <c r="B6" s="1" t="s">
        <v>725</v>
      </c>
      <c r="C6" s="3" t="s">
        <v>726</v>
      </c>
      <c r="D6" s="3" t="s">
        <v>727</v>
      </c>
      <c r="E6" s="1" t="s">
        <v>728</v>
      </c>
    </row>
    <row r="7" spans="1:5" ht="64">
      <c r="A7" s="1" t="s">
        <v>729</v>
      </c>
      <c r="B7" s="1" t="s">
        <v>730</v>
      </c>
      <c r="C7" s="3" t="s">
        <v>731</v>
      </c>
      <c r="D7" s="3" t="s">
        <v>732</v>
      </c>
      <c r="E7" s="1" t="s">
        <v>733</v>
      </c>
    </row>
    <row r="8" spans="1:5" ht="32">
      <c r="A8" s="1" t="s">
        <v>142</v>
      </c>
      <c r="B8" s="1" t="s">
        <v>734</v>
      </c>
      <c r="C8" s="3" t="s">
        <v>735</v>
      </c>
      <c r="D8" s="3" t="s">
        <v>736</v>
      </c>
      <c r="E8" s="1" t="s">
        <v>737</v>
      </c>
    </row>
  </sheetData>
  <autoFilter ref="A1:E1" xr:uid="{37331E91-9932-4D38-A29A-1DD626050276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1753-FFCC-443C-BCC8-01CEAAC52676}">
  <dimension ref="A1:E9"/>
  <sheetViews>
    <sheetView workbookViewId="0">
      <pane ySplit="1" topLeftCell="A2" activePane="bottomLeft" state="frozen"/>
      <selection pane="bottomLeft"/>
    </sheetView>
  </sheetViews>
  <sheetFormatPr defaultRowHeight="17"/>
  <cols>
    <col min="1" max="1" width="10.58203125" customWidth="1"/>
    <col min="2" max="2" width="27.58203125" customWidth="1"/>
    <col min="3" max="3" width="46.58203125" customWidth="1"/>
    <col min="4" max="4" width="60.58203125" customWidth="1"/>
    <col min="5" max="5" width="12.58203125" customWidth="1"/>
  </cols>
  <sheetData>
    <row r="1" spans="1:5" ht="28" customHeight="1">
      <c r="A1" s="2" t="s">
        <v>738</v>
      </c>
      <c r="B1" s="2" t="s">
        <v>739</v>
      </c>
      <c r="C1" s="2" t="s">
        <v>740</v>
      </c>
      <c r="D1" s="2" t="s">
        <v>13</v>
      </c>
      <c r="E1" s="2" t="s">
        <v>741</v>
      </c>
    </row>
    <row r="2" spans="1:5" ht="112">
      <c r="A2" s="1">
        <v>1</v>
      </c>
      <c r="B2" s="1" t="s">
        <v>742</v>
      </c>
      <c r="C2" s="1" t="s">
        <v>743</v>
      </c>
      <c r="D2" s="3" t="s">
        <v>744</v>
      </c>
      <c r="E2" s="1" t="s">
        <v>745</v>
      </c>
    </row>
    <row r="3" spans="1:5" ht="32">
      <c r="A3" s="1">
        <v>2</v>
      </c>
      <c r="B3" s="1" t="s">
        <v>746</v>
      </c>
      <c r="C3" s="1" t="s">
        <v>747</v>
      </c>
      <c r="D3" s="3" t="s">
        <v>748</v>
      </c>
      <c r="E3" s="1" t="s">
        <v>749</v>
      </c>
    </row>
    <row r="4" spans="1:5" ht="32">
      <c r="A4" s="1">
        <v>3</v>
      </c>
      <c r="B4" s="1" t="s">
        <v>750</v>
      </c>
      <c r="C4" s="1" t="s">
        <v>751</v>
      </c>
      <c r="D4" s="3" t="s">
        <v>752</v>
      </c>
      <c r="E4" s="1" t="s">
        <v>753</v>
      </c>
    </row>
    <row r="5" spans="1:5" ht="32">
      <c r="A5" s="1">
        <v>4</v>
      </c>
      <c r="B5" s="1" t="s">
        <v>754</v>
      </c>
      <c r="C5" s="1" t="s">
        <v>755</v>
      </c>
      <c r="D5" s="3" t="s">
        <v>756</v>
      </c>
      <c r="E5" s="1" t="s">
        <v>753</v>
      </c>
    </row>
    <row r="6" spans="1:5" ht="32">
      <c r="A6" s="1">
        <v>5</v>
      </c>
      <c r="B6" s="1" t="s">
        <v>757</v>
      </c>
      <c r="C6" s="1" t="s">
        <v>758</v>
      </c>
      <c r="D6" s="3" t="s">
        <v>759</v>
      </c>
      <c r="E6" s="1" t="s">
        <v>749</v>
      </c>
    </row>
    <row r="7" spans="1:5">
      <c r="A7" s="1">
        <v>6</v>
      </c>
      <c r="B7" s="1" t="s">
        <v>760</v>
      </c>
      <c r="C7" s="1" t="s">
        <v>761</v>
      </c>
      <c r="D7" s="3" t="s">
        <v>762</v>
      </c>
      <c r="E7" s="1" t="s">
        <v>749</v>
      </c>
    </row>
    <row r="8" spans="1:5" ht="32">
      <c r="A8" s="1">
        <v>7</v>
      </c>
      <c r="B8" s="1" t="s">
        <v>763</v>
      </c>
      <c r="C8" s="1" t="s">
        <v>764</v>
      </c>
      <c r="D8" s="3" t="s">
        <v>765</v>
      </c>
      <c r="E8" s="1" t="s">
        <v>745</v>
      </c>
    </row>
    <row r="9" spans="1:5" ht="48">
      <c r="A9" s="1">
        <v>8</v>
      </c>
      <c r="B9" s="1" t="s">
        <v>766</v>
      </c>
      <c r="C9" s="1" t="s">
        <v>767</v>
      </c>
      <c r="D9" s="3" t="s">
        <v>768</v>
      </c>
      <c r="E9" s="1" t="s">
        <v>753</v>
      </c>
    </row>
  </sheetData>
  <autoFilter ref="A1:E1" xr:uid="{77FA1753-FFCC-443C-BCC8-01CEAAC5267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검수결과</vt:lpstr>
      <vt:lpstr>신규금지규칙</vt:lpstr>
      <vt:lpstr>쟁점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이사라</dc:creator>
  <cp:lastModifiedBy>이사라</cp:lastModifiedBy>
  <dcterms:created xsi:type="dcterms:W3CDTF">2026-09-21T03:47:48Z</dcterms:created>
  <dcterms:modified xsi:type="dcterms:W3CDTF">2026-10-13T07:04:39Z</dcterms:modified>
</cp:coreProperties>
</file>
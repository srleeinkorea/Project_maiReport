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57CC687F-B39A-4F4B-9932-FAE165AE65D7}" xr6:coauthVersionLast="47" xr6:coauthVersionMax="47" xr10:uidLastSave="{00000000-0000-0000-0000-000000000000}"/>
  <bookViews>
    <workbookView xWindow="3829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<sst xmlns="http://schemas.openxmlformats.org/spreadsheetml/2006/main" count="3129" uniqueCount="1191">
  <si>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</si>
  <si>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</si>
  <si>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</si>
  <si>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</si>
  <si>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</si>
  <si>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</si>
  <si>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</si>
  <si>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</si>
  <si>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</si>
  <si>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</si>
  <si>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</si>
  <si>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</si>
  <si>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</si>
  <si>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</si>
  <si>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</si>
  <si>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</si>
  <si>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</si>
  <si>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</si>
  <si>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</si>
  <si>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</si>
  <si>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</si>
  <si>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</si>
  <si>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</si>
  <si>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</si>
  <si>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</si>
  <si>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</si>
  <si>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</si>
  <si>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</si>
  <si>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</si>
  <si>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</si>
  <si>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</si>
  <si>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</si>
  <si>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</si>
  <si>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</si>
  <si>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</si>
  <si>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</si>
  <si>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</si>
  <si>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</si>
  <si>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</si>
  <si>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</si>
  <si>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</si>
  <si>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</si>
  <si>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</si>
  <si>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</si>
  <si>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</si>
  <si>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</si>
  <si>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</si>
  <si>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</si>
  <si>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</si>
  <si>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</si>
  <si>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</si>
  <si>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</si>
  <si>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</si>
  <si>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</si>
  <si>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</si>
  <si>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</si>
  <si>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</si>
  <si>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</si>
  <si>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</si>
  <si>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</si>
  <si>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</si>
  <si>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</si>
  <si>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</si>
  <si>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</si>
  <si>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</si>
  <si>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</si>
  <si>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</si>
  <si>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</si>
  <si>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</si>
  <si>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</si>
  <si>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</si>
  <si>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</si>
  <si>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</si>
  <si>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</si>
  <si>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</si>
  <si>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</si>
  <si>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</si>
  <si>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</si>
  <si>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</si>
  <si>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</si>
  <si>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</si>
  <si>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</si>
  <si>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</si>
  <si>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</si>
  <si>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</si>
  <si>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</si>
  <si>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</si>
  <si>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</si>
  <si>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</si>
  <si>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</si>
  <si>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</si>
  <si>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</si>
  <si>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</si>
  <si>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</si>
  <si>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</si>
  <si>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</si>
  <si>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</si>
  <si>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</si>
  <si>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</si>
  <si>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</si>
  <si>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</si>
  <si>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</si>
  <si>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</si>
  <si>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</si>
  <si>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</si>
  <si>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</si>
  <si>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</si>
  <si>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</si>
  <si>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</si>
  <si>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</si>
  <si>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</si>
  <si>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</si>
  <si>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</si>
  <si>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</si>
  <si>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</si>
  <si>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</si>
  <si>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</si>
  <si>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</si>
  <si>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</si>
  <si>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</si>
  <si>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</si>
  <si>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</si>
  <si>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</si>
  <si>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</si>
  <si>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</si>
  <si>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</si>
  <si>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</si>
  <si>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</si>
  <si>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</si>
  <si>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</si>
  <si>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</si>
  <si>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</si>
  <si>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</si>
  <si>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</si>
  <si>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</si>
  <si>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</si>
  <si>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</si>
  <si>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</si>
  <si>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</si>
  <si>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</si>
  <si>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</si>
  <si>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</si>
  <si>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</si>
  <si>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</si>
  <si>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</si>
  <si>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</si>
  <si>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</si>
  <si>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</si>
  <si>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</si>
  <si>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</si>
  <si>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</si>
  <si>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</si>
  <si>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</si>
  <si>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</si>
  <si>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</si>
  <si>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</si>
  <si>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</si>
  <si>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</si>
  <si>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</si>
  <si>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</si>
  <si>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</si>
  <si>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</si>
  <si>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</si>
  <si>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</si>
  <si>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</si>
  <si>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</si>
  <si>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</si>
  <si>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</si>
  <si>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</si>
  <si>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</si>
  <si>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</si>
  <si>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</si>
  <si>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</si>
  <si>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</si>
  <si>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</si>
  <si>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</si>
  <si>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</si>
  <si>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</si>
  <si>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</si>
  <si>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</si>
  <si>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</si>
  <si>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</si>
  <si>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</si>
  <si>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</si>
  <si>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</si>
  <si>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</si>
  <si>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</si>
  <si>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</si>
  <si>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</si>
  <si>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</si>
  <si>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</si>
  <si>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</si>
  <si>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</si>
  <si>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</si>
  <si>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</si>
  <si>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</si>
  <si>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</si>
  <si>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</si>
  <si>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</si>
  <si>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</si>
  <si>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</si>
  <si>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</si>
  <si>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</si>
  <si>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</si>
  <si>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</si>
  <si>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</si>
  <si>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</si>
  <si>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</si>
  <si>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</si>
  <si>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</si>
  <si>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</si>
  <si>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</si>
  <si>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</si>
  <si>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</si>
  <si>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</si>
  <si>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</si>
  <si>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</si>
  <si>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</si>
  <si>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</si>
  <si>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</si>
  <si>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</si>
  <si>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</si>
  <si>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</si>
  <si>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</si>
  <si>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</si>
  <si>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</si>
  <si>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</si>
  <si>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</si>
  <si>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</si>
  <si>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</si>
  <si>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</si>
  <si>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</si>
  <si>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</si>
  <si>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</si>
  <si>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</si>
  <si>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</si>
  <si>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</si>
  <si>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</si>
  <si>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</si>
  <si>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</si>
  <si>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</si>
  <si>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</si>
  <si>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</si>
  <si>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</si>
  <si>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</si>
  <si>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</si>
  <si>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</si>
  <si>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</si>
  <si>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</si>
  <si>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</si>
  <si>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</si>
  <si>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</si>
  <si>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</si>
  <si>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</si>
  <si>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</si>
  <si>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</si>
  <si>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</si>
  <si>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</si>
  <si>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</si>
  <si>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</si>
  <si>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</si>
  <si>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</si>
  <si>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</si>
  <si>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</si>
  <si>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</si>
  <si>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</si>
  <si>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</si>
  <si>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</si>
  <si>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</si>
  <si>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</si>
  <si>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</si>
  <si>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</si>
  <si>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</si>
  <si>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</si>
  <si>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</si>
  <si>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</si>
  <si>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</si>
  <si>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</si>
  <si>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</si>
  <si>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</si>
  <si>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</si>
  <si>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</si>
  <si>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</si>
  <si>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</si>
  <si>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</si>
  <si>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</si>
  <si>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</si>
  <si>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</si>
  <si>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</si>
  <si>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</si>
  <si>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</si>
  <si>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</si>
  <si>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</si>
  <si>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</si>
  <si>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</si>
  <si>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</si>
  <si>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</si>
  <si>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</si>
  <si>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</si>
  <si>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</si>
  <si>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</si>
  <si>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</si>
  <si>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</si>
  <si>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</si>
  <si>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</si>
  <si>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</si>
  <si>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</si>
  <si>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</si>
  <si>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</si>
  <si>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</si>
  <si>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</si>
  <si>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</si>
  <si>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</si>
  <si>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</si>
  <si>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</si>
  <si>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</si>
  <si>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</si>
  <si>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</si>
  <si>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</si>
  <si>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</si>
  <si>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</si>
  <si>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</si>
  <si>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</si>
  <si>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</si>
  <si>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</si>
  <si>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</si>
  <si>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</si>
  <si>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</si>
  <si>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</si>
  <si>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</si>
  <si>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</si>
  <si>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</si>
  <si>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</si>
  <si>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</si>
  <si>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</si>
  <si>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</si>
  <si>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</si>
  <si>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</si>
  <si>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</si>
  <si>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</si>
  <si>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</si>
  <si>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</si>
  <si>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</si>
  <si>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</si>
  <si>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</si>
  <si>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</si>
  <si>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</si>
  <si>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</si>
  <si>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</si>
  <si>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</si>
  <si>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</si>
  <si>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</si>
  <si>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</si>
  <si>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</si>
  <si>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</si>
  <si>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</si>
  <si>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</si>
  <si>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</si>
  <si>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</si>
  <si>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</si>
  <si>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</si>
  <si>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</si>
  <si>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</si>
  <si>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</si>
  <si>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</si>
  <si>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</si>
  <si>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</si>
  <si>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</si>
  <si>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</si>
  <si>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</si>
  <si>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</si>
  <si>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</si>
  <si>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</si>
  <si>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</si>
  <si>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</si>
  <si>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</si>
  <si>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</si>
  <si>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</si>
  <si>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</si>
  <si>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</si>
  <si>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</si>
  <si>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</si>
  <si>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</si>
  <si>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</si>
  <si>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</si>
  <si>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</si>
  <si>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</si>
  <si>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</si>
  <si>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</si>
  <si>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</si>
  <si>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</si>
  <si>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</si>
  <si>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</si>
  <si>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</si>
  <si>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</si>
  <si>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</si>
  <si>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</si>
  <si>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</si>
  <si>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</si>
  <si>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</si>
  <si>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</si>
  <si>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</si>
  <si>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</si>
  <si>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</si>
  <si>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</si>
  <si>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</si>
  <si>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</si>
  <si>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</si>
  <si>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</si>
  <si>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</si>
  <si>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</si>
  <si>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</si>
  <si>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</si>
  <si>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</si>
  <si>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</si>
  <si>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</si>
  <si>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</si>
  <si>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</si>
  <si>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</si>
  <si>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</si>
  <si>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</si>
  <si>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</si>
  <si>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</si>
  <si>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</si>
  <si>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</si>
  <si>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</si>
  <si>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</si>
  <si>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</si>
  <si>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</si>
  <si>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</si>
  <si>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</si>
  <si>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</si>
  <si>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</si>
  <si>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</si>
  <si>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</si>
  <si>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</si>
  <si>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</si>
  <si>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</si>
  <si>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</si>
  <si>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</si>
  <si>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</si>
  <si>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</si>
  <si>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</si>
  <si>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</si>
  <si>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</si>
  <si>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</si>
  <si>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</si>
  <si>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</si>
  <si>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</si>
  <si>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</si>
  <si>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</si>
  <si>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</si>
  <si>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</si>
  <si>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</si>
  <si>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</si>
  <si>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</si>
  <si>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</si>
  <si>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</si>
  <si>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</si>
  <si>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</si>
  <si>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</si>
  <si>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</si>
  <si>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</si>
  <si>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</si>
  <si>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</si>
  <si>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</si>
  <si>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</si>
  <si>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</si>
  <si>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</si>
  <si>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</si>
  <si>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</si>
  <si>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</si>
  <si>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</si>
  <si>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</si>
  <si>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</si>
  <si>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</si>
  <si>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</si>
  <si>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</si>
  <si>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</si>
  <si>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</si>
  <si>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</si>
  <si>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</si>
  <si>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</si>
  <si>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</si>
  <si>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</si>
  <si>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</si>
  <si>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</si>
  <si>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</si>
  <si>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</si>
  <si>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</si>
  <si>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</si>
  <si>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</si>
  <si>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</si>
  <si>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</si>
  <si>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</si>
  <si>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</si>
  <si>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</si>
  <si>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</si>
  <si>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</si>
  <si>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</si>
  <si>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</si>
  <si>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</si>
  <si>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</si>
  <si>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</si>
  <si>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</si>
  <si>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</si>
  <si>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</si>
  <si>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</si>
  <si>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</si>
  <si>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</si>
  <si>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</si>
  <si>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</si>
  <si>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</si>
  <si>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</si>
  <si>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</si>
  <si>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</si>
  <si>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</si>
  <si>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</si>
  <si>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</si>
  <si>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</si>
  <si>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</si>
  <si>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</si>
  <si>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</si>
  <si>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</si>
  <si>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</si>
  <si>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</si>
  <si>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</si>
  <si>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</si>
  <si>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</si>
  <si>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</si>
  <si>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</si>
  <si>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</si>
  <si>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</si>
  <si>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</si>
  <si>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</si>
  <si>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</si>
  <si>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</si>
  <si>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</si>
  <si>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</si>
  <si>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</si>
  <si>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</si>
  <si>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</si>
  <si>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</si>
  <si>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</si>
  <si>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</si>
  <si>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</si>
  <si>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</si>
  <si>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</si>
  <si>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</si>
  <si>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</si>
  <si>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</si>
  <si>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</si>
  <si>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</si>
  <si>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</si>
  <si>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</si>
  <si>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</si>
  <si>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</si>
  <si>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</si>
  <si>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</si>
  <si>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</si>
  <si>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</si>
  <si>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</si>
  <si>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</si>
  <si>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</si>
  <si>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</si>
  <si>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</si>
  <si>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</si>
  <si>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</si>
  <si>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</si>
  <si>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</si>
  <si>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</si>
  <si>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</si>
  <si>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</si>
  <si>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</si>
  <si>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</si>
  <si>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</si>
  <si>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</si>
  <si>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</si>
  <si>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</si>
  <si>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</si>
  <si>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</si>
  <si>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</si>
  <si>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</si>
  <si>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</si>
  <si>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</si>
  <si>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</si>
  <si>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</si>
  <si>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</si>
  <si>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</si>
  <si>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</si>
  <si>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</si>
  <si>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</si>
  <si>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</si>
  <si>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</si>
  <si>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</si>
  <si>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</si>
  <si>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</si>
  <si>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</si>
  <si>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</si>
  <si>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</si>
  <si>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</si>
  <si>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</si>
  <si>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</si>
  <si>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</si>
  <si>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</si>
  <si>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</si>
  <si>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</si>
  <si>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</si>
  <si>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</si>
  <si>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</si>
  <si>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</si>
  <si>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</si>
  <si>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</si>
  <si>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</si>
  <si>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</si>
  <si>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</si>
  <si>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</si>
  <si>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</si>
  <si>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</si>
  <si>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</si>
  <si>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</si>
  <si>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</si>
  <si>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</si>
  <si>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</si>
  <si>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</si>
  <si>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</si>
  <si>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</si>
  <si>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</si>
  <si>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</si>
  <si>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</si>
  <si>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</si>
  <si>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</si>
  <si>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</si>
  <si>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</si>
  <si>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</si>
  <si>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</si>
  <si>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</si>
  <si>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</si>
  <si>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</si>
  <si>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</si>
  <si>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</si>
  <si>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</si>
  <si>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</si>
  <si>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</si>
  <si>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</si>
  <si>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</si>
  <si>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</si>
  <si>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</si>
  <si>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</si>
  <si>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</si>
  <si>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</si>
  <si>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</si>
  <si>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</si>
  <si>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</si>
  <si>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</si>
  <si>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</si>
  <si>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</si>
  <si>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</si>
  <si>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</si>
  <si>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</si>
  <si>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</si>
  <si>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</si>
  <si>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</si>
  <si>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</si>
  <si>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</si>
  <si>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</si>
  <si>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</si>
  <si>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</si>
  <si>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</si>
  <si>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</si>
  <si>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</si>
  <si>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</si>
  <si>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</si>
  <si>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</si>
  <si>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</si>
  <si>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</si>
  <si>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</si>
  <si>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</si>
  <si>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</si>
  <si>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</si>
  <si>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</si>
  <si>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</si>
  <si>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</si>
  <si>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</si>
  <si>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</si>
  <si>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</si>
  <si>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</si>
  <si>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</si>
  <si>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</si>
  <si>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</si>
  <si>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</si>
  <si>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</si>
  <si>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</si>
  <si>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</si>
  <si>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</si>
  <si>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</si>
  <si>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</si>
  <si>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</si>
  <si>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</si>
  <si>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</si>
  <si>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</si>
  <si>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</si>
  <si>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</si>
  <si>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</si>
  <si>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</si>
  <si>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</si>
  <si>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</si>
  <si>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</si>
  <si>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</si>
  <si>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</si>
  <si>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</si>
  <si>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</si>
  <si>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</si>
  <si>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</si>
  <si>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</si>
  <si>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</si>
  <si>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</si>
  <si>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</si>
  <si>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</si>
  <si>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</si>
  <si>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</si>
  <si>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</si>
  <si>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</si>
  <si>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</si>
  <si>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</si>
  <si>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</si>
  <si>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</si>
  <si>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</si>
  <si>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</si>
  <si>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</si>
  <si>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</si>
  <si>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</si>
  <si>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</si>
  <si>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</si>
  <si>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</si>
  <si>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</si>
  <si>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</si>
  <si>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</si>
  <si>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</si>
  <si>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</si>
  <si>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</si>
  <si>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</si>
  <si>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</si>
  <si>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</si>
  <si>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</si>
  <si>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</si>
  <si>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</si>
  <si>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</si>
  <si>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</si>
  <si>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</si>
  <si>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</si>
  <si>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</si>
  <si>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</si>
  <si>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</si>
  <si>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</si>
  <si>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</si>
  <si>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</si>
  <si>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</si>
  <si>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</si>
  <si>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</si>
  <si>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</si>
  <si>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</si>
  <si>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</si>
  <si>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</si>
  <si>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</si>
  <si>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</si>
  <si>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</si>
  <si>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</si>
  <si>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</si>
  <si>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</si>
  <si>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</si>
  <si>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</si>
  <si>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</si>
  <si>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</si>
  <si>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</si>
  <si>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</si>
  <si>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</si>
  <si>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</si>
  <si>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</si>
  <si>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</si>
  <si>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</si>
  <si>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</si>
  <si>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</si>
  <si>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</si>
  <si>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</si>
  <si>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</si>
  <si>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</si>
  <si>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</si>
  <si>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</si>
  <si>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</si>
  <si>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</si>
  <si>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</si>
  <si>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</si>
  <si>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</si>
  <si>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</si>
  <si>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</si>
  <si>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</si>
  <si>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</si>
  <si>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</si>
  <si>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</si>
  <si>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</si>
  <si>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</si>
  <si>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</si>
  <si>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</si>
  <si>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</si>
  <si>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</si>
  <si>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</si>
  <si>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</si>
  <si>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</si>
  <si>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</si>
  <si>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</si>
  <si>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</si>
  <si>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</si>
  <si>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</si>
  <si>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</si>
  <si>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</si>
  <si>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</si>
  <si>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</si>
  <si>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</si>
  <si>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</si>
  <si>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</si>
  <si>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</si>
  <si>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</si>
  <si>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</si>
  <si>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</si>
  <si>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</si>
  <si>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</si>
  <si>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</si>
  <si>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</si>
  <si>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</si>
  <si>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</si>
  <si>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</si>
  <si>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</si>
  <si>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</si>
  <si>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</si>
  <si>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</si>
  <si>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</si>
  <si>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</si>
  <si>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</si>
  <si>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</si>
  <si>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</si>
  <si>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</si>
  <si>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</si>
  <si>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</si>
  <si>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</si>
  <si>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</si>
  <si>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</si>
  <si>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</si>
  <si>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</si>
  <si>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</si>
  <si>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</si>
  <si>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</si>
  <si>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</si>
  <si>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</si>
  <si>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</si>
  <si>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</si>
  <si>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</si>
  <si>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</si>
  <si>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</si>
  <si>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</si>
  <si>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</si>
  <si>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</si>
  <si>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</si>
  <si>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</si>
  <si>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</si>
  <si>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</si>
  <si>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</si>
  <si>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</si>
  <si>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</si>
  <si>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</si>
  <si>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</si>
  <si>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</si>
  <si>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</si>
  <si>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</si>
  <si>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</si>
  <si>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</si>
  <si>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</si>
  <si>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</si>
  <si>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</si>
  <si>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</si>
  <si>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</si>
  <si>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</si>
  <si>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</si>
  <si>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</si>
  <si>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</si>
  <si>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</si>
  <si>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</si>
  <si>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</si>
  <si>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</si>
  <si>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</si>
  <si>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</si>
  <si>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</si>
  <si>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</si>
  <si>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</si>
  <si>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</si>
  <si>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</si>
  <si>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</si>
  <si>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</si>
  <si>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</si>
  <si>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</si>
  <si>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</si>
  <si>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</si>
  <si>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</si>
  <si>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</si>
  <si>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</si>
  <si>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</si>
  <si>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</si>
  <si>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</si>
  <si>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</si>
  <si>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</si>
  <si>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</si>
  <si>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</si>
  <si>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</si>
  <si>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</si>
  <si>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</si>
  <si>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</si>
  <si>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</si>
  <si>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</si>
  <si>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</si>
  <si>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</si>
  <si>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</si>
  <si>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</si>
  <si>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</si>
  <si>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</si>
  <si>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</si>
  <si>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</si>
  <si>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</si>
  <si>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</si>
  <si>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</si>
  <si>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</si>
  <si>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</si>
  <si>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</si>
  <si>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</si>
  <si>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</si>
  <si>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</si>
  <si>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</si>
  <si>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</si>
  <si>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</si>
  <si>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</si>
  <si>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</si>
  <si>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</si>
  <si>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</si>
  <si>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</si>
  <si>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</si>
  <si>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</si>
  <si>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</si>
  <si>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</si>
  <si>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</si>
  <si>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</si>
  <si>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</si>
  <si>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</si>
  <si>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</si>
  <si>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</si>
  <si>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</si>
  <si>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</si>
  <si>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</si>
  <si>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</si>
  <si>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</si>
  <si>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</si>
  <si>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</si>
  <si>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</si>
  <si>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</si>
  <si>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</si>
  <si>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</si>
  <si>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</si>
  <si>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</si>
  <si>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</si>
  <si>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</si>
  <si>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</si>
  <si>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</si>
  <si>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</si>
  <si>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</si>
  <si>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</si>
  <si>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</si>
  <si>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</si>
  <si>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</si>
  <si>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</si>
  <si>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</si>
  <si>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</si>
  <si>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</si>
  <si>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</si>
  <si>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</si>
  <si>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</si>
  <si>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</si>
  <si>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</si>
  <si>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</si>
  <si>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</si>
  <si>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</si>
  <si>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</si>
  <si>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</si>
  <si>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</si>
  <si>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</si>
  <si>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</si>
  <si>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</si>
  <si>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</si>
  <si>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</si>
  <si>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</si>
  <si>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</si>
  <si>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</si>
  <si>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</si>
  <si>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</si>
  <si>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</si>
  <si>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</si>
  <si>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</si>
  <si>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</si>
  <si>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</si>
  <si>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</si>
  <si>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</si>
  <si>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</si>
  <si>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</si>
  <si>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</si>
  <si>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</si>
  <si>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</si>
  <si>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</si>
  <si>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</si>
  <si>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</si>
  <si>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</si>
  <si>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</si>
  <si>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</si>
  <si>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</si>
  <si>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</si>
  <si>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</si>
  <si>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</si>
  <si>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</si>
  <si>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</si>
  <si>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</si>
  <si>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</si>
  <si>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</si>
  <si>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</si>
  <si>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</si>
  <si>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</si>
  <si>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</si>
  <si>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</si>
  <si>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</si>
  <si>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</si>
  <si>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</si>
  <si>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</si>
  <si>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</si>
  <si>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</si>
  <si>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DIET-P-0043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</si>
  <si>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</si>
  <si>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</si>
  <si>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</si>
  <si>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</si>
  <si>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</si>
  <si>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</si>
  <si>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</si>
  <si>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</si>
  <si>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</si>
  <si>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</si>
  <si>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</si>
  <si>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</si>
  <si>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</si>
  <si>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</si>
  <si>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</si>
  <si>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</si>
  <si>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</si>
  <si>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</si>
  <si>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</si>
  <si>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</si>
  <si>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</si>
  <si>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</si>
  <si>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</si>
  <si>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</si>
  <si>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</si>
  <si>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</si>
  <si>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</si>
  <si>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</si>
  <si>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</si>
  <si>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</si>
  <si>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</si>
  <si>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</si>
  <si>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</si>
  <si>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</si>
  <si>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</si>
  <si>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</si>
  <si>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</si>
  <si>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</si>
  <si>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</si>
  <si>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</si>
  <si>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</si>
  <si>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</si>
  <si>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</si>
  <si>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</si>
  <si>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</si>
  <si>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</si>
  <si>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</si>
  <si>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</si>
  <si>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</si>
  <si>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</si>
  <si>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</si>
  <si>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</si>
  <si>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</si>
  <si>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</si>
  <si>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</si>
  <si>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</si>
  <si>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</si>
  <si>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</si>
  <si>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</si>
  <si>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</si>
  <si>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</si>
  <si>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</si>
  <si>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</si>
  <si>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</si>
  <si>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</si>
  <si>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</si>
  <si>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</si>
  <si>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</si>
  <si>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</si>
  <si>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</si>
  <si>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</si>
  <si>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</si>
  <si>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</si>
  <si>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</si>
  <si>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</si>
  <si>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</si>
  <si>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</si>
  <si>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</si>
  <si>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</si>
  <si>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</si>
  <si>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</si>
  <si>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</si>
  <si>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</si>
  <si>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</si>
  <si>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</si>
  <si>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</si>
  <si>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</si>
  <si>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</si>
  <si>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</si>
  <si>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</si>
  <si>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</si>
  <si>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</si>
  <si>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</si>
  <si>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</si>
  <si>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</si>
  <si>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</si>
  <si>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</si>
  <si>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</si>
  <si>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</si>
  <si>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</si>
  <si>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</si>
  <si>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</si>
  <si>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</si>
  <si>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</si>
  <si>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</si>
  <si>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</si>
  <si>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</si>
  <si>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</si>
  <si>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</si>
  <si>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</si>
  <si>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</si>
  <si>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</si>
  <si>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</si>
  <si>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</si>
  <si>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</si>
  <si>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</si>
  <si>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</si>
  <si>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</si>
  <si>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</si>
  <si>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</si>
  <si>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</si>
  <si>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</si>
  <si>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</si>
  <si>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</si>
  <si>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</si>
  <si>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</si>
  <si>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</si>
  <si>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</si>
  <si>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</si>
  <si>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</si>
  <si>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근거 확인 필요 (질환규칙 DX-05 개별화 원칙)</t>
  </si>
  <si>
    <t>2026-10-07 추가. 먹는 양을 바꾸지 않는 기록 행동이라 만성 신장질환 사용자의 결식 시에도 쓸 수 있고, 진료나 상담을 받지 않는 사용자도 실행할 수 있다. 계약서 미반영</t>
  </si>
  <si>
    <t>N222</t>
    <phoneticPr fontId="1" type="noConversion"/>
  </si>
  <si>
    <t>식사 시간 정해 두기</t>
  </si>
  <si>
    <t>시간이 일정하면 끼니를 놓치기 어려워요.</t>
  </si>
  <si>
    <t>2026-10-07 추가. 먹는 양이 아니라 규칙성만 다루는 행동이라 만성 신장질환 사용자의 결식 시에도 쓸 수 있다. 계약서 미반영</t>
  </si>
  <si>
    <t>N223</t>
  </si>
  <si>
    <t>출출하면 가볍게 요기하기</t>
  </si>
  <si>
    <t>저녁을 적게 먹어 허기가 지면 소화가 편한 음식을 조금 먹어요.</t>
  </si>
  <si>
    <t>자정 전</t>
  </si>
  <si>
    <t>2026-10-07 추가. 저녁에 「조금 적게」「거의 못 먹거나 걸렀어요」를 답한 사용자의 회복 목표. 증량 성격이라 만성 신장질환은 기존 규칙대로 제외. 기획·가정의학 관점 검토 후 승인</t>
  </si>
  <si>
    <t>DIET-P-0269</t>
  </si>
  <si>
    <t>N224</t>
  </si>
  <si>
    <t>따뜻한 우유나 두유 한 잔</t>
  </si>
  <si>
    <t>따뜻한 음료로 속을 달래며 부족한 한 끼를 조금 채워요. 한 끼 전체를 대신하지는 않아요.</t>
  </si>
  <si>
    <t>DIET-P-0270</t>
  </si>
  <si>
    <t>N225</t>
  </si>
  <si>
    <t>내일 아침 챙길 것 준비하기</t>
  </si>
  <si>
    <t>저녁을 적게 먹은 날은 내일 아침거리를 미리 준비해 둬요.</t>
  </si>
  <si>
    <t>DIET-P-0271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</si>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</sst>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1190</v>
      </c>
    </row>
    <row r="4" spans="1:4">
      <c r="A4" s="2" t="s">
        <v>11</v>
      </c>
      <c r="B4" s="2" t="s">
        <v>773</v>
      </c>
      <c r="C4" s="2" t="s">
        <v>774</v>
      </c>
      <c r="D4" s="2" t="s">
        <v>775</v>
      </c>
    </row>
    <row r="5" spans="1:4">
      <c r="A5" s="5" t="s">
        <v>23</v>
      </c>
      <c r="B5" s="5" t="s">
        <v>776</v>
      </c>
      <c r="C5" s="5">
        <f>COUNTIF(검수결과!L:L,"승인")</f>
        <v>167</v>
      </c>
      <c r="D5" s="5" t="s">
        <v>777</v>
      </c>
    </row>
    <row r="6" spans="1:4">
      <c r="A6" s="5" t="s">
        <v>130</v>
      </c>
      <c r="B6" s="5" t="s">
        <v>778</v>
      </c>
      <c r="C6" s="5">
        <f>COUNTIF(검수결과!L:L,"조건부")</f>
        <v>12</v>
      </c>
      <c r="D6" s="5" t="s">
        <v>779</v>
      </c>
    </row>
    <row r="7" spans="1:4">
      <c r="A7" s="5" t="s">
        <v>196</v>
      </c>
      <c r="B7" s="5" t="s">
        <v>780</v>
      </c>
      <c r="C7" s="5">
        <f>COUNTIF(검수결과!L:L,"수정")</f>
        <v>6</v>
      </c>
      <c r="D7" s="5" t="s">
        <v>781</v>
      </c>
    </row>
    <row r="8" spans="1:4">
      <c r="A8" s="5" t="s">
        <v>144</v>
      </c>
      <c r="B8" s="5" t="s">
        <v>782</v>
      </c>
      <c r="C8" s="5">
        <f>COUNTIF(검수결과!L:L,"확인 필요")</f>
        <v>2</v>
      </c>
      <c r="D8" s="5" t="s">
        <v>783</v>
      </c>
    </row>
    <row r="9" spans="1:4">
      <c r="A9" s="5" t="s">
        <v>124</v>
      </c>
      <c r="B9" s="5" t="s">
        <v>784</v>
      </c>
      <c r="C9" s="5">
        <f>COUNTIF(검수결과!L:L,"보류")</f>
        <v>2</v>
      </c>
      <c r="D9" s="5" t="s">
        <v>785</v>
      </c>
    </row>
    <row r="10" spans="1:4">
      <c r="A10" s="5" t="s">
        <v>27</v>
      </c>
      <c r="B10" s="5" t="s">
        <v>786</v>
      </c>
      <c r="C10" s="5">
        <f>COUNTIF(검수결과!L:L,"삭제")</f>
        <v>5</v>
      </c>
      <c r="D10" s="5" t="s">
        <v>787</v>
      </c>
    </row>
    <row r="11" spans="1:4">
      <c r="A11" s="6" t="s">
        <v>788</v>
      </c>
      <c r="B11" s="5"/>
      <c r="C11" s="6">
        <f>SUM(C5:C10)</f>
        <v>194</v>
      </c>
      <c r="D11" s="5"/>
    </row>
    <row r="13" spans="1:4">
      <c r="A13" s="4" t="s">
        <v>789</v>
      </c>
    </row>
    <row r="14" spans="1:4">
      <c r="A14" s="7" t="s">
        <v>790</v>
      </c>
    </row>
    <row r="15" spans="1:4">
      <c r="A15" s="7" t="s">
        <v>791</v>
      </c>
    </row>
    <row r="16" spans="1:4">
      <c r="A16" s="7" t="s">
        <v>792</v>
      </c>
    </row>
    <row r="17" spans="1:1">
      <c r="A17" s="7" t="s">
        <v>793</v>
      </c>
    </row>
    <row r="19" spans="1:1">
      <c r="A19" t="s">
        <v>1164</v>
      </c>
    </row>
    <row r="20" spans="1:1">
      <c r="A20" t="s">
        <v>1165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6"/>
  <sheetViews>
    <sheetView workbookViewId="0">
      <pane ySplit="1" topLeftCell="A195" activePane="bottomLeft" state="frozen"/>
      <selection pane="bottomLeft" activeCell="A226" sqref="A226:XFD226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1031</v>
      </c>
      <c r="P1" t="s">
        <v>1032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  <c r="O2" t="s">
        <v>1033</v>
      </c>
      <c r="P2" t="s">
        <v>1034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  <c r="O3" t="s">
        <v>22</v>
      </c>
      <c r="P3" t="s">
        <v>1035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1" t="s">
        <v>846</v>
      </c>
      <c r="F4" s="10" t="s">
        <v>816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  <c r="O4" t="s">
        <v>1036</v>
      </c>
      <c r="P4" t="s">
        <v>1034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1" t="s">
        <v>847</v>
      </c>
      <c r="F5" s="10" t="s">
        <v>794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  <c r="O5" t="s">
        <v>1037</v>
      </c>
      <c r="P5" t="s">
        <v>1038</v>
      </c>
    </row>
    <row r="6" spans="1:16">
      <c r="A6" s="1" t="s">
        <v>37</v>
      </c>
      <c r="B6" s="1" t="s">
        <v>15</v>
      </c>
      <c r="C6" s="1" t="s">
        <v>16</v>
      </c>
      <c r="D6" s="1" t="s">
        <v>34</v>
      </c>
      <c r="E6" s="11" t="s">
        <v>848</v>
      </c>
      <c r="F6" s="10" t="s">
        <v>817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  <c r="O6" t="s">
        <v>1039</v>
      </c>
      <c r="P6" t="s">
        <v>1038</v>
      </c>
    </row>
    <row r="7" spans="1:16">
      <c r="A7" s="1" t="s">
        <v>41</v>
      </c>
      <c r="B7" s="1" t="s">
        <v>15</v>
      </c>
      <c r="C7" s="1" t="s">
        <v>42</v>
      </c>
      <c r="D7" s="1" t="s">
        <v>17</v>
      </c>
      <c r="E7" s="11" t="s">
        <v>849</v>
      </c>
      <c r="F7" s="10" t="s">
        <v>795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  <c r="O7" t="s">
        <v>1040</v>
      </c>
      <c r="P7" t="s">
        <v>1038</v>
      </c>
    </row>
    <row r="8" spans="1:16">
      <c r="A8" s="1" t="s">
        <v>46</v>
      </c>
      <c r="B8" s="1" t="s">
        <v>15</v>
      </c>
      <c r="C8" s="1" t="s">
        <v>42</v>
      </c>
      <c r="D8" s="1" t="s">
        <v>17</v>
      </c>
      <c r="E8" s="11" t="s">
        <v>850</v>
      </c>
      <c r="F8" s="10" t="s">
        <v>796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  <c r="O8" t="s">
        <v>1041</v>
      </c>
      <c r="P8" t="s">
        <v>1034</v>
      </c>
    </row>
    <row r="9" spans="1:16">
      <c r="A9" s="1" t="s">
        <v>49</v>
      </c>
      <c r="B9" s="1" t="s">
        <v>15</v>
      </c>
      <c r="C9" s="1" t="s">
        <v>42</v>
      </c>
      <c r="D9" s="1" t="s">
        <v>30</v>
      </c>
      <c r="E9" s="11" t="s">
        <v>851</v>
      </c>
      <c r="F9" s="10" t="s">
        <v>797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  <c r="O9" t="s">
        <v>1042</v>
      </c>
      <c r="P9" t="s">
        <v>1038</v>
      </c>
    </row>
    <row r="10" spans="1:16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852</v>
      </c>
      <c r="F10" s="10" t="s">
        <v>798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  <c r="O10" t="s">
        <v>1043</v>
      </c>
      <c r="P10" t="s">
        <v>1038</v>
      </c>
    </row>
    <row r="11" spans="1:16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  <c r="O11" t="s">
        <v>1044</v>
      </c>
      <c r="P11" t="s">
        <v>1034</v>
      </c>
    </row>
    <row r="12" spans="1:16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853</v>
      </c>
      <c r="F12" s="10" t="s">
        <v>818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  <c r="O12" t="s">
        <v>1045</v>
      </c>
      <c r="P12" t="s">
        <v>1038</v>
      </c>
    </row>
    <row r="13" spans="1:16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  <c r="O13" t="s">
        <v>1046</v>
      </c>
      <c r="P13" t="s">
        <v>1038</v>
      </c>
    </row>
    <row r="14" spans="1:16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  <c r="O14" t="s">
        <v>1047</v>
      </c>
      <c r="P14" t="s">
        <v>1038</v>
      </c>
    </row>
    <row r="15" spans="1:16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  <c r="O15" t="s">
        <v>22</v>
      </c>
      <c r="P15" t="s">
        <v>1035</v>
      </c>
    </row>
    <row r="16" spans="1:16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854</v>
      </c>
      <c r="F16" s="10" t="s">
        <v>799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  <c r="O16" t="s">
        <v>1048</v>
      </c>
      <c r="P16" t="s">
        <v>1034</v>
      </c>
    </row>
    <row r="17" spans="1:16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  <c r="O17" t="s">
        <v>1049</v>
      </c>
      <c r="P17" t="s">
        <v>1038</v>
      </c>
    </row>
    <row r="18" spans="1:16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855</v>
      </c>
      <c r="F18" s="10" t="s">
        <v>819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  <c r="O18" t="s">
        <v>1050</v>
      </c>
      <c r="P18" t="s">
        <v>1034</v>
      </c>
    </row>
    <row r="19" spans="1:16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  <c r="O19" t="s">
        <v>1051</v>
      </c>
      <c r="P19" t="s">
        <v>1034</v>
      </c>
    </row>
    <row r="20" spans="1:16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856</v>
      </c>
      <c r="F20" s="10" t="s">
        <v>820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  <c r="O20" t="s">
        <v>1052</v>
      </c>
      <c r="P20" t="s">
        <v>1038</v>
      </c>
    </row>
    <row r="21" spans="1:16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857</v>
      </c>
      <c r="F21" s="10" t="s">
        <v>821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  <c r="O21" t="s">
        <v>1053</v>
      </c>
      <c r="P21" t="s">
        <v>1034</v>
      </c>
    </row>
    <row r="22" spans="1:16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858</v>
      </c>
      <c r="F22" s="10" t="s">
        <v>800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  <c r="O22" t="s">
        <v>1054</v>
      </c>
      <c r="P22" t="s">
        <v>1034</v>
      </c>
    </row>
    <row r="23" spans="1:16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  <c r="O23" t="s">
        <v>22</v>
      </c>
      <c r="P23" t="s">
        <v>1035</v>
      </c>
    </row>
    <row r="24" spans="1:16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  <c r="O24" t="s">
        <v>22</v>
      </c>
      <c r="P24" t="s">
        <v>1035</v>
      </c>
    </row>
    <row r="25" spans="1:16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  <c r="O25" t="s">
        <v>22</v>
      </c>
      <c r="P25" t="s">
        <v>1035</v>
      </c>
    </row>
    <row r="26" spans="1:16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  <c r="O26" t="s">
        <v>22</v>
      </c>
      <c r="P26" t="s">
        <v>1035</v>
      </c>
    </row>
    <row r="27" spans="1:16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  <c r="O27" t="s">
        <v>22</v>
      </c>
      <c r="P27" t="s">
        <v>1035</v>
      </c>
    </row>
    <row r="28" spans="1:16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  <c r="O28" t="s">
        <v>22</v>
      </c>
      <c r="P28" t="s">
        <v>1035</v>
      </c>
    </row>
    <row r="29" spans="1:16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  <c r="O29" t="s">
        <v>22</v>
      </c>
      <c r="P29" t="s">
        <v>1035</v>
      </c>
    </row>
    <row r="30" spans="1:16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859</v>
      </c>
      <c r="F30" s="10" t="s">
        <v>822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  <c r="O30" t="s">
        <v>1055</v>
      </c>
      <c r="P30" t="s">
        <v>1038</v>
      </c>
    </row>
    <row r="31" spans="1:16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  <c r="O31" t="s">
        <v>22</v>
      </c>
      <c r="P31" t="s">
        <v>1035</v>
      </c>
    </row>
    <row r="32" spans="1:16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  <c r="O32" t="s">
        <v>22</v>
      </c>
      <c r="P32" t="s">
        <v>1035</v>
      </c>
    </row>
    <row r="33" spans="1:16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  <c r="O33" t="s">
        <v>22</v>
      </c>
      <c r="P33" t="s">
        <v>1035</v>
      </c>
    </row>
    <row r="34" spans="1:16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  <c r="O34" t="s">
        <v>1056</v>
      </c>
      <c r="P34" t="s">
        <v>1038</v>
      </c>
    </row>
    <row r="35" spans="1:16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860</v>
      </c>
      <c r="F35" s="10" t="s">
        <v>801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  <c r="O35" t="s">
        <v>1057</v>
      </c>
      <c r="P35" t="s">
        <v>1038</v>
      </c>
    </row>
    <row r="36" spans="1:16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  <c r="O36" t="s">
        <v>1058</v>
      </c>
      <c r="P36" t="s">
        <v>1038</v>
      </c>
    </row>
    <row r="37" spans="1:16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  <c r="O37" t="s">
        <v>1059</v>
      </c>
      <c r="P37" t="s">
        <v>1034</v>
      </c>
    </row>
    <row r="38" spans="1:16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861</v>
      </c>
      <c r="F38" s="10" t="s">
        <v>823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  <c r="O38" t="s">
        <v>1060</v>
      </c>
      <c r="P38" t="s">
        <v>1034</v>
      </c>
    </row>
    <row r="39" spans="1:16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862</v>
      </c>
      <c r="F39" s="10" t="s">
        <v>802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  <c r="O39" t="s">
        <v>1061</v>
      </c>
      <c r="P39" t="s">
        <v>1038</v>
      </c>
    </row>
    <row r="40" spans="1:16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863</v>
      </c>
      <c r="F40" s="10" t="s">
        <v>824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  <c r="O40" t="s">
        <v>1062</v>
      </c>
      <c r="P40" t="s">
        <v>1034</v>
      </c>
    </row>
    <row r="41" spans="1:16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864</v>
      </c>
      <c r="F41" s="10" t="s">
        <v>825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  <c r="O41" t="s">
        <v>1063</v>
      </c>
      <c r="P41" t="s">
        <v>1038</v>
      </c>
    </row>
    <row r="42" spans="1:16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865</v>
      </c>
      <c r="F42" s="10" t="s">
        <v>803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  <c r="O42" t="s">
        <v>1064</v>
      </c>
      <c r="P42" t="s">
        <v>1038</v>
      </c>
    </row>
    <row r="43" spans="1:16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  <c r="O43" t="s">
        <v>1065</v>
      </c>
      <c r="P43" t="s">
        <v>1038</v>
      </c>
    </row>
    <row r="44" spans="1:16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  <c r="O44" t="s">
        <v>22</v>
      </c>
      <c r="P44" t="s">
        <v>1035</v>
      </c>
    </row>
    <row r="45" spans="1:16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  <c r="O45" t="s">
        <v>22</v>
      </c>
      <c r="P45" t="s">
        <v>1035</v>
      </c>
    </row>
    <row r="46" spans="1:16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  <c r="O46" t="s">
        <v>1066</v>
      </c>
      <c r="P46" t="s">
        <v>1034</v>
      </c>
    </row>
    <row r="47" spans="1:16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  <c r="O47" t="s">
        <v>1067</v>
      </c>
      <c r="P47" t="s">
        <v>1034</v>
      </c>
    </row>
    <row r="48" spans="1:16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  <c r="O48" t="s">
        <v>22</v>
      </c>
      <c r="P48" t="s">
        <v>1035</v>
      </c>
    </row>
    <row r="49" spans="1:16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  <c r="O49" t="s">
        <v>22</v>
      </c>
      <c r="P49" t="s">
        <v>1035</v>
      </c>
    </row>
    <row r="50" spans="1:16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  <c r="O50" t="s">
        <v>22</v>
      </c>
      <c r="P50" t="s">
        <v>1035</v>
      </c>
    </row>
    <row r="51" spans="1:16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866</v>
      </c>
      <c r="F51" s="10" t="s">
        <v>826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  <c r="O51" t="s">
        <v>1068</v>
      </c>
      <c r="P51" t="s">
        <v>1034</v>
      </c>
    </row>
    <row r="52" spans="1:16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867</v>
      </c>
      <c r="F52" s="10" t="s">
        <v>827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  <c r="O52" t="s">
        <v>1069</v>
      </c>
      <c r="P52" t="s">
        <v>1038</v>
      </c>
    </row>
    <row r="53" spans="1:16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868</v>
      </c>
      <c r="F53" s="10" t="s">
        <v>804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  <c r="O53" t="s">
        <v>1070</v>
      </c>
      <c r="P53" t="s">
        <v>1034</v>
      </c>
    </row>
    <row r="54" spans="1:16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  <c r="O54" t="s">
        <v>22</v>
      </c>
      <c r="P54" t="s">
        <v>1035</v>
      </c>
    </row>
    <row r="55" spans="1:16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  <c r="O55" t="s">
        <v>22</v>
      </c>
      <c r="P55" t="s">
        <v>1035</v>
      </c>
    </row>
    <row r="56" spans="1:16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  <c r="O56" t="s">
        <v>22</v>
      </c>
      <c r="P56" t="s">
        <v>1035</v>
      </c>
    </row>
    <row r="57" spans="1:16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869</v>
      </c>
      <c r="F57" s="10" t="s">
        <v>805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  <c r="O57" t="s">
        <v>1071</v>
      </c>
      <c r="P57" t="s">
        <v>1038</v>
      </c>
    </row>
    <row r="58" spans="1:16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870</v>
      </c>
      <c r="F58" s="10" t="s">
        <v>806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  <c r="O58" t="s">
        <v>1072</v>
      </c>
      <c r="P58" t="s">
        <v>1034</v>
      </c>
    </row>
    <row r="59" spans="1:16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871</v>
      </c>
      <c r="F59" s="10" t="s">
        <v>828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  <c r="O59" t="s">
        <v>1073</v>
      </c>
      <c r="P59" t="s">
        <v>1034</v>
      </c>
    </row>
    <row r="60" spans="1:16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  <c r="O60" t="s">
        <v>22</v>
      </c>
      <c r="P60" t="s">
        <v>1035</v>
      </c>
    </row>
    <row r="61" spans="1:16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  <c r="O61" t="s">
        <v>22</v>
      </c>
      <c r="P61" t="s">
        <v>1035</v>
      </c>
    </row>
    <row r="62" spans="1:16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  <c r="O62" t="s">
        <v>22</v>
      </c>
      <c r="P62" t="s">
        <v>1035</v>
      </c>
    </row>
    <row r="63" spans="1:16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  <c r="O63" t="s">
        <v>22</v>
      </c>
      <c r="P63" t="s">
        <v>1035</v>
      </c>
    </row>
    <row r="64" spans="1:16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  <c r="O64" t="s">
        <v>1074</v>
      </c>
      <c r="P64" t="s">
        <v>1038</v>
      </c>
    </row>
    <row r="65" spans="1:16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  <c r="O65" t="s">
        <v>22</v>
      </c>
      <c r="P65" t="s">
        <v>1035</v>
      </c>
    </row>
    <row r="66" spans="1:16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872</v>
      </c>
      <c r="F66" s="10" t="s">
        <v>829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  <c r="O66" t="s">
        <v>1075</v>
      </c>
      <c r="P66" t="s">
        <v>1038</v>
      </c>
    </row>
    <row r="67" spans="1:16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  <c r="O67" t="s">
        <v>1076</v>
      </c>
      <c r="P67" t="s">
        <v>1038</v>
      </c>
    </row>
    <row r="68" spans="1:16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873</v>
      </c>
      <c r="F68" s="10" t="s">
        <v>807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  <c r="O68" t="s">
        <v>1077</v>
      </c>
      <c r="P68" t="s">
        <v>1038</v>
      </c>
    </row>
    <row r="69" spans="1:16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874</v>
      </c>
      <c r="F69" s="10" t="s">
        <v>830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  <c r="O69" t="s">
        <v>1078</v>
      </c>
      <c r="P69" t="s">
        <v>1038</v>
      </c>
    </row>
    <row r="70" spans="1:16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  <c r="O70" t="s">
        <v>22</v>
      </c>
      <c r="P70" t="s">
        <v>1035</v>
      </c>
    </row>
    <row r="71" spans="1:16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  <c r="O71" t="s">
        <v>1079</v>
      </c>
      <c r="P71" t="s">
        <v>1034</v>
      </c>
    </row>
    <row r="72" spans="1:16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  <c r="O72" t="s">
        <v>22</v>
      </c>
      <c r="P72" t="s">
        <v>1035</v>
      </c>
    </row>
    <row r="73" spans="1:16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  <c r="O73" t="s">
        <v>22</v>
      </c>
      <c r="P73" t="s">
        <v>1035</v>
      </c>
    </row>
    <row r="74" spans="1:16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  <c r="O74" t="s">
        <v>1080</v>
      </c>
      <c r="P74" t="s">
        <v>1034</v>
      </c>
    </row>
    <row r="75" spans="1:16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  <c r="O75" t="s">
        <v>22</v>
      </c>
      <c r="P75" t="s">
        <v>1035</v>
      </c>
    </row>
    <row r="76" spans="1:16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  <c r="O76" t="s">
        <v>22</v>
      </c>
      <c r="P76" t="s">
        <v>1035</v>
      </c>
    </row>
    <row r="77" spans="1:16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  <c r="O77" t="s">
        <v>22</v>
      </c>
      <c r="P77" t="s">
        <v>1035</v>
      </c>
    </row>
    <row r="78" spans="1:16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  <c r="O78" t="s">
        <v>1081</v>
      </c>
      <c r="P78" t="s">
        <v>1038</v>
      </c>
    </row>
    <row r="79" spans="1:16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875</v>
      </c>
      <c r="F79" s="10" t="s">
        <v>808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  <c r="O79" t="s">
        <v>1082</v>
      </c>
      <c r="P79" t="s">
        <v>1038</v>
      </c>
    </row>
    <row r="80" spans="1:16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  <c r="O80" t="s">
        <v>22</v>
      </c>
      <c r="P80" t="s">
        <v>1035</v>
      </c>
    </row>
    <row r="81" spans="1:16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  <c r="O81" t="s">
        <v>22</v>
      </c>
      <c r="P81" t="s">
        <v>1035</v>
      </c>
    </row>
    <row r="82" spans="1:16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  <c r="O82" t="s">
        <v>1083</v>
      </c>
      <c r="P82" t="s">
        <v>1034</v>
      </c>
    </row>
    <row r="83" spans="1:16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876</v>
      </c>
      <c r="F83" s="10" t="s">
        <v>831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  <c r="O83" t="s">
        <v>1084</v>
      </c>
      <c r="P83" t="s">
        <v>1038</v>
      </c>
    </row>
    <row r="84" spans="1:16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  <c r="O84" t="s">
        <v>22</v>
      </c>
      <c r="P84" t="s">
        <v>1035</v>
      </c>
    </row>
    <row r="85" spans="1:16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877</v>
      </c>
      <c r="F85" s="10" t="s">
        <v>832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  <c r="O85" t="s">
        <v>1085</v>
      </c>
      <c r="P85" t="s">
        <v>1038</v>
      </c>
    </row>
    <row r="86" spans="1:16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878</v>
      </c>
      <c r="F86" s="10" t="s">
        <v>809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  <c r="O86" t="s">
        <v>1086</v>
      </c>
      <c r="P86" t="s">
        <v>1038</v>
      </c>
    </row>
    <row r="87" spans="1:16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  <c r="O87" t="s">
        <v>22</v>
      </c>
      <c r="P87" t="s">
        <v>1035</v>
      </c>
    </row>
    <row r="88" spans="1:16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879</v>
      </c>
      <c r="F88" s="10" t="s">
        <v>833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  <c r="O88" t="s">
        <v>1087</v>
      </c>
      <c r="P88" t="s">
        <v>1034</v>
      </c>
    </row>
    <row r="89" spans="1:16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  <c r="O89" t="s">
        <v>22</v>
      </c>
      <c r="P89" t="s">
        <v>1035</v>
      </c>
    </row>
    <row r="90" spans="1:16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880</v>
      </c>
      <c r="F90" s="10" t="s">
        <v>810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  <c r="O90" t="s">
        <v>1088</v>
      </c>
      <c r="P90" t="s">
        <v>1038</v>
      </c>
    </row>
    <row r="91" spans="1:16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  <c r="O91" t="s">
        <v>22</v>
      </c>
      <c r="P91" t="s">
        <v>1035</v>
      </c>
    </row>
    <row r="92" spans="1:16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  <c r="O92" t="s">
        <v>22</v>
      </c>
      <c r="P92" t="s">
        <v>1035</v>
      </c>
    </row>
    <row r="93" spans="1:16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  <c r="O93" t="s">
        <v>22</v>
      </c>
      <c r="P93" t="s">
        <v>1035</v>
      </c>
    </row>
    <row r="94" spans="1:16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  <c r="O94" t="s">
        <v>22</v>
      </c>
      <c r="P94" t="s">
        <v>1035</v>
      </c>
    </row>
    <row r="95" spans="1:16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  <c r="O95" t="s">
        <v>1089</v>
      </c>
      <c r="P95" t="s">
        <v>1034</v>
      </c>
    </row>
    <row r="96" spans="1:16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  <c r="O96" t="s">
        <v>22</v>
      </c>
      <c r="P96" t="s">
        <v>1035</v>
      </c>
    </row>
    <row r="97" spans="1:16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  <c r="O97" t="s">
        <v>22</v>
      </c>
      <c r="P97" t="s">
        <v>1035</v>
      </c>
    </row>
    <row r="98" spans="1:16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  <c r="O98" t="s">
        <v>22</v>
      </c>
      <c r="P98" t="s">
        <v>1035</v>
      </c>
    </row>
    <row r="99" spans="1:16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  <c r="O99" t="s">
        <v>22</v>
      </c>
      <c r="P99" t="s">
        <v>1035</v>
      </c>
    </row>
    <row r="100" spans="1:16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881</v>
      </c>
      <c r="F100" s="10" t="s">
        <v>900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  <c r="O100" t="s">
        <v>1090</v>
      </c>
      <c r="P100" t="s">
        <v>1034</v>
      </c>
    </row>
    <row r="101" spans="1:16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  <c r="O101" t="s">
        <v>22</v>
      </c>
      <c r="P101" t="s">
        <v>1035</v>
      </c>
    </row>
    <row r="102" spans="1:16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  <c r="O102" t="s">
        <v>22</v>
      </c>
      <c r="P102" t="s">
        <v>1035</v>
      </c>
    </row>
    <row r="103" spans="1:16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  <c r="O103" t="s">
        <v>1091</v>
      </c>
      <c r="P103" t="s">
        <v>1038</v>
      </c>
    </row>
    <row r="104" spans="1:16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  <c r="O104" t="s">
        <v>22</v>
      </c>
      <c r="P104" t="s">
        <v>1035</v>
      </c>
    </row>
    <row r="105" spans="1:16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882</v>
      </c>
      <c r="F105" s="10" t="s">
        <v>834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  <c r="O105" t="s">
        <v>1092</v>
      </c>
      <c r="P105" t="s">
        <v>1034</v>
      </c>
    </row>
    <row r="106" spans="1:16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  <c r="O106" t="s">
        <v>22</v>
      </c>
      <c r="P106" t="s">
        <v>1035</v>
      </c>
    </row>
    <row r="107" spans="1:16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  <c r="O107" t="s">
        <v>22</v>
      </c>
      <c r="P107" t="s">
        <v>1035</v>
      </c>
    </row>
    <row r="108" spans="1:16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  <c r="O108" t="s">
        <v>22</v>
      </c>
      <c r="P108" t="s">
        <v>1035</v>
      </c>
    </row>
    <row r="109" spans="1:16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  <c r="O109" t="s">
        <v>22</v>
      </c>
      <c r="P109" t="s">
        <v>1035</v>
      </c>
    </row>
    <row r="110" spans="1:16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  <c r="O110" t="s">
        <v>1093</v>
      </c>
      <c r="P110" t="s">
        <v>1034</v>
      </c>
    </row>
    <row r="111" spans="1:16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883</v>
      </c>
      <c r="F111" s="10" t="s">
        <v>835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  <c r="O111" t="s">
        <v>1094</v>
      </c>
      <c r="P111" t="s">
        <v>1038</v>
      </c>
    </row>
    <row r="112" spans="1:16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884</v>
      </c>
      <c r="F112" s="10" t="s">
        <v>836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  <c r="O112" t="s">
        <v>1095</v>
      </c>
      <c r="P112" t="s">
        <v>1034</v>
      </c>
    </row>
    <row r="113" spans="1:16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885</v>
      </c>
      <c r="F113" s="10" t="s">
        <v>837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  <c r="O113" t="s">
        <v>1096</v>
      </c>
      <c r="P113" t="s">
        <v>1038</v>
      </c>
    </row>
    <row r="114" spans="1:16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  <c r="O114" t="s">
        <v>1097</v>
      </c>
      <c r="P114" t="s">
        <v>1038</v>
      </c>
    </row>
    <row r="115" spans="1:16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  <c r="O115" t="s">
        <v>22</v>
      </c>
      <c r="P115" t="s">
        <v>1035</v>
      </c>
    </row>
    <row r="116" spans="1:16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  <c r="O116" t="s">
        <v>22</v>
      </c>
      <c r="P116" t="s">
        <v>1035</v>
      </c>
    </row>
    <row r="117" spans="1:16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886</v>
      </c>
      <c r="F117" s="10" t="s">
        <v>838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  <c r="O117" t="s">
        <v>1098</v>
      </c>
      <c r="P117" t="s">
        <v>1034</v>
      </c>
    </row>
    <row r="118" spans="1:16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  <c r="O118" t="s">
        <v>1099</v>
      </c>
      <c r="P118" t="s">
        <v>1034</v>
      </c>
    </row>
    <row r="119" spans="1:16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  <c r="O119" t="s">
        <v>22</v>
      </c>
      <c r="P119" t="s">
        <v>1035</v>
      </c>
    </row>
    <row r="120" spans="1:16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887</v>
      </c>
      <c r="F120" s="10" t="s">
        <v>839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  <c r="O120" t="s">
        <v>1100</v>
      </c>
      <c r="P120" t="s">
        <v>1038</v>
      </c>
    </row>
    <row r="121" spans="1:16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888</v>
      </c>
      <c r="F121" s="10" t="s">
        <v>901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  <c r="O121" t="s">
        <v>1101</v>
      </c>
      <c r="P121" t="s">
        <v>1034</v>
      </c>
    </row>
    <row r="122" spans="1:16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  <c r="O122" t="s">
        <v>22</v>
      </c>
      <c r="P122" t="s">
        <v>1035</v>
      </c>
    </row>
    <row r="123" spans="1:16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  <c r="O123" t="s">
        <v>22</v>
      </c>
      <c r="P123" t="s">
        <v>1035</v>
      </c>
    </row>
    <row r="124" spans="1:16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  <c r="O124" t="s">
        <v>22</v>
      </c>
      <c r="P124" t="s">
        <v>1035</v>
      </c>
    </row>
    <row r="125" spans="1:16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  <c r="O125" t="s">
        <v>1102</v>
      </c>
      <c r="P125" t="s">
        <v>1034</v>
      </c>
    </row>
    <row r="126" spans="1:16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  <c r="O126" t="s">
        <v>22</v>
      </c>
      <c r="P126" t="s">
        <v>1035</v>
      </c>
    </row>
    <row r="127" spans="1:16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  <c r="O127" t="s">
        <v>22</v>
      </c>
      <c r="P127" t="s">
        <v>1035</v>
      </c>
    </row>
    <row r="128" spans="1:16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  <c r="O128" t="s">
        <v>22</v>
      </c>
      <c r="P128" t="s">
        <v>1035</v>
      </c>
    </row>
    <row r="129" spans="1:16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  <c r="O129" t="s">
        <v>1103</v>
      </c>
      <c r="P129" t="s">
        <v>1038</v>
      </c>
    </row>
    <row r="130" spans="1:16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  <c r="O130" t="s">
        <v>22</v>
      </c>
      <c r="P130" t="s">
        <v>1035</v>
      </c>
    </row>
    <row r="131" spans="1:16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  <c r="O131" t="s">
        <v>22</v>
      </c>
      <c r="P131" t="s">
        <v>1035</v>
      </c>
    </row>
    <row r="132" spans="1:16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  <c r="O132" t="s">
        <v>22</v>
      </c>
      <c r="P132" t="s">
        <v>1035</v>
      </c>
    </row>
    <row r="133" spans="1:16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  <c r="O133" t="s">
        <v>1104</v>
      </c>
      <c r="P133" t="s">
        <v>1038</v>
      </c>
    </row>
    <row r="134" spans="1:16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  <c r="O134" t="s">
        <v>22</v>
      </c>
      <c r="P134" t="s">
        <v>1035</v>
      </c>
    </row>
    <row r="135" spans="1:16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  <c r="O135" t="s">
        <v>22</v>
      </c>
      <c r="P135" t="s">
        <v>1035</v>
      </c>
    </row>
    <row r="136" spans="1:16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889</v>
      </c>
      <c r="F136" s="10" t="s">
        <v>811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  <c r="O136" t="s">
        <v>1105</v>
      </c>
      <c r="P136" t="s">
        <v>1038</v>
      </c>
    </row>
    <row r="137" spans="1:16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890</v>
      </c>
      <c r="F137" s="10" t="s">
        <v>840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  <c r="O137" t="s">
        <v>1106</v>
      </c>
      <c r="P137" t="s">
        <v>1038</v>
      </c>
    </row>
    <row r="138" spans="1:16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  <c r="O138" t="s">
        <v>22</v>
      </c>
      <c r="P138" t="s">
        <v>1035</v>
      </c>
    </row>
    <row r="139" spans="1:16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  <c r="O139" t="s">
        <v>22</v>
      </c>
      <c r="P139" t="s">
        <v>1035</v>
      </c>
    </row>
    <row r="140" spans="1:16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  <c r="O140" t="s">
        <v>22</v>
      </c>
      <c r="P140" t="s">
        <v>1035</v>
      </c>
    </row>
    <row r="141" spans="1:16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  <c r="O141" t="s">
        <v>22</v>
      </c>
      <c r="P141" t="s">
        <v>1035</v>
      </c>
    </row>
    <row r="142" spans="1:16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  <c r="O142" t="s">
        <v>22</v>
      </c>
      <c r="P142" t="s">
        <v>1035</v>
      </c>
    </row>
    <row r="143" spans="1:16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  <c r="O143" t="s">
        <v>22</v>
      </c>
      <c r="P143" t="s">
        <v>1035</v>
      </c>
    </row>
    <row r="144" spans="1:16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  <c r="O144" t="s">
        <v>1107</v>
      </c>
      <c r="P144" t="s">
        <v>1034</v>
      </c>
    </row>
    <row r="145" spans="1:16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  <c r="O145" t="s">
        <v>1108</v>
      </c>
      <c r="P145" t="s">
        <v>1034</v>
      </c>
    </row>
    <row r="146" spans="1:16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  <c r="O146" t="s">
        <v>1109</v>
      </c>
      <c r="P146" t="s">
        <v>1034</v>
      </c>
    </row>
    <row r="147" spans="1:16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  <c r="O147" t="s">
        <v>1110</v>
      </c>
      <c r="P147" t="s">
        <v>1034</v>
      </c>
    </row>
    <row r="148" spans="1:16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  <c r="O148" t="s">
        <v>22</v>
      </c>
      <c r="P148" t="s">
        <v>1035</v>
      </c>
    </row>
    <row r="149" spans="1:16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  <c r="O149" t="s">
        <v>22</v>
      </c>
      <c r="P149" t="s">
        <v>1035</v>
      </c>
    </row>
    <row r="150" spans="1:16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  <c r="O150" t="s">
        <v>22</v>
      </c>
      <c r="P150" t="s">
        <v>1035</v>
      </c>
    </row>
    <row r="151" spans="1:16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  <c r="O151" t="s">
        <v>22</v>
      </c>
      <c r="P151" t="s">
        <v>1035</v>
      </c>
    </row>
    <row r="152" spans="1:16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  <c r="O152" t="s">
        <v>22</v>
      </c>
      <c r="P152" t="s">
        <v>1035</v>
      </c>
    </row>
    <row r="153" spans="1:16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  <c r="O153" t="s">
        <v>22</v>
      </c>
      <c r="P153" t="s">
        <v>1035</v>
      </c>
    </row>
    <row r="154" spans="1:16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  <c r="O154" t="s">
        <v>22</v>
      </c>
      <c r="P154" t="s">
        <v>1035</v>
      </c>
    </row>
    <row r="155" spans="1:16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  <c r="O155" t="s">
        <v>22</v>
      </c>
      <c r="P155" t="s">
        <v>1035</v>
      </c>
    </row>
    <row r="156" spans="1:16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  <c r="O156" t="s">
        <v>22</v>
      </c>
      <c r="P156" t="s">
        <v>1035</v>
      </c>
    </row>
    <row r="157" spans="1:16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  <c r="O157" t="s">
        <v>22</v>
      </c>
      <c r="P157" t="s">
        <v>1035</v>
      </c>
    </row>
    <row r="158" spans="1:16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  <c r="O158" t="s">
        <v>22</v>
      </c>
      <c r="P158" t="s">
        <v>1035</v>
      </c>
    </row>
    <row r="159" spans="1:16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  <c r="O159" t="s">
        <v>22</v>
      </c>
      <c r="P159" t="s">
        <v>1035</v>
      </c>
    </row>
    <row r="160" spans="1:16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  <c r="O160" t="s">
        <v>22</v>
      </c>
      <c r="P160" t="s">
        <v>1035</v>
      </c>
    </row>
    <row r="161" spans="1:16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  <c r="O161" t="s">
        <v>22</v>
      </c>
      <c r="P161" t="s">
        <v>1035</v>
      </c>
    </row>
    <row r="162" spans="1:16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  <c r="O162" t="s">
        <v>22</v>
      </c>
      <c r="P162" t="s">
        <v>1035</v>
      </c>
    </row>
    <row r="163" spans="1:16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  <c r="O163" t="s">
        <v>22</v>
      </c>
      <c r="P163" t="s">
        <v>1035</v>
      </c>
    </row>
    <row r="164" spans="1:16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891</v>
      </c>
      <c r="F164" s="10" t="s">
        <v>841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  <c r="O164" t="s">
        <v>1111</v>
      </c>
      <c r="P164" t="s">
        <v>1038</v>
      </c>
    </row>
    <row r="165" spans="1:16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892</v>
      </c>
      <c r="F165" s="10" t="s">
        <v>812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  <c r="O165" t="s">
        <v>1112</v>
      </c>
      <c r="P165" t="s">
        <v>1034</v>
      </c>
    </row>
    <row r="166" spans="1:16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  <c r="O166" t="s">
        <v>22</v>
      </c>
      <c r="P166" t="s">
        <v>1035</v>
      </c>
    </row>
    <row r="167" spans="1:16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  <c r="O167" t="s">
        <v>1113</v>
      </c>
      <c r="P167" t="s">
        <v>1038</v>
      </c>
    </row>
    <row r="168" spans="1:16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  <c r="O168" t="s">
        <v>1114</v>
      </c>
      <c r="P168" t="s">
        <v>1038</v>
      </c>
    </row>
    <row r="169" spans="1:16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893</v>
      </c>
      <c r="F169" s="10" t="s">
        <v>902</v>
      </c>
      <c r="G169" s="12">
        <v>12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  <c r="O169" t="s">
        <v>1115</v>
      </c>
      <c r="P169" t="s">
        <v>1038</v>
      </c>
    </row>
    <row r="170" spans="1:16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  <c r="O170" t="s">
        <v>22</v>
      </c>
      <c r="P170" t="s">
        <v>1035</v>
      </c>
    </row>
    <row r="171" spans="1:16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894</v>
      </c>
      <c r="F171" s="10" t="s">
        <v>813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  <c r="O171" t="s">
        <v>1116</v>
      </c>
      <c r="P171" t="s">
        <v>1038</v>
      </c>
    </row>
    <row r="172" spans="1:16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895</v>
      </c>
      <c r="F172" s="10" t="s">
        <v>842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  <c r="O172" t="s">
        <v>1117</v>
      </c>
      <c r="P172" t="s">
        <v>1034</v>
      </c>
    </row>
    <row r="173" spans="1:16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  <c r="O173" t="s">
        <v>1118</v>
      </c>
      <c r="P173" t="s">
        <v>1038</v>
      </c>
    </row>
    <row r="174" spans="1:16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896</v>
      </c>
      <c r="F174" s="10" t="s">
        <v>843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  <c r="O174" t="s">
        <v>1119</v>
      </c>
      <c r="P174" t="s">
        <v>1034</v>
      </c>
    </row>
    <row r="175" spans="1:16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  <c r="O175" t="s">
        <v>1120</v>
      </c>
      <c r="P175" t="s">
        <v>1038</v>
      </c>
    </row>
    <row r="176" spans="1:16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  <c r="O176" t="s">
        <v>1121</v>
      </c>
      <c r="P176" t="s">
        <v>1038</v>
      </c>
    </row>
    <row r="177" spans="1:16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  <c r="O177" t="s">
        <v>1122</v>
      </c>
      <c r="P177" t="s">
        <v>1038</v>
      </c>
    </row>
    <row r="178" spans="1:16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  <c r="O178" t="s">
        <v>1123</v>
      </c>
      <c r="P178" t="s">
        <v>1038</v>
      </c>
    </row>
    <row r="179" spans="1:16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897</v>
      </c>
      <c r="F179" s="10" t="s">
        <v>814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  <c r="O179" t="s">
        <v>1124</v>
      </c>
      <c r="P179" t="s">
        <v>1038</v>
      </c>
    </row>
    <row r="180" spans="1:16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  <c r="O180" t="s">
        <v>1125</v>
      </c>
      <c r="P180" t="s">
        <v>1038</v>
      </c>
    </row>
    <row r="181" spans="1:16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  <c r="O181" t="s">
        <v>1126</v>
      </c>
      <c r="P181" t="s">
        <v>1034</v>
      </c>
    </row>
    <row r="182" spans="1:16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  <c r="O182" t="s">
        <v>1127</v>
      </c>
      <c r="P182" t="s">
        <v>1038</v>
      </c>
    </row>
    <row r="183" spans="1:16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  <c r="O183" t="s">
        <v>22</v>
      </c>
      <c r="P183" t="s">
        <v>1035</v>
      </c>
    </row>
    <row r="184" spans="1:16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898</v>
      </c>
      <c r="F184" s="10" t="s">
        <v>844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  <c r="O184" t="s">
        <v>1128</v>
      </c>
      <c r="P184" t="s">
        <v>1038</v>
      </c>
    </row>
    <row r="185" spans="1:16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  <c r="O185" t="s">
        <v>1129</v>
      </c>
      <c r="P185" t="s">
        <v>1034</v>
      </c>
    </row>
    <row r="186" spans="1:16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  <c r="O186" t="s">
        <v>1130</v>
      </c>
      <c r="P186" t="s">
        <v>1038</v>
      </c>
    </row>
    <row r="187" spans="1:16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899</v>
      </c>
      <c r="F187" s="10" t="s">
        <v>815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  <c r="O187" t="s">
        <v>1131</v>
      </c>
      <c r="P187" t="s">
        <v>1034</v>
      </c>
    </row>
    <row r="188" spans="1:16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  <c r="O188" t="s">
        <v>22</v>
      </c>
      <c r="P188" t="s">
        <v>1035</v>
      </c>
    </row>
    <row r="189" spans="1:16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  <c r="O189" t="s">
        <v>1132</v>
      </c>
      <c r="P189" t="s">
        <v>1038</v>
      </c>
    </row>
    <row r="190" spans="1:16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  <c r="O190" t="s">
        <v>22</v>
      </c>
      <c r="P190" t="s">
        <v>1035</v>
      </c>
    </row>
    <row r="191" spans="1:16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  <c r="O191" t="s">
        <v>1133</v>
      </c>
      <c r="P191" t="s">
        <v>1038</v>
      </c>
    </row>
    <row r="192" spans="1:16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845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  <c r="O192" t="s">
        <v>1134</v>
      </c>
      <c r="P192" t="s">
        <v>1034</v>
      </c>
    </row>
    <row r="193" spans="1:16">
      <c r="A193" t="s">
        <v>903</v>
      </c>
      <c r="B193" t="s">
        <v>904</v>
      </c>
      <c r="C193" t="s">
        <v>134</v>
      </c>
      <c r="D193" t="s">
        <v>30</v>
      </c>
      <c r="E193" t="s">
        <v>905</v>
      </c>
      <c r="F193" t="s">
        <v>905</v>
      </c>
      <c r="G193">
        <v>11</v>
      </c>
      <c r="H193" t="s">
        <v>906</v>
      </c>
      <c r="I193" t="s">
        <v>22</v>
      </c>
      <c r="J193" t="s">
        <v>907</v>
      </c>
      <c r="K193" t="s">
        <v>22</v>
      </c>
      <c r="L193" t="s">
        <v>908</v>
      </c>
      <c r="N193" t="s">
        <v>909</v>
      </c>
      <c r="O193" t="s">
        <v>1135</v>
      </c>
      <c r="P193" t="s">
        <v>1038</v>
      </c>
    </row>
    <row r="194" spans="1:16">
      <c r="A194" t="s">
        <v>910</v>
      </c>
      <c r="B194" t="s">
        <v>904</v>
      </c>
      <c r="C194" t="s">
        <v>134</v>
      </c>
      <c r="D194" t="s">
        <v>34</v>
      </c>
      <c r="E194" t="s">
        <v>911</v>
      </c>
      <c r="F194" t="s">
        <v>911</v>
      </c>
      <c r="G194">
        <v>8</v>
      </c>
      <c r="H194" t="s">
        <v>912</v>
      </c>
      <c r="I194" t="s">
        <v>22</v>
      </c>
      <c r="J194" t="s">
        <v>913</v>
      </c>
      <c r="K194" t="s">
        <v>22</v>
      </c>
      <c r="L194" t="s">
        <v>908</v>
      </c>
      <c r="N194" t="s">
        <v>914</v>
      </c>
      <c r="O194" t="s">
        <v>1136</v>
      </c>
      <c r="P194" t="s">
        <v>1038</v>
      </c>
    </row>
    <row r="195" spans="1:16">
      <c r="A195" t="s">
        <v>915</v>
      </c>
      <c r="B195" t="s">
        <v>904</v>
      </c>
      <c r="C195" t="s">
        <v>176</v>
      </c>
      <c r="D195" t="s">
        <v>34</v>
      </c>
      <c r="E195" t="s">
        <v>916</v>
      </c>
      <c r="F195" t="s">
        <v>916</v>
      </c>
      <c r="G195">
        <v>10</v>
      </c>
      <c r="H195" t="s">
        <v>917</v>
      </c>
      <c r="I195" t="s">
        <v>22</v>
      </c>
      <c r="J195" t="s">
        <v>918</v>
      </c>
      <c r="K195" t="s">
        <v>22</v>
      </c>
      <c r="L195" t="s">
        <v>908</v>
      </c>
      <c r="N195" t="s">
        <v>919</v>
      </c>
      <c r="O195" t="s">
        <v>1137</v>
      </c>
      <c r="P195" t="s">
        <v>1038</v>
      </c>
    </row>
    <row r="196" spans="1:16">
      <c r="A196" t="s">
        <v>920</v>
      </c>
      <c r="B196" t="s">
        <v>904</v>
      </c>
      <c r="C196" t="s">
        <v>176</v>
      </c>
      <c r="D196" t="s">
        <v>34</v>
      </c>
      <c r="E196" t="s">
        <v>921</v>
      </c>
      <c r="F196" t="s">
        <v>921</v>
      </c>
      <c r="G196">
        <v>11</v>
      </c>
      <c r="H196" t="s">
        <v>922</v>
      </c>
      <c r="I196" t="s">
        <v>22</v>
      </c>
      <c r="J196" t="s">
        <v>923</v>
      </c>
      <c r="K196" t="s">
        <v>22</v>
      </c>
      <c r="L196" t="s">
        <v>908</v>
      </c>
      <c r="N196" t="s">
        <v>924</v>
      </c>
      <c r="O196" t="s">
        <v>1138</v>
      </c>
      <c r="P196" t="s">
        <v>1038</v>
      </c>
    </row>
    <row r="197" spans="1:16">
      <c r="A197" t="s">
        <v>925</v>
      </c>
      <c r="B197" t="s">
        <v>904</v>
      </c>
      <c r="C197" t="s">
        <v>176</v>
      </c>
      <c r="D197" t="s">
        <v>30</v>
      </c>
      <c r="E197" t="s">
        <v>926</v>
      </c>
      <c r="F197" t="s">
        <v>926</v>
      </c>
      <c r="G197">
        <v>10</v>
      </c>
      <c r="H197" t="s">
        <v>927</v>
      </c>
      <c r="I197" t="s">
        <v>22</v>
      </c>
      <c r="J197" t="s">
        <v>928</v>
      </c>
      <c r="K197" t="s">
        <v>22</v>
      </c>
      <c r="L197" t="s">
        <v>908</v>
      </c>
      <c r="N197" t="s">
        <v>929</v>
      </c>
      <c r="O197" t="s">
        <v>1139</v>
      </c>
      <c r="P197" t="s">
        <v>1038</v>
      </c>
    </row>
    <row r="198" spans="1:16">
      <c r="A198" t="s">
        <v>930</v>
      </c>
      <c r="B198" t="s">
        <v>904</v>
      </c>
      <c r="C198" t="s">
        <v>78</v>
      </c>
      <c r="D198" t="s">
        <v>30</v>
      </c>
      <c r="E198" t="s">
        <v>931</v>
      </c>
      <c r="F198" t="s">
        <v>931</v>
      </c>
      <c r="G198">
        <v>11</v>
      </c>
      <c r="H198" t="s">
        <v>932</v>
      </c>
      <c r="I198" t="s">
        <v>22</v>
      </c>
      <c r="J198" t="s">
        <v>933</v>
      </c>
      <c r="K198" t="s">
        <v>22</v>
      </c>
      <c r="L198" t="s">
        <v>908</v>
      </c>
      <c r="N198" t="s">
        <v>934</v>
      </c>
      <c r="O198" t="s">
        <v>1140</v>
      </c>
      <c r="P198" t="s">
        <v>1038</v>
      </c>
    </row>
    <row r="199" spans="1:16">
      <c r="A199" t="s">
        <v>935</v>
      </c>
      <c r="B199" t="s">
        <v>904</v>
      </c>
      <c r="C199" t="s">
        <v>78</v>
      </c>
      <c r="D199" t="s">
        <v>30</v>
      </c>
      <c r="E199" t="s">
        <v>936</v>
      </c>
      <c r="F199" t="s">
        <v>936</v>
      </c>
      <c r="G199">
        <v>10</v>
      </c>
      <c r="H199" t="s">
        <v>937</v>
      </c>
      <c r="I199" t="s">
        <v>22</v>
      </c>
      <c r="J199" t="s">
        <v>933</v>
      </c>
      <c r="K199" t="s">
        <v>22</v>
      </c>
      <c r="L199" t="s">
        <v>908</v>
      </c>
      <c r="N199" t="s">
        <v>938</v>
      </c>
      <c r="O199" t="s">
        <v>1141</v>
      </c>
      <c r="P199" t="s">
        <v>1038</v>
      </c>
    </row>
    <row r="200" spans="1:16">
      <c r="A200" t="s">
        <v>939</v>
      </c>
      <c r="B200" t="s">
        <v>904</v>
      </c>
      <c r="C200" t="s">
        <v>156</v>
      </c>
      <c r="D200" t="s">
        <v>30</v>
      </c>
      <c r="E200" t="s">
        <v>940</v>
      </c>
      <c r="F200" t="s">
        <v>940</v>
      </c>
      <c r="G200">
        <v>12</v>
      </c>
      <c r="H200" t="s">
        <v>941</v>
      </c>
      <c r="I200" t="s">
        <v>22</v>
      </c>
      <c r="J200" t="s">
        <v>942</v>
      </c>
      <c r="K200" t="s">
        <v>22</v>
      </c>
      <c r="L200" t="s">
        <v>908</v>
      </c>
      <c r="N200" t="s">
        <v>943</v>
      </c>
      <c r="O200" t="s">
        <v>1142</v>
      </c>
      <c r="P200" t="s">
        <v>1038</v>
      </c>
    </row>
    <row r="201" spans="1:16">
      <c r="A201" t="s">
        <v>944</v>
      </c>
      <c r="B201" t="s">
        <v>904</v>
      </c>
      <c r="C201" t="s">
        <v>60</v>
      </c>
      <c r="D201" t="s">
        <v>30</v>
      </c>
      <c r="E201" t="s">
        <v>945</v>
      </c>
      <c r="F201" t="s">
        <v>945</v>
      </c>
      <c r="G201">
        <v>12</v>
      </c>
      <c r="H201" t="s">
        <v>946</v>
      </c>
      <c r="I201" t="s">
        <v>22</v>
      </c>
      <c r="J201" t="s">
        <v>947</v>
      </c>
      <c r="K201" t="s">
        <v>22</v>
      </c>
      <c r="L201" t="s">
        <v>908</v>
      </c>
      <c r="N201" t="s">
        <v>948</v>
      </c>
      <c r="O201" t="s">
        <v>1143</v>
      </c>
      <c r="P201" t="s">
        <v>1038</v>
      </c>
    </row>
    <row r="202" spans="1:16">
      <c r="A202" t="s">
        <v>949</v>
      </c>
      <c r="B202" t="s">
        <v>904</v>
      </c>
      <c r="C202" t="s">
        <v>109</v>
      </c>
      <c r="D202" t="s">
        <v>17</v>
      </c>
      <c r="E202" t="s">
        <v>950</v>
      </c>
      <c r="F202" t="s">
        <v>950</v>
      </c>
      <c r="G202">
        <v>12</v>
      </c>
      <c r="H202" t="s">
        <v>951</v>
      </c>
      <c r="I202" t="s">
        <v>22</v>
      </c>
      <c r="J202" t="s">
        <v>913</v>
      </c>
      <c r="K202" t="s">
        <v>22</v>
      </c>
      <c r="L202" t="s">
        <v>908</v>
      </c>
      <c r="N202" t="s">
        <v>952</v>
      </c>
      <c r="O202" t="s">
        <v>1144</v>
      </c>
      <c r="P202" t="s">
        <v>1038</v>
      </c>
    </row>
    <row r="203" spans="1:16">
      <c r="A203" t="s">
        <v>953</v>
      </c>
      <c r="B203" t="s">
        <v>904</v>
      </c>
      <c r="C203" t="s">
        <v>109</v>
      </c>
      <c r="D203" t="s">
        <v>17</v>
      </c>
      <c r="E203" t="s">
        <v>954</v>
      </c>
      <c r="F203" t="s">
        <v>954</v>
      </c>
      <c r="G203">
        <v>11</v>
      </c>
      <c r="H203" t="s">
        <v>955</v>
      </c>
      <c r="I203" t="s">
        <v>22</v>
      </c>
      <c r="J203" t="s">
        <v>907</v>
      </c>
      <c r="K203" t="s">
        <v>22</v>
      </c>
      <c r="L203" t="s">
        <v>908</v>
      </c>
      <c r="N203" t="s">
        <v>956</v>
      </c>
      <c r="O203" t="s">
        <v>1145</v>
      </c>
      <c r="P203" t="s">
        <v>1038</v>
      </c>
    </row>
    <row r="204" spans="1:16">
      <c r="A204" t="s">
        <v>957</v>
      </c>
      <c r="B204" t="s">
        <v>904</v>
      </c>
      <c r="C204" t="s">
        <v>109</v>
      </c>
      <c r="D204" t="s">
        <v>30</v>
      </c>
      <c r="E204" t="s">
        <v>958</v>
      </c>
      <c r="F204" t="s">
        <v>958</v>
      </c>
      <c r="G204">
        <v>10</v>
      </c>
      <c r="H204" t="s">
        <v>959</v>
      </c>
      <c r="I204" t="s">
        <v>112</v>
      </c>
      <c r="J204" t="s">
        <v>913</v>
      </c>
      <c r="K204" t="s">
        <v>22</v>
      </c>
      <c r="L204" t="s">
        <v>908</v>
      </c>
      <c r="N204" t="s">
        <v>960</v>
      </c>
      <c r="O204" t="s">
        <v>1146</v>
      </c>
      <c r="P204" t="s">
        <v>1038</v>
      </c>
    </row>
    <row r="205" spans="1:16">
      <c r="A205" t="s">
        <v>961</v>
      </c>
      <c r="B205" t="s">
        <v>904</v>
      </c>
      <c r="C205" t="s">
        <v>109</v>
      </c>
      <c r="D205" t="s">
        <v>34</v>
      </c>
      <c r="E205" t="s">
        <v>962</v>
      </c>
      <c r="F205" t="s">
        <v>962</v>
      </c>
      <c r="G205">
        <v>10</v>
      </c>
      <c r="H205" t="s">
        <v>963</v>
      </c>
      <c r="I205" t="s">
        <v>112</v>
      </c>
      <c r="J205" t="s">
        <v>907</v>
      </c>
      <c r="K205" t="s">
        <v>22</v>
      </c>
      <c r="L205" t="s">
        <v>908</v>
      </c>
      <c r="N205" t="s">
        <v>964</v>
      </c>
      <c r="O205" t="s">
        <v>1147</v>
      </c>
      <c r="P205" t="s">
        <v>1038</v>
      </c>
    </row>
    <row r="206" spans="1:16">
      <c r="A206" t="s">
        <v>965</v>
      </c>
      <c r="B206" t="s">
        <v>904</v>
      </c>
      <c r="C206" t="s">
        <v>134</v>
      </c>
      <c r="D206" t="s">
        <v>30</v>
      </c>
      <c r="E206" t="s">
        <v>966</v>
      </c>
      <c r="F206" t="s">
        <v>966</v>
      </c>
      <c r="G206">
        <v>10</v>
      </c>
      <c r="H206" t="s">
        <v>967</v>
      </c>
      <c r="I206" t="s">
        <v>22</v>
      </c>
      <c r="J206" t="s">
        <v>907</v>
      </c>
      <c r="K206" t="s">
        <v>22</v>
      </c>
      <c r="L206" t="s">
        <v>908</v>
      </c>
      <c r="N206" t="s">
        <v>968</v>
      </c>
      <c r="O206" t="s">
        <v>1148</v>
      </c>
      <c r="P206" t="s">
        <v>1038</v>
      </c>
    </row>
    <row r="207" spans="1:16">
      <c r="A207" t="s">
        <v>969</v>
      </c>
      <c r="B207" t="s">
        <v>904</v>
      </c>
      <c r="C207" t="s">
        <v>176</v>
      </c>
      <c r="D207" t="s">
        <v>34</v>
      </c>
      <c r="E207" t="s">
        <v>970</v>
      </c>
      <c r="F207" t="s">
        <v>970</v>
      </c>
      <c r="G207">
        <v>10</v>
      </c>
      <c r="H207" t="s">
        <v>971</v>
      </c>
      <c r="I207" t="s">
        <v>22</v>
      </c>
      <c r="J207" t="s">
        <v>928</v>
      </c>
      <c r="K207" t="s">
        <v>22</v>
      </c>
      <c r="L207" t="s">
        <v>908</v>
      </c>
      <c r="N207" t="s">
        <v>972</v>
      </c>
      <c r="O207" t="s">
        <v>1149</v>
      </c>
      <c r="P207" t="s">
        <v>1038</v>
      </c>
    </row>
    <row r="208" spans="1:16">
      <c r="A208" t="s">
        <v>973</v>
      </c>
      <c r="B208" t="s">
        <v>904</v>
      </c>
      <c r="C208" t="s">
        <v>176</v>
      </c>
      <c r="D208" t="s">
        <v>30</v>
      </c>
      <c r="E208" t="s">
        <v>974</v>
      </c>
      <c r="F208" t="s">
        <v>974</v>
      </c>
      <c r="G208">
        <v>9</v>
      </c>
      <c r="H208" t="s">
        <v>975</v>
      </c>
      <c r="I208" t="s">
        <v>22</v>
      </c>
      <c r="J208" t="s">
        <v>976</v>
      </c>
      <c r="K208" t="s">
        <v>22</v>
      </c>
      <c r="L208" t="s">
        <v>908</v>
      </c>
      <c r="N208" t="s">
        <v>977</v>
      </c>
      <c r="O208" t="s">
        <v>1150</v>
      </c>
      <c r="P208" t="s">
        <v>1038</v>
      </c>
    </row>
    <row r="209" spans="1:16">
      <c r="A209" t="s">
        <v>978</v>
      </c>
      <c r="B209" t="s">
        <v>904</v>
      </c>
      <c r="C209" t="s">
        <v>176</v>
      </c>
      <c r="D209" t="s">
        <v>30</v>
      </c>
      <c r="E209" t="s">
        <v>979</v>
      </c>
      <c r="F209" t="s">
        <v>979</v>
      </c>
      <c r="G209">
        <v>10</v>
      </c>
      <c r="H209" t="s">
        <v>980</v>
      </c>
      <c r="I209" t="s">
        <v>22</v>
      </c>
      <c r="J209" t="s">
        <v>923</v>
      </c>
      <c r="K209" t="s">
        <v>22</v>
      </c>
      <c r="L209" t="s">
        <v>908</v>
      </c>
      <c r="N209" t="s">
        <v>981</v>
      </c>
      <c r="O209" t="s">
        <v>1151</v>
      </c>
      <c r="P209" t="s">
        <v>1038</v>
      </c>
    </row>
    <row r="210" spans="1:16">
      <c r="A210" t="s">
        <v>982</v>
      </c>
      <c r="B210" t="s">
        <v>904</v>
      </c>
      <c r="C210" t="s">
        <v>176</v>
      </c>
      <c r="D210" t="s">
        <v>34</v>
      </c>
      <c r="E210" t="s">
        <v>983</v>
      </c>
      <c r="F210" t="s">
        <v>983</v>
      </c>
      <c r="G210">
        <v>11</v>
      </c>
      <c r="H210" t="s">
        <v>984</v>
      </c>
      <c r="I210" t="s">
        <v>22</v>
      </c>
      <c r="J210" t="s">
        <v>923</v>
      </c>
      <c r="K210" t="s">
        <v>22</v>
      </c>
      <c r="L210" t="s">
        <v>908</v>
      </c>
      <c r="N210" t="s">
        <v>985</v>
      </c>
      <c r="O210" t="s">
        <v>1152</v>
      </c>
      <c r="P210" t="s">
        <v>1038</v>
      </c>
    </row>
    <row r="211" spans="1:16">
      <c r="A211" t="s">
        <v>986</v>
      </c>
      <c r="B211" t="s">
        <v>904</v>
      </c>
      <c r="C211" t="s">
        <v>176</v>
      </c>
      <c r="D211" t="s">
        <v>17</v>
      </c>
      <c r="E211" t="s">
        <v>987</v>
      </c>
      <c r="F211" t="s">
        <v>987</v>
      </c>
      <c r="G211">
        <v>8</v>
      </c>
      <c r="H211" t="s">
        <v>988</v>
      </c>
      <c r="I211" t="s">
        <v>22</v>
      </c>
      <c r="J211" t="s">
        <v>923</v>
      </c>
      <c r="K211" t="s">
        <v>22</v>
      </c>
      <c r="L211" t="s">
        <v>908</v>
      </c>
      <c r="N211" t="s">
        <v>989</v>
      </c>
      <c r="O211" t="s">
        <v>1153</v>
      </c>
      <c r="P211" t="s">
        <v>1038</v>
      </c>
    </row>
    <row r="212" spans="1:16">
      <c r="A212" t="s">
        <v>990</v>
      </c>
      <c r="B212" t="s">
        <v>904</v>
      </c>
      <c r="C212" t="s">
        <v>156</v>
      </c>
      <c r="D212" t="s">
        <v>30</v>
      </c>
      <c r="E212" t="s">
        <v>991</v>
      </c>
      <c r="F212" t="s">
        <v>991</v>
      </c>
      <c r="G212">
        <v>10</v>
      </c>
      <c r="H212" t="s">
        <v>992</v>
      </c>
      <c r="I212" t="s">
        <v>22</v>
      </c>
      <c r="J212" t="s">
        <v>993</v>
      </c>
      <c r="K212" t="s">
        <v>22</v>
      </c>
      <c r="L212" t="s">
        <v>908</v>
      </c>
      <c r="N212" t="s">
        <v>994</v>
      </c>
      <c r="O212" t="s">
        <v>1154</v>
      </c>
      <c r="P212" t="s">
        <v>1038</v>
      </c>
    </row>
    <row r="213" spans="1:16">
      <c r="A213" t="s">
        <v>995</v>
      </c>
      <c r="B213" t="s">
        <v>904</v>
      </c>
      <c r="C213" t="s">
        <v>78</v>
      </c>
      <c r="D213" t="s">
        <v>30</v>
      </c>
      <c r="E213" t="s">
        <v>996</v>
      </c>
      <c r="F213" t="s">
        <v>996</v>
      </c>
      <c r="G213">
        <v>11</v>
      </c>
      <c r="H213" t="s">
        <v>997</v>
      </c>
      <c r="I213" t="s">
        <v>22</v>
      </c>
      <c r="J213" t="s">
        <v>933</v>
      </c>
      <c r="K213" t="s">
        <v>22</v>
      </c>
      <c r="L213" t="s">
        <v>908</v>
      </c>
      <c r="N213" t="s">
        <v>998</v>
      </c>
      <c r="O213" t="s">
        <v>1155</v>
      </c>
      <c r="P213" t="s">
        <v>1038</v>
      </c>
    </row>
    <row r="214" spans="1:16">
      <c r="A214" t="s">
        <v>999</v>
      </c>
      <c r="B214" t="s">
        <v>904</v>
      </c>
      <c r="C214" t="s">
        <v>78</v>
      </c>
      <c r="D214" t="s">
        <v>17</v>
      </c>
      <c r="E214" t="s">
        <v>1000</v>
      </c>
      <c r="F214" t="s">
        <v>1000</v>
      </c>
      <c r="G214">
        <v>11</v>
      </c>
      <c r="H214" t="s">
        <v>1001</v>
      </c>
      <c r="I214" t="s">
        <v>22</v>
      </c>
      <c r="J214" t="s">
        <v>933</v>
      </c>
      <c r="K214" t="s">
        <v>22</v>
      </c>
      <c r="L214" t="s">
        <v>908</v>
      </c>
      <c r="N214" t="s">
        <v>1002</v>
      </c>
      <c r="O214" t="s">
        <v>1156</v>
      </c>
      <c r="P214" t="s">
        <v>1038</v>
      </c>
    </row>
    <row r="215" spans="1:16">
      <c r="A215" t="s">
        <v>1003</v>
      </c>
      <c r="B215" t="s">
        <v>904</v>
      </c>
      <c r="C215" t="s">
        <v>60</v>
      </c>
      <c r="D215" t="s">
        <v>30</v>
      </c>
      <c r="E215" t="s">
        <v>1004</v>
      </c>
      <c r="F215" t="s">
        <v>1004</v>
      </c>
      <c r="G215">
        <v>11</v>
      </c>
      <c r="H215" t="s">
        <v>1005</v>
      </c>
      <c r="I215" t="s">
        <v>22</v>
      </c>
      <c r="J215" t="s">
        <v>947</v>
      </c>
      <c r="K215" t="s">
        <v>22</v>
      </c>
      <c r="L215" t="s">
        <v>908</v>
      </c>
      <c r="N215" t="s">
        <v>1006</v>
      </c>
      <c r="O215" t="s">
        <v>1157</v>
      </c>
      <c r="P215" t="s">
        <v>1038</v>
      </c>
    </row>
    <row r="216" spans="1:16">
      <c r="A216" t="s">
        <v>1007</v>
      </c>
      <c r="B216" t="s">
        <v>904</v>
      </c>
      <c r="C216" t="s">
        <v>42</v>
      </c>
      <c r="D216" t="s">
        <v>30</v>
      </c>
      <c r="E216" t="s">
        <v>1008</v>
      </c>
      <c r="F216" t="s">
        <v>1008</v>
      </c>
      <c r="G216">
        <v>8</v>
      </c>
      <c r="H216" t="s">
        <v>1009</v>
      </c>
      <c r="I216" t="s">
        <v>22</v>
      </c>
      <c r="J216" t="s">
        <v>923</v>
      </c>
      <c r="K216" t="s">
        <v>22</v>
      </c>
      <c r="L216" t="s">
        <v>908</v>
      </c>
      <c r="N216" t="s">
        <v>1010</v>
      </c>
      <c r="O216" t="s">
        <v>1158</v>
      </c>
      <c r="P216" t="s">
        <v>1038</v>
      </c>
    </row>
    <row r="217" spans="1:16">
      <c r="A217" t="s">
        <v>1011</v>
      </c>
      <c r="B217" t="s">
        <v>904</v>
      </c>
      <c r="C217" t="s">
        <v>109</v>
      </c>
      <c r="D217" t="s">
        <v>17</v>
      </c>
      <c r="E217" t="s">
        <v>1012</v>
      </c>
      <c r="F217" t="s">
        <v>1012</v>
      </c>
      <c r="G217">
        <v>10</v>
      </c>
      <c r="H217" t="s">
        <v>1013</v>
      </c>
      <c r="I217" t="s">
        <v>22</v>
      </c>
      <c r="J217" t="s">
        <v>907</v>
      </c>
      <c r="K217" t="s">
        <v>22</v>
      </c>
      <c r="L217" t="s">
        <v>908</v>
      </c>
      <c r="N217" t="s">
        <v>1014</v>
      </c>
      <c r="O217" t="s">
        <v>1159</v>
      </c>
      <c r="P217" t="s">
        <v>1038</v>
      </c>
    </row>
    <row r="218" spans="1:16">
      <c r="A218" t="s">
        <v>1015</v>
      </c>
      <c r="B218" t="s">
        <v>904</v>
      </c>
      <c r="C218" t="s">
        <v>109</v>
      </c>
      <c r="D218" t="s">
        <v>30</v>
      </c>
      <c r="E218" t="s">
        <v>1016</v>
      </c>
      <c r="F218" t="s">
        <v>1016</v>
      </c>
      <c r="G218">
        <v>10</v>
      </c>
      <c r="H218" t="s">
        <v>1017</v>
      </c>
      <c r="I218" t="s">
        <v>22</v>
      </c>
      <c r="J218" t="s">
        <v>913</v>
      </c>
      <c r="K218" t="s">
        <v>22</v>
      </c>
      <c r="L218" t="s">
        <v>908</v>
      </c>
      <c r="N218" t="s">
        <v>1018</v>
      </c>
      <c r="O218" t="s">
        <v>1160</v>
      </c>
      <c r="P218" t="s">
        <v>1038</v>
      </c>
    </row>
    <row r="219" spans="1:16">
      <c r="A219" t="s">
        <v>1019</v>
      </c>
      <c r="B219" t="s">
        <v>904</v>
      </c>
      <c r="C219" t="s">
        <v>109</v>
      </c>
      <c r="D219" t="s">
        <v>30</v>
      </c>
      <c r="E219" t="s">
        <v>1020</v>
      </c>
      <c r="F219" t="s">
        <v>1020</v>
      </c>
      <c r="G219">
        <v>10</v>
      </c>
      <c r="H219" t="s">
        <v>1021</v>
      </c>
      <c r="I219" t="s">
        <v>112</v>
      </c>
      <c r="J219" t="s">
        <v>913</v>
      </c>
      <c r="K219" t="s">
        <v>22</v>
      </c>
      <c r="L219" t="s">
        <v>908</v>
      </c>
      <c r="N219" t="s">
        <v>1022</v>
      </c>
      <c r="O219" t="s">
        <v>1161</v>
      </c>
      <c r="P219" t="s">
        <v>1038</v>
      </c>
    </row>
    <row r="220" spans="1:16">
      <c r="A220" t="s">
        <v>1023</v>
      </c>
      <c r="B220" t="s">
        <v>904</v>
      </c>
      <c r="C220" t="s">
        <v>156</v>
      </c>
      <c r="D220" t="s">
        <v>34</v>
      </c>
      <c r="E220" t="s">
        <v>1024</v>
      </c>
      <c r="F220" t="s">
        <v>1024</v>
      </c>
      <c r="G220">
        <v>11</v>
      </c>
      <c r="H220" t="s">
        <v>1025</v>
      </c>
      <c r="I220" t="s">
        <v>22</v>
      </c>
      <c r="J220" t="s">
        <v>993</v>
      </c>
      <c r="K220" t="s">
        <v>22</v>
      </c>
      <c r="L220" t="s">
        <v>908</v>
      </c>
      <c r="N220" t="s">
        <v>1026</v>
      </c>
      <c r="O220" t="s">
        <v>1162</v>
      </c>
      <c r="P220" t="s">
        <v>1038</v>
      </c>
    </row>
    <row r="221" spans="1:16">
      <c r="A221" t="s">
        <v>1027</v>
      </c>
      <c r="B221" t="s">
        <v>904</v>
      </c>
      <c r="C221" t="s">
        <v>176</v>
      </c>
      <c r="D221" t="s">
        <v>17</v>
      </c>
      <c r="E221" t="s">
        <v>1028</v>
      </c>
      <c r="F221" t="s">
        <v>1028</v>
      </c>
      <c r="G221">
        <v>7</v>
      </c>
      <c r="H221" t="s">
        <v>1029</v>
      </c>
      <c r="I221" t="s">
        <v>22</v>
      </c>
      <c r="J221" t="s">
        <v>923</v>
      </c>
      <c r="K221" t="s">
        <v>22</v>
      </c>
      <c r="L221" t="s">
        <v>908</v>
      </c>
      <c r="N221" t="s">
        <v>1030</v>
      </c>
      <c r="O221" t="s">
        <v>1163</v>
      </c>
      <c r="P221" t="s">
        <v>1038</v>
      </c>
    </row>
    <row r="222" spans="1:16">
      <c r="A222" t="s">
        <v>1166</v>
      </c>
      <c r="B222" t="s">
        <v>1167</v>
      </c>
      <c r="C222" t="s">
        <v>199</v>
      </c>
      <c r="D222" t="s">
        <v>200</v>
      </c>
      <c r="E222" t="s">
        <v>1168</v>
      </c>
      <c r="F222" t="s">
        <v>1168</v>
      </c>
      <c r="G222">
        <v>13</v>
      </c>
      <c r="H222" t="s">
        <v>1169</v>
      </c>
      <c r="I222" t="s">
        <v>22</v>
      </c>
      <c r="J222" t="s">
        <v>1170</v>
      </c>
      <c r="K222" t="s">
        <v>22</v>
      </c>
      <c r="L222" t="s">
        <v>908</v>
      </c>
      <c r="N222" t="s">
        <v>1171</v>
      </c>
      <c r="O222" t="s">
        <v>22</v>
      </c>
      <c r="P222" t="s">
        <v>1035</v>
      </c>
    </row>
    <row r="223" spans="1:16">
      <c r="A223" t="s">
        <v>1172</v>
      </c>
      <c r="B223" t="s">
        <v>1167</v>
      </c>
      <c r="C223" t="s">
        <v>199</v>
      </c>
      <c r="D223" t="s">
        <v>200</v>
      </c>
      <c r="E223" t="s">
        <v>1173</v>
      </c>
      <c r="F223" t="s">
        <v>1173</v>
      </c>
      <c r="G223">
        <v>11</v>
      </c>
      <c r="H223" t="s">
        <v>1174</v>
      </c>
      <c r="I223" t="s">
        <v>22</v>
      </c>
      <c r="J223" t="s">
        <v>1170</v>
      </c>
      <c r="K223" t="s">
        <v>22</v>
      </c>
      <c r="L223" t="s">
        <v>908</v>
      </c>
      <c r="N223" t="s">
        <v>1175</v>
      </c>
      <c r="O223" t="s">
        <v>22</v>
      </c>
      <c r="P223" t="s">
        <v>1035</v>
      </c>
    </row>
    <row r="224" spans="1:16">
      <c r="A224" t="s">
        <v>1176</v>
      </c>
      <c r="B224" t="s">
        <v>1167</v>
      </c>
      <c r="C224" t="s">
        <v>199</v>
      </c>
      <c r="D224" t="s">
        <v>200</v>
      </c>
      <c r="E224" t="s">
        <v>1177</v>
      </c>
      <c r="F224" t="s">
        <v>1177</v>
      </c>
      <c r="G224">
        <v>13</v>
      </c>
      <c r="H224" t="s">
        <v>1178</v>
      </c>
      <c r="I224" t="s">
        <v>1179</v>
      </c>
      <c r="J224" t="s">
        <v>993</v>
      </c>
      <c r="K224" t="s">
        <v>22</v>
      </c>
      <c r="L224" t="s">
        <v>23</v>
      </c>
      <c r="N224" t="s">
        <v>1180</v>
      </c>
      <c r="O224" t="s">
        <v>1181</v>
      </c>
      <c r="P224" t="s">
        <v>1038</v>
      </c>
    </row>
    <row r="225" spans="1:16">
      <c r="A225" t="s">
        <v>1182</v>
      </c>
      <c r="B225" t="s">
        <v>1167</v>
      </c>
      <c r="C225" t="s">
        <v>199</v>
      </c>
      <c r="D225" t="s">
        <v>200</v>
      </c>
      <c r="E225" t="s">
        <v>1183</v>
      </c>
      <c r="F225" t="s">
        <v>1183</v>
      </c>
      <c r="G225">
        <v>14</v>
      </c>
      <c r="H225" t="s">
        <v>1184</v>
      </c>
      <c r="I225" t="s">
        <v>1179</v>
      </c>
      <c r="J225" t="s">
        <v>993</v>
      </c>
      <c r="K225" t="s">
        <v>22</v>
      </c>
      <c r="L225" t="s">
        <v>23</v>
      </c>
      <c r="N225" t="s">
        <v>1180</v>
      </c>
      <c r="O225" t="s">
        <v>1185</v>
      </c>
      <c r="P225" t="s">
        <v>1038</v>
      </c>
    </row>
    <row r="226" spans="1:16">
      <c r="A226" t="s">
        <v>1186</v>
      </c>
      <c r="B226" t="s">
        <v>1167</v>
      </c>
      <c r="C226" t="s">
        <v>199</v>
      </c>
      <c r="D226" t="s">
        <v>200</v>
      </c>
      <c r="E226" t="s">
        <v>1187</v>
      </c>
      <c r="F226" t="s">
        <v>1187</v>
      </c>
      <c r="G226">
        <v>15</v>
      </c>
      <c r="H226" t="s">
        <v>1188</v>
      </c>
      <c r="I226" t="s">
        <v>1179</v>
      </c>
      <c r="J226" t="s">
        <v>993</v>
      </c>
      <c r="K226" t="s">
        <v>22</v>
      </c>
      <c r="L226" t="s">
        <v>23</v>
      </c>
      <c r="N226" t="s">
        <v>1180</v>
      </c>
      <c r="O226" t="s">
        <v>1189</v>
      </c>
      <c r="P226" t="s">
        <v>1038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2026-10-07T12:41:36Z</dcterms:modified>
</cp:coreProperties>
</file>
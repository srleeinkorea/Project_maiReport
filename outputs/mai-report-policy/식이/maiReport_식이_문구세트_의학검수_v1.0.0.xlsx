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4A64E35F-B635-4703-B0E8-6967583E304C}" xr6:coauthVersionLast="47" xr6:coauthVersionMax="47" xr10:uidLastSave="{00000000-0000-0000-0000-000000000000}"/>
  <bookViews>
    <workbookView xWindow="-11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<sst xmlns="http://schemas.openxmlformats.org/spreadsheetml/2006/main" count="2267" uniqueCount="904">
  <si>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</si>
  <si>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</si>
  <si>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</si>
  <si>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</si>
  <si>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</si>
  <si>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</si>
  <si>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</si>
  <si>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</si>
  <si>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</si>
  <si>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</si>
  <si>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</si>
  <si>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</si>
  <si>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</si>
  <si>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</si>
  <si>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</si>
  <si>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</si>
  <si>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</si>
  <si>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</si>
  <si>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</si>
  <si>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</si>
  <si>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</si>
  <si>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</si>
  <si>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</si>
  <si>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</si>
  <si>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</si>
  <si>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</si>
  <si>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</si>
  <si>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</si>
  <si>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</si>
  <si>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</si>
  <si>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</si>
  <si>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</si>
  <si>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</si>
  <si>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</si>
  <si>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</si>
  <si>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</si>
  <si>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</si>
  <si>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</si>
  <si>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</si>
  <si>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</si>
  <si>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</si>
  <si>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</si>
  <si>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</si>
  <si>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</si>
  <si>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</si>
  <si>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</si>
  <si>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</si>
  <si>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</si>
  <si>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</si>
  <si>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</si>
  <si>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</si>
  <si>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</si>
  <si>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</si>
  <si>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</si>
  <si>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</si>
  <si>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</si>
  <si>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</si>
  <si>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</si>
  <si>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</si>
  <si>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</si>
  <si>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</si>
  <si>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</si>
  <si>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</si>
  <si>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</si>
  <si>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</si>
  <si>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</si>
  <si>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</si>
  <si>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</si>
  <si>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</si>
  <si>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</si>
  <si>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</si>
  <si>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</si>
  <si>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</si>
  <si>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</si>
  <si>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</si>
  <si>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</si>
  <si>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</si>
  <si>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</si>
  <si>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</si>
  <si>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</si>
  <si>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</si>
  <si>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</si>
  <si>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</si>
  <si>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</si>
  <si>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</si>
  <si>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</si>
  <si>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</si>
  <si>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</si>
  <si>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</si>
  <si>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</si>
  <si>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</si>
  <si>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</si>
  <si>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</si>
  <si>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</si>
  <si>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</si>
  <si>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</si>
  <si>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</si>
  <si>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</si>
  <si>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</si>
  <si>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</si>
  <si>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</si>
  <si>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</si>
  <si>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</si>
  <si>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</si>
  <si>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</si>
  <si>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</si>
  <si>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</si>
  <si>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</si>
  <si>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</si>
  <si>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</si>
  <si>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</si>
  <si>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</si>
  <si>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</si>
  <si>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</si>
  <si>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</si>
  <si>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</si>
  <si>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</si>
  <si>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</si>
  <si>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</si>
  <si>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</si>
  <si>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</si>
  <si>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</si>
  <si>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</si>
  <si>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</si>
  <si>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</si>
  <si>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</si>
  <si>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</si>
  <si>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</si>
  <si>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</si>
  <si>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</si>
  <si>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</si>
  <si>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</si>
  <si>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</si>
  <si>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</si>
  <si>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</si>
  <si>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</si>
  <si>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</si>
  <si>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</si>
  <si>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</si>
  <si>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</si>
  <si>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</si>
  <si>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</si>
  <si>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</si>
  <si>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</si>
  <si>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</si>
  <si>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</si>
  <si>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</si>
  <si>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</si>
  <si>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</si>
  <si>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</si>
  <si>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</si>
  <si>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</si>
  <si>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</si>
  <si>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</si>
  <si>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</si>
  <si>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</si>
  <si>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</si>
  <si>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</si>
  <si>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</si>
  <si>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</si>
  <si>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</si>
  <si>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</si>
  <si>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</si>
  <si>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</si>
  <si>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</si>
  <si>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</si>
  <si>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</si>
  <si>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</si>
  <si>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</si>
  <si>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</si>
  <si>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</si>
  <si>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</si>
  <si>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</si>
  <si>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</si>
  <si>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</si>
  <si>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</si>
  <si>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</si>
  <si>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</si>
  <si>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</si>
  <si>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</si>
  <si>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</si>
  <si>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</si>
  <si>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</si>
  <si>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</si>
  <si>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</si>
  <si>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</si>
  <si>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</si>
  <si>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</si>
  <si>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</si>
  <si>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</si>
  <si>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</si>
  <si>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</si>
  <si>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</si>
  <si>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</si>
  <si>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</si>
  <si>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</si>
  <si>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</si>
  <si>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</si>
  <si>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</si>
  <si>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</si>
  <si>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</si>
  <si>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</si>
  <si>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</si>
  <si>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</si>
  <si>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</si>
  <si>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</si>
  <si>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</si>
  <si>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</si>
  <si>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</si>
  <si>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</si>
  <si>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</si>
  <si>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</si>
  <si>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</si>
  <si>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</si>
  <si>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</si>
  <si>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</si>
  <si>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</si>
  <si>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</si>
  <si>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</si>
  <si>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</si>
  <si>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</si>
  <si>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</si>
  <si>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</si>
  <si>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</si>
  <si>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</si>
  <si>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</si>
  <si>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</si>
  <si>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</si>
  <si>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</si>
  <si>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</si>
  <si>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</si>
  <si>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</si>
  <si>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</si>
  <si>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</si>
  <si>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</si>
  <si>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</si>
  <si>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</si>
  <si>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</si>
  <si>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</si>
  <si>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</si>
  <si>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</si>
  <si>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</si>
  <si>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</si>
  <si>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</si>
  <si>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</si>
  <si>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</si>
  <si>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</si>
  <si>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</si>
  <si>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</si>
  <si>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</si>
  <si>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</si>
  <si>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</si>
  <si>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</si>
  <si>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</si>
  <si>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</si>
  <si>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</si>
  <si>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</si>
  <si>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</si>
  <si>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</si>
  <si>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</si>
  <si>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</si>
  <si>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</si>
  <si>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</si>
  <si>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</si>
  <si>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</si>
  <si>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</si>
  <si>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</si>
  <si>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</si>
  <si>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</si>
  <si>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</si>
  <si>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</si>
  <si>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</si>
  <si>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</si>
  <si>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</si>
  <si>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</si>
  <si>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</si>
  <si>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</si>
  <si>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</si>
  <si>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</si>
  <si>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</si>
  <si>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</si>
  <si>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</si>
  <si>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</si>
  <si>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</si>
  <si>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</si>
  <si>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</si>
  <si>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</si>
  <si>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</si>
  <si>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</si>
  <si>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</si>
  <si>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</si>
  <si>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</si>
  <si>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</si>
  <si>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</si>
  <si>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</si>
  <si>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</si>
  <si>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</si>
  <si>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</si>
  <si>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</si>
  <si>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</si>
  <si>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</si>
  <si>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</si>
  <si>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</si>
  <si>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</si>
  <si>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</si>
  <si>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</si>
  <si>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</si>
  <si>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</si>
  <si>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</si>
  <si>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</si>
  <si>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</si>
  <si>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</si>
  <si>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</si>
  <si>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</si>
  <si>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</si>
  <si>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</si>
  <si>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</si>
  <si>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</si>
  <si>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</si>
  <si>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</si>
  <si>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</si>
  <si>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</si>
  <si>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</si>
  <si>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</si>
  <si>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</si>
  <si>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</si>
  <si>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</si>
  <si>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</si>
  <si>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</si>
  <si>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</si>
  <si>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</si>
  <si>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</si>
  <si>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</si>
  <si>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</si>
  <si>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</si>
  <si>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</si>
  <si>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</si>
  <si>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</si>
  <si>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</si>
  <si>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</si>
  <si>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</si>
  <si>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</si>
  <si>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</si>
  <si>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</si>
  <si>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</si>
  <si>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</si>
  <si>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</si>
  <si>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</si>
  <si>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</si>
  <si>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</si>
  <si>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</si>
  <si>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</si>
  <si>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</si>
  <si>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</si>
  <si>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</si>
  <si>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</si>
  <si>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</si>
  <si>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</si>
  <si>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</si>
  <si>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</si>
  <si>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</si>
  <si>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</si>
  <si>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</si>
  <si>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</si>
  <si>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</si>
  <si>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</si>
  <si>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</si>
  <si>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</si>
  <si>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</si>
  <si>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</si>
  <si>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</si>
  <si>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</si>
  <si>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</si>
  <si>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</si>
  <si>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</si>
  <si>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</si>
  <si>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</si>
  <si>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</si>
  <si>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</si>
  <si>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</si>
  <si>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</si>
  <si>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</si>
  <si>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</si>
  <si>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</si>
  <si>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</si>
  <si>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</si>
  <si>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</si>
  <si>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</si>
  <si>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</si>
  <si>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</si>
  <si>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</si>
  <si>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</si>
  <si>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</si>
  <si>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</si>
  <si>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</si>
  <si>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</si>
  <si>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</si>
  <si>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</si>
  <si>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</si>
  <si>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</si>
  <si>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</si>
  <si>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</si>
  <si>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</si>
  <si>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</si>
  <si>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</si>
  <si>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</si>
  <si>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</si>
  <si>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</si>
  <si>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</si>
  <si>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</si>
  <si>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</si>
  <si>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</si>
  <si>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</si>
  <si>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</si>
  <si>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</si>
  <si>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</si>
  <si>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</si>
  <si>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</si>
  <si>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</si>
  <si>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</si>
  <si>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</si>
  <si>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</si>
  <si>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</si>
  <si>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</si>
  <si>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</si>
  <si>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</si>
  <si>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</si>
  <si>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</si>
  <si>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</si>
  <si>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</si>
  <si>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</si>
  <si>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</si>
  <si>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</si>
  <si>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</si>
  <si>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</si>
  <si>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</si>
  <si>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</si>
  <si>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</si>
  <si>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</si>
  <si>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</si>
  <si>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</si>
  <si>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</si>
  <si>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</si>
  <si>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</si>
  <si>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</si>
  <si>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</si>
  <si>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</si>
  <si>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</si>
  <si>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</si>
  <si>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</si>
  <si>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</si>
  <si>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</si>
  <si>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</si>
  <si>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</si>
  <si>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</si>
  <si>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</si>
  <si>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</si>
  <si>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</si>
  <si>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</si>
  <si>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</si>
  <si>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</si>
  <si>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</si>
  <si>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</si>
  <si>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</si>
  <si>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</si>
  <si>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</si>
  <si>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</si>
  <si>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</si>
  <si>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</si>
  <si>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</si>
  <si>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</si>
  <si>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</si>
  <si>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</si>
  <si>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</si>
  <si>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</si>
  <si>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</si>
  <si>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</si>
  <si>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</si>
  <si>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</si>
  <si>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</si>
  <si>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</si>
  <si>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</si>
  <si>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</si>
  <si>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</si>
  <si>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</si>
  <si>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</si>
  <si>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</si>
  <si>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</si>
  <si>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</si>
  <si>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</si>
  <si>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</si>
  <si>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</si>
  <si>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</si>
  <si>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</si>
  <si>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</si>
  <si>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</si>
  <si>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</si>
  <si>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</si>
  <si>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</si>
  <si>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</si>
  <si>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</si>
  <si>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</si>
  <si>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</si>
  <si>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</si>
  <si>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</si>
  <si>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</si>
  <si>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</si>
  <si>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</si>
  <si>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</si>
  <si>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</si>
  <si>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</si>
  <si>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</si>
  <si>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</si>
  <si>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</si>
  <si>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</si>
  <si>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</si>
  <si>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</si>
  <si>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</si>
  <si>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</si>
  <si>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</si>
  <si>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</si>
  <si>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</si>
  <si>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</si>
  <si>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</si>
  <si>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</si>
  <si>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</si>
  <si>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</si>
  <si>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</si>
  <si>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</si>
  <si>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</si>
  <si>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</si>
  <si>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</si>
  <si>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</si>
  <si>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</si>
  <si>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</si>
  <si>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</si>
  <si>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</si>
  <si>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</si>
  <si>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</si>
  <si>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</si>
  <si>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</si>
  <si>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</si>
  <si>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</si>
  <si>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</si>
  <si>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</si>
  <si>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</si>
  <si>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</si>
  <si>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</si>
  <si>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</si>
  <si>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</si>
  <si>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</si>
  <si>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</si>
  <si>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</si>
  <si>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</si>
  <si>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</si>
  <si>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</si>
  <si>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</si>
  <si>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</si>
  <si>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</si>
  <si>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</si>
  <si>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</si>
  <si>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</si>
  <si>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</si>
  <si>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</si>
  <si>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</si>
  <si>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</si>
  <si>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</si>
  <si>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</si>
  <si>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</si>
  <si>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</si>
  <si>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</si>
  <si>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</si>
  <si>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</si>
  <si>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</si>
  <si>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</si>
  <si>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</si>
  <si>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</si>
  <si>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</si>
  <si>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</si>
  <si>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</si>
  <si>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</si>
  <si>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</si>
  <si>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</si>
  <si>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</si>
  <si>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</si>
  <si>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</si>
  <si>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</si>
  <si>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</si>
  <si>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</si>
  <si>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</si>
  <si>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</si>
  <si>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</si>
  <si>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</si>
  <si>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</si>
  <si>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</si>
  <si>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</si>
  <si>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</si>
  <si>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</si>
  <si>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</si>
  <si>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</si>
  <si>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</si>
  <si>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</si>
  <si>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</si>
  <si>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</si>
  <si>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</si>
  <si>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</si>
  <si>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</si>
  <si>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</si>
  <si>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</si>
  <si>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</si>
  <si>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</si>
  <si>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</si>
  <si>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</si>
  <si>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</si>
  <si>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</si>
  <si>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</si>
  <si>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</si>
  <si>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</si>
  <si>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</si>
  <si>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</si>
  <si>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</si>
  <si>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</si>
  <si>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</si>
  <si>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</si>
  <si>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</si>
  <si>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</si>
  <si>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</si>
  <si>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</si>
  <si>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</si>
  <si>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</si>
  <si>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</si>
  <si>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</si>
  <si>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</si>
  <si>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</si>
  <si>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</si>
  <si>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</si>
  <si>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</si>
  <si>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</si>
  <si>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</si>
  <si>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</si>
  <si>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</si>
  <si>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</si>
  <si>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</si>
  <si>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</si>
  <si>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</si>
  <si>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</si>
  <si>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</si>
  <si>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</si>
  <si>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</si>
  <si>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</si>
  <si>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</si>
  <si>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</si>
  <si>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</si>
  <si>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</si>
  <si>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</si>
  <si>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</si>
  <si>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</si>
  <si>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</si>
  <si>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</si>
  <si>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</si>
  <si>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</si>
  <si>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</si>
  <si>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</si>
  <si>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</si>
  <si>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</si>
  <si>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</si>
  <si>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</si>
  <si>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</si>
  <si>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</si>
  <si>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</si>
  <si>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</si>
  <si>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</si>
  <si>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</si>
  <si>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</si>
  <si>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</si>
  <si>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</si>
  <si>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</si>
  <si>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</si>
  <si>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</si>
  <si>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</si>
  <si>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</si>
  <si>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</si>
  <si>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</si>
  <si>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</si>
  <si>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</si>
  <si>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</si>
  <si>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</si>
  <si>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</si>
  <si>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</si>
  <si>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</si>
  <si>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</si>
  <si>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</si>
  <si>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</si>
  <si>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</si>
  <si>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</si>
  <si>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</si>
  <si>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</si>
  <si>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</si>
  <si>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</si>
  <si>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</si>
  <si>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</si>
  <si>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</si>
  <si>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</si>
  <si>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</si>
  <si>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</si>
  <si>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</si>
  <si>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</si>
  <si>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</si>
  <si>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</si>
  <si>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</si>
  <si>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</si>
  <si>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</si>
  <si>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</si>
  <si>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</si>
  <si>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</si>
  <si>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</si>
  <si>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</si>
  <si>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</si>
  <si>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</si>
  <si>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</si>
  <si>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</si>
  <si>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</si>
  <si>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</si>
  <si>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</si>
  <si>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</si>
  <si>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</si>
  <si>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</si>
  <si>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</si>
  <si>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</si>
  <si>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</si>
  <si>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</si>
  <si>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</si>
  <si>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</si>
  <si>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</si>
  <si>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</si>
  <si>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</si>
  <si>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</si>
  <si>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</si>
  <si>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</si>
  <si>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</si>
  <si>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</si>
  <si>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</si>
  <si>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</si>
  <si>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</si>
  <si>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</si>
  <si>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</si>
  <si>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</si>
  <si>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</si>
  <si>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</si>
  <si>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</si>
  <si>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</si>
  <si>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</si>
  <si>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</si>
  <si>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</si>
  <si>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</si>
  <si>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</si>
  <si>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</si>
  <si>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</si>
  <si>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</si>
  <si>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</si>
  <si>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</si>
  <si>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</si>
  <si>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</si>
  <si>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</si>
  <si>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</si>
  <si>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</si>
  <si>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</si>
  <si>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</si>
  <si>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</si>
  <si>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</si>
  <si>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</si>
  <si>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</si>
  <si>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</si>
  <si>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확장 초안 191개를 가정의학 임상 관점에서 검수했다. 실제 의학팀 최종 승인을 대체하지 않는다 — 쟁점 8번 참조.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</si>
  <si>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</si>
  <si>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</si>
  <si>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</si>
  <si>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</si>
  <si>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</si>
  <si>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</si>
  <si>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</si>
  <si>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</si>
  <si>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</si>
  <si>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</si>
  <si>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</si>
  <si>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</si>
  <si>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</si>
  <si>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</si>
  <si>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</si>
  <si>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</si>
  <si>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</si>
  <si>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</si>
  <si>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</si>
  <si>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</si>
  <si>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</si>
  <si>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</si>
  <si>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</si>
  <si>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</si>
  <si>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</si>
  <si>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</si>
  <si>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</si>
  <si>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</si>
  <si>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</si>
  <si>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</si>
  <si>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</si>
  <si>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</si>
  <si>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</si>
  <si>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</si>
  <si>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</si>
  <si>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</si>
  <si>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</si>
  <si>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</si>
  <si>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</si>
  <si>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</si>
  <si>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</si>
  <si>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</si>
  <si>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</si>
  <si>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</si>
  <si>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</si>
  <si>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</si>
  <si>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</si>
  <si>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</si>
  <si>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</si>
  <si>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</si>
  <si>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</si>
  <si>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</si>
  <si>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</si>
  <si>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</si>
  <si>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</si>
  <si>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</si>
  <si>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</si>
  <si>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</si>
  <si>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</si>
  <si>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</si>
  <si>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</si>
  <si>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</si>
  <si>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</si>
  <si>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</si>
  <si>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</si>
  <si>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</si>
  <si>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</si>
  <si>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</si>
  <si>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</si>
  <si>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오늘은 굽거나 찌기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</si>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</sst>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17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773</v>
      </c>
    </row>
    <row r="4" spans="1:4">
      <c r="A4" s="2" t="s">
        <v>11</v>
      </c>
      <c r="B4" s="2" t="s">
        <v>774</v>
      </c>
      <c r="C4" s="2" t="s">
        <v>775</v>
      </c>
      <c r="D4" s="2" t="s">
        <v>776</v>
      </c>
    </row>
    <row r="5" spans="1:4">
      <c r="A5" s="5" t="s">
        <v>23</v>
      </c>
      <c r="B5" s="5" t="s">
        <v>777</v>
      </c>
      <c r="C5" s="5">
        <f>COUNTIF(검수결과!L:L,"승인")</f>
        <v>164</v>
      </c>
      <c r="D5" s="5" t="s">
        <v>778</v>
      </c>
    </row>
    <row r="6" spans="1:4">
      <c r="A6" s="5" t="s">
        <v>130</v>
      </c>
      <c r="B6" s="5" t="s">
        <v>779</v>
      </c>
      <c r="C6" s="5">
        <f>COUNTIF(검수결과!L:L,"조건부")</f>
        <v>12</v>
      </c>
      <c r="D6" s="5" t="s">
        <v>780</v>
      </c>
    </row>
    <row r="7" spans="1:4">
      <c r="A7" s="5" t="s">
        <v>196</v>
      </c>
      <c r="B7" s="5" t="s">
        <v>781</v>
      </c>
      <c r="C7" s="5">
        <f>COUNTIF(검수결과!L:L,"수정")</f>
        <v>6</v>
      </c>
      <c r="D7" s="5" t="s">
        <v>782</v>
      </c>
    </row>
    <row r="8" spans="1:4">
      <c r="A8" s="5" t="s">
        <v>144</v>
      </c>
      <c r="B8" s="5" t="s">
        <v>783</v>
      </c>
      <c r="C8" s="5">
        <f>COUNTIF(검수결과!L:L,"확인 필요")</f>
        <v>2</v>
      </c>
      <c r="D8" s="5" t="s">
        <v>784</v>
      </c>
    </row>
    <row r="9" spans="1:4">
      <c r="A9" s="5" t="s">
        <v>124</v>
      </c>
      <c r="B9" s="5" t="s">
        <v>785</v>
      </c>
      <c r="C9" s="5">
        <f>COUNTIF(검수결과!L:L,"보류")</f>
        <v>2</v>
      </c>
      <c r="D9" s="5" t="s">
        <v>786</v>
      </c>
    </row>
    <row r="10" spans="1:4">
      <c r="A10" s="5" t="s">
        <v>27</v>
      </c>
      <c r="B10" s="5" t="s">
        <v>787</v>
      </c>
      <c r="C10" s="5">
        <f>COUNTIF(검수결과!L:L,"삭제")</f>
        <v>5</v>
      </c>
      <c r="D10" s="5" t="s">
        <v>788</v>
      </c>
    </row>
    <row r="11" spans="1:4">
      <c r="A11" s="6" t="s">
        <v>789</v>
      </c>
      <c r="B11" s="5"/>
      <c r="C11" s="6">
        <f>SUM(C5:C10)</f>
        <v>191</v>
      </c>
      <c r="D11" s="5"/>
    </row>
    <row r="13" spans="1:4">
      <c r="A13" s="4" t="s">
        <v>790</v>
      </c>
    </row>
    <row r="14" spans="1:4">
      <c r="A14" s="7" t="s">
        <v>791</v>
      </c>
    </row>
    <row r="15" spans="1:4">
      <c r="A15" s="7" t="s">
        <v>792</v>
      </c>
    </row>
    <row r="16" spans="1:4">
      <c r="A16" s="7" t="s">
        <v>793</v>
      </c>
    </row>
    <row r="17" spans="1:1">
      <c r="A17" s="7" t="s">
        <v>794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N192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</row>
    <row r="3" spans="1:14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</row>
    <row r="4" spans="1:14">
      <c r="A4" s="1" t="s">
        <v>29</v>
      </c>
      <c r="B4" s="1" t="s">
        <v>15</v>
      </c>
      <c r="C4" s="1" t="s">
        <v>16</v>
      </c>
      <c r="D4" s="1" t="s">
        <v>30</v>
      </c>
      <c r="E4" s="11" t="s">
        <v>848</v>
      </c>
      <c r="F4" s="10" t="s">
        <v>817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</row>
    <row r="5" spans="1:14">
      <c r="A5" s="1" t="s">
        <v>33</v>
      </c>
      <c r="B5" s="1" t="s">
        <v>15</v>
      </c>
      <c r="C5" s="1" t="s">
        <v>16</v>
      </c>
      <c r="D5" s="1" t="s">
        <v>34</v>
      </c>
      <c r="E5" s="11" t="s">
        <v>849</v>
      </c>
      <c r="F5" s="10" t="s">
        <v>795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</row>
    <row r="6" spans="1:14">
      <c r="A6" s="1" t="s">
        <v>37</v>
      </c>
      <c r="B6" s="1" t="s">
        <v>15</v>
      </c>
      <c r="C6" s="1" t="s">
        <v>16</v>
      </c>
      <c r="D6" s="1" t="s">
        <v>34</v>
      </c>
      <c r="E6" s="11" t="s">
        <v>850</v>
      </c>
      <c r="F6" s="10" t="s">
        <v>818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</row>
    <row r="7" spans="1:14">
      <c r="A7" s="1" t="s">
        <v>41</v>
      </c>
      <c r="B7" s="1" t="s">
        <v>15</v>
      </c>
      <c r="C7" s="1" t="s">
        <v>42</v>
      </c>
      <c r="D7" s="1" t="s">
        <v>17</v>
      </c>
      <c r="E7" s="11" t="s">
        <v>851</v>
      </c>
      <c r="F7" s="10" t="s">
        <v>796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</row>
    <row r="8" spans="1:14">
      <c r="A8" s="1" t="s">
        <v>46</v>
      </c>
      <c r="B8" s="1" t="s">
        <v>15</v>
      </c>
      <c r="C8" s="1" t="s">
        <v>42</v>
      </c>
      <c r="D8" s="1" t="s">
        <v>17</v>
      </c>
      <c r="E8" s="11" t="s">
        <v>852</v>
      </c>
      <c r="F8" s="10" t="s">
        <v>797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</row>
    <row r="9" spans="1:14">
      <c r="A9" s="1" t="s">
        <v>49</v>
      </c>
      <c r="B9" s="1" t="s">
        <v>15</v>
      </c>
      <c r="C9" s="1" t="s">
        <v>42</v>
      </c>
      <c r="D9" s="1" t="s">
        <v>30</v>
      </c>
      <c r="E9" s="11" t="s">
        <v>853</v>
      </c>
      <c r="F9" s="10" t="s">
        <v>798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</row>
    <row r="10" spans="1:14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854</v>
      </c>
      <c r="F10" s="10" t="s">
        <v>799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</row>
    <row r="11" spans="1:14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</row>
    <row r="12" spans="1:14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855</v>
      </c>
      <c r="F12" s="10" t="s">
        <v>819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</row>
    <row r="13" spans="1:14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</row>
    <row r="14" spans="1:14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</row>
    <row r="15" spans="1:14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</row>
    <row r="16" spans="1:14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856</v>
      </c>
      <c r="F16" s="10" t="s">
        <v>800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</row>
    <row r="17" spans="1:14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</row>
    <row r="18" spans="1:14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857</v>
      </c>
      <c r="F18" s="10" t="s">
        <v>820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</row>
    <row r="19" spans="1:14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</row>
    <row r="20" spans="1:14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858</v>
      </c>
      <c r="F20" s="10" t="s">
        <v>821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</row>
    <row r="21" spans="1:14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859</v>
      </c>
      <c r="F21" s="10" t="s">
        <v>822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</row>
    <row r="22" spans="1:14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860</v>
      </c>
      <c r="F22" s="10" t="s">
        <v>801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</row>
    <row r="23" spans="1:14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</row>
    <row r="24" spans="1:14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</row>
    <row r="25" spans="1:14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</row>
    <row r="26" spans="1:14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</row>
    <row r="27" spans="1:14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</row>
    <row r="28" spans="1:14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</row>
    <row r="29" spans="1:14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</row>
    <row r="30" spans="1:14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861</v>
      </c>
      <c r="F30" s="10" t="s">
        <v>823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</row>
    <row r="31" spans="1:14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</row>
    <row r="32" spans="1:14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</row>
    <row r="33" spans="1:14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</row>
    <row r="34" spans="1:14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</row>
    <row r="35" spans="1:14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862</v>
      </c>
      <c r="F35" s="10" t="s">
        <v>802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</row>
    <row r="36" spans="1:14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</row>
    <row r="37" spans="1:14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</row>
    <row r="38" spans="1:14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863</v>
      </c>
      <c r="F38" s="10" t="s">
        <v>824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</row>
    <row r="39" spans="1:14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864</v>
      </c>
      <c r="F39" s="10" t="s">
        <v>803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</row>
    <row r="40" spans="1:14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865</v>
      </c>
      <c r="F40" s="10" t="s">
        <v>825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</row>
    <row r="41" spans="1:14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866</v>
      </c>
      <c r="F41" s="10" t="s">
        <v>826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</row>
    <row r="42" spans="1:14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867</v>
      </c>
      <c r="F42" s="10" t="s">
        <v>804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</row>
    <row r="43" spans="1:14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</row>
    <row r="44" spans="1:14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</row>
    <row r="45" spans="1:14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</row>
    <row r="46" spans="1:14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</row>
    <row r="47" spans="1:14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</row>
    <row r="48" spans="1:14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</row>
    <row r="49" spans="1:14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</row>
    <row r="50" spans="1:14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</row>
    <row r="51" spans="1:14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868</v>
      </c>
      <c r="F51" s="10" t="s">
        <v>827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</row>
    <row r="52" spans="1:14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869</v>
      </c>
      <c r="F52" s="10" t="s">
        <v>828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</row>
    <row r="53" spans="1:14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870</v>
      </c>
      <c r="F53" s="10" t="s">
        <v>805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</row>
    <row r="54" spans="1:14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</row>
    <row r="55" spans="1:14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</row>
    <row r="56" spans="1:14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</row>
    <row r="57" spans="1:14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871</v>
      </c>
      <c r="F57" s="10" t="s">
        <v>806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</row>
    <row r="58" spans="1:14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872</v>
      </c>
      <c r="F58" s="10" t="s">
        <v>807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</row>
    <row r="59" spans="1:14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873</v>
      </c>
      <c r="F59" s="10" t="s">
        <v>829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</row>
    <row r="60" spans="1:14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</row>
    <row r="61" spans="1:14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</row>
    <row r="62" spans="1:14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</row>
    <row r="63" spans="1:14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</row>
    <row r="64" spans="1:14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</row>
    <row r="65" spans="1:14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</row>
    <row r="66" spans="1:14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874</v>
      </c>
      <c r="F66" s="10" t="s">
        <v>830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</row>
    <row r="67" spans="1:14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</row>
    <row r="68" spans="1:14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875</v>
      </c>
      <c r="F68" s="10" t="s">
        <v>808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</row>
    <row r="69" spans="1:14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876</v>
      </c>
      <c r="F69" s="10" t="s">
        <v>831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</row>
    <row r="70" spans="1:14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</row>
    <row r="71" spans="1:14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</row>
    <row r="72" spans="1:14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</row>
    <row r="73" spans="1:14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</row>
    <row r="74" spans="1:14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</row>
    <row r="75" spans="1:14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</row>
    <row r="76" spans="1:14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</row>
    <row r="77" spans="1:14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</row>
    <row r="78" spans="1:14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</row>
    <row r="79" spans="1:14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877</v>
      </c>
      <c r="F79" s="10" t="s">
        <v>809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</row>
    <row r="80" spans="1:14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</row>
    <row r="81" spans="1:14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</row>
    <row r="82" spans="1:14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</row>
    <row r="83" spans="1:14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878</v>
      </c>
      <c r="F83" s="10" t="s">
        <v>832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</row>
    <row r="84" spans="1:14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</row>
    <row r="85" spans="1:14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879</v>
      </c>
      <c r="F85" s="10" t="s">
        <v>833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</row>
    <row r="86" spans="1:14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880</v>
      </c>
      <c r="F86" s="10" t="s">
        <v>810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</row>
    <row r="87" spans="1:14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</row>
    <row r="88" spans="1:14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881</v>
      </c>
      <c r="F88" s="10" t="s">
        <v>834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</row>
    <row r="89" spans="1:14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</row>
    <row r="90" spans="1:14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882</v>
      </c>
      <c r="F90" s="10" t="s">
        <v>811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</row>
    <row r="91" spans="1:14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</row>
    <row r="92" spans="1:14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</row>
    <row r="93" spans="1:14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</row>
    <row r="94" spans="1:14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</row>
    <row r="95" spans="1:14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</row>
    <row r="96" spans="1:14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</row>
    <row r="97" spans="1:14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</row>
    <row r="98" spans="1:14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</row>
    <row r="99" spans="1:14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</row>
    <row r="100" spans="1:14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883</v>
      </c>
      <c r="F100" s="10" t="s">
        <v>902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</row>
    <row r="101" spans="1:14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</row>
    <row r="102" spans="1:14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</row>
    <row r="103" spans="1:14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</row>
    <row r="104" spans="1:14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</row>
    <row r="105" spans="1:14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884</v>
      </c>
      <c r="F105" s="10" t="s">
        <v>835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</row>
    <row r="106" spans="1:14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</row>
    <row r="107" spans="1:14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</row>
    <row r="108" spans="1:14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</row>
    <row r="109" spans="1:14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</row>
    <row r="110" spans="1:14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</row>
    <row r="111" spans="1:14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885</v>
      </c>
      <c r="F111" s="10" t="s">
        <v>836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</row>
    <row r="112" spans="1:14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886</v>
      </c>
      <c r="F112" s="10" t="s">
        <v>837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</row>
    <row r="113" spans="1:14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887</v>
      </c>
      <c r="F113" s="10" t="s">
        <v>838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</row>
    <row r="114" spans="1:14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</row>
    <row r="115" spans="1:14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</row>
    <row r="116" spans="1:14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</row>
    <row r="117" spans="1:14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888</v>
      </c>
      <c r="F117" s="10" t="s">
        <v>839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</row>
    <row r="118" spans="1:14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</row>
    <row r="119" spans="1:14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</row>
    <row r="120" spans="1:14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889</v>
      </c>
      <c r="F120" s="10" t="s">
        <v>840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</row>
    <row r="121" spans="1:14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890</v>
      </c>
      <c r="F121" s="10" t="s">
        <v>903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</row>
    <row r="122" spans="1:14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</row>
    <row r="123" spans="1:14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</row>
    <row r="124" spans="1:14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</row>
    <row r="125" spans="1:14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</row>
    <row r="126" spans="1:14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</row>
    <row r="127" spans="1:14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</row>
    <row r="128" spans="1:14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</row>
    <row r="129" spans="1:14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</row>
    <row r="130" spans="1:14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</row>
    <row r="131" spans="1:14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</row>
    <row r="132" spans="1:14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</row>
    <row r="133" spans="1:14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</row>
    <row r="134" spans="1:14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</row>
    <row r="135" spans="1:14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</row>
    <row r="136" spans="1:14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891</v>
      </c>
      <c r="F136" s="10" t="s">
        <v>812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</row>
    <row r="137" spans="1:14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892</v>
      </c>
      <c r="F137" s="10" t="s">
        <v>841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</row>
    <row r="138" spans="1:14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</row>
    <row r="139" spans="1:14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</row>
    <row r="140" spans="1:14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</row>
    <row r="141" spans="1:14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</row>
    <row r="142" spans="1:14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</row>
    <row r="143" spans="1:14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</row>
    <row r="144" spans="1:14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</row>
    <row r="145" spans="1:14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</row>
    <row r="146" spans="1:14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</row>
    <row r="147" spans="1:14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</row>
    <row r="148" spans="1:14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</row>
    <row r="149" spans="1:14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</row>
    <row r="150" spans="1:14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</row>
    <row r="151" spans="1:14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</row>
    <row r="152" spans="1:14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</row>
    <row r="153" spans="1:14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</row>
    <row r="154" spans="1:14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</row>
    <row r="155" spans="1:14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</row>
    <row r="156" spans="1:14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</row>
    <row r="157" spans="1:14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</row>
    <row r="158" spans="1:14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</row>
    <row r="159" spans="1:14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</row>
    <row r="160" spans="1:14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</row>
    <row r="161" spans="1:14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</row>
    <row r="162" spans="1:14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</row>
    <row r="163" spans="1:14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</row>
    <row r="164" spans="1:14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893</v>
      </c>
      <c r="F164" s="10" t="s">
        <v>842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</row>
    <row r="165" spans="1:14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894</v>
      </c>
      <c r="F165" s="10" t="s">
        <v>813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</row>
    <row r="166" spans="1:14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</row>
    <row r="167" spans="1:14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</row>
    <row r="168" spans="1:14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</row>
    <row r="169" spans="1:14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895</v>
      </c>
      <c r="F169" s="10" t="s">
        <v>843</v>
      </c>
      <c r="G169" s="12">
        <v>10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</row>
    <row r="170" spans="1:14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</row>
    <row r="171" spans="1:14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896</v>
      </c>
      <c r="F171" s="10" t="s">
        <v>814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</row>
    <row r="172" spans="1:14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897</v>
      </c>
      <c r="F172" s="10" t="s">
        <v>844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</row>
    <row r="173" spans="1:14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</row>
    <row r="174" spans="1:14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898</v>
      </c>
      <c r="F174" s="10" t="s">
        <v>845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</row>
    <row r="175" spans="1:14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</row>
    <row r="176" spans="1:14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</row>
    <row r="177" spans="1:14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</row>
    <row r="178" spans="1:14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</row>
    <row r="179" spans="1:14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899</v>
      </c>
      <c r="F179" s="10" t="s">
        <v>815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</row>
    <row r="180" spans="1:14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</row>
    <row r="181" spans="1:14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</row>
    <row r="182" spans="1:14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</row>
    <row r="183" spans="1:14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</row>
    <row r="184" spans="1:14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900</v>
      </c>
      <c r="F184" s="10" t="s">
        <v>846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</row>
    <row r="185" spans="1:14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</row>
    <row r="186" spans="1:14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</row>
    <row r="187" spans="1:14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901</v>
      </c>
      <c r="F187" s="10" t="s">
        <v>816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</row>
    <row r="188" spans="1:14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</row>
    <row r="189" spans="1:14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</row>
    <row r="190" spans="1:14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</row>
    <row r="191" spans="1:14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</row>
    <row r="192" spans="1:14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847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2026-09-29T09:24:53Z</dcterms:modified>
</cp:coreProperties>
</file>
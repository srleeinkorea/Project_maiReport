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이사라\AppData\Local\Temp\claude\C--Users-----Documents-Project-maiReport\de191c12-f917-427b-8479-a7229e623801\scratchpad\"/>
    </mc:Choice>
  </mc:AlternateContent>
  <xr:revisionPtr revIDLastSave="0" documentId="13_ncr:1_{65CD2074-BA02-4FC5-B043-F3969EE34709}" xr6:coauthVersionLast="47" xr6:coauthVersionMax="47" xr10:uidLastSave="{00000000-0000-0000-0000-000000000000}"/>
  <bookViews>
    <workbookView xWindow="4370" yWindow="8450" windowWidth="28800" windowHeight="15410" xr2:uid="{42D89E42-4FCF-4254-8675-CBEDF31F0E23}"/>
  </bookViews>
  <sheets>
    <sheet name="안내" sheetId="1" r:id="rId1"/>
    <sheet name="문구세트" sheetId="2" r:id="rId2"/>
    <sheet name="축정의" sheetId="3" r:id="rId3"/>
    <sheet name="상병코드매핑" sheetId="4" r:id="rId4"/>
    <sheet name="설정값" sheetId="5" r:id="rId5"/>
  </sheets>
  <definedNames>
    <definedName name="_xlnm._FilterDatabase" localSheetId="1" hidden="1">문구세트!$A$1:$P$1</definedName>
    <definedName name="_xlnm._FilterDatabase" localSheetId="3" hidden="1">상병코드매핑!$A$1:$H$1</definedName>
    <definedName name="_xlnm._FilterDatabase" localSheetId="4" hidden="1">설정값!$A$1:$E$1</definedName>
    <definedName name="_xlnm._FilterDatabase" localSheetId="2" hidden="1">축정의!$A$1:$J$1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2" i="1" l="1"/>
  <c r="C11" i="1"/>
  <c r="C8" i="1"/>
  <c r="C7" i="1"/>
  <c r="C6" i="1"/>
  <c r="C5" i="1"/>
</calcChain>
</file>

<file path=xl/sharedStrings.xml><?xml version="1.0" encoding="utf-8"?>
<sst xmlns="http://schemas.openxmlformats.org/spreadsheetml/2006/main" count="3053" uniqueCount="1006">
  <si>
    <t>No</t>
  </si>
  <si>
    <t>상태</t>
  </si>
  <si>
    <t>구분</t>
  </si>
  <si>
    <t>축</t>
  </si>
  <si>
    <t>단계</t>
  </si>
  <si>
    <t>타일 문구</t>
  </si>
  <si>
    <t>글자수</t>
  </si>
  <si>
    <t>이유 한 줄</t>
  </si>
  <si>
    <t>시간대 표시</t>
  </si>
  <si>
    <t>검진 경계 전용</t>
  </si>
  <si>
    <t>제한 (검수 반영)</t>
  </si>
  <si>
    <t>근거</t>
  </si>
  <si>
    <t>근거 강도</t>
  </si>
  <si>
    <t>검수 판정</t>
  </si>
  <si>
    <t>검수 의견</t>
  </si>
  <si>
    <t>사용</t>
  </si>
  <si>
    <t>축 × 단계</t>
  </si>
  <si>
    <t>끼니 규칙</t>
  </si>
  <si>
    <t>입문</t>
  </si>
  <si>
    <t>아침에 무엇이든 한 가지 먹기</t>
  </si>
  <si>
    <t>가볍게라도 먹으면 아침 끼니 리듬이 생겨요.</t>
  </si>
  <si>
    <t>오전 진입</t>
  </si>
  <si>
    <t>—</t>
  </si>
  <si>
    <t>식생활지침 수칙 5</t>
  </si>
  <si>
    <t>지침</t>
  </si>
  <si>
    <t>승인</t>
  </si>
  <si>
    <t>기본</t>
  </si>
  <si>
    <t>아침 거르지 않기</t>
  </si>
  <si>
    <t>식생활지침이 권하는 하루 첫 끼예요.</t>
  </si>
  <si>
    <t>점심 · 저녁 거르지 않기</t>
  </si>
  <si>
    <t>끼니를 거르면 다음 끼니에 몰아 먹기 쉬워요.</t>
  </si>
  <si>
    <t>식생활지침 수칙 1 · 4</t>
  </si>
  <si>
    <t>도전</t>
  </si>
  <si>
    <t>세 끼 시각을 어제와 비슷하게</t>
  </si>
  <si>
    <t>끼니 시각이 일정하면 하루 리듬이 안정돼요.</t>
  </si>
  <si>
    <t>관찰 연구</t>
  </si>
  <si>
    <t>약함</t>
  </si>
  <si>
    <t>채소</t>
  </si>
  <si>
    <t>오늘 한 끼는 채소 반찬 한 가지</t>
  </si>
  <si>
    <t>채소가 있으면 포만감이 커지고 식후 혈당이 덜 올라요.</t>
  </si>
  <si>
    <t>식생활지침 수칙 1 · WHO 400g</t>
  </si>
  <si>
    <t>채소 반찬 한 가지 더</t>
  </si>
  <si>
    <t>하루 채소 400g은 반찬 한 가지씩 더하는 데서 시작해요.</t>
  </si>
  <si>
    <t>저녁은 채소부터 먼저</t>
  </si>
  <si>
    <t>채소를 먼저 먹으면 식후 혈당이 덜 출렁여요.</t>
  </si>
  <si>
    <t>저녁</t>
  </si>
  <si>
    <t>식사 순서 무작위 대조 연구</t>
  </si>
  <si>
    <t>연구</t>
  </si>
  <si>
    <t>매 끼니 채소부터 먼저</t>
  </si>
  <si>
    <t>먹는 순서만 바꿔도 혈당 오르는 속도가 달라져요.</t>
  </si>
  <si>
    <t>단 음료 · 단 간식</t>
  </si>
  <si>
    <t>단 음료 한 번은 물로 바꾸기</t>
  </si>
  <si>
    <t>음료로 들어오는 당은 티가 안 나게 쌓여요.</t>
  </si>
  <si>
    <t>WHO 당류 지침</t>
  </si>
  <si>
    <t>단 음료 대신 물이나 무가당 차</t>
  </si>
  <si>
    <t>음료의 당은 하루 당 섭취에서 가장 큰 몫을 차지해요.</t>
  </si>
  <si>
    <t>WHO 당류 지침 · 식생활지침 수칙 3</t>
  </si>
  <si>
    <t>저녁 후 단 디저트 건너뛰기</t>
  </si>
  <si>
    <t>저녁 뒤 단것까지 더하면 하루 당 권고량을 넘기기 쉬워요.</t>
  </si>
  <si>
    <t>단 음료 오늘 하루 쉬기</t>
  </si>
  <si>
    <t>하루 당 권고량은 설탕 6티스푼 정도예요. 단 음료 한 잔이면 넘어요.</t>
  </si>
  <si>
    <t>WHO 당류 지침(5% ≈ 25g)</t>
  </si>
  <si>
    <t>과일은 한 줌만</t>
  </si>
  <si>
    <t>과일도 당이라 양을 정해 두는 게 좋아요.</t>
  </si>
  <si>
    <t>만성 신장질환(전 단계)</t>
  </si>
  <si>
    <t>식생활지침 수칙 2</t>
  </si>
  <si>
    <t>조건부</t>
  </si>
  <si>
    <t>과일은 칼륨이 높다. 같은 이유로 「채소 · 과일 한 접시 더」는 이미 신장 금지인데 이 문구에는 표기가 없어 일관되지 않는다.</t>
  </si>
  <si>
    <t>짠맛 · 국물</t>
  </si>
  <si>
    <t>한 끼는 국물 반만</t>
  </si>
  <si>
    <t>찌개 · 탕 나트륨은 대부분 국물에 있어요.</t>
  </si>
  <si>
    <t>식약처 실측 · WHO 나트륨</t>
  </si>
  <si>
    <t>국물은 건더기 위주로</t>
  </si>
  <si>
    <t>찌개 한 그릇에 하루치 나트륨이 거의 다 들어 있기도 해요.</t>
  </si>
  <si>
    <t>식약처 실측(1인분 약 2,000mg)</t>
  </si>
  <si>
    <t>실측</t>
  </si>
  <si>
    <t>한 끼는 소금 · 장 덜 넣기</t>
  </si>
  <si>
    <t>소금 줄이기는 고혈압 진료지침의 첫 생활요법이에요.</t>
  </si>
  <si>
    <t>고혈압학회 2022</t>
  </si>
  <si>
    <t>가공식품 대신 생재료 한 끼</t>
  </si>
  <si>
    <t>가공식품은 보이지 않는 나트륨이 많아요.</t>
  </si>
  <si>
    <t>WHO 나트륨 · 고혈압학회 2022</t>
  </si>
  <si>
    <t>채소 · 과일 한 접시 더</t>
  </si>
  <si>
    <t>칼륨이 많은 음식은 나트륨 배출을 도와요.</t>
  </si>
  <si>
    <t>식사 시각</t>
  </si>
  <si>
    <t>야식 대신 따뜻한 물 한 잔</t>
  </si>
  <si>
    <t>밤 늦은 허기는 물 한 잔으로 지나가기도 해요.</t>
  </si>
  <si>
    <t>대체 행동</t>
  </si>
  <si>
    <t>야식 없이 하루 마무리</t>
  </si>
  <si>
    <t>늦은 시간에 먹은 열량은 체중으로 남기 쉬워요.</t>
  </si>
  <si>
    <t>비만학회 식사요법(야식 회피) · 관찰 연구</t>
  </si>
  <si>
    <t>저녁은 잠들기 3시간 전에 마치기</t>
  </si>
  <si>
    <t>잠들기 직전 식사는 잠을 얕게 할 수 있어요.</t>
  </si>
  <si>
    <t>ACG 위식도역류 지침(취침 2~3시간 내 식사 회피) · 관찰 연구</t>
  </si>
  <si>
    <t>식사 속도 · 양</t>
  </si>
  <si>
    <t>한 끼는 수저 한 번 내려놓기</t>
  </si>
  <si>
    <t>잠깐 멈추면 먹는 속도가 느려져요.</t>
  </si>
  <si>
    <t>식사 속도 메타분석</t>
  </si>
  <si>
    <t>한 끼는 20분 이상 천천히</t>
  </si>
  <si>
    <t>천천히 먹으면 같은 만족감에 덜 먹게 돼요.</t>
  </si>
  <si>
    <t>식사 속도 메타분석 · 20분은 통용값</t>
  </si>
  <si>
    <t>저녁 양은 점심보다 적게</t>
  </si>
  <si>
    <t>같은 양이라도 낮에 먹는 쪽이 체중 관리에 유리했어요.</t>
  </si>
  <si>
    <t>O</t>
  </si>
  <si>
    <t>열량 배분 무작위 대조 연구(2013)</t>
  </si>
  <si>
    <t>배부르기 전에 수저 놓기</t>
  </si>
  <si>
    <t>배부르기 전에 멈추는 것이 과식을 피하는 방법이에요.</t>
  </si>
  <si>
    <t>식생활지침 수칙 4</t>
  </si>
  <si>
    <t>한 끼 밥 양은 평소의 3분의 2</t>
  </si>
  <si>
    <t>밥 양을 줄이면 식후 혈당 정점이 낮아져요.</t>
  </si>
  <si>
    <t>탄수화물 양 · 식후 혈당 일반 원리 · 3분의 2는 임의값</t>
  </si>
  <si>
    <t>단백질</t>
  </si>
  <si>
    <t>소량이라도 단백질 한 가지</t>
  </si>
  <si>
    <t>달걀 · 두부 · 생선 한 가지면 충분해요.</t>
  </si>
  <si>
    <t>영양소 섭취기준 · 식생활지침 수칙 1</t>
  </si>
  <si>
    <t>단백질 반찬 한 가지 챙기기</t>
  </si>
  <si>
    <t>단백질이 있으면 포만감이 오래 가요.</t>
  </si>
  <si>
    <t>매 끼니 단백질 반찬 하나</t>
  </si>
  <si>
    <t>끼니마다 조금씩 나눠 먹는 편이 좋아요.</t>
  </si>
  <si>
    <t>식생활지침 수칙 1 · 끼니 분산 소규모 실험</t>
  </si>
  <si>
    <t>기름진 음식</t>
  </si>
  <si>
    <t>튀김 · 기름진 반찬은 한 가지만</t>
  </si>
  <si>
    <t>포화지방 · 트랜스지방 줄이기는 지질 진료지침의 기본 권고예요.</t>
  </si>
  <si>
    <t>지질동맥경화학회 5판 · 식생활지침 수칙 2</t>
  </si>
  <si>
    <t>간식은 견과류 한 줌으로</t>
  </si>
  <si>
    <t>과자 대신 견과류는 불포화지방을 더해요.</t>
  </si>
  <si>
    <t>WHO 건강식</t>
  </si>
  <si>
    <t>붉은 고기 대신 생선이나 두부 한 끼</t>
  </si>
  <si>
    <t>붉은 고기를 줄이고 생선 · 콩류를 늘리는 것이 진료지침 권고예요.</t>
  </si>
  <si>
    <t>지질동맥경화학회 5판</t>
  </si>
  <si>
    <t>회복 풀</t>
  </si>
  <si>
    <t>단계 없음</t>
  </si>
  <si>
    <t>저녁은 가볍게, 거르지 않기</t>
  </si>
  <si>
    <t>끼니를 건너뛴 날엔 저녁까지 거르지 않는 게 좋아요.</t>
  </si>
  <si>
    <t>영양소 섭취기준</t>
  </si>
  <si>
    <t>오후에 간식 한 번으로 빈 끼 채우기</t>
  </si>
  <si>
    <t>오후에 가볍게 채우면 저녁 과식을 막아요.</t>
  </si>
  <si>
    <t>오후 진입</t>
  </si>
  <si>
    <t>영양상담 표준 조언</t>
  </si>
  <si>
    <t>부담 줄이기 풀</t>
  </si>
  <si>
    <t>오후 2시 이후 카페인 멈추기</t>
  </si>
  <si>
    <t>잠들기 6시간 전 카페인도 잠을 한 시간 넘게 줄였어요.</t>
  </si>
  <si>
    <t>카페인 · 수면 실험 · 2시는 보수적 임의값</t>
  </si>
  <si>
    <t>저녁은 맵거나 기름지지 않게</t>
  </si>
  <si>
    <t>맵고 기름진 저녁은 잠을 얕게 할 수 있어요.</t>
  </si>
  <si>
    <t>수면 · 식사 리뷰 · 소규모 실험</t>
  </si>
  <si>
    <t>피곤한 밤엔 야식보다 잠이 먼저예요.</t>
  </si>
  <si>
    <t>점심은 평소 양으로 규칙적으로</t>
  </si>
  <si>
    <t>피곤할수록 끼니를 거르지 않는 게 좋아요.</t>
  </si>
  <si>
    <t>식생활지침 수칙 1</t>
  </si>
  <si>
    <t>아침에 우유나 두유 한 잔</t>
  </si>
  <si>
    <t>마실 것 하나라도 아침 끼니가 돼요.</t>
  </si>
  <si>
    <t>식생활지침 수칙 1 · 5</t>
  </si>
  <si>
    <t>점심은 늦지 않게 챙기기</t>
  </si>
  <si>
    <t>점심이 늦어지면 저녁까지 몰아 먹게 돼요.</t>
  </si>
  <si>
    <t>오늘 세 끼 모두 챙기기</t>
  </si>
  <si>
    <t>세 끼가 다 있으면 한 끼 양이 자연히 줄어요.</t>
  </si>
  <si>
    <t>주말에도 아침 거르지 않기</t>
  </si>
  <si>
    <t>주말 아침을 지키면 주중 리듬이 무너지지 않아요.</t>
  </si>
  <si>
    <t>오전 진입 토 · 일</t>
  </si>
  <si>
    <t>국 대신 나물 한 접시</t>
  </si>
  <si>
    <t>국물 자리에 채소를 넣으면 나트륨도 함께 줄어요.</t>
  </si>
  <si>
    <t>신장 3기↑</t>
  </si>
  <si>
    <t>식생활지침 수칙 1 · 2</t>
  </si>
  <si>
    <t>고기 먹을 땐 쌈 채소 함께</t>
  </si>
  <si>
    <t>쌈 채소는 가장 쉽게 채소를 더하는 방법이에요.</t>
  </si>
  <si>
    <t>외식 때 채소 반찬 하나 추가</t>
  </si>
  <si>
    <t>외식은 채소가 가장 빠지기 쉬운 끼니예요.</t>
  </si>
  <si>
    <t>매 끼니 채소 두 가지</t>
  </si>
  <si>
    <t>끼니마다 두 가지면 하루 다섯 접시에 가까워져요.</t>
  </si>
  <si>
    <t>WHO 400g(5접시)</t>
  </si>
  <si>
    <t>점심도 채소부터 먼저</t>
  </si>
  <si>
    <t>저녁뿐 아니라 점심에도 순서를 바꿔 보는 단계예요.</t>
  </si>
  <si>
    <t>커피는 시럽 · 크림 빼고</t>
  </si>
  <si>
    <t>커피 한 잔의 시럽이 하루 당 권고량의 절반이에요.</t>
  </si>
  <si>
    <t>탄산음료 대신 탄산수</t>
  </si>
  <si>
    <t>톡 쏘는 느낌은 그대로, 당만 빠져요.</t>
  </si>
  <si>
    <t>요구르트는 무가당으로</t>
  </si>
  <si>
    <t>가당 요구르트 한 개에 각설탕 세 개 분량이 들어 있어요.</t>
  </si>
  <si>
    <t>WHO 당류 지침 · 식약처 당류 표시</t>
  </si>
  <si>
    <t>과일주스 대신 생과일</t>
  </si>
  <si>
    <t>주스는 과일의 당만 남고 섬유질은 빠져요.</t>
  </si>
  <si>
    <t>WHO 당류 지침(주스는 유리당)</t>
  </si>
  <si>
    <t>단 간식 오늘 하루 쉬기</t>
  </si>
  <si>
    <t>간식의 당은 끼니보다 눈에 안 띄게 쌓여요.</t>
  </si>
  <si>
    <t>섭식장애 임신·수유</t>
  </si>
  <si>
    <t>라면 국물은 남기기</t>
  </si>
  <si>
    <t>라면 나트륨의 3분의 2는 국물에 있어요.</t>
  </si>
  <si>
    <t>식약처 나트륨 실측</t>
  </si>
  <si>
    <t>간장 · 소스에 찍지 않기</t>
  </si>
  <si>
    <t>찍어 먹는 간장이 반찬 하나만큼 짜요.</t>
  </si>
  <si>
    <t>고혈압학회 2022(식탁 소금 추가 금지)</t>
  </si>
  <si>
    <t>김치는 평소의 절반</t>
  </si>
  <si>
    <t>한국인 나트륨의 첫째 급원이 김치예요.</t>
  </si>
  <si>
    <t>국민건강영양조사 나트륨 급원 · WHO</t>
  </si>
  <si>
    <t>젓갈 · 장아찌 한 끼 빼기</t>
  </si>
  <si>
    <t>절임 반찬 한 젓가락이 국 한 그릇만큼 짜요.</t>
  </si>
  <si>
    <t>외식 때 소스는 따로 달라고</t>
  </si>
  <si>
    <t>따로 받으면 양을 내가 정할 수 있어요.</t>
  </si>
  <si>
    <t>오늘 세 끼 국물 없이</t>
  </si>
  <si>
    <t>국물을 하루 끊으면 나트륨이 절반 가까이 줄어요.</t>
  </si>
  <si>
    <t>식약처 실측 · WHO</t>
  </si>
  <si>
    <t>저녁 술 없이 보내기</t>
  </si>
  <si>
    <t>절주는 혈압 · 간 · 요산 모두에 첫 번째 권고예요.</t>
  </si>
  <si>
    <t>저녁 연결 전용</t>
  </si>
  <si>
    <t>임신·수유 (금주 문구로 대체 검토)</t>
  </si>
  <si>
    <t>고혈압학회 2022 · 대한간학회 지방간 지침 · 통풍 지침</t>
  </si>
  <si>
    <t>반주는 한 잔까지</t>
  </si>
  <si>
    <t>하루 한 잔을 넘기면 혈압과 중성지방이 함께 올라요.</t>
  </si>
  <si>
    <t>임신·수유 간질환</t>
  </si>
  <si>
    <t>고혈압학회 2022(남 2잔 · 여 1잔 이하)</t>
  </si>
  <si>
    <t>섭식장애</t>
  </si>
  <si>
    <t>저녁은 8시 전에 마치기</t>
  </si>
  <si>
    <t>저녁이 늦어질수록 야식과 수면 둘 다 영향을 받아요.</t>
  </si>
  <si>
    <t>ACG 위식도역류 지침 · 관찰 연구</t>
  </si>
  <si>
    <t>보류</t>
  </si>
  <si>
    <t>야식 대신 일찍 잠자리로</t>
  </si>
  <si>
    <t>늦은 허기는 졸림과 헷갈리기 쉬워요.</t>
  </si>
  <si>
    <t>수면위생 약함</t>
  </si>
  <si>
    <t>식이 축 문구인데 실제 행동은 취침이다. 수면 목표와 같은 행동이 두 타일에 나갈 수 있다. 수면 축 설계 후 어디에 둘지 정한다.</t>
  </si>
  <si>
    <t>저녁 뒤엔 먹지 않고 마무리</t>
  </si>
  <si>
    <t>저녁이 하루의 마지막 끼니가 되게 하는 단계예요.</t>
  </si>
  <si>
    <t>섭식장애 · 당뇨병</t>
  </si>
  <si>
    <t>비만학회 식사요법 · 관찰 연구</t>
  </si>
  <si>
    <t>야간 공복을 늘리는 행동이다. 인슐린 · 설포닐우레아 사용자는 야간 저혈당 위험이 있는데 처방 정보가 없어 약물을 알 수 없다. 기존 당뇨 금지와 같은 원칙으로 확진 전원에 적용한다. N122에는 이미 표시돼 있다.</t>
  </si>
  <si>
    <t>밥은 작은 그릇에 담기</t>
  </si>
  <si>
    <t>그릇이 작아지면 양은 줄고 포만감은 같아요.</t>
  </si>
  <si>
    <t>비만학회 행동치료(자극 조절)</t>
  </si>
  <si>
    <t>TV · 휴대폰 끄고 식사</t>
  </si>
  <si>
    <t>화면을 보며 먹으면 얼마나 먹었는지 놓쳐요.</t>
  </si>
  <si>
    <t>한 입에 스무 번 씹기</t>
  </si>
  <si>
    <t>씹는 횟수가 늘면 속도가 자연히 느려져요.</t>
  </si>
  <si>
    <t>섭식장애 · 연하곤란 · 뇌졸중 후유증</t>
  </si>
  <si>
    <t>식사 속도 메타분석 · 20회는 통용값</t>
  </si>
  <si>
    <t>확인 필요</t>
  </si>
  <si>
    <t>해롭지는 않으나 수행이 불가능한 집단이 있다. 연하곤란(R13)은 진단 층에서 제외돼 있고 뇌졸중 후유증(I69)은 심혈관질환 연결에 포함된다. 서비스 대상 정책에서 함께 볼 항목.</t>
  </si>
  <si>
    <t>밥은 젓가락으로 먹기</t>
  </si>
  <si>
    <t>젓가락은 한 번에 덜 뜨게 해서 속도를 늦춰요.</t>
  </si>
  <si>
    <t>밥 더 담지 않기</t>
  </si>
  <si>
    <t>한 그릇에서 멈추는 습관이 과식을 막아요.</t>
  </si>
  <si>
    <t>섭식장애 임신·수유 암 치료 중</t>
  </si>
  <si>
    <t>아침에 달걀 하나</t>
  </si>
  <si>
    <t>달걀 하나로 아침 단백질이 채워져요.</t>
  </si>
  <si>
    <t>신장질환</t>
  </si>
  <si>
    <t>두유나 우유 한 잔 챙기기</t>
  </si>
  <si>
    <t>마시는 단백질은 반찬이 없어도 챙길 수 있어요.</t>
  </si>
  <si>
    <t>식생활지침 수칙 1(우유 · 유제품)</t>
  </si>
  <si>
    <t>생선 반찬 한 끼</t>
  </si>
  <si>
    <t>생선은 단백질과 좋은 지방을 함께 줘요.</t>
  </si>
  <si>
    <t>신장질환 통풍(2차)</t>
  </si>
  <si>
    <t>식생활지침 수칙 1 · 지질동맥경화학회 5판</t>
  </si>
  <si>
    <t>두부 반 모 반찬으로</t>
  </si>
  <si>
    <t>두부 반 모가 고기 한 접시 단백질과 비슷해요.</t>
  </si>
  <si>
    <t>영양소 섭취기준(콩류)</t>
  </si>
  <si>
    <t>끼니마다 다른 단백질 반찬</t>
  </si>
  <si>
    <t>고기 · 생선 · 달걀 · 콩을 돌리면 영양이 고르게 돼요.</t>
  </si>
  <si>
    <t>튀김 대신 구이 · 찜 한 끼</t>
  </si>
  <si>
    <t>조리법만 바꿔도 지방이 절반 이하로 줘요.</t>
  </si>
  <si>
    <t>식생활지침 수칙 2 · 지질학회 5판</t>
  </si>
  <si>
    <t>삼겹살 대신 목살 · 안심</t>
  </si>
  <si>
    <t>같은 고기라도 부위로 포화지방이 크게 달라요.</t>
  </si>
  <si>
    <t>지질학회 5판(포화지방)</t>
  </si>
  <si>
    <t>드레싱 · 마요네즈는 반만</t>
  </si>
  <si>
    <t>샐러드의 지방은 대부분 드레싱에서 와요.</t>
  </si>
  <si>
    <t>WHO 건강식(지방 30% 미만)</t>
  </si>
  <si>
    <t>라면 대신 국수 · 밥 한 끼</t>
  </si>
  <si>
    <t>라면 한 봉지 지방이 하루 권고의 4분의 1이에요.</t>
  </si>
  <si>
    <t>식약처 영양표시 · WHO</t>
  </si>
  <si>
    <t>튀김 없는 하루</t>
  </si>
  <si>
    <t>튀김을 하루 끊는 것이 포화지방을 줄이는 가장 큰 한 걸음이에요.</t>
  </si>
  <si>
    <t>지질학회 5판</t>
  </si>
  <si>
    <t>기름진 음식은 점심에만</t>
  </si>
  <si>
    <t>저녁 지방은 활동으로 쓰이지 못하고 남아요.</t>
  </si>
  <si>
    <t>열량 배분 연구 · 지질학회 약함</t>
  </si>
  <si>
    <t>수정</t>
  </si>
  <si>
    <t>이유 문장 완화 필요. 열량 배분 연구는 총열량 · 체중에 대한 것이지 지방을 낮에 먹으면 낫다는 근거가 아니다. 「낮에 먹는 쪽이 체중 관리에 유리했어요」 수준으로 낮춘다.</t>
  </si>
  <si>
    <t>회복</t>
  </si>
  <si>
    <t>따뜻한 물 한 잔으로 시작</t>
  </si>
  <si>
    <t>못 먹은 뒤엔 물부터 채우는 게 부담이 없어요.</t>
  </si>
  <si>
    <t>심부전 · 투석</t>
  </si>
  <si>
    <t>식생활지침 수칙 3(물) 약함</t>
  </si>
  <si>
    <t>수분 섭취를 늘리는 행동이다. 심부전(I50)과 투석(Z49 · Z99.2)은 수분 제한 대상이라 역방향이 된다. 상병코드 추천 ⑤가 「오늘 물 6잔류 문구가 있다면 제외 — 현재 세트에 없음」이라 적었는데, 확장으로 생겼다.</t>
  </si>
  <si>
    <t>빈 끼는 우유나 두유 한 잔</t>
  </si>
  <si>
    <t>과일은 준비 없이 바로 먹을 수 있는 회복 끼니예요.</t>
  </si>
  <si>
    <t>신장 3기↑ (칼륨) · 신장 3기↑(칼륨) · 당뇨병</t>
  </si>
  <si>
    <t>회복 풀은 결식을 메우는 자리인데 과일만으로는 단백질과 열량이 모자란다. 같은 회복 맥락에서 우유 · 두유가 낫다.</t>
  </si>
  <si>
    <t>부담</t>
  </si>
  <si>
    <t>커피 대신 따뜻한 차 한 잔</t>
  </si>
  <si>
    <t>피곤한 날 카페인은 잠을 더 밀어내요.</t>
  </si>
  <si>
    <t>카페인 · 수면 실험(2013)</t>
  </si>
  <si>
    <t>2차</t>
  </si>
  <si>
    <t>일어나서 한 시간 안에 한 입</t>
  </si>
  <si>
    <t>시간을 정해 두면 아침을 건너뛰기 어려워져요.</t>
  </si>
  <si>
    <t>아침 대신 바나나 하나</t>
  </si>
  <si>
    <t>준비 없이 먹을 수 있는 아침 대용이에요.</t>
  </si>
  <si>
    <t>신장 3기↑ · 당뇨병</t>
  </si>
  <si>
    <t>바나나는 혈당지수가 높고 칼륨도 많다. 아침을 대체하는 단독 과일로는 식후 혈당이 크게 오른다.</t>
  </si>
  <si>
    <t>회의 · 일정 사이 점심 챙기기</t>
  </si>
  <si>
    <t>바쁜 날 거른 점심은 저녁 과식으로 돌아와요.</t>
  </si>
  <si>
    <t>사무실</t>
  </si>
  <si>
    <t>늦어도 저녁은 가볍게라도</t>
  </si>
  <si>
    <t>늦은 저녁을 거르면 야식으로 이어지기 쉬워요.</t>
  </si>
  <si>
    <t>출근길에 아침 챙겨 먹기</t>
  </si>
  <si>
    <t>집에서 못 먹었어도 아침은 챙길 수 있어요.</t>
  </si>
  <si>
    <t>오전 진입 평일</t>
  </si>
  <si>
    <t>세 끼 시각 모두 평소대로</t>
  </si>
  <si>
    <t>끼니 시각이 고정되면 허기의 리듬도 고정돼요.</t>
  </si>
  <si>
    <t>관찰 연구 약함</t>
  </si>
  <si>
    <t>편의점 끼니엔 샐러드 하나 추가</t>
  </si>
  <si>
    <t>편의점 끼니는 채소가 가장 빠지는 자리예요.</t>
  </si>
  <si>
    <t>편의점</t>
  </si>
  <si>
    <t>배달 주문에 채소 메뉴 하나</t>
  </si>
  <si>
    <t>배달은 채소 메뉴를 따로 고르지 않으면 없어요.</t>
  </si>
  <si>
    <t>배달</t>
  </si>
  <si>
    <t>회식 안주는 채소부터</t>
  </si>
  <si>
    <t>채소를 먼저 먹으면 술과 기름진 안주가 줄어요.</t>
  </si>
  <si>
    <t>저녁 회식</t>
  </si>
  <si>
    <t>식사 순서 연구 · 식생활지침 수칙 1</t>
  </si>
  <si>
    <t>국에 채소 한 줌 더 넣기</t>
  </si>
  <si>
    <t>끓이는 국에 채소를 더하면 나트륨 대비 채소 비율이 올라요.</t>
  </si>
  <si>
    <t>채소 없는 끼니 없이 하루</t>
  </si>
  <si>
    <t>세 끼 모두 채소가 있으면 하루 권고량에 닿아요.</t>
  </si>
  <si>
    <t>WHO 400g</t>
  </si>
  <si>
    <t>저녁 반찬 절반은 채소로</t>
  </si>
  <si>
    <t>저녁 접시의 절반을 채소로 채우는 것이 권고 형태예요.</t>
  </si>
  <si>
    <t>식생활지침 · WHO(접시 절반 채소)</t>
  </si>
  <si>
    <t>편의점에선 물이나 무가당 차</t>
  </si>
  <si>
    <t>편의점 음료 코너의 대부분이 가당 음료예요.</t>
  </si>
  <si>
    <t>카페 음료는 한 사이즈 작게</t>
  </si>
  <si>
    <t>사이즈 하나 차이가 각설탕 두세 개 차이예요.</t>
  </si>
  <si>
    <t>카페</t>
  </si>
  <si>
    <t>사무실 단 간식은 한 번만</t>
  </si>
  <si>
    <t>사무실 간식은 세지 않으면 하루 서너 번이 돼요.</t>
  </si>
  <si>
    <t>운동 후 스포츠음료 대신 물</t>
  </si>
  <si>
    <t>한 시간 안 운동엔 물로 충분해요.</t>
  </si>
  <si>
    <t>디저트는 나눠 먹기</t>
  </si>
  <si>
    <t>반만 먹어도 맛은 그대로, 당은 절반이에요.</t>
  </si>
  <si>
    <t>빵 · 케이크 대신 과일 한 줌</t>
  </si>
  <si>
    <t>같은 단맛이라도 과일은 섬유질이 따라와요.</t>
  </si>
  <si>
    <t>찌개는 앞접시에 건더기만</t>
  </si>
  <si>
    <t>앞접시로 옮기면 국물을 자연히 덜 먹게 돼요.</t>
  </si>
  <si>
    <t>국은 반 그릇만 담기</t>
  </si>
  <si>
    <t>담는 양을 줄이는 게 남기는 것보다 쉬워요.</t>
  </si>
  <si>
    <t>WHO 나트륨</t>
  </si>
  <si>
    <t>짠 반찬은 한 끼에 한 가지만</t>
  </si>
  <si>
    <t>김치 · 장아찌 · 젓갈이 겹치면 한 끼에 하루치가 돼요.</t>
  </si>
  <si>
    <t>국민건강영양조사 나트륨 급원</t>
  </si>
  <si>
    <t>볶음밥 대신 흰밥에 반찬</t>
  </si>
  <si>
    <t>볶음밥 한 그릇은 흰밥 한 끼보다 나트륨이 두 배예요.</t>
  </si>
  <si>
    <t>배달 음식엔 소스 반만</t>
  </si>
  <si>
    <t>배달 음식 나트륨의 절반은 함께 오는 소스에 있어요.</t>
  </si>
  <si>
    <t>오늘 김치는 한 접시만</t>
  </si>
  <si>
    <t>김치 한 접시면 하루 나트륨 권고의 3분의 1이에요.</t>
  </si>
  <si>
    <t>국민건강영양조사 · WHO</t>
  </si>
  <si>
    <t>저녁 먹고 바로 양치</t>
  </si>
  <si>
    <t>양치를 하면 다시 먹을 마음이 줄어요.</t>
  </si>
  <si>
    <t>행동치료 자극 조절 약함</t>
  </si>
  <si>
    <t>야식 생각나면 물 한 잔 먼저</t>
  </si>
  <si>
    <t>물 한 잔 뒤에도 배고프면 그때 정해요.</t>
  </si>
  <si>
    <t>섭식장애 · 심부전 · 투석</t>
  </si>
  <si>
    <t>대체 행동 약함</t>
  </si>
  <si>
    <t>저녁 시각 어제와 같게</t>
  </si>
  <si>
    <t>저녁 시각이 일정하면 야식 욕구도 일정해져요.</t>
  </si>
  <si>
    <t>회식 뒤 2차 음식은 건너뛰기</t>
  </si>
  <si>
    <t>회식 후 라면 · 국수가 하루 중 가장 늦은 열량이에요.</t>
  </si>
  <si>
    <t>비만학회 식사요법(야식 회피)</t>
  </si>
  <si>
    <t>잠들기 전 2시간은 물만</t>
  </si>
  <si>
    <t>취침 전 2시간 공복이 역류와 수면에 좋아요.</t>
  </si>
  <si>
    <t>ACG 위식도역류 지침(2~3시간)</t>
  </si>
  <si>
    <t>첫 숟갈 뒤 물 한 모금</t>
  </si>
  <si>
    <t>시작을 늦추면 식사 전체가 느려져요.</t>
  </si>
  <si>
    <t>한 숟갈 양을 절반으로</t>
  </si>
  <si>
    <t>숟갈이 작아지면 씹는 시간이 늘어요.</t>
  </si>
  <si>
    <t>식사 중간에 한 번 멈추기</t>
  </si>
  <si>
    <t>중간에 멈추면 배부른지 확인할 틈이 생겨요.</t>
  </si>
  <si>
    <t>비만학회 행동치료</t>
  </si>
  <si>
    <t>배달 음식은 접시에 옮겨 담기</t>
  </si>
  <si>
    <t>용기째 먹으면 얼마나 먹었는지 안 보여요.</t>
  </si>
  <si>
    <t>뷔페 · 회식에선 한 접시만</t>
  </si>
  <si>
    <t>한 접시로 정하면 양을 세지 않아도 돼요.</t>
  </si>
  <si>
    <t>회식 · 뷔페</t>
  </si>
  <si>
    <t>배부르면 남기기</t>
  </si>
  <si>
    <t>남기는 것이 과식보다 나아요.</t>
  </si>
  <si>
    <t>식생활지침 수칙 4 · 6(필요한 만큼만)</t>
  </si>
  <si>
    <t>간식으로 삶은 달걀 하나</t>
  </si>
  <si>
    <t>과자 대신 달걀은 배도 오래 차요.</t>
  </si>
  <si>
    <t>편의점 끼니엔 달걀 · 두부 추가</t>
  </si>
  <si>
    <t>편의점 끼니는 탄수화물만 남기 쉬워요.</t>
  </si>
  <si>
    <t>닭가슴살 · 살코기 한 끼</t>
  </si>
  <si>
    <t>기름 적은 고기가 단백질을 채우는 가장 쉬운 길이에요.</t>
  </si>
  <si>
    <t>영양소 섭취기준 · 지질학회 5판</t>
  </si>
  <si>
    <t>콩 반찬 한 가지 챙기기</t>
  </si>
  <si>
    <t>콩은 고기 없이도 단백질을 채워요.</t>
  </si>
  <si>
    <t>식생활지침 수칙 1(콩류)</t>
  </si>
  <si>
    <t>매 끼니 단백질 손바닥 크기</t>
  </si>
  <si>
    <t>손바닥 크기가 한 끼 단백질 권고량의 눈대중이에요.</t>
  </si>
  <si>
    <t>영양소 섭취기준(성인 끼니 20g 안팎)</t>
  </si>
  <si>
    <t>저녁 단백질은 생선 · 두부로</t>
  </si>
  <si>
    <t>저녁엔 소화가 가벼운 단백질이 좋아요.</t>
  </si>
  <si>
    <t>지질학회 5판 · 식생활지침</t>
  </si>
  <si>
    <t>치킨은 껍질 빼고</t>
  </si>
  <si>
    <t>치킨 지방의 절반은 껍질에 있어요.</t>
  </si>
  <si>
    <t>볶음 대신 데친 반찬 한 가지</t>
  </si>
  <si>
    <t>데치면 기름이 거의 들어가지 않아요.</t>
  </si>
  <si>
    <t>삼겹살 대신 수육</t>
  </si>
  <si>
    <t>삶으면 기름이 빠져 같은 고기라도 지방이 줄어요.</t>
  </si>
  <si>
    <t>패스트푸드 대신 한식 한 끼</t>
  </si>
  <si>
    <t>한식 백반이 햄버거 세트보다 포화지방이 적어요.</t>
  </si>
  <si>
    <t>배달 음식 없는 하루</t>
  </si>
  <si>
    <t>배달 메뉴 대부분이 튀김 · 볶음이에요.</t>
  </si>
  <si>
    <t>지질학회 5판 · 식생활지침 수칙 2</t>
  </si>
  <si>
    <t>저녁은 기름 없이 조리한 것만</t>
  </si>
  <si>
    <t>저녁 포화지방은 밤새 남아요.</t>
  </si>
  <si>
    <t>지질학회 5판 약함</t>
  </si>
  <si>
    <t>전날 밤에 아침거리 꺼내 두기</t>
  </si>
  <si>
    <t>아침에 고민할 일이 없으면 덜 거르게 돼요.</t>
  </si>
  <si>
    <t>점심 시각 알림 맞춰 두기</t>
  </si>
  <si>
    <t>바쁜 날엔 알림 하나가 끼니를 지켜 줘요.</t>
  </si>
  <si>
    <t>식생활지침 수칙 4 약함</t>
  </si>
  <si>
    <t>구내식당 점심 챙기기</t>
  </si>
  <si>
    <t>정해진 시각에 나오는 끼니가 리듬을 만들어요.</t>
  </si>
  <si>
    <t>급식</t>
  </si>
  <si>
    <t>출장 · 여행에도 아침 챙기기</t>
  </si>
  <si>
    <t>일정이 바뀌어도 첫 끼는 지킬 수 있어요.</t>
  </si>
  <si>
    <t>오전 진입 여행</t>
  </si>
  <si>
    <t>야근하는 날에도 저녁 제때</t>
  </si>
  <si>
    <t>늦춘 저녁은 야식 한 끼로 바뀌어요.</t>
  </si>
  <si>
    <t>저녁 야근</t>
  </si>
  <si>
    <t>연휴에도 끼니 시각 지키기</t>
  </si>
  <si>
    <t>연휴에 무너진 리듬은 되돌리는 데 더 걸려요.</t>
  </si>
  <si>
    <t>명절 · 연휴</t>
  </si>
  <si>
    <t>장 볼 때 채소 한 가지 담기</t>
  </si>
  <si>
    <t>집에 있어야 끼니에 올라와요.</t>
  </si>
  <si>
    <t>마트</t>
  </si>
  <si>
    <t>구내식당에선 나물 반찬 먼저</t>
  </si>
  <si>
    <t>이미 나온 반찬이라 고르기만 하면 돼요.</t>
  </si>
  <si>
    <t>아침에도 채소 한 가지</t>
  </si>
  <si>
    <t>아침은 채소가 가장 자주 빠지는 끼니예요.</t>
  </si>
  <si>
    <t>김밥 · 덮밥엔 채소 더 넣기</t>
  </si>
  <si>
    <t>한 그릇 음식은 채소를 따로 챙겨야 해요.</t>
  </si>
  <si>
    <t>편의점 · 배달</t>
  </si>
  <si>
    <t>명절 상에서도 나물 먼저</t>
  </si>
  <si>
    <t>명절 상엔 나물이 있으니 순서만 바꾸면 돼요.</t>
  </si>
  <si>
    <t>명절</t>
  </si>
  <si>
    <t>하루 채소 다섯 접시 채우기</t>
  </si>
  <si>
    <t>다섯 접시가 하루 400g에 해당해요.</t>
  </si>
  <si>
    <t>물병 채워 두고 시작하기</t>
  </si>
  <si>
    <t>손에 물이 있으면 단 음료를 덜 찾게 돼요.</t>
  </si>
  <si>
    <t>식생활지침 수칙 3(물)</t>
  </si>
  <si>
    <t>단 간식은 사 두지 않기</t>
  </si>
  <si>
    <t>집에 없으면 먹을 일도 없어요.</t>
  </si>
  <si>
    <t>카페에선 아메리카노나 차</t>
  </si>
  <si>
    <t>카페 음료 한 잔이 하루 당 권고량을 채우기도 해요.</t>
  </si>
  <si>
    <t>모임 음료는 물로 하기</t>
  </si>
  <si>
    <t>모임에선 마시는 횟수가 눈에 안 띄게 늘어요.</t>
  </si>
  <si>
    <t>명절 · 회식</t>
  </si>
  <si>
    <t>달달한 커피 오늘은 쉬기</t>
  </si>
  <si>
    <t>매일 마시던 한 잔을 하루 빼 보는 단계예요.</t>
  </si>
  <si>
    <t>후식 · 디저트 없이 하루</t>
  </si>
  <si>
    <t>끼니 뒤 습관으로 먹는 단것이 하루 당의 큰 몫이에요.</t>
  </si>
  <si>
    <t>식탁에 소금 · 간장 두지 않기</t>
  </si>
  <si>
    <t>손이 닿지 않으면 더 넣지 않게 돼요.</t>
  </si>
  <si>
    <t>국은 마지막에 간하기</t>
  </si>
  <si>
    <t>끓이며 간하면 짠맛이 겹쳐 쌓여요.</t>
  </si>
  <si>
    <t>WHO 나트륨 약함</t>
  </si>
  <si>
    <t>구내식당 국은 받지 않기</t>
  </si>
  <si>
    <t>받지 않는 쪽이 남기는 것보다 쉬워요.</t>
  </si>
  <si>
    <t>장 볼 때 나트륨 표시 보기</t>
  </si>
  <si>
    <t>같은 제품군에도 나트륨 차이가 두 배까지 나요.</t>
  </si>
  <si>
    <t>식약처 영양표시</t>
  </si>
  <si>
    <t>오늘은 라면 · 즉석식품 없이</t>
  </si>
  <si>
    <t>즉석식품 한 끼가 하루 나트륨의 절반이에요.</t>
  </si>
  <si>
    <t>식약처 나트륨 실측 · WHO</t>
  </si>
  <si>
    <t>명절 음식은 국물 없이</t>
  </si>
  <si>
    <t>명절엔 탕 · 국이 끼니마다 올라와요.</t>
  </si>
  <si>
    <t>야근 간식 대신 저녁 먼저</t>
  </si>
  <si>
    <t>저녁을 챙기면 밤에 군것질이 줄어요.</t>
  </si>
  <si>
    <t>저녁 먹고 부엌 정리하기</t>
  </si>
  <si>
    <t>정리해 두면 다시 꺼내 먹기 번거로워져요.</t>
  </si>
  <si>
    <t>주말에도 저녁 시각 지키기</t>
  </si>
  <si>
    <t>주말 저녁이 늦어지면 야식으로 이어져요.</t>
  </si>
  <si>
    <t>저녁 토 · 일</t>
  </si>
  <si>
    <t>회식은 1차까지만</t>
  </si>
  <si>
    <t>2차가 하루 중 가장 늦은 끼니가 돼요.</t>
  </si>
  <si>
    <t>저녁부터 아침까지 12시간 비우기</t>
  </si>
  <si>
    <t>밤 사이 공복 시간이 길수록 체중 관리에 유리했어요.</t>
  </si>
  <si>
    <t>섭식장애 당뇨 약물</t>
  </si>
  <si>
    <t>한 끼는 앉아서 먹기</t>
  </si>
  <si>
    <t>서서 먹으면 빨리 먹고 양도 놓쳐요.</t>
  </si>
  <si>
    <t>먹을 만큼만 덜어 담기</t>
  </si>
  <si>
    <t>덜어 담으면 얼마나 먹는지 처음부터 보여요.</t>
  </si>
  <si>
    <t>명절 · 뷔페</t>
  </si>
  <si>
    <t>배달은 1인분만 주문하기</t>
  </si>
  <si>
    <t>남은 양은 대개 그날 다 먹게 돼요.</t>
  </si>
  <si>
    <t>회식에선 앞접시 쓰기</t>
  </si>
  <si>
    <t>덜어 먹으면 함께 먹는 자리에서도 양이 보여요.</t>
  </si>
  <si>
    <t>명절 상에선 한 접시만</t>
  </si>
  <si>
    <t>저녁에 두부 한 가지</t>
  </si>
  <si>
    <t>데우기만 하면 되는 단백질 반찬이에요.</t>
  </si>
  <si>
    <t>무가당 요구르트 하나 챙기기</t>
  </si>
  <si>
    <t>반찬을 차리지 않아도 단백질을 더할 수 있어요.</t>
  </si>
  <si>
    <t>점심 단백질 반찬 확인하기</t>
  </si>
  <si>
    <t>한 그릇 점심엔 단백질이 빠져 있기도 해요.</t>
  </si>
  <si>
    <t>샐러드에 달걀이나 닭가슴살</t>
  </si>
  <si>
    <t>채소만 먹으면 금방 배가 꺼져요.</t>
  </si>
  <si>
    <t>아침 단백질까지 챙기기</t>
  </si>
  <si>
    <t>아침이 하루 중 단백질이 가장 적은 끼니예요.</t>
  </si>
  <si>
    <t>영양소 섭취기준(끼니 분산)</t>
  </si>
  <si>
    <t>과자 대신 견과류 사 두기</t>
  </si>
  <si>
    <t>집에 둔 간식이 그날 먹는 간식이에요.</t>
  </si>
  <si>
    <t>WHO 건강식 · 비만학회 행동치료</t>
  </si>
  <si>
    <t>견과류는 칼륨 · 인이 높다. 확정 세트의 「간식은 견과류 한 줌으로」가 이미 신장 전 단계 금지인데, 같은 성격인 이 문구들에는 빠져 있거나 3기 이상으로만 적혀 있다.</t>
  </si>
  <si>
    <t>구내식당 튀김은 한 조각만</t>
  </si>
  <si>
    <t>덜 담는 것으로 충분해요. 빼지 않아도 돼요.</t>
  </si>
  <si>
    <t>고기 구울 땐 기름 두르지 않기</t>
  </si>
  <si>
    <t>고기에서 나온 기름으로 충분해요.</t>
  </si>
  <si>
    <t>명절 전 · 튀김은 한 접시만</t>
  </si>
  <si>
    <t>명절 상은 기름진 음식이 한꺼번에 올라와요.</t>
  </si>
  <si>
    <t>회식 안주는 구이 · 찜으로</t>
  </si>
  <si>
    <t>안주 조리법만 바꿔도 지방이 크게 줄어요.</t>
  </si>
  <si>
    <t>곡류 · 식이섬유</t>
  </si>
  <si>
    <t>흰밥에 잡곡 한 숟갈 섞기</t>
  </si>
  <si>
    <t>한 숟갈부터 섞으면 입에 붙어요.</t>
  </si>
  <si>
    <t>식생활지침 수칙 1(통곡물)</t>
  </si>
  <si>
    <t>흰빵 대신 통밀빵</t>
  </si>
  <si>
    <t>같은 빵이라도 식후 혈당이 덜 올라요.</t>
  </si>
  <si>
    <t>편의점 · 카페</t>
  </si>
  <si>
    <t>당뇨병학회 진료지침(식이섬유)</t>
  </si>
  <si>
    <t>한 끼는 잡곡밥으로</t>
  </si>
  <si>
    <t>끼니 하나만 바꿔도 하루 식이섬유가 늘어요.</t>
  </si>
  <si>
    <t>당뇨병학회 · 지질학회 5판</t>
  </si>
  <si>
    <t>장 볼 때 통곡물 한 가지</t>
  </si>
  <si>
    <t>사 두어야 끼니에 올릴 수 있어요.</t>
  </si>
  <si>
    <t>오늘 밥은 모두 잡곡으로</t>
  </si>
  <si>
    <t>하루 전부를 바꿔 보는 단계예요.</t>
  </si>
  <si>
    <t>신장 3기↑ 위장 수술 후</t>
  </si>
  <si>
    <t>죽이나 국밥으로 한 끼</t>
  </si>
  <si>
    <t>속이 편한 한 그릇이 다시 먹기 시작하기 좋아요.</t>
  </si>
  <si>
    <t>영양상담 표준 조언 약함</t>
  </si>
  <si>
    <t>먹을 수 있는 것부터 반 그릇</t>
  </si>
  <si>
    <t>못 먹은 날엔 양보다 시작이 먼저예요.</t>
  </si>
  <si>
    <t>식생활지침 수칙 1 약함</t>
  </si>
  <si>
    <t>저녁은 익힌 채소로 가볍게</t>
  </si>
  <si>
    <t>익힌 채소는 속에 부담이 적어요.</t>
  </si>
  <si>
    <t>늦은 저녁엔 국물 적게</t>
  </si>
  <si>
    <t>늦게 먹은 국물은 속쓰림과 부기로 남아요.</t>
  </si>
  <si>
    <t>ACG 위식도역류 지침 약함</t>
  </si>
  <si>
    <t>아침에 오트밀 한 그릇</t>
  </si>
  <si>
    <t>귀리는 섬유질이 많은 아침거리예요.</t>
  </si>
  <si>
    <t>당뇨병학회 식이섬유 · 전곡</t>
  </si>
  <si>
    <t>밥에 콩 한 숟갈 섞기</t>
  </si>
  <si>
    <t>콩을 섞으면 섬유질과 단백질이 같이 늘어요.</t>
  </si>
  <si>
    <t>간식은 고구마 반 개로</t>
  </si>
  <si>
    <t>고구마는 섬유질이 많아 오래 든든해요.</t>
  </si>
  <si>
    <t>고구마 한 개(약 200g)는 탄수화물 40g 안팎으로 간식 한 번 분량을 넘는다. 당뇨 · 혈당 경계 사용자에게 간식으로 권하기에 많다.</t>
  </si>
  <si>
    <t>시리얼은 당 적은 것으로</t>
  </si>
  <si>
    <t>겉면의 통곡물 표시를 확인해요.</t>
  </si>
  <si>
    <t>지질동맥경화학회 5판(통곡)</t>
  </si>
  <si>
    <t>시판 통곡물 시리얼도 첨가당이 많다. 「통곡물」만 보게 하면 당을 놓친다.</t>
  </si>
  <si>
    <t>국수는 메밀 · 통밀면으로</t>
  </si>
  <si>
    <t>같은 면이라도 거친 곡물이 천천히 소화돼요.</t>
  </si>
  <si>
    <t>잡곡밥 하루 두 끼로</t>
  </si>
  <si>
    <t>한 끼에서 두 끼로 늘리는 단계예요.</t>
  </si>
  <si>
    <t>반찬에 버섯 한 가지</t>
  </si>
  <si>
    <t>버섯은 열량 부담 없이 섬유질을 더해요.</t>
  </si>
  <si>
    <t>과일은 껍질째 먹기</t>
  </si>
  <si>
    <t>껍질 쪽에 섬유질이 몰려 있어요.</t>
  </si>
  <si>
    <t>WHO 채소·과일 400g</t>
  </si>
  <si>
    <t>샐러드에 콩 한 줌 더</t>
  </si>
  <si>
    <t>콩을 더하면 포만감이 오래 가요.</t>
  </si>
  <si>
    <t>지질동맥경화학회 5판(콩류)</t>
  </si>
  <si>
    <t>밥 · 빵 · 면 모두 통곡으로</t>
  </si>
  <si>
    <t>하루 곡류를 통째로 바꿔 보는 단계예요.</t>
  </si>
  <si>
    <t>신장 3기↑ · 위 절제 · 비만수술</t>
  </si>
  <si>
    <t>섬유질을 한 번에 크게 늘리는 행동이다. 위 절제 · 비만수술 후에는 소화 부담과 덤핑을 유발할 수 있다. N142에는 이미 표시돼 있다.</t>
  </si>
  <si>
    <t>매 끼니 섬유질 반찬 하나</t>
  </si>
  <si>
    <t>끼니마다 있으면 하루 권고량에 가까워져요.</t>
  </si>
  <si>
    <t>간식은 과일 · 견과로만</t>
  </si>
  <si>
    <t>가공 간식을 통째로 바꾸는 단계예요.</t>
  </si>
  <si>
    <t>신장 3기↑ · 만성 신장질환(전 단계)</t>
  </si>
  <si>
    <t>콩류 반찬 하루 두 번</t>
  </si>
  <si>
    <t>콩은 섬유질과 단백질을 같이 채워요.</t>
  </si>
  <si>
    <t>아침은 통곡물로 고정하기</t>
  </si>
  <si>
    <t>하루 첫 끼를 정해 두면 흔들리지 않아요.</t>
  </si>
  <si>
    <t>저녁 시각 30분 당기기</t>
  </si>
  <si>
    <t>조금씩 당기면 무리 없이 바뀌어요.</t>
  </si>
  <si>
    <t>약속 있는 날에도 저녁 제때</t>
  </si>
  <si>
    <t>약속이 있는 날이 가장 어려운 날이에요.</t>
  </si>
  <si>
    <t>간식도 단백질로 챙기기</t>
  </si>
  <si>
    <t>견과 · 요구르트 · 달걀이면 충분해요.</t>
  </si>
  <si>
    <t>붉은 고기 없는 하루</t>
  </si>
  <si>
    <t>생선 · 콩 · 달걀로도 채워져요.</t>
  </si>
  <si>
    <t>신장 3기↑ 철결핍 빈혈</t>
  </si>
  <si>
    <t>오늘 조리는 굽거나 찌기로</t>
  </si>
  <si>
    <t>조리법만 바꿔도 기름이 크게 줄어요.</t>
  </si>
  <si>
    <t>한 끼를 30분에 걸쳐 먹기</t>
  </si>
  <si>
    <t>20분에서 한 단계 더 늘려 보는 단계예요.</t>
  </si>
  <si>
    <t>기본 칸의 「한 끼는 20분 이상 천천히」와 차이가 10분뿐이다. 도전 단계로서 난이도 차이가 있는지 임상 판단이 필요하다.</t>
  </si>
  <si>
    <t>혼자 먹어도 상 차려 먹기</t>
  </si>
  <si>
    <t>대충 때우는 끼니가 줄어요.</t>
  </si>
  <si>
    <t>혼밥에도 그릇에 덜어 먹기</t>
  </si>
  <si>
    <t>봉지째 먹으면 양을 놓쳐요.</t>
  </si>
  <si>
    <t>혼밥에도 채소 한 가지</t>
  </si>
  <si>
    <t>혼자 먹는 끼니에서 채소가 먼저 빠져요.</t>
  </si>
  <si>
    <t>혼밥에도 단백질 한 가지</t>
  </si>
  <si>
    <t>간단히 먹을수록 단백질이 빠지기 쉬워요.</t>
  </si>
  <si>
    <t>도시락에 채소 한 칸</t>
  </si>
  <si>
    <t>미리 담아 두면 그날 채소가 확보돼요.</t>
  </si>
  <si>
    <t>도시락에 달걀 하나</t>
  </si>
  <si>
    <t>가장 손쉬운 단백질 한 가지예요.</t>
  </si>
  <si>
    <t>도시락 국물은 빼기</t>
  </si>
  <si>
    <t>국물을 빼면 짠맛이 가장 많이 줄어요.</t>
  </si>
  <si>
    <t>도시락 반찬은 구이로</t>
  </si>
  <si>
    <t>튀김은 식으면 기름이 더 느껴져요.</t>
  </si>
  <si>
    <t>가족 반찬에 채소 하나 더</t>
  </si>
  <si>
    <t>함께 먹는 반찬이 늘면 나도 늘어요.</t>
  </si>
  <si>
    <t>국은 각자 그릇에 덜기</t>
  </si>
  <si>
    <t>큰 냄비째 두면 더 먹게 돼요.</t>
  </si>
  <si>
    <t>같이 먹을 땐 속도 맞추기</t>
  </si>
  <si>
    <t>빨리 먹는 사람을 따라가지 않게 돼요.</t>
  </si>
  <si>
    <t>냉면 국물은 반만</t>
  </si>
  <si>
    <t>여름 면 요리 나트륨도 국물에 있어요.</t>
  </si>
  <si>
    <t>아이스크림 대신 얼린 과일</t>
  </si>
  <si>
    <t>시원한 느낌은 그대로 당만 줄어요.</t>
  </si>
  <si>
    <t>국물 위 기름은 걷어내기</t>
  </si>
  <si>
    <t>떠 있는 기름만 걷어도 달라져요.</t>
  </si>
  <si>
    <t>더운 날 음료는 물부터</t>
  </si>
  <si>
    <t>갈증부터 채우면 단 음료가 덜 당겨요.</t>
  </si>
  <si>
    <t>식후 커피는 무가당으로</t>
  </si>
  <si>
    <t>식후 한 잔이 매일이면 쌓여요.</t>
  </si>
  <si>
    <t>목마르면 물 한 잔 먼저</t>
  </si>
  <si>
    <t>갈증을 허기로 착각하기 쉬워요.</t>
  </si>
  <si>
    <t>식사 뒤 바로 치우기</t>
  </si>
  <si>
    <t>남은 음식을 계속 집는 걸 막아요.</t>
  </si>
  <si>
    <t>조금씩 자주 나눠 먹기</t>
  </si>
  <si>
    <t>한 번에 못 먹으면 횟수를 늘려요.</t>
  </si>
  <si>
    <t>미지근한 물부터 한 잔</t>
  </si>
  <si>
    <t>못 먹은 날엔 수분부터 채워요.</t>
  </si>
  <si>
    <t>국물은 나트륨 급원이다. 회복 풀이라도 고혈압 · 신장 · 심부전에 역방향이다. 4차에서 내가 만든 문구의 오류.</t>
  </si>
  <si>
    <t>저녁은 익숙한 음식으로</t>
  </si>
  <si>
    <t>피곤한 날엔 새로운 음식이 부담돼요.</t>
  </si>
  <si>
    <t>저녁은 차리기 쉬운 것으로</t>
  </si>
  <si>
    <t>차리는 수고를 줄이는 것도 방법이에요.</t>
  </si>
  <si>
    <t>고혈압 · 신장질환</t>
  </si>
  <si>
    <t>「한 그릇 음식」은 국밥 · 덮밥 · 라면을 떠올리게 해 나트륨이 높다. 피곤한 날 부담을 줄인다는 취지는 조리 수고로 표현하는 편이 안전하다.</t>
  </si>
  <si>
    <t>표 순서</t>
  </si>
  <si>
    <t>무엇을 보나</t>
  </si>
  <si>
    <t>회전 문항</t>
  </si>
  <si>
    <t>답1 (양호)</t>
  </si>
  <si>
    <t>답2 (보통)</t>
  </si>
  <si>
    <t>답3 (개선 필요)</t>
  </si>
  <si>
    <t>물을 수 있는 끼니</t>
  </si>
  <si>
    <t>연결 검진 · 질환</t>
  </si>
  <si>
    <t>비고</t>
  </si>
  <si>
    <t>아침 · 점심 · 저녁 거르지 않기</t>
  </si>
  <si>
    <t>없음 — 고정 문항의 「거의 못 먹었거나 걸렀어요」 답으로 쌓인다</t>
  </si>
  <si>
    <t>체질량지수</t>
  </si>
  <si>
    <t>별도 회전 문항 없음</t>
  </si>
  <si>
    <t>채소 반찬 유무 · 채소 먼저</t>
  </si>
  <si>
    <t>{지난 끼니}에 채소 반찬이 있었나요?</t>
  </si>
  <si>
    <t>두 가지 이상</t>
  </si>
  <si>
    <t>한 가지</t>
  </si>
  <si>
    <t>없었어요</t>
  </si>
  <si>
    <t>모든 끼니</t>
  </si>
  <si>
    <t>혈당 · 체중 · 당뇨 · 고혈압</t>
  </si>
  <si>
    <t>가당 음료 · 단 디저트</t>
  </si>
  <si>
    <t>{지난 끼니} 전후로 단 음료나 단 간식을 드셨나요?</t>
  </si>
  <si>
    <t>안 먹었어요</t>
  </si>
  <si>
    <t>혈당 · 체중 · 당뇨</t>
  </si>
  <si>
    <t>국물 · 소금 · 가공식품</t>
  </si>
  <si>
    <t>{지난 끼니} 국물은 어느 정도 드셨나요?</t>
  </si>
  <si>
    <t>거의 안 먹었어요</t>
  </si>
  <si>
    <t>반쯤</t>
  </si>
  <si>
    <t>다 먹었어요</t>
  </si>
  <si>
    <t>혈압 · 고혈압 · 신장</t>
  </si>
  <si>
    <t>국물 없는 끼니는 첫 답을 고르게 안내</t>
  </si>
  <si>
    <t>야식 · 잠들기 전 식사</t>
  </si>
  <si>
    <t>어제 저녁 식사 뒤에 더 드신 게 있었나요?</t>
  </si>
  <si>
    <t>가볍게</t>
  </si>
  <si>
    <t>야식을 먹었어요</t>
  </si>
  <si>
    <t>어제 저녁만</t>
  </si>
  <si>
    <t>체중 · 비만 · 역류</t>
  </si>
  <si>
    <t>지난 끼니가 어제 저녁일 때만 물을 수 있다</t>
  </si>
  <si>
    <t>천천히 · 배부르기 전 멈춤 · 밥 양</t>
  </si>
  <si>
    <t>{지난 끼니}은 어떻게 마치셨나요?</t>
  </si>
  <si>
    <t>배부르기 전에 멈췄어요</t>
  </si>
  <si>
    <t>적당히 배불렀어요</t>
  </si>
  <si>
    <t>너무 많이 먹었어요</t>
  </si>
  <si>
    <t>체중 · 혈당 · 당뇨 · 지질</t>
  </si>
  <si>
    <t>섭식장애는 축 전체 금지</t>
  </si>
  <si>
    <t>단백질 반찬 유무</t>
  </si>
  <si>
    <t>{지난 끼니}에 고기 · 생선 · 달걀 · 두부 반찬이 있었나요?</t>
  </si>
  <si>
    <t>있었어요</t>
  </si>
  <si>
    <t>조금</t>
  </si>
  <si>
    <t>회복 풀 전용 · 신장은 금지</t>
  </si>
  <si>
    <t>어제 결식이면 이 축으로 고정 출제</t>
  </si>
  <si>
    <t>튀김 · 붉은 고기 대신 생선</t>
  </si>
  <si>
    <t>{지난 끼니}에 튀김이나 기름진 반찬이 있었나요?</t>
  </si>
  <si>
    <t>콜레스테롤 · 지질</t>
  </si>
  <si>
    <t>질환 유형</t>
  </si>
  <si>
    <t>상병코드</t>
  </si>
  <si>
    <t>후보 조건</t>
  </si>
  <si>
    <t>연결 축</t>
  </si>
  <si>
    <t>금지 문구</t>
  </si>
  <si>
    <t>확인 질문 표기</t>
  </si>
  <si>
    <t>1차 연결</t>
  </si>
  <si>
    <t>당뇨병</t>
  </si>
  <si>
    <t>E11 · E13 · E14 (세부 4자리 포함) · E10(1형)</t>
  </si>
  <si>
    <t>12개월 안 주상병 2회 이상</t>
  </si>
  <si>
    <t>채소 · 단 음료·단 간식 · 식사 속도·양</t>
  </si>
  <si>
    <t>「한 끼 밥 양은 평소의 3분의 2」 「단 음료 오늘 하루 쉬기」 제외(저혈당). 1형은 「저녁 양은 점심보다 적게」도 제외  ／  검수 추가 — N27 저녁 뒤엔 먹지 않고 마무리 · N75 잠들기 전 2시간은 물만 · N48 아침 대신 바나나 하나 · N149 간식은 고구마 반 개로 제외(야간 저혈당 · 혈당지수)</t>
  </si>
  <si>
    <t>대한당뇨병학회 진료지침(2023) 의학영양요법</t>
  </si>
  <si>
    <t>고혈압</t>
  </si>
  <si>
    <t>I10 · I11 · I12 · I13 · I15</t>
  </si>
  <si>
    <t>짠맛·국물 · 채소</t>
  </si>
  <si>
    <t>없음. 단 I12 · I13(신장 침범)은 「채소·과일 한 접시 더」 제외(칼륨)  ／  검수 추가 — N191 원안 「저녁은 한 그릇 음식으로」 유지 시 제외(국밥 · 덮밥 나트륨). 수정안 「저녁은 차리기 쉬운 것으로」는 제한 없음</t>
  </si>
  <si>
    <t>대한고혈압학회 진료지침(2022) 생활요법</t>
  </si>
  <si>
    <t>이상지질혈증</t>
  </si>
  <si>
    <t>E78.0 · E78.1 · E78.2 · E78.4 · E78.5 (E78.6 제외)</t>
  </si>
  <si>
    <t>기름진 음식 · 식사 속도·양. E78.1 · E78.2는 단 음료·단 간식 추가</t>
  </si>
  <si>
    <t>없음</t>
  </si>
  <si>
    <t>고지혈증(이상지질혈증)</t>
  </si>
  <si>
    <t>한국지질동맥경화학회 진료지침 5판(2022)</t>
  </si>
  <si>
    <t>만성 신장질환</t>
  </si>
  <si>
    <t>N18.1~N18.5 · N18.9 · N19 · E11.2 · E14.2 · I12 · I13</t>
  </si>
  <si>
    <t>N18.3 이상 · Z49 · Z99.2 · Z94.0은 1회. 그 외 12개월 안 2회</t>
  </si>
  <si>
    <t>짠맛·국물</t>
  </si>
  <si>
    <t>전 단계: 「채소·과일 한 접시 더」 「매 끼니 단백질 반찬 하나」 「단백질 반찬 한 가지 챙기기」 「간식은 견과류 한 줌으로」. 3기 이상: 채소 축 연결 자체 제외. 투석·이식은 식이 타일 비노출  ／  검수 추가 — N133 과자 대신 견과류 사 두기 · N160 간식은 과일 · 견과로만 · N166 간식도 단백질로 챙기기 · 확정 「과일은 한 줌만」 제외(칼륨 · 인)</t>
  </si>
  <si>
    <t>만성 콩팥병</t>
  </si>
  <si>
    <t>KDIGO(2024) · 대한신장학회</t>
  </si>
  <si>
    <t>심혈관질환</t>
  </si>
  <si>
    <t>I20~I25 · I50 · I63 · I64 · I69</t>
  </si>
  <si>
    <t>급성 사건(I21 · I63 · I64) · I25.2 · I69는 1회. 그 외 2회</t>
  </si>
  <si>
    <t>짠맛·국물 · 기름진 음식</t>
  </si>
  <si>
    <t>없음  ／  검수 추가 — 심부전(I50)은 수분 증량 문구 제외: N44 · N72 · N106 · N186 · N189(칼륨 아닌 수분 부하)</t>
  </si>
  <si>
    <t>심장 · 뇌혈관 질환(협심증 · 심근경색 · 뇌졸중 등)</t>
  </si>
  <si>
    <t>지질동맥경화학회 · 대한심장학회 이차예방 권고</t>
  </si>
  <si>
    <t>지방간</t>
  </si>
  <si>
    <t>K76.0 · K75.8 · K70.0</t>
  </si>
  <si>
    <t>12개월 안 2회, 또는 1회 + 검진 간기능 경계</t>
  </si>
  <si>
    <t>단 음료·단 간식 · 기름진 음식 · 식사 속도·양</t>
  </si>
  <si>
    <t>대한간학회 지침(2021) · 미국간학회(2023)</t>
  </si>
  <si>
    <t>금지 전용</t>
  </si>
  <si>
    <t>임신 · 산후 · 수유</t>
  </si>
  <si>
    <t>O00~O99 · Z32.1 · Z33 · Z34 · Z35 · Z39</t>
  </si>
  <si>
    <t>O · Z34 · Z35는 최근 10개월 1회. Z39는 12개월</t>
  </si>
  <si>
    <t>— (금지만)</t>
  </si>
  <si>
    <t>섭취 제한형 전부(양 줄이기 · 저녁 적게 · 밥 양 3분의 2 · 단 음료 하루 쉬기 · 배부르기 전에 수저 놓기). 「오후 2시 이후 카페인」은 유지</t>
  </si>
  <si>
    <t>확인 질문 없음</t>
  </si>
  <si>
    <t>대한산부인과학회 · 2020 한국인 영양소 섭취기준 임신부 부가량</t>
  </si>
  <si>
    <t>F50.0 · F50.1 · F50.2 · F50.3 · F50.8 · F50.9</t>
  </si>
  <si>
    <t>최근 24개월 안 1회</t>
  </si>
  <si>
    <t>식사 속도·양 축 전체 · 식사 시각 축 전체 · 검진 경계 전용 문구 · 「단 음료 오늘 하루 쉬기」 · 회복 풀의 「저녁은 가볍게」</t>
  </si>
  <si>
    <t>미국정신의학회 섭식장애 진료지침</t>
  </si>
  <si>
    <t>영양결핍 · 저체중</t>
  </si>
  <si>
    <t>E40~E46 · R63.4 · R64 · R63.0</t>
  </si>
  <si>
    <t>12개월 안 1회</t>
  </si>
  <si>
    <t>검진 경계 전용 문구(밥 양 · 저녁 적게) 제외</t>
  </si>
  <si>
    <t>저체중 규칙과 동일. R 코드지만 안전 목적 예외</t>
  </si>
  <si>
    <t>악성신생물 치료 중</t>
  </si>
  <si>
    <t>C00~C97 + Z51.1 · Z51.0 · Z54</t>
  </si>
  <si>
    <t>C 코드 + Z51 6개월 안 동반. C 코드만 5년 이상 경과는 제외</t>
  </si>
  <si>
    <t>섭취 제한형 전부 제외</t>
  </si>
  <si>
    <t>유럽임상영양대사학회 암 환자 영양 지침</t>
  </si>
  <si>
    <t>위 절제 · 비만수술 상태</t>
  </si>
  <si>
    <t>Z90.3 · Z98.0 · K91.1</t>
  </si>
  <si>
    <t>1회(영구 상태)</t>
  </si>
  <si>
    <t>「한 끼 밥 양은 평소의 3분의 2」 「저녁 양은 점심보다 적게」 제외. 「20분 이상 천천히」 「단 음료 대신 물」은 유지  ／  검수 추가 — N157 밥 · 빵 · 면 모두 통곡으로 · N162 아침은 통곡물로 고정하기 제외(섬유질 급증 · 덤핑)</t>
  </si>
  <si>
    <t>덤핑증후군 예방</t>
  </si>
  <si>
    <t>비만</t>
  </si>
  <si>
    <t>E66.0 · E66.1 · E66.8 · E66.9</t>
  </si>
  <si>
    <t>2차 검토</t>
  </si>
  <si>
    <t>식사 속도·양 · 단 음료 · 식사 시각</t>
  </si>
  <si>
    <t>주상병 청구가 드물어 검진 체질량지수가 더 안정적</t>
  </si>
  <si>
    <t>통풍 · 고요산혈증</t>
  </si>
  <si>
    <t>M10 · E79.0</t>
  </si>
  <si>
    <t>단 음료 · 기름진 음식</t>
  </si>
  <si>
    <t>「붉은 고기 대신 생선이나 두부 한 끼」 제외(생선 퓨린)</t>
  </si>
  <si>
    <t>미국류마티스학회 통풍 지침(2020) 조건부 권고</t>
  </si>
  <si>
    <t>위식도역류</t>
  </si>
  <si>
    <t>K21.0 · K21.9</t>
  </si>
  <si>
    <t>12개월 주상병 3회 이상(남용 코드라 강화)</t>
  </si>
  <si>
    <t>식사 시각 · 식사 속도·양</t>
  </si>
  <si>
    <t>미국소화기학회 지침(2022)</t>
  </si>
  <si>
    <t>만성 간질환 · 간경변</t>
  </si>
  <si>
    <t>K70.3 · K74.6 · K73 · B18</t>
  </si>
  <si>
    <t>짠맛(복수 시 나트륨 제한)</t>
  </si>
  <si>
    <t>단백질 제한은 하지 않음(최신 지침은 충분 섭취 권고)</t>
  </si>
  <si>
    <t>보상 · 비보상 구분이 코드로 안 되어 자동 규칙 위험</t>
  </si>
  <si>
    <t>철결핍 빈혈</t>
  </si>
  <si>
    <t>D50</t>
  </si>
  <si>
    <t>「붉은 고기 대신 생선이나 두부 한 끼」 제외(철 급원 감소)</t>
  </si>
  <si>
    <t>유병 인구 대비 효과가 작아 2차</t>
  </si>
  <si>
    <t>가져오지 않음</t>
  </si>
  <si>
    <t>증상 · 검사 소견 코드</t>
  </si>
  <si>
    <t>R73 · R03.0 · R74 · R63.5</t>
  </si>
  <si>
    <t>확진이 아니며 검진 경계로 더 정확히 얻는다. R63.4 · R64 · R63.0만 안전 목적 예외</t>
  </si>
  <si>
    <t>건강검진 · 상담 목적</t>
  </si>
  <si>
    <t>Z00 · Z01 · Z13 · Z71.3</t>
  </si>
  <si>
    <t>질환 정보가 아니다</t>
  </si>
  <si>
    <t>식이 영향이 간접적</t>
  </si>
  <si>
    <t>E03 · M80 · M81 · J44 · F32 · F33</t>
  </si>
  <si>
    <t>현재 8축 문구와 맞물리는 지점이 없다</t>
  </si>
  <si>
    <t>인지 · 연하 장애</t>
  </si>
  <si>
    <t>F00~F03 · G30 · R13</t>
  </si>
  <si>
    <t>진단 층이 아니라 서비스 대상 정책에서 다룰 문제</t>
  </si>
  <si>
    <t>금지 전용(검토)</t>
  </si>
  <si>
    <t>투석 · 이식</t>
  </si>
  <si>
    <t>Z49 · Z99.2 · Z94.0</t>
  </si>
  <si>
    <t>1회</t>
  </si>
  <si>
    <t>검수 추가 — 수분 증량 문구 제외: N44 · N72 · N106 · N186 · N189. 기존대로 식이 타일 자체를 내리지 않는 안도 유효</t>
  </si>
  <si>
    <t>투석 환자의 수분 제한</t>
  </si>
  <si>
    <t>갑상선질환</t>
  </si>
  <si>
    <t>E05 · E06 · E03</t>
  </si>
  <si>
    <t>미정</t>
  </si>
  <si>
    <t>검수 결과 N154 해조류 반찬 한 가지를 삭제해 현재 필요 없음. 해조류 문구를 되살리려면 이 유형을 추가해야 한다</t>
  </si>
  <si>
    <t>미역 · 김의 요오드 함량</t>
  </si>
  <si>
    <t>설정 이름</t>
  </si>
  <si>
    <t>값</t>
  </si>
  <si>
    <t>쓰이는 곳</t>
  </si>
  <si>
    <t>비고 · 근거</t>
  </si>
  <si>
    <t>축 상태</t>
  </si>
  <si>
    <t>개선 필요 경계</t>
  </si>
  <si>
    <t>나쁨 비율 &gt;= 0.5</t>
  </si>
  <si>
    <t>축 상태 판정</t>
  </si>
  <si>
    <t>출시 전 테스트에서 재조정</t>
  </si>
  <si>
    <t>양호 경계 (좋음)</t>
  </si>
  <si>
    <t>좋음 비율 &gt;= 0.6</t>
  </si>
  <si>
    <t>양호 경계 (나쁨 상한)</t>
  </si>
  <si>
    <t>나쁨 비율 &lt; 0.2</t>
  </si>
  <si>
    <t>관찰 창</t>
  </si>
  <si>
    <t>14일</t>
  </si>
  <si>
    <t>유효 답 수 집계</t>
  </si>
  <si>
    <t>관찰 중 기준</t>
  </si>
  <si>
    <t>유효 답 &lt; 3</t>
  </si>
  <si>
    <t>올리기 조건</t>
  </si>
  <si>
    <t>최근 7일 완료 3회 이상</t>
  </si>
  <si>
    <t>축 단계 상향</t>
  </si>
  <si>
    <t>도전이 최고</t>
  </si>
  <si>
    <t>내리기 조건</t>
  </si>
  <si>
    <t>연속 미완료 2회 이상</t>
  </si>
  <si>
    <t>축 단계 하향</t>
  </si>
  <si>
    <t>쉬기는 세지 않음 · 입문이 최저</t>
  </si>
  <si>
    <t>끼니</t>
  </si>
  <si>
    <t>끼니 경계 1</t>
  </si>
  <si>
    <t>지난 끼니 = 어제 저녁 / 오늘 아침</t>
  </si>
  <si>
    <t>오전 11시 알림 진입이 어제 저녁 구간에 들어와야 함</t>
  </si>
  <si>
    <t>끼니 경계 2</t>
  </si>
  <si>
    <t>지난 끼니 = 오늘 아침 / 오늘 점심</t>
  </si>
  <si>
    <t>끼니 경계 3</t>
  </si>
  <si>
    <t>지난 끼니 = 오늘 점심 / 오늘 저녁</t>
  </si>
  <si>
    <t>심야 예외 판정 기준과 같은 값</t>
  </si>
  <si>
    <t>날짜</t>
  </si>
  <si>
    <t>세션 경계</t>
  </si>
  <si>
    <t>질문 세트 · 목표 · 코칭의 하루 단위</t>
  </si>
  <si>
    <t>실제 날짜(자정 경계)와 다름</t>
  </si>
  <si>
    <t>문구</t>
  </si>
  <si>
    <t>저녁 문구 우선 시각</t>
  </si>
  <si>
    <t>시간대 표시 「저녁」 우선</t>
  </si>
  <si>
    <t>오전 진입 문구 제한</t>
  </si>
  <si>
    <t>12:00 이후 제외</t>
  </si>
  <si>
    <t>시간대 표시 「오전 진입」</t>
  </si>
  <si>
    <t>같은 축 연속 제한</t>
  </si>
  <si>
    <t>3일</t>
  </si>
  <si>
    <t>회전 축 선정에서 제외</t>
  </si>
  <si>
    <t>제외로 후보가 비면 제외 전으로 되돌림</t>
  </si>
  <si>
    <t>진단 층</t>
  </si>
  <si>
    <t>진료정보 조회 창</t>
  </si>
  <si>
    <t>최근 12개월</t>
  </si>
  <si>
    <t>진단 후보 판정</t>
  </si>
  <si>
    <t>처방 정보는 연동되지 않음</t>
  </si>
  <si>
    <t>기본 후보 조건</t>
  </si>
  <si>
    <t>주상병 2회 이상</t>
  </si>
  <si>
    <t>질환별 예외는 상병코드매핑 시트</t>
  </si>
  <si>
    <t>재질문 주기</t>
  </si>
  <si>
    <t>30일</t>
  </si>
  <si>
    <t>「잘 모르겠어요」 답변 후</t>
  </si>
  <si>
    <t>「아니오」는 12개월 동안 재질문 없음</t>
  </si>
  <si>
    <t>검진 경계</t>
  </si>
  <si>
    <t>혈압 유효 조건</t>
  </si>
  <si>
    <t>최근 7일 3회 이상 → 중앙값</t>
  </si>
  <si>
    <t>기기 연동값 채택</t>
  </si>
  <si>
    <t>3회 미만이면 검진값 유지</t>
  </si>
  <si>
    <t>공복혈당 유효 조건</t>
  </si>
  <si>
    <t>최근 7일 공복 2회 이상 → 중앙값</t>
  </si>
  <si>
    <t>1회면 그 값 · 식후/시각 미표시 제외</t>
  </si>
  <si>
    <t>체중 유효 조건</t>
  </si>
  <si>
    <t>하루 첫 측정 1건</t>
  </si>
  <si>
    <t>체질량지수 재계산</t>
  </si>
  <si>
    <t>7일 중앙값은 2차</t>
  </si>
  <si>
    <t>공복혈당 구간</t>
  </si>
  <si>
    <t>100~125 경계 · 126 이상 주의</t>
  </si>
  <si>
    <t>검진 경계 판정</t>
  </si>
  <si>
    <t>당화혈색소 5.7~6.4 / 6.5 이상 병행</t>
  </si>
  <si>
    <t>혈압 구간</t>
  </si>
  <si>
    <t>120~139 또는 80~89 경계 · 140 또는 90 이상 주의</t>
  </si>
  <si>
    <t>하나만 해당해도 켠다</t>
  </si>
  <si>
    <t>콜레스테롤 구간</t>
  </si>
  <si>
    <t>총 200~239 경계 · 240 이상 주의</t>
  </si>
  <si>
    <t>LDL 130~159 / 160 이상 우선</t>
  </si>
  <si>
    <t>체질량지수 구간</t>
  </si>
  <si>
    <t>23.0~24.9 경계 · 25.0 이상 주의</t>
  </si>
  <si>
    <t>18.5 미만은 켜지 않음(저체중 규칙)</t>
  </si>
  <si>
    <t>문구 폭</t>
  </si>
  <si>
    <t>타일 최대</t>
  </si>
  <si>
    <t>22자 (2줄 × 11자)</t>
  </si>
  <si>
    <t>문구 추가 시 검증</t>
  </si>
  <si>
    <t>현재 최장 19자</t>
  </si>
  <si>
    <t>질문 카드 최대</t>
  </si>
  <si>
    <t>32자 (2줄 × 16자)</t>
  </si>
  <si>
    <t>문항 추가 시 검증</t>
  </si>
  <si>
    <t>현재 최장 27자</t>
  </si>
  <si>
    <t>답 버튼 최대</t>
  </si>
  <si>
    <t>14자</t>
  </si>
  <si>
    <t>답 추가 시 검증</t>
  </si>
  <si>
    <t>현재 최장 13자</t>
  </si>
  <si>
    <t>운영 스위치</t>
  </si>
  <si>
    <t>격일 전환 기준</t>
  </si>
  <si>
    <t>미응답률 2주 연속 40% 이상</t>
  </si>
  <si>
    <t>질문 빈도 하향</t>
  </si>
  <si>
    <t>출시 전 테스트에서 측정</t>
  </si>
  <si>
    <t>대상 끼니 재배분 기준</t>
  </si>
  <si>
    <t>12시 전 첫 진입 40% 미만</t>
  </si>
  <si>
    <t>대상 끼니 규칙 변경 착수</t>
  </si>
  <si>
    <t>임의값</t>
  </si>
  <si>
    <t>천천히 먹기 기준</t>
  </si>
  <si>
    <t>20분</t>
  </si>
  <si>
    <t>문구 「한 끼는 20분 이상 천천히」</t>
  </si>
  <si>
    <t>통용값 · 의학팀 승인</t>
  </si>
  <si>
    <t>밥 양 감량 비율</t>
  </si>
  <si>
    <t>3분의 2</t>
  </si>
  <si>
    <t>문구 「한 끼 밥 양은 평소의 3분의 2」</t>
  </si>
  <si>
    <t>임의값 · 의학팀 승인</t>
  </si>
  <si>
    <t>취침 전 식사 간격</t>
  </si>
  <si>
    <t>3시간</t>
  </si>
  <si>
    <t>문구 「저녁은 잠들기 3시간 전에 마치기」</t>
  </si>
  <si>
    <t>일반 권장 2~3시간 · 의학팀 승인</t>
  </si>
  <si>
    <t>카페인 차단 시각</t>
  </si>
  <si>
    <t>오후 2시</t>
  </si>
  <si>
    <t>문구 「오후 2시 이후 카페인 멈추기」</t>
  </si>
  <si>
    <t>보수적 임의값 · 의학팀 승인</t>
  </si>
  <si>
    <t>maiReport 식이 · 참조 · 설정 데이터 (의학 검수 반영)</t>
  </si>
  <si>
    <t>시트</t>
  </si>
  <si>
    <t>내용</t>
  </si>
  <si>
    <t>행 수</t>
  </si>
  <si>
    <t>문구세트</t>
  </si>
  <si>
    <t>축정의</t>
  </si>
  <si>
    <t>8축 · 회전 문항 · 답 3개</t>
  </si>
  <si>
    <t>상병코드매핑</t>
  </si>
  <si>
    <t>질환별 연결 축 · 금지 문구 (검수 7건 반영)</t>
  </si>
  <si>
    <t>설정값</t>
  </si>
  <si>
    <t>경계 · 창 · 시각 · 폭 · 스위치 · 임의값</t>
  </si>
  <si>
    <t>문구세트 상태별</t>
  </si>
  <si>
    <t>후보에 넣는다</t>
  </si>
  <si>
    <t>축 적합성 · 단계 구분 확정 후 재검토</t>
  </si>
  <si>
    <t>검수에서 바뀐 것</t>
  </si>
  <si>
    <t>· 상병코드매핑 금지 문구 열에 검수 추가 5건을 「／ 검수 추가 —」 뒤에 붙였다. 당뇨 · 신장 · 심혈관(심부전) · 위 절제 · 고혈압.</t>
  </si>
  <si>
    <t>· 투석 · 이식과 갑상선질환 두 행을 「금지 전용(검토)」으로 새로 넣었다. 의학팀 확인 전이다.</t>
  </si>
  <si>
    <t>· 확정 세트의 「과일은 한 줌만」에 신장 제한을 붙였다 — 기존 표기 누락.</t>
  </si>
  <si>
    <t>열이 무슨 뜻인가 · 문구세트</t>
  </si>
  <si>
    <t>열</t>
  </si>
  <si>
    <t>뜻</t>
  </si>
  <si>
    <t>값의 예</t>
  </si>
  <si>
    <t>통째 일련번호. 정렬을 바꿔도 원래 순서로 되돌리기 위한 것</t>
  </si>
  <si>
    <t>1 ~ 230</t>
  </si>
  <si>
    <t>지금 후보에 넣는지. 이 열이 「사용」인 것만 실제로 쓴다</t>
  </si>
  <si>
    <t>축 × 단계 풀인지, 상황 풀인지. 상황 풀은 축과 단계 판정을 건너뛰고 바로 꺼낸다</t>
  </si>
  <si>
    <t>축 × 단계 · 회복 풀 · 부담 줄이기 풀</t>
  </si>
  <si>
    <t>식이 행동을 나눈 갈래. 축마다 회전 문항 1개 · 상태 1개 · 단계 3개가 붙는다</t>
  </si>
  <si>
    <t>채소 · 짠맛 · 국물 · 곡류 · 식이섬유 등</t>
  </si>
  <si>
    <t>그 축 안에서의 난이도. 7일에 3회 완료하면 올라가고 연속 2회 미완료면 내려간다</t>
  </si>
  <si>
    <t>입문 · 기본 · 도전</t>
  </si>
  <si>
    <t>홈 타일에 그대로 나가는 말. 사용자가 보는 유일한 문장이다</t>
  </si>
  <si>
    <t>타일 문구의 길이. 한도 22자를 넘으면 노란색으로 칠해진다</t>
  </si>
  <si>
    <t>목표분석 탭에 상시 표시되는 설명. 홈 타일을 누르면 짧게 뜬다</t>
  </si>
  <si>
    <t>그 시간대에만 낼 수 있다는 뜻. 비어 있으면 아무 때나 낼 수 있다</t>
  </si>
  <si>
    <t>저녁 · 오전 진입 · 오후 진입</t>
  </si>
  <si>
    <t>O이면 검진 경계나 확진 질환이 있는 사용자에게만 낸다. 저체중에게는 내지 않는다</t>
  </si>
  <si>
    <t>O 또는 빈칸</t>
  </si>
  <si>
    <t>이 문구를 내면 안 되는 질환. 기존 제한과 의학 검수에서 추가한 제한을 합쳐 놓은 것이다</t>
  </si>
  <si>
    <t>문구를 뒷받침하는 출처. 비어 있으면 후보에서 뺀다는 것이 세트 규칙이다</t>
  </si>
  <si>
    <t>WHO 당류 지침 · 식생활지침 수칙 1</t>
  </si>
  <si>
    <t>지침 수준 권고가 없으면 「약함」. 노란색으로 칠해진다</t>
  </si>
  <si>
    <t>약함 또는 빈칸</t>
  </si>
  <si>
    <t>2026-09-21 임상 검수 결과. 조건부는 제한을 붙이면 쓸 수 있다는 뜻이다</t>
  </si>
  <si>
    <t>판정이 승인이 아닌 경우의 사유</t>
  </si>
  <si>
    <t>열이 무슨 뜻인가 · 나머지 시트</t>
  </si>
  <si>
    <t>후보가 동률일 때 이 순서로 고른다</t>
  </si>
  <si>
    <t>지난 끼니가 무엇일 때 이 축을 물을 수 있는지. 「식사 시각」만 어제 저녁으로 제한된다</t>
  </si>
  <si>
    <t>답1 ~ 답3</t>
  </si>
  <si>
    <t>왼쪽부터 양호 · 보통 · 개선 필요. 화면에는 등급 라벨을 쓰지 않고 사실만 적는다</t>
  </si>
  <si>
    <t>연결까지 하는지 금지만 하는지. 「가져오지 않음」은 후보 자체를 만들지 않는다</t>
  </si>
  <si>
    <t>몇 개월 안에 주상병 몇 회면 진단 후보로 올리는지. 처방 정보는 연동되지 않는다</t>
  </si>
  <si>
    <t>확진되면 이 축들만 후보가 된다. 검진 경계보다 우선한다</t>
  </si>
  <si>
    <t>그 질환에 해로울 수 있어 빼는 문구. 확진이 아니라 진단 후보 단계부터 적용한다. 「／ 검수 추가 —」 뒤는 2026-09-21 임상 검수에서 더한 것이다</t>
  </si>
  <si>
    <t>설정 테이블로 관리하며 하드코딩하지 않는다</t>
  </si>
  <si>
    <t>묶음</t>
    <phoneticPr fontId="1" type="noConversion"/>
  </si>
  <si>
    <t>1차</t>
    <phoneticPr fontId="1" type="noConversion"/>
  </si>
  <si>
    <t>운영이 관리하는 테이블. 문구세트 225 개 전체가 1차 묶음이고, 상태가 「사용」인 것만 실제 후보에 넣는다.</t>
    <phoneticPr fontId="1" type="noConversion"/>
  </si>
  <si>
    <t>문구 225 개 · 상태 · 검수 판정 포함</t>
    <phoneticPr fontId="1" type="noConversion"/>
  </si>
  <si>
    <t>· 검수에서 뺀 5건은 이 표에서 지웠다. 무엇을 왜 뺐는지는 「식이 문구 세트 의학 검수」 엑셀과 확장초안 문서 9-5장에 남아 있다.</t>
    <phoneticPr fontId="1" type="noConversion"/>
  </si>
  <si>
    <t>묶음</t>
    <phoneticPr fontId="1" type="noConversion"/>
  </si>
  <si>
    <t>문구를 의학팀 · 개발에 넘기는 단위. 지금은 전체가 1차다. 나중에 문구를 더 늘리면 2차가 생긴다</t>
    <phoneticPr fontId="1" type="noConversion"/>
  </si>
  <si>
    <t>1차</t>
    <phoneticPr fontId="1" type="noConversion"/>
  </si>
  <si>
    <t>사용 · 보류</t>
    <phoneticPr fontId="1" type="noConversion"/>
  </si>
  <si>
    <t>승인 · 조건부 · 수정 · 확인 필요 · 보류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</si>
</sst>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Malgun Gothic"/>
      <family val="3"/>
      <charset val="129"/>
    </font>
    <font>
      <b/>
      <sz val="10"/>
      <color rgb="FFFFFFFF"/>
      <name val="Malgun Gothic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14"/>
      <color theme="1"/>
      <name val="Malgun Gothic"/>
      <family val="3"/>
      <charset val="129"/>
    </font>
    <font>
      <sz val="11"/>
      <color rgb="FF808080"/>
      <name val="Malgun Gothic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1F3764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2" fillId="0" borderId="1" xfId="0" applyFont="1" applyBorder="1" applyAlignment="1">
      <alignment vertical="top"/>
    </xf>
    <xf numFmtId="0" fontId="3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top" wrapText="1"/>
    </xf>
    <xf numFmtId="20" fontId="2" fillId="0" borderId="1" xfId="0" applyNumberFormat="1" applyFont="1" applyBorder="1" applyAlignment="1">
      <alignment vertical="top" wrapText="1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vertical="center" wrapText="1"/>
    </xf>
    <xf numFmtId="0" fontId="4" fillId="0" borderId="0" xfId="0" applyFont="1">
      <alignment vertical="center"/>
    </xf>
    <xf numFmtId="0" fontId="2" fillId="3" borderId="0" xfId="0" applyFont="1" applyFill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</cellXfs>
  <cellStyles count="1">
    <cellStyle name="표준" xfId="0" builtinId="0"/>
  </cellStyles>
  <dxfs count="9">
    <dxf>
      <fill>
        <patternFill>
          <bgColor rgb="FFFFF2CC"/>
        </patternFill>
      </fill>
    </dxf>
    <dxf>
      <fill>
        <patternFill>
          <bgColor rgb="FFFFE4E1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D0D0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D0D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AB01B-41E4-44AE-8479-A8739D0CDB47}">
  <dimension ref="A1:C48"/>
  <sheetViews>
    <sheetView tabSelected="1" workbookViewId="0"/>
  </sheetViews>
  <sheetFormatPr defaultRowHeight="17"/>
  <cols>
    <col min="1" max="1" width="20.58203125" customWidth="1"/>
    <col min="2" max="2" width="62.58203125" customWidth="1"/>
    <col min="3" max="3" width="40.58203125" customWidth="1"/>
  </cols>
  <sheetData>
    <row r="1" spans="1:3" ht="21">
      <c r="A1" s="9" t="s">
        <v>941</v>
      </c>
    </row>
    <row r="2" spans="1:3">
      <c r="A2" s="10" t="s">
        <v>998</v>
      </c>
    </row>
    <row r="4" spans="1:3">
      <c r="A4" s="2" t="s">
        <v>942</v>
      </c>
      <c r="B4" s="2" t="s">
        <v>943</v>
      </c>
      <c r="C4" s="2" t="s">
        <v>944</v>
      </c>
    </row>
    <row r="5" spans="1:3">
      <c r="A5" s="6" t="s">
        <v>945</v>
      </c>
      <c r="B5" s="6" t="s">
        <v>999</v>
      </c>
      <c r="C5" s="6">
        <f>COUNTA(문구세트!G2:G395)</f>
        <v>225</v>
      </c>
    </row>
    <row r="6" spans="1:3">
      <c r="A6" s="6" t="s">
        <v>946</v>
      </c>
      <c r="B6" s="6" t="s">
        <v>947</v>
      </c>
      <c r="C6" s="6">
        <f>COUNTA(축정의!B2:B100)</f>
        <v>8</v>
      </c>
    </row>
    <row r="7" spans="1:3">
      <c r="A7" s="6" t="s">
        <v>948</v>
      </c>
      <c r="B7" s="6" t="s">
        <v>949</v>
      </c>
      <c r="C7" s="6">
        <f>COUNTA(상병코드매핑!B2:B100)</f>
        <v>22</v>
      </c>
    </row>
    <row r="8" spans="1:3">
      <c r="A8" s="6" t="s">
        <v>950</v>
      </c>
      <c r="B8" s="6" t="s">
        <v>951</v>
      </c>
      <c r="C8" s="6">
        <f>COUNTA(설정값!B2:B100)</f>
        <v>33</v>
      </c>
    </row>
    <row r="10" spans="1:3">
      <c r="A10" s="7" t="s">
        <v>952</v>
      </c>
    </row>
    <row r="11" spans="1:3">
      <c r="A11" s="5" t="s">
        <v>15</v>
      </c>
      <c r="B11" s="5" t="s">
        <v>953</v>
      </c>
      <c r="C11" s="5">
        <f>COUNTIF(문구세트!C:C,"사용")</f>
        <v>223</v>
      </c>
    </row>
    <row r="12" spans="1:3">
      <c r="A12" s="5" t="s">
        <v>215</v>
      </c>
      <c r="B12" s="5" t="s">
        <v>954</v>
      </c>
      <c r="C12" s="5">
        <f>COUNTIF(문구세트!C:C,"보류")</f>
        <v>2</v>
      </c>
    </row>
    <row r="14" spans="1:3">
      <c r="A14" s="7" t="s">
        <v>955</v>
      </c>
    </row>
    <row r="15" spans="1:3">
      <c r="A15" s="8" t="s">
        <v>956</v>
      </c>
    </row>
    <row r="16" spans="1:3">
      <c r="A16" s="8" t="s">
        <v>957</v>
      </c>
    </row>
    <row r="17" spans="1:3">
      <c r="A17" s="8" t="s">
        <v>958</v>
      </c>
    </row>
    <row r="18" spans="1:3">
      <c r="A18" s="8" t="s">
        <v>1000</v>
      </c>
    </row>
    <row r="20" spans="1:3">
      <c r="A20" s="7" t="s">
        <v>959</v>
      </c>
    </row>
    <row r="21" spans="1:3">
      <c r="A21" s="2" t="s">
        <v>960</v>
      </c>
      <c r="B21" s="2" t="s">
        <v>961</v>
      </c>
      <c r="C21" s="2" t="s">
        <v>962</v>
      </c>
    </row>
    <row r="22" spans="1:3">
      <c r="A22" s="3" t="s">
        <v>0</v>
      </c>
      <c r="B22" s="3" t="s">
        <v>963</v>
      </c>
      <c r="C22" s="3" t="s">
        <v>964</v>
      </c>
    </row>
    <row r="23" spans="1:3" ht="32">
      <c r="A23" s="3" t="s">
        <v>1001</v>
      </c>
      <c r="B23" s="3" t="s">
        <v>1002</v>
      </c>
      <c r="C23" s="3" t="s">
        <v>1003</v>
      </c>
    </row>
    <row r="24" spans="1:3">
      <c r="A24" s="3" t="s">
        <v>1</v>
      </c>
      <c r="B24" s="3" t="s">
        <v>965</v>
      </c>
      <c r="C24" s="3" t="s">
        <v>1004</v>
      </c>
    </row>
    <row r="25" spans="1:3">
      <c r="A25" s="3" t="s">
        <v>2</v>
      </c>
      <c r="B25" s="3" t="s">
        <v>966</v>
      </c>
      <c r="C25" s="3" t="s">
        <v>967</v>
      </c>
    </row>
    <row r="26" spans="1:3">
      <c r="A26" s="3" t="s">
        <v>3</v>
      </c>
      <c r="B26" s="3" t="s">
        <v>968</v>
      </c>
      <c r="C26" s="3" t="s">
        <v>969</v>
      </c>
    </row>
    <row r="27" spans="1:3">
      <c r="A27" s="3" t="s">
        <v>4</v>
      </c>
      <c r="B27" s="3" t="s">
        <v>970</v>
      </c>
      <c r="C27" s="3" t="s">
        <v>971</v>
      </c>
    </row>
    <row r="28" spans="1:3">
      <c r="A28" s="3" t="s">
        <v>5</v>
      </c>
      <c r="B28" s="3" t="s">
        <v>972</v>
      </c>
      <c r="C28" s="3" t="s">
        <v>43</v>
      </c>
    </row>
    <row r="29" spans="1:3">
      <c r="A29" s="3" t="s">
        <v>6</v>
      </c>
      <c r="B29" s="3" t="s">
        <v>973</v>
      </c>
      <c r="C29" s="3">
        <v>10</v>
      </c>
    </row>
    <row r="30" spans="1:3">
      <c r="A30" s="3" t="s">
        <v>7</v>
      </c>
      <c r="B30" s="3" t="s">
        <v>974</v>
      </c>
      <c r="C30" s="3" t="s">
        <v>44</v>
      </c>
    </row>
    <row r="31" spans="1:3">
      <c r="A31" s="3" t="s">
        <v>8</v>
      </c>
      <c r="B31" s="3" t="s">
        <v>975</v>
      </c>
      <c r="C31" s="3" t="s">
        <v>976</v>
      </c>
    </row>
    <row r="32" spans="1:3" ht="32">
      <c r="A32" s="3" t="s">
        <v>9</v>
      </c>
      <c r="B32" s="3" t="s">
        <v>977</v>
      </c>
      <c r="C32" s="3" t="s">
        <v>978</v>
      </c>
    </row>
    <row r="33" spans="1:3" ht="32">
      <c r="A33" s="3" t="s">
        <v>10</v>
      </c>
      <c r="B33" s="3" t="s">
        <v>979</v>
      </c>
      <c r="C33" s="3" t="s">
        <v>295</v>
      </c>
    </row>
    <row r="34" spans="1:3">
      <c r="A34" s="3" t="s">
        <v>11</v>
      </c>
      <c r="B34" s="3" t="s">
        <v>980</v>
      </c>
      <c r="C34" s="3" t="s">
        <v>981</v>
      </c>
    </row>
    <row r="35" spans="1:3">
      <c r="A35" s="3" t="s">
        <v>12</v>
      </c>
      <c r="B35" s="3" t="s">
        <v>982</v>
      </c>
      <c r="C35" s="3" t="s">
        <v>983</v>
      </c>
    </row>
    <row r="36" spans="1:3">
      <c r="A36" s="3" t="s">
        <v>13</v>
      </c>
      <c r="B36" s="3" t="s">
        <v>984</v>
      </c>
      <c r="C36" s="3" t="s">
        <v>1005</v>
      </c>
    </row>
    <row r="37" spans="1:3">
      <c r="A37" s="3" t="s">
        <v>14</v>
      </c>
      <c r="B37" s="3" t="s">
        <v>985</v>
      </c>
      <c r="C37" s="3"/>
    </row>
    <row r="39" spans="1:3">
      <c r="A39" s="7" t="s">
        <v>986</v>
      </c>
    </row>
    <row r="40" spans="1:3">
      <c r="A40" s="2" t="s">
        <v>942</v>
      </c>
      <c r="B40" s="2" t="s">
        <v>960</v>
      </c>
      <c r="C40" s="2" t="s">
        <v>961</v>
      </c>
    </row>
    <row r="41" spans="1:3">
      <c r="A41" s="3" t="s">
        <v>946</v>
      </c>
      <c r="B41" s="3" t="s">
        <v>645</v>
      </c>
      <c r="C41" s="3" t="s">
        <v>987</v>
      </c>
    </row>
    <row r="42" spans="1:3" ht="32">
      <c r="A42" s="3" t="s">
        <v>946</v>
      </c>
      <c r="B42" s="3" t="s">
        <v>651</v>
      </c>
      <c r="C42" s="3" t="s">
        <v>988</v>
      </c>
    </row>
    <row r="43" spans="1:3" ht="32">
      <c r="A43" s="3" t="s">
        <v>946</v>
      </c>
      <c r="B43" s="3" t="s">
        <v>989</v>
      </c>
      <c r="C43" s="3" t="s">
        <v>990</v>
      </c>
    </row>
    <row r="44" spans="1:3" ht="32">
      <c r="A44" s="3" t="s">
        <v>948</v>
      </c>
      <c r="B44" s="3" t="s">
        <v>2</v>
      </c>
      <c r="C44" s="3" t="s">
        <v>991</v>
      </c>
    </row>
    <row r="45" spans="1:3" ht="32">
      <c r="A45" s="3" t="s">
        <v>948</v>
      </c>
      <c r="B45" s="3" t="s">
        <v>701</v>
      </c>
      <c r="C45" s="3" t="s">
        <v>992</v>
      </c>
    </row>
    <row r="46" spans="1:3" ht="32">
      <c r="A46" s="3" t="s">
        <v>948</v>
      </c>
      <c r="B46" s="3" t="s">
        <v>702</v>
      </c>
      <c r="C46" s="3" t="s">
        <v>993</v>
      </c>
    </row>
    <row r="47" spans="1:3" ht="48">
      <c r="A47" s="3" t="s">
        <v>948</v>
      </c>
      <c r="B47" s="3" t="s">
        <v>703</v>
      </c>
      <c r="C47" s="3" t="s">
        <v>994</v>
      </c>
    </row>
    <row r="48" spans="1:3">
      <c r="A48" s="3" t="s">
        <v>950</v>
      </c>
      <c r="B48" s="3" t="s">
        <v>818</v>
      </c>
      <c r="C48" s="3" t="s">
        <v>995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94106-73D2-4BAF-A8E7-E6EF935B2F7F}">
  <dimension ref="A1:P226"/>
  <sheetViews>
    <sheetView workbookViewId="0">
      <pane ySplit="1" topLeftCell="A2" activePane="bottomLeft" state="frozen"/>
      <selection pane="bottomLeft" activeCell="A2" sqref="A2"/>
    </sheetView>
  </sheetViews>
  <sheetFormatPr defaultRowHeight="17"/>
  <cols>
    <col min="1" max="1" width="5.58203125" customWidth="1"/>
    <col min="2" max="2" width="8.58203125" customWidth="1"/>
    <col min="3" max="3" width="7.58203125" customWidth="1"/>
    <col min="4" max="4" width="13.58203125" customWidth="1"/>
    <col min="5" max="5" width="15.58203125" customWidth="1"/>
    <col min="6" max="6" width="8.58203125" customWidth="1"/>
    <col min="7" max="7" width="30.58203125" customWidth="1"/>
    <col min="8" max="8" width="7.58203125" customWidth="1"/>
    <col min="9" max="9" width="42.58203125" customWidth="1"/>
    <col min="10" max="11" width="11.58203125" customWidth="1"/>
    <col min="12" max="12" width="26.58203125" customWidth="1"/>
    <col min="13" max="13" width="34.58203125" customWidth="1"/>
    <col min="14" max="14" width="9.58203125" customWidth="1"/>
    <col min="15" max="15" width="10.58203125" customWidth="1"/>
    <col min="16" max="16" width="56.58203125" customWidth="1"/>
  </cols>
  <sheetData>
    <row r="1" spans="1:16" ht="32">
      <c r="A1" s="2" t="s">
        <v>0</v>
      </c>
      <c r="B1" s="2" t="s">
        <v>996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</row>
    <row r="2" spans="1:16">
      <c r="A2" s="1">
        <v>1</v>
      </c>
      <c r="B2" s="1" t="s">
        <v>997</v>
      </c>
      <c r="C2" s="1" t="s">
        <v>15</v>
      </c>
      <c r="D2" s="1" t="s">
        <v>16</v>
      </c>
      <c r="E2" s="1" t="s">
        <v>17</v>
      </c>
      <c r="F2" s="1" t="s">
        <v>18</v>
      </c>
      <c r="G2" s="3" t="s">
        <v>19</v>
      </c>
      <c r="H2" s="1">
        <v>16</v>
      </c>
      <c r="I2" s="3" t="s">
        <v>20</v>
      </c>
      <c r="J2" s="1" t="s">
        <v>21</v>
      </c>
      <c r="K2" s="1"/>
      <c r="L2" s="3" t="s">
        <v>22</v>
      </c>
      <c r="M2" s="3" t="s">
        <v>23</v>
      </c>
      <c r="N2" s="1" t="s">
        <v>24</v>
      </c>
      <c r="O2" s="1" t="s">
        <v>25</v>
      </c>
      <c r="P2" s="3"/>
    </row>
    <row r="3" spans="1:16">
      <c r="A3" s="1">
        <v>2</v>
      </c>
      <c r="B3" s="1" t="s">
        <v>997</v>
      </c>
      <c r="C3" s="1" t="s">
        <v>15</v>
      </c>
      <c r="D3" s="1" t="s">
        <v>16</v>
      </c>
      <c r="E3" s="1" t="s">
        <v>17</v>
      </c>
      <c r="F3" s="1" t="s">
        <v>26</v>
      </c>
      <c r="G3" s="3" t="s">
        <v>27</v>
      </c>
      <c r="H3" s="1">
        <v>9</v>
      </c>
      <c r="I3" s="3" t="s">
        <v>28</v>
      </c>
      <c r="J3" s="1" t="s">
        <v>21</v>
      </c>
      <c r="K3" s="1"/>
      <c r="L3" s="3" t="s">
        <v>22</v>
      </c>
      <c r="M3" s="3" t="s">
        <v>23</v>
      </c>
      <c r="N3" s="1" t="s">
        <v>24</v>
      </c>
      <c r="O3" s="1" t="s">
        <v>25</v>
      </c>
      <c r="P3" s="3"/>
    </row>
    <row r="4" spans="1:16">
      <c r="A4" s="1">
        <v>3</v>
      </c>
      <c r="B4" s="1" t="s">
        <v>997</v>
      </c>
      <c r="C4" s="1" t="s">
        <v>15</v>
      </c>
      <c r="D4" s="1" t="s">
        <v>16</v>
      </c>
      <c r="E4" s="1" t="s">
        <v>17</v>
      </c>
      <c r="F4" s="1" t="s">
        <v>26</v>
      </c>
      <c r="G4" s="3" t="s">
        <v>29</v>
      </c>
      <c r="H4" s="1">
        <v>14</v>
      </c>
      <c r="I4" s="3" t="s">
        <v>30</v>
      </c>
      <c r="J4" s="1"/>
      <c r="K4" s="1"/>
      <c r="L4" s="3" t="s">
        <v>22</v>
      </c>
      <c r="M4" s="3" t="s">
        <v>31</v>
      </c>
      <c r="N4" s="1" t="s">
        <v>24</v>
      </c>
      <c r="O4" s="1" t="s">
        <v>25</v>
      </c>
      <c r="P4" s="3"/>
    </row>
    <row r="5" spans="1:16">
      <c r="A5" s="1">
        <v>4</v>
      </c>
      <c r="B5" s="1" t="s">
        <v>997</v>
      </c>
      <c r="C5" s="1" t="s">
        <v>15</v>
      </c>
      <c r="D5" s="1" t="s">
        <v>16</v>
      </c>
      <c r="E5" s="1" t="s">
        <v>17</v>
      </c>
      <c r="F5" s="1" t="s">
        <v>32</v>
      </c>
      <c r="G5" s="3" t="s">
        <v>33</v>
      </c>
      <c r="H5" s="1">
        <v>16</v>
      </c>
      <c r="I5" s="3" t="s">
        <v>34</v>
      </c>
      <c r="J5" s="1"/>
      <c r="K5" s="1"/>
      <c r="L5" s="3" t="s">
        <v>22</v>
      </c>
      <c r="M5" s="3" t="s">
        <v>35</v>
      </c>
      <c r="N5" s="1" t="s">
        <v>36</v>
      </c>
      <c r="O5" s="1" t="s">
        <v>25</v>
      </c>
      <c r="P5" s="3"/>
    </row>
    <row r="6" spans="1:16">
      <c r="A6" s="1">
        <v>5</v>
      </c>
      <c r="B6" s="1" t="s">
        <v>997</v>
      </c>
      <c r="C6" s="1" t="s">
        <v>15</v>
      </c>
      <c r="D6" s="1" t="s">
        <v>16</v>
      </c>
      <c r="E6" s="1" t="s">
        <v>37</v>
      </c>
      <c r="F6" s="1" t="s">
        <v>18</v>
      </c>
      <c r="G6" s="3" t="s">
        <v>38</v>
      </c>
      <c r="H6" s="1">
        <v>18</v>
      </c>
      <c r="I6" s="3" t="s">
        <v>39</v>
      </c>
      <c r="J6" s="1"/>
      <c r="K6" s="1"/>
      <c r="L6" s="3" t="s">
        <v>22</v>
      </c>
      <c r="M6" s="3" t="s">
        <v>40</v>
      </c>
      <c r="N6" s="1" t="s">
        <v>24</v>
      </c>
      <c r="O6" s="1" t="s">
        <v>25</v>
      </c>
      <c r="P6" s="3"/>
    </row>
    <row r="7" spans="1:16" ht="32">
      <c r="A7" s="1">
        <v>6</v>
      </c>
      <c r="B7" s="1" t="s">
        <v>997</v>
      </c>
      <c r="C7" s="1" t="s">
        <v>15</v>
      </c>
      <c r="D7" s="1" t="s">
        <v>16</v>
      </c>
      <c r="E7" s="1" t="s">
        <v>37</v>
      </c>
      <c r="F7" s="1" t="s">
        <v>26</v>
      </c>
      <c r="G7" s="3" t="s">
        <v>41</v>
      </c>
      <c r="H7" s="1">
        <v>12</v>
      </c>
      <c r="I7" s="3" t="s">
        <v>42</v>
      </c>
      <c r="J7" s="1"/>
      <c r="K7" s="1"/>
      <c r="L7" s="3" t="s">
        <v>22</v>
      </c>
      <c r="M7" s="3" t="s">
        <v>40</v>
      </c>
      <c r="N7" s="1" t="s">
        <v>24</v>
      </c>
      <c r="O7" s="1" t="s">
        <v>25</v>
      </c>
      <c r="P7" s="3"/>
    </row>
    <row r="8" spans="1:16">
      <c r="A8" s="1">
        <v>7</v>
      </c>
      <c r="B8" s="1" t="s">
        <v>997</v>
      </c>
      <c r="C8" s="1" t="s">
        <v>15</v>
      </c>
      <c r="D8" s="1" t="s">
        <v>16</v>
      </c>
      <c r="E8" s="1" t="s">
        <v>37</v>
      </c>
      <c r="F8" s="1" t="s">
        <v>26</v>
      </c>
      <c r="G8" s="3" t="s">
        <v>43</v>
      </c>
      <c r="H8" s="1">
        <v>11</v>
      </c>
      <c r="I8" s="3" t="s">
        <v>44</v>
      </c>
      <c r="J8" s="1" t="s">
        <v>45</v>
      </c>
      <c r="K8" s="1"/>
      <c r="L8" s="3" t="s">
        <v>22</v>
      </c>
      <c r="M8" s="3" t="s">
        <v>46</v>
      </c>
      <c r="N8" s="1" t="s">
        <v>47</v>
      </c>
      <c r="O8" s="1" t="s">
        <v>25</v>
      </c>
      <c r="P8" s="3"/>
    </row>
    <row r="9" spans="1:16">
      <c r="A9" s="1">
        <v>8</v>
      </c>
      <c r="B9" s="1" t="s">
        <v>997</v>
      </c>
      <c r="C9" s="1" t="s">
        <v>15</v>
      </c>
      <c r="D9" s="1" t="s">
        <v>16</v>
      </c>
      <c r="E9" s="1" t="s">
        <v>37</v>
      </c>
      <c r="F9" s="1" t="s">
        <v>32</v>
      </c>
      <c r="G9" s="3" t="s">
        <v>48</v>
      </c>
      <c r="H9" s="1">
        <v>12</v>
      </c>
      <c r="I9" s="3" t="s">
        <v>49</v>
      </c>
      <c r="J9" s="1"/>
      <c r="K9" s="1"/>
      <c r="L9" s="3" t="s">
        <v>22</v>
      </c>
      <c r="M9" s="3" t="s">
        <v>46</v>
      </c>
      <c r="N9" s="1" t="s">
        <v>47</v>
      </c>
      <c r="O9" s="1" t="s">
        <v>25</v>
      </c>
      <c r="P9" s="3"/>
    </row>
    <row r="10" spans="1:16">
      <c r="A10" s="1">
        <v>9</v>
      </c>
      <c r="B10" s="1" t="s">
        <v>997</v>
      </c>
      <c r="C10" s="1" t="s">
        <v>15</v>
      </c>
      <c r="D10" s="1" t="s">
        <v>16</v>
      </c>
      <c r="E10" s="1" t="s">
        <v>50</v>
      </c>
      <c r="F10" s="1" t="s">
        <v>18</v>
      </c>
      <c r="G10" s="3" t="s">
        <v>51</v>
      </c>
      <c r="H10" s="1">
        <v>16</v>
      </c>
      <c r="I10" s="3" t="s">
        <v>52</v>
      </c>
      <c r="J10" s="1"/>
      <c r="K10" s="1"/>
      <c r="L10" s="3" t="s">
        <v>22</v>
      </c>
      <c r="M10" s="3" t="s">
        <v>53</v>
      </c>
      <c r="N10" s="1" t="s">
        <v>24</v>
      </c>
      <c r="O10" s="1" t="s">
        <v>25</v>
      </c>
      <c r="P10" s="3"/>
    </row>
    <row r="11" spans="1:16">
      <c r="A11" s="1">
        <v>10</v>
      </c>
      <c r="B11" s="1" t="s">
        <v>997</v>
      </c>
      <c r="C11" s="1" t="s">
        <v>15</v>
      </c>
      <c r="D11" s="1" t="s">
        <v>16</v>
      </c>
      <c r="E11" s="1" t="s">
        <v>50</v>
      </c>
      <c r="F11" s="1" t="s">
        <v>26</v>
      </c>
      <c r="G11" s="3" t="s">
        <v>54</v>
      </c>
      <c r="H11" s="1">
        <v>17</v>
      </c>
      <c r="I11" s="3" t="s">
        <v>55</v>
      </c>
      <c r="J11" s="1"/>
      <c r="K11" s="1"/>
      <c r="L11" s="3" t="s">
        <v>22</v>
      </c>
      <c r="M11" s="3" t="s">
        <v>56</v>
      </c>
      <c r="N11" s="1" t="s">
        <v>24</v>
      </c>
      <c r="O11" s="1" t="s">
        <v>25</v>
      </c>
      <c r="P11" s="3"/>
    </row>
    <row r="12" spans="1:16" ht="32">
      <c r="A12" s="1">
        <v>11</v>
      </c>
      <c r="B12" s="1" t="s">
        <v>997</v>
      </c>
      <c r="C12" s="1" t="s">
        <v>15</v>
      </c>
      <c r="D12" s="1" t="s">
        <v>16</v>
      </c>
      <c r="E12" s="1" t="s">
        <v>50</v>
      </c>
      <c r="F12" s="1" t="s">
        <v>26</v>
      </c>
      <c r="G12" s="3" t="s">
        <v>57</v>
      </c>
      <c r="H12" s="1">
        <v>15</v>
      </c>
      <c r="I12" s="3" t="s">
        <v>58</v>
      </c>
      <c r="J12" s="1" t="s">
        <v>45</v>
      </c>
      <c r="K12" s="1"/>
      <c r="L12" s="3" t="s">
        <v>22</v>
      </c>
      <c r="M12" s="3" t="s">
        <v>53</v>
      </c>
      <c r="N12" s="1" t="s">
        <v>24</v>
      </c>
      <c r="O12" s="1" t="s">
        <v>25</v>
      </c>
      <c r="P12" s="3"/>
    </row>
    <row r="13" spans="1:16" ht="32">
      <c r="A13" s="1">
        <v>12</v>
      </c>
      <c r="B13" s="1" t="s">
        <v>997</v>
      </c>
      <c r="C13" s="1" t="s">
        <v>15</v>
      </c>
      <c r="D13" s="1" t="s">
        <v>16</v>
      </c>
      <c r="E13" s="1" t="s">
        <v>50</v>
      </c>
      <c r="F13" s="1" t="s">
        <v>32</v>
      </c>
      <c r="G13" s="3" t="s">
        <v>59</v>
      </c>
      <c r="H13" s="1">
        <v>13</v>
      </c>
      <c r="I13" s="3" t="s">
        <v>60</v>
      </c>
      <c r="J13" s="1"/>
      <c r="K13" s="1"/>
      <c r="L13" s="3" t="s">
        <v>22</v>
      </c>
      <c r="M13" s="3" t="s">
        <v>61</v>
      </c>
      <c r="N13" s="1" t="s">
        <v>24</v>
      </c>
      <c r="O13" s="1" t="s">
        <v>25</v>
      </c>
      <c r="P13" s="3"/>
    </row>
    <row r="14" spans="1:16" ht="32">
      <c r="A14" s="1">
        <v>13</v>
      </c>
      <c r="B14" s="1" t="s">
        <v>997</v>
      </c>
      <c r="C14" s="1" t="s">
        <v>15</v>
      </c>
      <c r="D14" s="1" t="s">
        <v>16</v>
      </c>
      <c r="E14" s="1" t="s">
        <v>50</v>
      </c>
      <c r="F14" s="1" t="s">
        <v>32</v>
      </c>
      <c r="G14" s="3" t="s">
        <v>62</v>
      </c>
      <c r="H14" s="1">
        <v>8</v>
      </c>
      <c r="I14" s="3" t="s">
        <v>63</v>
      </c>
      <c r="J14" s="1"/>
      <c r="K14" s="1"/>
      <c r="L14" s="3" t="s">
        <v>64</v>
      </c>
      <c r="M14" s="3" t="s">
        <v>65</v>
      </c>
      <c r="N14" s="1" t="s">
        <v>24</v>
      </c>
      <c r="O14" s="1" t="s">
        <v>66</v>
      </c>
      <c r="P14" s="3" t="s">
        <v>67</v>
      </c>
    </row>
    <row r="15" spans="1:16">
      <c r="A15" s="1">
        <v>14</v>
      </c>
      <c r="B15" s="1" t="s">
        <v>997</v>
      </c>
      <c r="C15" s="1" t="s">
        <v>15</v>
      </c>
      <c r="D15" s="1" t="s">
        <v>16</v>
      </c>
      <c r="E15" s="1" t="s">
        <v>68</v>
      </c>
      <c r="F15" s="1" t="s">
        <v>18</v>
      </c>
      <c r="G15" s="3" t="s">
        <v>69</v>
      </c>
      <c r="H15" s="1">
        <v>10</v>
      </c>
      <c r="I15" s="3" t="s">
        <v>70</v>
      </c>
      <c r="J15" s="1"/>
      <c r="K15" s="1"/>
      <c r="L15" s="3" t="s">
        <v>22</v>
      </c>
      <c r="M15" s="3" t="s">
        <v>71</v>
      </c>
      <c r="N15" s="1" t="s">
        <v>24</v>
      </c>
      <c r="O15" s="1" t="s">
        <v>25</v>
      </c>
      <c r="P15" s="3"/>
    </row>
    <row r="16" spans="1:16" ht="32">
      <c r="A16" s="1">
        <v>15</v>
      </c>
      <c r="B16" s="1" t="s">
        <v>997</v>
      </c>
      <c r="C16" s="1" t="s">
        <v>15</v>
      </c>
      <c r="D16" s="1" t="s">
        <v>16</v>
      </c>
      <c r="E16" s="1" t="s">
        <v>68</v>
      </c>
      <c r="F16" s="1" t="s">
        <v>26</v>
      </c>
      <c r="G16" s="3" t="s">
        <v>72</v>
      </c>
      <c r="H16" s="1">
        <v>11</v>
      </c>
      <c r="I16" s="3" t="s">
        <v>73</v>
      </c>
      <c r="J16" s="1"/>
      <c r="K16" s="1"/>
      <c r="L16" s="3" t="s">
        <v>22</v>
      </c>
      <c r="M16" s="3" t="s">
        <v>74</v>
      </c>
      <c r="N16" s="1" t="s">
        <v>75</v>
      </c>
      <c r="O16" s="1" t="s">
        <v>25</v>
      </c>
      <c r="P16" s="3"/>
    </row>
    <row r="17" spans="1:16">
      <c r="A17" s="1">
        <v>16</v>
      </c>
      <c r="B17" s="1" t="s">
        <v>997</v>
      </c>
      <c r="C17" s="1" t="s">
        <v>15</v>
      </c>
      <c r="D17" s="1" t="s">
        <v>16</v>
      </c>
      <c r="E17" s="1" t="s">
        <v>68</v>
      </c>
      <c r="F17" s="1" t="s">
        <v>26</v>
      </c>
      <c r="G17" s="3" t="s">
        <v>76</v>
      </c>
      <c r="H17" s="1">
        <v>16</v>
      </c>
      <c r="I17" s="3" t="s">
        <v>77</v>
      </c>
      <c r="J17" s="1"/>
      <c r="K17" s="1"/>
      <c r="L17" s="3" t="s">
        <v>22</v>
      </c>
      <c r="M17" s="3" t="s">
        <v>78</v>
      </c>
      <c r="N17" s="1" t="s">
        <v>24</v>
      </c>
      <c r="O17" s="1" t="s">
        <v>25</v>
      </c>
      <c r="P17" s="3"/>
    </row>
    <row r="18" spans="1:16">
      <c r="A18" s="1">
        <v>17</v>
      </c>
      <c r="B18" s="1" t="s">
        <v>997</v>
      </c>
      <c r="C18" s="1" t="s">
        <v>15</v>
      </c>
      <c r="D18" s="1" t="s">
        <v>16</v>
      </c>
      <c r="E18" s="1" t="s">
        <v>68</v>
      </c>
      <c r="F18" s="1" t="s">
        <v>32</v>
      </c>
      <c r="G18" s="3" t="s">
        <v>79</v>
      </c>
      <c r="H18" s="1">
        <v>15</v>
      </c>
      <c r="I18" s="3" t="s">
        <v>80</v>
      </c>
      <c r="J18" s="1"/>
      <c r="K18" s="1"/>
      <c r="L18" s="3" t="s">
        <v>22</v>
      </c>
      <c r="M18" s="3" t="s">
        <v>81</v>
      </c>
      <c r="N18" s="1" t="s">
        <v>24</v>
      </c>
      <c r="O18" s="1" t="s">
        <v>25</v>
      </c>
      <c r="P18" s="3"/>
    </row>
    <row r="19" spans="1:16">
      <c r="A19" s="1">
        <v>18</v>
      </c>
      <c r="B19" s="1" t="s">
        <v>997</v>
      </c>
      <c r="C19" s="1" t="s">
        <v>15</v>
      </c>
      <c r="D19" s="1" t="s">
        <v>16</v>
      </c>
      <c r="E19" s="1" t="s">
        <v>68</v>
      </c>
      <c r="F19" s="1" t="s">
        <v>32</v>
      </c>
      <c r="G19" s="3" t="s">
        <v>82</v>
      </c>
      <c r="H19" s="1">
        <v>14</v>
      </c>
      <c r="I19" s="3" t="s">
        <v>83</v>
      </c>
      <c r="J19" s="1"/>
      <c r="K19" s="1"/>
      <c r="L19" s="3" t="s">
        <v>22</v>
      </c>
      <c r="M19" s="3" t="s">
        <v>78</v>
      </c>
      <c r="N19" s="1" t="s">
        <v>24</v>
      </c>
      <c r="O19" s="1" t="s">
        <v>25</v>
      </c>
      <c r="P19" s="3"/>
    </row>
    <row r="20" spans="1:16">
      <c r="A20" s="1">
        <v>19</v>
      </c>
      <c r="B20" s="1" t="s">
        <v>997</v>
      </c>
      <c r="C20" s="1" t="s">
        <v>15</v>
      </c>
      <c r="D20" s="1" t="s">
        <v>16</v>
      </c>
      <c r="E20" s="1" t="s">
        <v>84</v>
      </c>
      <c r="F20" s="1" t="s">
        <v>18</v>
      </c>
      <c r="G20" s="3" t="s">
        <v>85</v>
      </c>
      <c r="H20" s="1">
        <v>15</v>
      </c>
      <c r="I20" s="3" t="s">
        <v>86</v>
      </c>
      <c r="J20" s="1" t="s">
        <v>45</v>
      </c>
      <c r="K20" s="1"/>
      <c r="L20" s="3" t="s">
        <v>22</v>
      </c>
      <c r="M20" s="3" t="s">
        <v>87</v>
      </c>
      <c r="N20" s="1" t="s">
        <v>36</v>
      </c>
      <c r="O20" s="1" t="s">
        <v>25</v>
      </c>
      <c r="P20" s="3"/>
    </row>
    <row r="21" spans="1:16">
      <c r="A21" s="1">
        <v>20</v>
      </c>
      <c r="B21" s="1" t="s">
        <v>997</v>
      </c>
      <c r="C21" s="1" t="s">
        <v>15</v>
      </c>
      <c r="D21" s="1" t="s">
        <v>16</v>
      </c>
      <c r="E21" s="1" t="s">
        <v>84</v>
      </c>
      <c r="F21" s="1" t="s">
        <v>26</v>
      </c>
      <c r="G21" s="3" t="s">
        <v>88</v>
      </c>
      <c r="H21" s="1">
        <v>12</v>
      </c>
      <c r="I21" s="3" t="s">
        <v>89</v>
      </c>
      <c r="J21" s="1" t="s">
        <v>45</v>
      </c>
      <c r="K21" s="1"/>
      <c r="L21" s="3" t="s">
        <v>22</v>
      </c>
      <c r="M21" s="3" t="s">
        <v>90</v>
      </c>
      <c r="N21" s="1" t="s">
        <v>24</v>
      </c>
      <c r="O21" s="1" t="s">
        <v>25</v>
      </c>
      <c r="P21" s="3"/>
    </row>
    <row r="22" spans="1:16" ht="32">
      <c r="A22" s="1">
        <v>21</v>
      </c>
      <c r="B22" s="1" t="s">
        <v>997</v>
      </c>
      <c r="C22" s="1" t="s">
        <v>15</v>
      </c>
      <c r="D22" s="1" t="s">
        <v>16</v>
      </c>
      <c r="E22" s="1" t="s">
        <v>84</v>
      </c>
      <c r="F22" s="1" t="s">
        <v>32</v>
      </c>
      <c r="G22" s="3" t="s">
        <v>91</v>
      </c>
      <c r="H22" s="1">
        <v>18</v>
      </c>
      <c r="I22" s="3" t="s">
        <v>92</v>
      </c>
      <c r="J22" s="1" t="s">
        <v>45</v>
      </c>
      <c r="K22" s="1"/>
      <c r="L22" s="3" t="s">
        <v>22</v>
      </c>
      <c r="M22" s="3" t="s">
        <v>93</v>
      </c>
      <c r="N22" s="1" t="s">
        <v>24</v>
      </c>
      <c r="O22" s="1" t="s">
        <v>25</v>
      </c>
      <c r="P22" s="3"/>
    </row>
    <row r="23" spans="1:16">
      <c r="A23" s="1">
        <v>22</v>
      </c>
      <c r="B23" s="1" t="s">
        <v>997</v>
      </c>
      <c r="C23" s="1" t="s">
        <v>15</v>
      </c>
      <c r="D23" s="1" t="s">
        <v>16</v>
      </c>
      <c r="E23" s="1" t="s">
        <v>94</v>
      </c>
      <c r="F23" s="1" t="s">
        <v>18</v>
      </c>
      <c r="G23" s="3" t="s">
        <v>95</v>
      </c>
      <c r="H23" s="1">
        <v>16</v>
      </c>
      <c r="I23" s="3" t="s">
        <v>96</v>
      </c>
      <c r="J23" s="1"/>
      <c r="K23" s="1"/>
      <c r="L23" s="3" t="s">
        <v>22</v>
      </c>
      <c r="M23" s="3" t="s">
        <v>97</v>
      </c>
      <c r="N23" s="1" t="s">
        <v>47</v>
      </c>
      <c r="O23" s="1" t="s">
        <v>25</v>
      </c>
      <c r="P23" s="3"/>
    </row>
    <row r="24" spans="1:16">
      <c r="A24" s="1">
        <v>23</v>
      </c>
      <c r="B24" s="1" t="s">
        <v>997</v>
      </c>
      <c r="C24" s="1" t="s">
        <v>15</v>
      </c>
      <c r="D24" s="1" t="s">
        <v>16</v>
      </c>
      <c r="E24" s="1" t="s">
        <v>94</v>
      </c>
      <c r="F24" s="1" t="s">
        <v>26</v>
      </c>
      <c r="G24" s="3" t="s">
        <v>98</v>
      </c>
      <c r="H24" s="1">
        <v>15</v>
      </c>
      <c r="I24" s="3" t="s">
        <v>99</v>
      </c>
      <c r="J24" s="1"/>
      <c r="K24" s="1"/>
      <c r="L24" s="3" t="s">
        <v>22</v>
      </c>
      <c r="M24" s="3" t="s">
        <v>100</v>
      </c>
      <c r="N24" s="1" t="s">
        <v>47</v>
      </c>
      <c r="O24" s="1" t="s">
        <v>25</v>
      </c>
      <c r="P24" s="3"/>
    </row>
    <row r="25" spans="1:16">
      <c r="A25" s="1">
        <v>24</v>
      </c>
      <c r="B25" s="1" t="s">
        <v>997</v>
      </c>
      <c r="C25" s="1" t="s">
        <v>15</v>
      </c>
      <c r="D25" s="1" t="s">
        <v>16</v>
      </c>
      <c r="E25" s="1" t="s">
        <v>94</v>
      </c>
      <c r="F25" s="1" t="s">
        <v>26</v>
      </c>
      <c r="G25" s="3" t="s">
        <v>101</v>
      </c>
      <c r="H25" s="1">
        <v>13</v>
      </c>
      <c r="I25" s="3" t="s">
        <v>102</v>
      </c>
      <c r="J25" s="1" t="s">
        <v>45</v>
      </c>
      <c r="K25" s="1" t="s">
        <v>103</v>
      </c>
      <c r="L25" s="3" t="s">
        <v>22</v>
      </c>
      <c r="M25" s="3" t="s">
        <v>104</v>
      </c>
      <c r="N25" s="1" t="s">
        <v>47</v>
      </c>
      <c r="O25" s="1" t="s">
        <v>25</v>
      </c>
      <c r="P25" s="3"/>
    </row>
    <row r="26" spans="1:16">
      <c r="A26" s="1">
        <v>25</v>
      </c>
      <c r="B26" s="1" t="s">
        <v>997</v>
      </c>
      <c r="C26" s="1" t="s">
        <v>15</v>
      </c>
      <c r="D26" s="1" t="s">
        <v>16</v>
      </c>
      <c r="E26" s="1" t="s">
        <v>94</v>
      </c>
      <c r="F26" s="1" t="s">
        <v>32</v>
      </c>
      <c r="G26" s="3" t="s">
        <v>105</v>
      </c>
      <c r="H26" s="1">
        <v>13</v>
      </c>
      <c r="I26" s="3" t="s">
        <v>106</v>
      </c>
      <c r="J26" s="1"/>
      <c r="K26" s="1"/>
      <c r="L26" s="3" t="s">
        <v>22</v>
      </c>
      <c r="M26" s="3" t="s">
        <v>107</v>
      </c>
      <c r="N26" s="1" t="s">
        <v>24</v>
      </c>
      <c r="O26" s="1" t="s">
        <v>25</v>
      </c>
      <c r="P26" s="3"/>
    </row>
    <row r="27" spans="1:16" ht="32">
      <c r="A27" s="1">
        <v>26</v>
      </c>
      <c r="B27" s="1" t="s">
        <v>997</v>
      </c>
      <c r="C27" s="1" t="s">
        <v>15</v>
      </c>
      <c r="D27" s="1" t="s">
        <v>16</v>
      </c>
      <c r="E27" s="1" t="s">
        <v>94</v>
      </c>
      <c r="F27" s="1" t="s">
        <v>32</v>
      </c>
      <c r="G27" s="3" t="s">
        <v>108</v>
      </c>
      <c r="H27" s="1">
        <v>18</v>
      </c>
      <c r="I27" s="3" t="s">
        <v>109</v>
      </c>
      <c r="J27" s="1"/>
      <c r="K27" s="1" t="s">
        <v>103</v>
      </c>
      <c r="L27" s="3" t="s">
        <v>22</v>
      </c>
      <c r="M27" s="3" t="s">
        <v>110</v>
      </c>
      <c r="N27" s="1" t="s">
        <v>36</v>
      </c>
      <c r="O27" s="1" t="s">
        <v>25</v>
      </c>
      <c r="P27" s="3"/>
    </row>
    <row r="28" spans="1:16">
      <c r="A28" s="1">
        <v>27</v>
      </c>
      <c r="B28" s="1" t="s">
        <v>997</v>
      </c>
      <c r="C28" s="1" t="s">
        <v>15</v>
      </c>
      <c r="D28" s="1" t="s">
        <v>16</v>
      </c>
      <c r="E28" s="1" t="s">
        <v>111</v>
      </c>
      <c r="F28" s="1" t="s">
        <v>18</v>
      </c>
      <c r="G28" s="3" t="s">
        <v>112</v>
      </c>
      <c r="H28" s="1">
        <v>14</v>
      </c>
      <c r="I28" s="3" t="s">
        <v>113</v>
      </c>
      <c r="J28" s="1"/>
      <c r="K28" s="1"/>
      <c r="L28" s="3" t="s">
        <v>22</v>
      </c>
      <c r="M28" s="3" t="s">
        <v>114</v>
      </c>
      <c r="N28" s="1" t="s">
        <v>24</v>
      </c>
      <c r="O28" s="1" t="s">
        <v>25</v>
      </c>
      <c r="P28" s="3"/>
    </row>
    <row r="29" spans="1:16">
      <c r="A29" s="1">
        <v>28</v>
      </c>
      <c r="B29" s="1" t="s">
        <v>997</v>
      </c>
      <c r="C29" s="1" t="s">
        <v>15</v>
      </c>
      <c r="D29" s="1" t="s">
        <v>16</v>
      </c>
      <c r="E29" s="1" t="s">
        <v>111</v>
      </c>
      <c r="F29" s="1" t="s">
        <v>26</v>
      </c>
      <c r="G29" s="3" t="s">
        <v>115</v>
      </c>
      <c r="H29" s="1">
        <v>15</v>
      </c>
      <c r="I29" s="3" t="s">
        <v>116</v>
      </c>
      <c r="J29" s="1"/>
      <c r="K29" s="1"/>
      <c r="L29" s="3" t="s">
        <v>22</v>
      </c>
      <c r="M29" s="3" t="s">
        <v>114</v>
      </c>
      <c r="N29" s="1" t="s">
        <v>24</v>
      </c>
      <c r="O29" s="1" t="s">
        <v>25</v>
      </c>
      <c r="P29" s="3"/>
    </row>
    <row r="30" spans="1:16">
      <c r="A30" s="1">
        <v>29</v>
      </c>
      <c r="B30" s="1" t="s">
        <v>997</v>
      </c>
      <c r="C30" s="1" t="s">
        <v>15</v>
      </c>
      <c r="D30" s="1" t="s">
        <v>16</v>
      </c>
      <c r="E30" s="1" t="s">
        <v>111</v>
      </c>
      <c r="F30" s="1" t="s">
        <v>32</v>
      </c>
      <c r="G30" s="3" t="s">
        <v>117</v>
      </c>
      <c r="H30" s="1">
        <v>14</v>
      </c>
      <c r="I30" s="3" t="s">
        <v>118</v>
      </c>
      <c r="J30" s="1"/>
      <c r="K30" s="1"/>
      <c r="L30" s="3" t="s">
        <v>22</v>
      </c>
      <c r="M30" s="3" t="s">
        <v>119</v>
      </c>
      <c r="N30" s="1" t="s">
        <v>36</v>
      </c>
      <c r="O30" s="1" t="s">
        <v>25</v>
      </c>
      <c r="P30" s="3"/>
    </row>
    <row r="31" spans="1:16" ht="32">
      <c r="A31" s="1">
        <v>30</v>
      </c>
      <c r="B31" s="1" t="s">
        <v>997</v>
      </c>
      <c r="C31" s="1" t="s">
        <v>15</v>
      </c>
      <c r="D31" s="1" t="s">
        <v>16</v>
      </c>
      <c r="E31" s="1" t="s">
        <v>120</v>
      </c>
      <c r="F31" s="1" t="s">
        <v>18</v>
      </c>
      <c r="G31" s="3" t="s">
        <v>121</v>
      </c>
      <c r="H31" s="1">
        <v>18</v>
      </c>
      <c r="I31" s="3" t="s">
        <v>122</v>
      </c>
      <c r="J31" s="1"/>
      <c r="K31" s="1"/>
      <c r="L31" s="3" t="s">
        <v>22</v>
      </c>
      <c r="M31" s="3" t="s">
        <v>123</v>
      </c>
      <c r="N31" s="1" t="s">
        <v>24</v>
      </c>
      <c r="O31" s="1" t="s">
        <v>25</v>
      </c>
      <c r="P31" s="3"/>
    </row>
    <row r="32" spans="1:16">
      <c r="A32" s="1">
        <v>31</v>
      </c>
      <c r="B32" s="1" t="s">
        <v>997</v>
      </c>
      <c r="C32" s="1" t="s">
        <v>15</v>
      </c>
      <c r="D32" s="1" t="s">
        <v>16</v>
      </c>
      <c r="E32" s="1" t="s">
        <v>120</v>
      </c>
      <c r="F32" s="1" t="s">
        <v>26</v>
      </c>
      <c r="G32" s="3" t="s">
        <v>124</v>
      </c>
      <c r="H32" s="1">
        <v>13</v>
      </c>
      <c r="I32" s="3" t="s">
        <v>125</v>
      </c>
      <c r="J32" s="1"/>
      <c r="K32" s="1"/>
      <c r="L32" s="3" t="s">
        <v>22</v>
      </c>
      <c r="M32" s="3" t="s">
        <v>126</v>
      </c>
      <c r="N32" s="1" t="s">
        <v>24</v>
      </c>
      <c r="O32" s="1" t="s">
        <v>25</v>
      </c>
      <c r="P32" s="3"/>
    </row>
    <row r="33" spans="1:16" ht="32">
      <c r="A33" s="1">
        <v>32</v>
      </c>
      <c r="B33" s="1" t="s">
        <v>997</v>
      </c>
      <c r="C33" s="1" t="s">
        <v>15</v>
      </c>
      <c r="D33" s="1" t="s">
        <v>16</v>
      </c>
      <c r="E33" s="1" t="s">
        <v>120</v>
      </c>
      <c r="F33" s="1" t="s">
        <v>32</v>
      </c>
      <c r="G33" s="3" t="s">
        <v>127</v>
      </c>
      <c r="H33" s="1">
        <v>20</v>
      </c>
      <c r="I33" s="3" t="s">
        <v>128</v>
      </c>
      <c r="J33" s="1"/>
      <c r="K33" s="1"/>
      <c r="L33" s="3" t="s">
        <v>22</v>
      </c>
      <c r="M33" s="3" t="s">
        <v>129</v>
      </c>
      <c r="N33" s="1" t="s">
        <v>24</v>
      </c>
      <c r="O33" s="1" t="s">
        <v>25</v>
      </c>
      <c r="P33" s="3"/>
    </row>
    <row r="34" spans="1:16">
      <c r="A34" s="1">
        <v>33</v>
      </c>
      <c r="B34" s="1" t="s">
        <v>997</v>
      </c>
      <c r="C34" s="1" t="s">
        <v>15</v>
      </c>
      <c r="D34" s="1" t="s">
        <v>130</v>
      </c>
      <c r="E34" s="1" t="s">
        <v>22</v>
      </c>
      <c r="F34" s="1" t="s">
        <v>131</v>
      </c>
      <c r="G34" s="3" t="s">
        <v>132</v>
      </c>
      <c r="H34" s="1">
        <v>15</v>
      </c>
      <c r="I34" s="3" t="s">
        <v>133</v>
      </c>
      <c r="J34" s="1" t="s">
        <v>45</v>
      </c>
      <c r="K34" s="1"/>
      <c r="L34" s="3" t="s">
        <v>22</v>
      </c>
      <c r="M34" s="3" t="s">
        <v>31</v>
      </c>
      <c r="N34" s="1" t="s">
        <v>24</v>
      </c>
      <c r="O34" s="1" t="s">
        <v>25</v>
      </c>
      <c r="P34" s="3"/>
    </row>
    <row r="35" spans="1:16">
      <c r="A35" s="1">
        <v>34</v>
      </c>
      <c r="B35" s="1" t="s">
        <v>997</v>
      </c>
      <c r="C35" s="1" t="s">
        <v>15</v>
      </c>
      <c r="D35" s="1" t="s">
        <v>130</v>
      </c>
      <c r="E35" s="1" t="s">
        <v>22</v>
      </c>
      <c r="F35" s="1" t="s">
        <v>131</v>
      </c>
      <c r="G35" s="3" t="s">
        <v>112</v>
      </c>
      <c r="H35" s="1">
        <v>14</v>
      </c>
      <c r="I35" s="3" t="s">
        <v>113</v>
      </c>
      <c r="J35" s="1"/>
      <c r="K35" s="1"/>
      <c r="L35" s="3" t="s">
        <v>22</v>
      </c>
      <c r="M35" s="3" t="s">
        <v>134</v>
      </c>
      <c r="N35" s="1" t="s">
        <v>24</v>
      </c>
      <c r="O35" s="1" t="s">
        <v>25</v>
      </c>
      <c r="P35" s="3"/>
    </row>
    <row r="36" spans="1:16">
      <c r="A36" s="1">
        <v>35</v>
      </c>
      <c r="B36" s="1" t="s">
        <v>997</v>
      </c>
      <c r="C36" s="1" t="s">
        <v>15</v>
      </c>
      <c r="D36" s="1" t="s">
        <v>130</v>
      </c>
      <c r="E36" s="1" t="s">
        <v>22</v>
      </c>
      <c r="F36" s="1" t="s">
        <v>131</v>
      </c>
      <c r="G36" s="3" t="s">
        <v>135</v>
      </c>
      <c r="H36" s="1">
        <v>20</v>
      </c>
      <c r="I36" s="3" t="s">
        <v>136</v>
      </c>
      <c r="J36" s="1" t="s">
        <v>137</v>
      </c>
      <c r="K36" s="1"/>
      <c r="L36" s="3" t="s">
        <v>22</v>
      </c>
      <c r="M36" s="3" t="s">
        <v>138</v>
      </c>
      <c r="N36" s="1" t="s">
        <v>36</v>
      </c>
      <c r="O36" s="1" t="s">
        <v>25</v>
      </c>
      <c r="P36" s="3"/>
    </row>
    <row r="37" spans="1:16">
      <c r="A37" s="1">
        <v>36</v>
      </c>
      <c r="B37" s="1" t="s">
        <v>997</v>
      </c>
      <c r="C37" s="1" t="s">
        <v>15</v>
      </c>
      <c r="D37" s="1" t="s">
        <v>139</v>
      </c>
      <c r="E37" s="1" t="s">
        <v>22</v>
      </c>
      <c r="F37" s="1" t="s">
        <v>131</v>
      </c>
      <c r="G37" s="3" t="s">
        <v>140</v>
      </c>
      <c r="H37" s="1">
        <v>16</v>
      </c>
      <c r="I37" s="3" t="s">
        <v>141</v>
      </c>
      <c r="J37" s="1"/>
      <c r="K37" s="1"/>
      <c r="L37" s="3" t="s">
        <v>22</v>
      </c>
      <c r="M37" s="3" t="s">
        <v>142</v>
      </c>
      <c r="N37" s="1" t="s">
        <v>47</v>
      </c>
      <c r="O37" s="1" t="s">
        <v>25</v>
      </c>
      <c r="P37" s="3"/>
    </row>
    <row r="38" spans="1:16">
      <c r="A38" s="1">
        <v>37</v>
      </c>
      <c r="B38" s="1" t="s">
        <v>997</v>
      </c>
      <c r="C38" s="1" t="s">
        <v>15</v>
      </c>
      <c r="D38" s="1" t="s">
        <v>139</v>
      </c>
      <c r="E38" s="1" t="s">
        <v>22</v>
      </c>
      <c r="F38" s="1" t="s">
        <v>131</v>
      </c>
      <c r="G38" s="3" t="s">
        <v>143</v>
      </c>
      <c r="H38" s="1">
        <v>15</v>
      </c>
      <c r="I38" s="3" t="s">
        <v>144</v>
      </c>
      <c r="J38" s="1" t="s">
        <v>45</v>
      </c>
      <c r="K38" s="1"/>
      <c r="L38" s="3" t="s">
        <v>22</v>
      </c>
      <c r="M38" s="3" t="s">
        <v>145</v>
      </c>
      <c r="N38" s="1" t="s">
        <v>36</v>
      </c>
      <c r="O38" s="1" t="s">
        <v>25</v>
      </c>
      <c r="P38" s="3"/>
    </row>
    <row r="39" spans="1:16">
      <c r="A39" s="1">
        <v>38</v>
      </c>
      <c r="B39" s="1" t="s">
        <v>997</v>
      </c>
      <c r="C39" s="1" t="s">
        <v>15</v>
      </c>
      <c r="D39" s="1" t="s">
        <v>139</v>
      </c>
      <c r="E39" s="1" t="s">
        <v>22</v>
      </c>
      <c r="F39" s="1" t="s">
        <v>131</v>
      </c>
      <c r="G39" s="3" t="s">
        <v>85</v>
      </c>
      <c r="H39" s="1">
        <v>15</v>
      </c>
      <c r="I39" s="3" t="s">
        <v>146</v>
      </c>
      <c r="J39" s="1" t="s">
        <v>45</v>
      </c>
      <c r="K39" s="1"/>
      <c r="L39" s="3" t="s">
        <v>22</v>
      </c>
      <c r="M39" s="3" t="s">
        <v>87</v>
      </c>
      <c r="N39" s="1" t="s">
        <v>36</v>
      </c>
      <c r="O39" s="1" t="s">
        <v>25</v>
      </c>
      <c r="P39" s="3"/>
    </row>
    <row r="40" spans="1:16">
      <c r="A40" s="1">
        <v>39</v>
      </c>
      <c r="B40" s="1" t="s">
        <v>997</v>
      </c>
      <c r="C40" s="1" t="s">
        <v>15</v>
      </c>
      <c r="D40" s="1" t="s">
        <v>139</v>
      </c>
      <c r="E40" s="1" t="s">
        <v>22</v>
      </c>
      <c r="F40" s="1" t="s">
        <v>131</v>
      </c>
      <c r="G40" s="3" t="s">
        <v>147</v>
      </c>
      <c r="H40" s="1">
        <v>16</v>
      </c>
      <c r="I40" s="3" t="s">
        <v>148</v>
      </c>
      <c r="J40" s="1" t="s">
        <v>21</v>
      </c>
      <c r="K40" s="1"/>
      <c r="L40" s="3" t="s">
        <v>22</v>
      </c>
      <c r="M40" s="3" t="s">
        <v>149</v>
      </c>
      <c r="N40" s="1" t="s">
        <v>24</v>
      </c>
      <c r="O40" s="1" t="s">
        <v>25</v>
      </c>
      <c r="P40" s="3"/>
    </row>
    <row r="41" spans="1:16">
      <c r="A41" s="1">
        <v>40</v>
      </c>
      <c r="B41" s="1" t="s">
        <v>997</v>
      </c>
      <c r="C41" s="1" t="s">
        <v>15</v>
      </c>
      <c r="D41" s="1" t="s">
        <v>16</v>
      </c>
      <c r="E41" s="1" t="s">
        <v>17</v>
      </c>
      <c r="F41" s="1" t="s">
        <v>18</v>
      </c>
      <c r="G41" s="3" t="s">
        <v>150</v>
      </c>
      <c r="H41" s="1">
        <v>14</v>
      </c>
      <c r="I41" s="3" t="s">
        <v>151</v>
      </c>
      <c r="J41" s="1" t="s">
        <v>21</v>
      </c>
      <c r="K41" s="1"/>
      <c r="L41" s="3" t="s">
        <v>22</v>
      </c>
      <c r="M41" s="3" t="s">
        <v>152</v>
      </c>
      <c r="N41" s="1"/>
      <c r="O41" s="1" t="s">
        <v>25</v>
      </c>
      <c r="P41" s="3"/>
    </row>
    <row r="42" spans="1:16">
      <c r="A42" s="1">
        <v>41</v>
      </c>
      <c r="B42" s="1" t="s">
        <v>997</v>
      </c>
      <c r="C42" s="1" t="s">
        <v>15</v>
      </c>
      <c r="D42" s="1" t="s">
        <v>16</v>
      </c>
      <c r="E42" s="1" t="s">
        <v>17</v>
      </c>
      <c r="F42" s="1" t="s">
        <v>26</v>
      </c>
      <c r="G42" s="3" t="s">
        <v>153</v>
      </c>
      <c r="H42" s="1">
        <v>13</v>
      </c>
      <c r="I42" s="3" t="s">
        <v>154</v>
      </c>
      <c r="J42" s="1" t="s">
        <v>22</v>
      </c>
      <c r="K42" s="1"/>
      <c r="L42" s="3" t="s">
        <v>22</v>
      </c>
      <c r="M42" s="3" t="s">
        <v>107</v>
      </c>
      <c r="N42" s="1"/>
      <c r="O42" s="1" t="s">
        <v>25</v>
      </c>
      <c r="P42" s="3"/>
    </row>
    <row r="43" spans="1:16">
      <c r="A43" s="1">
        <v>42</v>
      </c>
      <c r="B43" s="1" t="s">
        <v>997</v>
      </c>
      <c r="C43" s="1" t="s">
        <v>15</v>
      </c>
      <c r="D43" s="1" t="s">
        <v>16</v>
      </c>
      <c r="E43" s="1" t="s">
        <v>17</v>
      </c>
      <c r="F43" s="1" t="s">
        <v>32</v>
      </c>
      <c r="G43" s="3" t="s">
        <v>155</v>
      </c>
      <c r="H43" s="1">
        <v>13</v>
      </c>
      <c r="I43" s="3" t="s">
        <v>156</v>
      </c>
      <c r="J43" s="1" t="s">
        <v>22</v>
      </c>
      <c r="K43" s="1"/>
      <c r="L43" s="3" t="s">
        <v>22</v>
      </c>
      <c r="M43" s="3" t="s">
        <v>31</v>
      </c>
      <c r="N43" s="1"/>
      <c r="O43" s="1" t="s">
        <v>25</v>
      </c>
      <c r="P43" s="3"/>
    </row>
    <row r="44" spans="1:16">
      <c r="A44" s="1">
        <v>43</v>
      </c>
      <c r="B44" s="1" t="s">
        <v>997</v>
      </c>
      <c r="C44" s="1" t="s">
        <v>15</v>
      </c>
      <c r="D44" s="1" t="s">
        <v>16</v>
      </c>
      <c r="E44" s="1" t="s">
        <v>17</v>
      </c>
      <c r="F44" s="1" t="s">
        <v>32</v>
      </c>
      <c r="G44" s="3" t="s">
        <v>157</v>
      </c>
      <c r="H44" s="1">
        <v>14</v>
      </c>
      <c r="I44" s="3" t="s">
        <v>158</v>
      </c>
      <c r="J44" s="1" t="s">
        <v>159</v>
      </c>
      <c r="K44" s="1"/>
      <c r="L44" s="3" t="s">
        <v>22</v>
      </c>
      <c r="M44" s="3" t="s">
        <v>23</v>
      </c>
      <c r="N44" s="1"/>
      <c r="O44" s="1" t="s">
        <v>25</v>
      </c>
      <c r="P44" s="3"/>
    </row>
    <row r="45" spans="1:16">
      <c r="A45" s="1">
        <v>44</v>
      </c>
      <c r="B45" s="1" t="s">
        <v>997</v>
      </c>
      <c r="C45" s="1" t="s">
        <v>15</v>
      </c>
      <c r="D45" s="1" t="s">
        <v>16</v>
      </c>
      <c r="E45" s="1" t="s">
        <v>37</v>
      </c>
      <c r="F45" s="1" t="s">
        <v>18</v>
      </c>
      <c r="G45" s="3" t="s">
        <v>160</v>
      </c>
      <c r="H45" s="1">
        <v>12</v>
      </c>
      <c r="I45" s="3" t="s">
        <v>161</v>
      </c>
      <c r="J45" s="1" t="s">
        <v>22</v>
      </c>
      <c r="K45" s="1"/>
      <c r="L45" s="3" t="s">
        <v>162</v>
      </c>
      <c r="M45" s="3" t="s">
        <v>163</v>
      </c>
      <c r="N45" s="1"/>
      <c r="O45" s="1" t="s">
        <v>25</v>
      </c>
      <c r="P45" s="3"/>
    </row>
    <row r="46" spans="1:16">
      <c r="A46" s="1">
        <v>45</v>
      </c>
      <c r="B46" s="1" t="s">
        <v>997</v>
      </c>
      <c r="C46" s="1" t="s">
        <v>15</v>
      </c>
      <c r="D46" s="1" t="s">
        <v>16</v>
      </c>
      <c r="E46" s="1" t="s">
        <v>37</v>
      </c>
      <c r="F46" s="1" t="s">
        <v>18</v>
      </c>
      <c r="G46" s="3" t="s">
        <v>164</v>
      </c>
      <c r="H46" s="1">
        <v>15</v>
      </c>
      <c r="I46" s="3" t="s">
        <v>165</v>
      </c>
      <c r="J46" s="1" t="s">
        <v>22</v>
      </c>
      <c r="K46" s="1"/>
      <c r="L46" s="3" t="s">
        <v>162</v>
      </c>
      <c r="M46" s="3" t="s">
        <v>149</v>
      </c>
      <c r="N46" s="1"/>
      <c r="O46" s="1" t="s">
        <v>25</v>
      </c>
      <c r="P46" s="3"/>
    </row>
    <row r="47" spans="1:16">
      <c r="A47" s="1">
        <v>46</v>
      </c>
      <c r="B47" s="1" t="s">
        <v>997</v>
      </c>
      <c r="C47" s="1" t="s">
        <v>15</v>
      </c>
      <c r="D47" s="1" t="s">
        <v>16</v>
      </c>
      <c r="E47" s="1" t="s">
        <v>37</v>
      </c>
      <c r="F47" s="1" t="s">
        <v>26</v>
      </c>
      <c r="G47" s="3" t="s">
        <v>166</v>
      </c>
      <c r="H47" s="1">
        <v>16</v>
      </c>
      <c r="I47" s="3" t="s">
        <v>167</v>
      </c>
      <c r="J47" s="1" t="s">
        <v>22</v>
      </c>
      <c r="K47" s="1"/>
      <c r="L47" s="3" t="s">
        <v>162</v>
      </c>
      <c r="M47" s="3" t="s">
        <v>40</v>
      </c>
      <c r="N47" s="1"/>
      <c r="O47" s="1" t="s">
        <v>25</v>
      </c>
      <c r="P47" s="3"/>
    </row>
    <row r="48" spans="1:16">
      <c r="A48" s="1">
        <v>47</v>
      </c>
      <c r="B48" s="1" t="s">
        <v>997</v>
      </c>
      <c r="C48" s="1" t="s">
        <v>15</v>
      </c>
      <c r="D48" s="1" t="s">
        <v>16</v>
      </c>
      <c r="E48" s="1" t="s">
        <v>37</v>
      </c>
      <c r="F48" s="1" t="s">
        <v>32</v>
      </c>
      <c r="G48" s="3" t="s">
        <v>168</v>
      </c>
      <c r="H48" s="1">
        <v>12</v>
      </c>
      <c r="I48" s="3" t="s">
        <v>169</v>
      </c>
      <c r="J48" s="1" t="s">
        <v>22</v>
      </c>
      <c r="K48" s="1"/>
      <c r="L48" s="3" t="s">
        <v>162</v>
      </c>
      <c r="M48" s="3" t="s">
        <v>170</v>
      </c>
      <c r="N48" s="1"/>
      <c r="O48" s="1" t="s">
        <v>25</v>
      </c>
      <c r="P48" s="3"/>
    </row>
    <row r="49" spans="1:16">
      <c r="A49" s="1">
        <v>48</v>
      </c>
      <c r="B49" s="1" t="s">
        <v>997</v>
      </c>
      <c r="C49" s="1" t="s">
        <v>15</v>
      </c>
      <c r="D49" s="1" t="s">
        <v>16</v>
      </c>
      <c r="E49" s="1" t="s">
        <v>37</v>
      </c>
      <c r="F49" s="1" t="s">
        <v>32</v>
      </c>
      <c r="G49" s="3" t="s">
        <v>171</v>
      </c>
      <c r="H49" s="1">
        <v>11</v>
      </c>
      <c r="I49" s="3" t="s">
        <v>172</v>
      </c>
      <c r="J49" s="1" t="s">
        <v>22</v>
      </c>
      <c r="K49" s="1"/>
      <c r="L49" s="3" t="s">
        <v>162</v>
      </c>
      <c r="M49" s="3" t="s">
        <v>46</v>
      </c>
      <c r="N49" s="1"/>
      <c r="O49" s="1" t="s">
        <v>25</v>
      </c>
      <c r="P49" s="3"/>
    </row>
    <row r="50" spans="1:16">
      <c r="A50" s="1">
        <v>49</v>
      </c>
      <c r="B50" s="1" t="s">
        <v>997</v>
      </c>
      <c r="C50" s="1" t="s">
        <v>15</v>
      </c>
      <c r="D50" s="1" t="s">
        <v>16</v>
      </c>
      <c r="E50" s="1" t="s">
        <v>50</v>
      </c>
      <c r="F50" s="1" t="s">
        <v>18</v>
      </c>
      <c r="G50" s="3" t="s">
        <v>173</v>
      </c>
      <c r="H50" s="1">
        <v>14</v>
      </c>
      <c r="I50" s="3" t="s">
        <v>174</v>
      </c>
      <c r="J50" s="1" t="s">
        <v>22</v>
      </c>
      <c r="K50" s="1"/>
      <c r="L50" s="3" t="s">
        <v>22</v>
      </c>
      <c r="M50" s="3" t="s">
        <v>53</v>
      </c>
      <c r="N50" s="1"/>
      <c r="O50" s="1" t="s">
        <v>25</v>
      </c>
      <c r="P50" s="3"/>
    </row>
    <row r="51" spans="1:16">
      <c r="A51" s="1">
        <v>50</v>
      </c>
      <c r="B51" s="1" t="s">
        <v>997</v>
      </c>
      <c r="C51" s="1" t="s">
        <v>15</v>
      </c>
      <c r="D51" s="1" t="s">
        <v>16</v>
      </c>
      <c r="E51" s="1" t="s">
        <v>50</v>
      </c>
      <c r="F51" s="1" t="s">
        <v>18</v>
      </c>
      <c r="G51" s="3" t="s">
        <v>175</v>
      </c>
      <c r="H51" s="1">
        <v>11</v>
      </c>
      <c r="I51" s="3" t="s">
        <v>176</v>
      </c>
      <c r="J51" s="1" t="s">
        <v>22</v>
      </c>
      <c r="K51" s="1"/>
      <c r="L51" s="3" t="s">
        <v>22</v>
      </c>
      <c r="M51" s="3" t="s">
        <v>53</v>
      </c>
      <c r="N51" s="1"/>
      <c r="O51" s="1" t="s">
        <v>25</v>
      </c>
      <c r="P51" s="3"/>
    </row>
    <row r="52" spans="1:16" ht="32">
      <c r="A52" s="1">
        <v>51</v>
      </c>
      <c r="B52" s="1" t="s">
        <v>997</v>
      </c>
      <c r="C52" s="1" t="s">
        <v>15</v>
      </c>
      <c r="D52" s="1" t="s">
        <v>16</v>
      </c>
      <c r="E52" s="1" t="s">
        <v>50</v>
      </c>
      <c r="F52" s="1" t="s">
        <v>26</v>
      </c>
      <c r="G52" s="3" t="s">
        <v>177</v>
      </c>
      <c r="H52" s="1">
        <v>11</v>
      </c>
      <c r="I52" s="3" t="s">
        <v>178</v>
      </c>
      <c r="J52" s="1" t="s">
        <v>22</v>
      </c>
      <c r="K52" s="1"/>
      <c r="L52" s="3" t="s">
        <v>22</v>
      </c>
      <c r="M52" s="3" t="s">
        <v>179</v>
      </c>
      <c r="N52" s="1"/>
      <c r="O52" s="1" t="s">
        <v>25</v>
      </c>
      <c r="P52" s="3"/>
    </row>
    <row r="53" spans="1:16">
      <c r="A53" s="1">
        <v>52</v>
      </c>
      <c r="B53" s="1" t="s">
        <v>997</v>
      </c>
      <c r="C53" s="1" t="s">
        <v>15</v>
      </c>
      <c r="D53" s="1" t="s">
        <v>16</v>
      </c>
      <c r="E53" s="1" t="s">
        <v>50</v>
      </c>
      <c r="F53" s="1" t="s">
        <v>26</v>
      </c>
      <c r="G53" s="3" t="s">
        <v>180</v>
      </c>
      <c r="H53" s="1">
        <v>11</v>
      </c>
      <c r="I53" s="3" t="s">
        <v>181</v>
      </c>
      <c r="J53" s="1" t="s">
        <v>22</v>
      </c>
      <c r="K53" s="1"/>
      <c r="L53" s="3" t="s">
        <v>22</v>
      </c>
      <c r="M53" s="3" t="s">
        <v>182</v>
      </c>
      <c r="N53" s="1"/>
      <c r="O53" s="1" t="s">
        <v>25</v>
      </c>
      <c r="P53" s="3"/>
    </row>
    <row r="54" spans="1:16">
      <c r="A54" s="1">
        <v>53</v>
      </c>
      <c r="B54" s="1" t="s">
        <v>997</v>
      </c>
      <c r="C54" s="1" t="s">
        <v>15</v>
      </c>
      <c r="D54" s="1" t="s">
        <v>16</v>
      </c>
      <c r="E54" s="1" t="s">
        <v>50</v>
      </c>
      <c r="F54" s="1" t="s">
        <v>32</v>
      </c>
      <c r="G54" s="3" t="s">
        <v>183</v>
      </c>
      <c r="H54" s="1">
        <v>13</v>
      </c>
      <c r="I54" s="3" t="s">
        <v>184</v>
      </c>
      <c r="J54" s="1" t="s">
        <v>22</v>
      </c>
      <c r="K54" s="1"/>
      <c r="L54" s="3" t="s">
        <v>185</v>
      </c>
      <c r="M54" s="3" t="s">
        <v>53</v>
      </c>
      <c r="N54" s="1"/>
      <c r="O54" s="1" t="s">
        <v>25</v>
      </c>
      <c r="P54" s="3"/>
    </row>
    <row r="55" spans="1:16">
      <c r="A55" s="1">
        <v>54</v>
      </c>
      <c r="B55" s="1" t="s">
        <v>997</v>
      </c>
      <c r="C55" s="1" t="s">
        <v>15</v>
      </c>
      <c r="D55" s="1" t="s">
        <v>16</v>
      </c>
      <c r="E55" s="1" t="s">
        <v>68</v>
      </c>
      <c r="F55" s="1" t="s">
        <v>18</v>
      </c>
      <c r="G55" s="3" t="s">
        <v>186</v>
      </c>
      <c r="H55" s="1">
        <v>10</v>
      </c>
      <c r="I55" s="3" t="s">
        <v>187</v>
      </c>
      <c r="J55" s="1" t="s">
        <v>22</v>
      </c>
      <c r="K55" s="1"/>
      <c r="L55" s="3" t="s">
        <v>22</v>
      </c>
      <c r="M55" s="3" t="s">
        <v>188</v>
      </c>
      <c r="N55" s="1"/>
      <c r="O55" s="1" t="s">
        <v>25</v>
      </c>
      <c r="P55" s="3"/>
    </row>
    <row r="56" spans="1:16">
      <c r="A56" s="1">
        <v>55</v>
      </c>
      <c r="B56" s="1" t="s">
        <v>997</v>
      </c>
      <c r="C56" s="1" t="s">
        <v>15</v>
      </c>
      <c r="D56" s="1" t="s">
        <v>16</v>
      </c>
      <c r="E56" s="1" t="s">
        <v>68</v>
      </c>
      <c r="F56" s="1" t="s">
        <v>18</v>
      </c>
      <c r="G56" s="3" t="s">
        <v>189</v>
      </c>
      <c r="H56" s="1">
        <v>14</v>
      </c>
      <c r="I56" s="3" t="s">
        <v>190</v>
      </c>
      <c r="J56" s="1" t="s">
        <v>22</v>
      </c>
      <c r="K56" s="1"/>
      <c r="L56" s="3" t="s">
        <v>22</v>
      </c>
      <c r="M56" s="3" t="s">
        <v>191</v>
      </c>
      <c r="N56" s="1"/>
      <c r="O56" s="1" t="s">
        <v>25</v>
      </c>
      <c r="P56" s="3"/>
    </row>
    <row r="57" spans="1:16">
      <c r="A57" s="1">
        <v>56</v>
      </c>
      <c r="B57" s="1" t="s">
        <v>997</v>
      </c>
      <c r="C57" s="1" t="s">
        <v>15</v>
      </c>
      <c r="D57" s="1" t="s">
        <v>16</v>
      </c>
      <c r="E57" s="1" t="s">
        <v>68</v>
      </c>
      <c r="F57" s="1" t="s">
        <v>26</v>
      </c>
      <c r="G57" s="3" t="s">
        <v>192</v>
      </c>
      <c r="H57" s="1">
        <v>10</v>
      </c>
      <c r="I57" s="3" t="s">
        <v>193</v>
      </c>
      <c r="J57" s="1" t="s">
        <v>22</v>
      </c>
      <c r="K57" s="1"/>
      <c r="L57" s="3" t="s">
        <v>22</v>
      </c>
      <c r="M57" s="3" t="s">
        <v>194</v>
      </c>
      <c r="N57" s="1"/>
      <c r="O57" s="1" t="s">
        <v>25</v>
      </c>
      <c r="P57" s="3"/>
    </row>
    <row r="58" spans="1:16">
      <c r="A58" s="1">
        <v>57</v>
      </c>
      <c r="B58" s="1" t="s">
        <v>997</v>
      </c>
      <c r="C58" s="1" t="s">
        <v>15</v>
      </c>
      <c r="D58" s="1" t="s">
        <v>16</v>
      </c>
      <c r="E58" s="1" t="s">
        <v>68</v>
      </c>
      <c r="F58" s="1" t="s">
        <v>26</v>
      </c>
      <c r="G58" s="3" t="s">
        <v>195</v>
      </c>
      <c r="H58" s="1">
        <v>15</v>
      </c>
      <c r="I58" s="3" t="s">
        <v>196</v>
      </c>
      <c r="J58" s="1" t="s">
        <v>22</v>
      </c>
      <c r="K58" s="1"/>
      <c r="L58" s="3" t="s">
        <v>22</v>
      </c>
      <c r="M58" s="3" t="s">
        <v>188</v>
      </c>
      <c r="N58" s="1"/>
      <c r="O58" s="1" t="s">
        <v>25</v>
      </c>
      <c r="P58" s="3"/>
    </row>
    <row r="59" spans="1:16">
      <c r="A59" s="1">
        <v>58</v>
      </c>
      <c r="B59" s="1" t="s">
        <v>997</v>
      </c>
      <c r="C59" s="1" t="s">
        <v>15</v>
      </c>
      <c r="D59" s="1" t="s">
        <v>16</v>
      </c>
      <c r="E59" s="1" t="s">
        <v>68</v>
      </c>
      <c r="F59" s="1" t="s">
        <v>32</v>
      </c>
      <c r="G59" s="3" t="s">
        <v>197</v>
      </c>
      <c r="H59" s="1">
        <v>15</v>
      </c>
      <c r="I59" s="3" t="s">
        <v>198</v>
      </c>
      <c r="J59" s="1" t="s">
        <v>22</v>
      </c>
      <c r="K59" s="1"/>
      <c r="L59" s="3" t="s">
        <v>22</v>
      </c>
      <c r="M59" s="3" t="s">
        <v>78</v>
      </c>
      <c r="N59" s="1"/>
      <c r="O59" s="1" t="s">
        <v>25</v>
      </c>
      <c r="P59" s="3"/>
    </row>
    <row r="60" spans="1:16">
      <c r="A60" s="1">
        <v>59</v>
      </c>
      <c r="B60" s="1" t="s">
        <v>997</v>
      </c>
      <c r="C60" s="1" t="s">
        <v>15</v>
      </c>
      <c r="D60" s="1" t="s">
        <v>16</v>
      </c>
      <c r="E60" s="1" t="s">
        <v>68</v>
      </c>
      <c r="F60" s="1" t="s">
        <v>32</v>
      </c>
      <c r="G60" s="3" t="s">
        <v>199</v>
      </c>
      <c r="H60" s="1">
        <v>12</v>
      </c>
      <c r="I60" s="3" t="s">
        <v>200</v>
      </c>
      <c r="J60" s="1" t="s">
        <v>22</v>
      </c>
      <c r="K60" s="1"/>
      <c r="L60" s="3" t="s">
        <v>22</v>
      </c>
      <c r="M60" s="3" t="s">
        <v>201</v>
      </c>
      <c r="N60" s="1"/>
      <c r="O60" s="1" t="s">
        <v>25</v>
      </c>
      <c r="P60" s="3"/>
    </row>
    <row r="61" spans="1:16" ht="32">
      <c r="A61" s="1">
        <v>60</v>
      </c>
      <c r="B61" s="1" t="s">
        <v>997</v>
      </c>
      <c r="C61" s="1" t="s">
        <v>15</v>
      </c>
      <c r="D61" s="1" t="s">
        <v>16</v>
      </c>
      <c r="E61" s="1" t="s">
        <v>68</v>
      </c>
      <c r="F61" s="1" t="s">
        <v>26</v>
      </c>
      <c r="G61" s="3" t="s">
        <v>202</v>
      </c>
      <c r="H61" s="1">
        <v>11</v>
      </c>
      <c r="I61" s="3" t="s">
        <v>203</v>
      </c>
      <c r="J61" s="1" t="s">
        <v>204</v>
      </c>
      <c r="K61" s="1"/>
      <c r="L61" s="3" t="s">
        <v>205</v>
      </c>
      <c r="M61" s="3" t="s">
        <v>206</v>
      </c>
      <c r="N61" s="1"/>
      <c r="O61" s="1" t="s">
        <v>25</v>
      </c>
      <c r="P61" s="3"/>
    </row>
    <row r="62" spans="1:16">
      <c r="A62" s="1">
        <v>61</v>
      </c>
      <c r="B62" s="1" t="s">
        <v>997</v>
      </c>
      <c r="C62" s="1" t="s">
        <v>15</v>
      </c>
      <c r="D62" s="1" t="s">
        <v>16</v>
      </c>
      <c r="E62" s="1" t="s">
        <v>68</v>
      </c>
      <c r="F62" s="1" t="s">
        <v>32</v>
      </c>
      <c r="G62" s="3" t="s">
        <v>207</v>
      </c>
      <c r="H62" s="1">
        <v>9</v>
      </c>
      <c r="I62" s="3" t="s">
        <v>208</v>
      </c>
      <c r="J62" s="1" t="s">
        <v>204</v>
      </c>
      <c r="K62" s="1"/>
      <c r="L62" s="3" t="s">
        <v>209</v>
      </c>
      <c r="M62" s="3" t="s">
        <v>210</v>
      </c>
      <c r="N62" s="1"/>
      <c r="O62" s="1" t="s">
        <v>25</v>
      </c>
      <c r="P62" s="3"/>
    </row>
    <row r="63" spans="1:16">
      <c r="A63" s="1">
        <v>62</v>
      </c>
      <c r="B63" s="1" t="s">
        <v>997</v>
      </c>
      <c r="C63" s="1" t="s">
        <v>15</v>
      </c>
      <c r="D63" s="1" t="s">
        <v>16</v>
      </c>
      <c r="E63" s="1" t="s">
        <v>84</v>
      </c>
      <c r="F63" s="1" t="s">
        <v>26</v>
      </c>
      <c r="G63" s="3" t="s">
        <v>212</v>
      </c>
      <c r="H63" s="1">
        <v>13</v>
      </c>
      <c r="I63" s="3" t="s">
        <v>213</v>
      </c>
      <c r="J63" s="1" t="s">
        <v>45</v>
      </c>
      <c r="K63" s="1"/>
      <c r="L63" s="3" t="s">
        <v>211</v>
      </c>
      <c r="M63" s="3" t="s">
        <v>214</v>
      </c>
      <c r="N63" s="1"/>
      <c r="O63" s="1" t="s">
        <v>25</v>
      </c>
      <c r="P63" s="3"/>
    </row>
    <row r="64" spans="1:16" ht="32">
      <c r="A64" s="1">
        <v>63</v>
      </c>
      <c r="B64" s="1" t="s">
        <v>997</v>
      </c>
      <c r="C64" s="1" t="s">
        <v>215</v>
      </c>
      <c r="D64" s="1" t="s">
        <v>16</v>
      </c>
      <c r="E64" s="1" t="s">
        <v>84</v>
      </c>
      <c r="F64" s="1" t="s">
        <v>26</v>
      </c>
      <c r="G64" s="3" t="s">
        <v>216</v>
      </c>
      <c r="H64" s="1">
        <v>13</v>
      </c>
      <c r="I64" s="3" t="s">
        <v>217</v>
      </c>
      <c r="J64" s="1" t="s">
        <v>45</v>
      </c>
      <c r="K64" s="1"/>
      <c r="L64" s="3" t="s">
        <v>211</v>
      </c>
      <c r="M64" s="3" t="s">
        <v>218</v>
      </c>
      <c r="N64" s="1"/>
      <c r="O64" s="1" t="s">
        <v>215</v>
      </c>
      <c r="P64" s="3" t="s">
        <v>219</v>
      </c>
    </row>
    <row r="65" spans="1:16" ht="48">
      <c r="A65" s="1">
        <v>64</v>
      </c>
      <c r="B65" s="1" t="s">
        <v>997</v>
      </c>
      <c r="C65" s="1" t="s">
        <v>15</v>
      </c>
      <c r="D65" s="1" t="s">
        <v>16</v>
      </c>
      <c r="E65" s="1" t="s">
        <v>84</v>
      </c>
      <c r="F65" s="1" t="s">
        <v>32</v>
      </c>
      <c r="G65" s="3" t="s">
        <v>220</v>
      </c>
      <c r="H65" s="1">
        <v>15</v>
      </c>
      <c r="I65" s="3" t="s">
        <v>221</v>
      </c>
      <c r="J65" s="1" t="s">
        <v>45</v>
      </c>
      <c r="K65" s="1"/>
      <c r="L65" s="3" t="s">
        <v>222</v>
      </c>
      <c r="M65" s="3" t="s">
        <v>223</v>
      </c>
      <c r="N65" s="1"/>
      <c r="O65" s="1" t="s">
        <v>66</v>
      </c>
      <c r="P65" s="3" t="s">
        <v>224</v>
      </c>
    </row>
    <row r="66" spans="1:16">
      <c r="A66" s="1">
        <v>65</v>
      </c>
      <c r="B66" s="1" t="s">
        <v>997</v>
      </c>
      <c r="C66" s="1" t="s">
        <v>15</v>
      </c>
      <c r="D66" s="1" t="s">
        <v>16</v>
      </c>
      <c r="E66" s="1" t="s">
        <v>94</v>
      </c>
      <c r="F66" s="1" t="s">
        <v>18</v>
      </c>
      <c r="G66" s="3" t="s">
        <v>225</v>
      </c>
      <c r="H66" s="1">
        <v>12</v>
      </c>
      <c r="I66" s="3" t="s">
        <v>226</v>
      </c>
      <c r="J66" s="1" t="s">
        <v>22</v>
      </c>
      <c r="K66" s="1"/>
      <c r="L66" s="3" t="s">
        <v>211</v>
      </c>
      <c r="M66" s="3" t="s">
        <v>227</v>
      </c>
      <c r="N66" s="1"/>
      <c r="O66" s="1" t="s">
        <v>25</v>
      </c>
      <c r="P66" s="3"/>
    </row>
    <row r="67" spans="1:16">
      <c r="A67" s="1">
        <v>66</v>
      </c>
      <c r="B67" s="1" t="s">
        <v>997</v>
      </c>
      <c r="C67" s="1" t="s">
        <v>15</v>
      </c>
      <c r="D67" s="1" t="s">
        <v>16</v>
      </c>
      <c r="E67" s="1" t="s">
        <v>94</v>
      </c>
      <c r="F67" s="1" t="s">
        <v>18</v>
      </c>
      <c r="G67" s="3" t="s">
        <v>228</v>
      </c>
      <c r="H67" s="1">
        <v>14</v>
      </c>
      <c r="I67" s="3" t="s">
        <v>229</v>
      </c>
      <c r="J67" s="1" t="s">
        <v>22</v>
      </c>
      <c r="K67" s="1"/>
      <c r="L67" s="3" t="s">
        <v>211</v>
      </c>
      <c r="M67" s="3" t="s">
        <v>227</v>
      </c>
      <c r="N67" s="1"/>
      <c r="O67" s="1" t="s">
        <v>25</v>
      </c>
      <c r="P67" s="3"/>
    </row>
    <row r="68" spans="1:16" ht="48">
      <c r="A68" s="1">
        <v>67</v>
      </c>
      <c r="B68" s="1" t="s">
        <v>997</v>
      </c>
      <c r="C68" s="1" t="s">
        <v>15</v>
      </c>
      <c r="D68" s="1" t="s">
        <v>16</v>
      </c>
      <c r="E68" s="1" t="s">
        <v>94</v>
      </c>
      <c r="F68" s="1" t="s">
        <v>26</v>
      </c>
      <c r="G68" s="3" t="s">
        <v>230</v>
      </c>
      <c r="H68" s="1">
        <v>12</v>
      </c>
      <c r="I68" s="3" t="s">
        <v>231</v>
      </c>
      <c r="J68" s="1" t="s">
        <v>22</v>
      </c>
      <c r="K68" s="1"/>
      <c r="L68" s="3" t="s">
        <v>232</v>
      </c>
      <c r="M68" s="3" t="s">
        <v>233</v>
      </c>
      <c r="N68" s="1"/>
      <c r="O68" s="1" t="s">
        <v>234</v>
      </c>
      <c r="P68" s="3" t="s">
        <v>235</v>
      </c>
    </row>
    <row r="69" spans="1:16" ht="48">
      <c r="A69" s="1">
        <v>68</v>
      </c>
      <c r="B69" s="1" t="s">
        <v>997</v>
      </c>
      <c r="C69" s="1" t="s">
        <v>15</v>
      </c>
      <c r="D69" s="1" t="s">
        <v>16</v>
      </c>
      <c r="E69" s="1" t="s">
        <v>94</v>
      </c>
      <c r="F69" s="1" t="s">
        <v>26</v>
      </c>
      <c r="G69" s="3" t="s">
        <v>236</v>
      </c>
      <c r="H69" s="1">
        <v>11</v>
      </c>
      <c r="I69" s="3" t="s">
        <v>237</v>
      </c>
      <c r="J69" s="1" t="s">
        <v>22</v>
      </c>
      <c r="K69" s="1"/>
      <c r="L69" s="3" t="s">
        <v>232</v>
      </c>
      <c r="M69" s="3" t="s">
        <v>97</v>
      </c>
      <c r="N69" s="1"/>
      <c r="O69" s="1" t="s">
        <v>234</v>
      </c>
      <c r="P69" s="3" t="s">
        <v>235</v>
      </c>
    </row>
    <row r="70" spans="1:16">
      <c r="A70" s="1">
        <v>69</v>
      </c>
      <c r="B70" s="1" t="s">
        <v>997</v>
      </c>
      <c r="C70" s="1" t="s">
        <v>15</v>
      </c>
      <c r="D70" s="1" t="s">
        <v>16</v>
      </c>
      <c r="E70" s="1" t="s">
        <v>94</v>
      </c>
      <c r="F70" s="1" t="s">
        <v>32</v>
      </c>
      <c r="G70" s="3" t="s">
        <v>238</v>
      </c>
      <c r="H70" s="1">
        <v>9</v>
      </c>
      <c r="I70" s="3" t="s">
        <v>239</v>
      </c>
      <c r="J70" s="1" t="s">
        <v>22</v>
      </c>
      <c r="K70" s="1"/>
      <c r="L70" s="3" t="s">
        <v>240</v>
      </c>
      <c r="M70" s="3" t="s">
        <v>107</v>
      </c>
      <c r="N70" s="1"/>
      <c r="O70" s="1" t="s">
        <v>25</v>
      </c>
      <c r="P70" s="3"/>
    </row>
    <row r="71" spans="1:16">
      <c r="A71" s="1">
        <v>70</v>
      </c>
      <c r="B71" s="1" t="s">
        <v>997</v>
      </c>
      <c r="C71" s="1" t="s">
        <v>15</v>
      </c>
      <c r="D71" s="1" t="s">
        <v>16</v>
      </c>
      <c r="E71" s="1" t="s">
        <v>111</v>
      </c>
      <c r="F71" s="1" t="s">
        <v>18</v>
      </c>
      <c r="G71" s="3" t="s">
        <v>241</v>
      </c>
      <c r="H71" s="1">
        <v>9</v>
      </c>
      <c r="I71" s="3" t="s">
        <v>242</v>
      </c>
      <c r="J71" s="1" t="s">
        <v>21</v>
      </c>
      <c r="K71" s="1"/>
      <c r="L71" s="3" t="s">
        <v>243</v>
      </c>
      <c r="M71" s="3" t="s">
        <v>114</v>
      </c>
      <c r="N71" s="1"/>
      <c r="O71" s="1" t="s">
        <v>25</v>
      </c>
      <c r="P71" s="3"/>
    </row>
    <row r="72" spans="1:16">
      <c r="A72" s="1">
        <v>71</v>
      </c>
      <c r="B72" s="1" t="s">
        <v>997</v>
      </c>
      <c r="C72" s="1" t="s">
        <v>15</v>
      </c>
      <c r="D72" s="1" t="s">
        <v>16</v>
      </c>
      <c r="E72" s="1" t="s">
        <v>111</v>
      </c>
      <c r="F72" s="1" t="s">
        <v>18</v>
      </c>
      <c r="G72" s="3" t="s">
        <v>244</v>
      </c>
      <c r="H72" s="1">
        <v>14</v>
      </c>
      <c r="I72" s="3" t="s">
        <v>245</v>
      </c>
      <c r="J72" s="1" t="s">
        <v>22</v>
      </c>
      <c r="K72" s="1"/>
      <c r="L72" s="3" t="s">
        <v>243</v>
      </c>
      <c r="M72" s="3" t="s">
        <v>246</v>
      </c>
      <c r="N72" s="1"/>
      <c r="O72" s="1" t="s">
        <v>25</v>
      </c>
      <c r="P72" s="3"/>
    </row>
    <row r="73" spans="1:16">
      <c r="A73" s="1">
        <v>72</v>
      </c>
      <c r="B73" s="1" t="s">
        <v>997</v>
      </c>
      <c r="C73" s="1" t="s">
        <v>15</v>
      </c>
      <c r="D73" s="1" t="s">
        <v>16</v>
      </c>
      <c r="E73" s="1" t="s">
        <v>111</v>
      </c>
      <c r="F73" s="1" t="s">
        <v>26</v>
      </c>
      <c r="G73" s="3" t="s">
        <v>247</v>
      </c>
      <c r="H73" s="1">
        <v>9</v>
      </c>
      <c r="I73" s="3" t="s">
        <v>248</v>
      </c>
      <c r="J73" s="1" t="s">
        <v>22</v>
      </c>
      <c r="K73" s="1"/>
      <c r="L73" s="3" t="s">
        <v>249</v>
      </c>
      <c r="M73" s="3" t="s">
        <v>250</v>
      </c>
      <c r="N73" s="1"/>
      <c r="O73" s="1" t="s">
        <v>25</v>
      </c>
      <c r="P73" s="3"/>
    </row>
    <row r="74" spans="1:16">
      <c r="A74" s="1">
        <v>73</v>
      </c>
      <c r="B74" s="1" t="s">
        <v>997</v>
      </c>
      <c r="C74" s="1" t="s">
        <v>15</v>
      </c>
      <c r="D74" s="1" t="s">
        <v>16</v>
      </c>
      <c r="E74" s="1" t="s">
        <v>111</v>
      </c>
      <c r="F74" s="1" t="s">
        <v>26</v>
      </c>
      <c r="G74" s="3" t="s">
        <v>251</v>
      </c>
      <c r="H74" s="1">
        <v>11</v>
      </c>
      <c r="I74" s="3" t="s">
        <v>252</v>
      </c>
      <c r="J74" s="1" t="s">
        <v>22</v>
      </c>
      <c r="K74" s="1"/>
      <c r="L74" s="3" t="s">
        <v>243</v>
      </c>
      <c r="M74" s="3" t="s">
        <v>253</v>
      </c>
      <c r="N74" s="1"/>
      <c r="O74" s="1" t="s">
        <v>25</v>
      </c>
      <c r="P74" s="3"/>
    </row>
    <row r="75" spans="1:16">
      <c r="A75" s="1">
        <v>74</v>
      </c>
      <c r="B75" s="1" t="s">
        <v>997</v>
      </c>
      <c r="C75" s="1" t="s">
        <v>15</v>
      </c>
      <c r="D75" s="1" t="s">
        <v>16</v>
      </c>
      <c r="E75" s="1" t="s">
        <v>111</v>
      </c>
      <c r="F75" s="1" t="s">
        <v>32</v>
      </c>
      <c r="G75" s="3" t="s">
        <v>254</v>
      </c>
      <c r="H75" s="1">
        <v>14</v>
      </c>
      <c r="I75" s="3" t="s">
        <v>255</v>
      </c>
      <c r="J75" s="1" t="s">
        <v>22</v>
      </c>
      <c r="K75" s="1"/>
      <c r="L75" s="3" t="s">
        <v>243</v>
      </c>
      <c r="M75" s="3" t="s">
        <v>149</v>
      </c>
      <c r="N75" s="1"/>
      <c r="O75" s="1" t="s">
        <v>25</v>
      </c>
      <c r="P75" s="3"/>
    </row>
    <row r="76" spans="1:16">
      <c r="A76" s="1">
        <v>75</v>
      </c>
      <c r="B76" s="1" t="s">
        <v>997</v>
      </c>
      <c r="C76" s="1" t="s">
        <v>15</v>
      </c>
      <c r="D76" s="1" t="s">
        <v>16</v>
      </c>
      <c r="E76" s="1" t="s">
        <v>120</v>
      </c>
      <c r="F76" s="1" t="s">
        <v>18</v>
      </c>
      <c r="G76" s="3" t="s">
        <v>256</v>
      </c>
      <c r="H76" s="1">
        <v>16</v>
      </c>
      <c r="I76" s="3" t="s">
        <v>257</v>
      </c>
      <c r="J76" s="1" t="s">
        <v>22</v>
      </c>
      <c r="K76" s="1"/>
      <c r="L76" s="3" t="s">
        <v>22</v>
      </c>
      <c r="M76" s="3" t="s">
        <v>258</v>
      </c>
      <c r="N76" s="1"/>
      <c r="O76" s="1" t="s">
        <v>25</v>
      </c>
      <c r="P76" s="3"/>
    </row>
    <row r="77" spans="1:16">
      <c r="A77" s="1">
        <v>76</v>
      </c>
      <c r="B77" s="1" t="s">
        <v>997</v>
      </c>
      <c r="C77" s="1" t="s">
        <v>15</v>
      </c>
      <c r="D77" s="1" t="s">
        <v>16</v>
      </c>
      <c r="E77" s="1" t="s">
        <v>120</v>
      </c>
      <c r="F77" s="1" t="s">
        <v>18</v>
      </c>
      <c r="G77" s="3" t="s">
        <v>259</v>
      </c>
      <c r="H77" s="1">
        <v>14</v>
      </c>
      <c r="I77" s="3" t="s">
        <v>260</v>
      </c>
      <c r="J77" s="1" t="s">
        <v>22</v>
      </c>
      <c r="K77" s="1"/>
      <c r="L77" s="3" t="s">
        <v>22</v>
      </c>
      <c r="M77" s="3" t="s">
        <v>261</v>
      </c>
      <c r="N77" s="1"/>
      <c r="O77" s="1" t="s">
        <v>25</v>
      </c>
      <c r="P77" s="3"/>
    </row>
    <row r="78" spans="1:16">
      <c r="A78" s="1">
        <v>77</v>
      </c>
      <c r="B78" s="1" t="s">
        <v>997</v>
      </c>
      <c r="C78" s="1" t="s">
        <v>15</v>
      </c>
      <c r="D78" s="1" t="s">
        <v>16</v>
      </c>
      <c r="E78" s="1" t="s">
        <v>120</v>
      </c>
      <c r="F78" s="1" t="s">
        <v>26</v>
      </c>
      <c r="G78" s="3" t="s">
        <v>262</v>
      </c>
      <c r="H78" s="1">
        <v>14</v>
      </c>
      <c r="I78" s="3" t="s">
        <v>263</v>
      </c>
      <c r="J78" s="1" t="s">
        <v>22</v>
      </c>
      <c r="K78" s="1"/>
      <c r="L78" s="3" t="s">
        <v>22</v>
      </c>
      <c r="M78" s="3" t="s">
        <v>264</v>
      </c>
      <c r="N78" s="1"/>
      <c r="O78" s="1" t="s">
        <v>25</v>
      </c>
      <c r="P78" s="3"/>
    </row>
    <row r="79" spans="1:16">
      <c r="A79" s="1">
        <v>78</v>
      </c>
      <c r="B79" s="1" t="s">
        <v>997</v>
      </c>
      <c r="C79" s="1" t="s">
        <v>15</v>
      </c>
      <c r="D79" s="1" t="s">
        <v>16</v>
      </c>
      <c r="E79" s="1" t="s">
        <v>120</v>
      </c>
      <c r="F79" s="1" t="s">
        <v>26</v>
      </c>
      <c r="G79" s="3" t="s">
        <v>265</v>
      </c>
      <c r="H79" s="1">
        <v>16</v>
      </c>
      <c r="I79" s="3" t="s">
        <v>266</v>
      </c>
      <c r="J79" s="1" t="s">
        <v>22</v>
      </c>
      <c r="K79" s="1"/>
      <c r="L79" s="3" t="s">
        <v>22</v>
      </c>
      <c r="M79" s="3" t="s">
        <v>267</v>
      </c>
      <c r="N79" s="1"/>
      <c r="O79" s="1" t="s">
        <v>25</v>
      </c>
      <c r="P79" s="3"/>
    </row>
    <row r="80" spans="1:16" ht="32">
      <c r="A80" s="1">
        <v>79</v>
      </c>
      <c r="B80" s="1" t="s">
        <v>997</v>
      </c>
      <c r="C80" s="1" t="s">
        <v>15</v>
      </c>
      <c r="D80" s="1" t="s">
        <v>16</v>
      </c>
      <c r="E80" s="1" t="s">
        <v>120</v>
      </c>
      <c r="F80" s="1" t="s">
        <v>32</v>
      </c>
      <c r="G80" s="3" t="s">
        <v>268</v>
      </c>
      <c r="H80" s="1">
        <v>8</v>
      </c>
      <c r="I80" s="3" t="s">
        <v>269</v>
      </c>
      <c r="J80" s="1" t="s">
        <v>22</v>
      </c>
      <c r="K80" s="1"/>
      <c r="L80" s="3" t="s">
        <v>22</v>
      </c>
      <c r="M80" s="3" t="s">
        <v>270</v>
      </c>
      <c r="N80" s="1"/>
      <c r="O80" s="1" t="s">
        <v>25</v>
      </c>
      <c r="P80" s="3"/>
    </row>
    <row r="81" spans="1:16" ht="48">
      <c r="A81" s="1">
        <v>80</v>
      </c>
      <c r="B81" s="1" t="s">
        <v>997</v>
      </c>
      <c r="C81" s="1" t="s">
        <v>15</v>
      </c>
      <c r="D81" s="1" t="s">
        <v>16</v>
      </c>
      <c r="E81" s="1" t="s">
        <v>120</v>
      </c>
      <c r="F81" s="1" t="s">
        <v>32</v>
      </c>
      <c r="G81" s="3" t="s">
        <v>271</v>
      </c>
      <c r="H81" s="1">
        <v>12</v>
      </c>
      <c r="I81" s="3" t="s">
        <v>272</v>
      </c>
      <c r="J81" s="1" t="s">
        <v>22</v>
      </c>
      <c r="K81" s="1"/>
      <c r="L81" s="3" t="s">
        <v>22</v>
      </c>
      <c r="M81" s="3" t="s">
        <v>273</v>
      </c>
      <c r="N81" s="1"/>
      <c r="O81" s="1" t="s">
        <v>274</v>
      </c>
      <c r="P81" s="3" t="s">
        <v>275</v>
      </c>
    </row>
    <row r="82" spans="1:16" ht="48">
      <c r="A82" s="1">
        <v>81</v>
      </c>
      <c r="B82" s="1" t="s">
        <v>997</v>
      </c>
      <c r="C82" s="1" t="s">
        <v>15</v>
      </c>
      <c r="D82" s="1" t="s">
        <v>130</v>
      </c>
      <c r="E82" s="1" t="s">
        <v>130</v>
      </c>
      <c r="F82" s="1" t="s">
        <v>276</v>
      </c>
      <c r="G82" s="3" t="s">
        <v>277</v>
      </c>
      <c r="H82" s="1">
        <v>14</v>
      </c>
      <c r="I82" s="3" t="s">
        <v>278</v>
      </c>
      <c r="J82" s="1" t="s">
        <v>21</v>
      </c>
      <c r="K82" s="1"/>
      <c r="L82" s="3" t="s">
        <v>279</v>
      </c>
      <c r="M82" s="3" t="s">
        <v>280</v>
      </c>
      <c r="N82" s="1"/>
      <c r="O82" s="1" t="s">
        <v>66</v>
      </c>
      <c r="P82" s="3" t="s">
        <v>281</v>
      </c>
    </row>
    <row r="83" spans="1:16" ht="32">
      <c r="A83" s="1">
        <v>82</v>
      </c>
      <c r="B83" s="1" t="s">
        <v>997</v>
      </c>
      <c r="C83" s="1" t="s">
        <v>15</v>
      </c>
      <c r="D83" s="1" t="s">
        <v>130</v>
      </c>
      <c r="E83" s="1" t="s">
        <v>130</v>
      </c>
      <c r="F83" s="1" t="s">
        <v>276</v>
      </c>
      <c r="G83" s="3" t="s">
        <v>282</v>
      </c>
      <c r="H83" s="1">
        <v>15</v>
      </c>
      <c r="I83" s="3" t="s">
        <v>283</v>
      </c>
      <c r="J83" s="1" t="s">
        <v>137</v>
      </c>
      <c r="K83" s="1"/>
      <c r="L83" s="3" t="s">
        <v>284</v>
      </c>
      <c r="M83" s="3" t="s">
        <v>149</v>
      </c>
      <c r="N83" s="1"/>
      <c r="O83" s="1" t="s">
        <v>274</v>
      </c>
      <c r="P83" s="3" t="s">
        <v>285</v>
      </c>
    </row>
    <row r="84" spans="1:16">
      <c r="A84" s="1">
        <v>83</v>
      </c>
      <c r="B84" s="1" t="s">
        <v>997</v>
      </c>
      <c r="C84" s="1" t="s">
        <v>15</v>
      </c>
      <c r="D84" s="1" t="s">
        <v>139</v>
      </c>
      <c r="E84" s="1" t="s">
        <v>139</v>
      </c>
      <c r="F84" s="1" t="s">
        <v>286</v>
      </c>
      <c r="G84" s="3" t="s">
        <v>287</v>
      </c>
      <c r="H84" s="1">
        <v>15</v>
      </c>
      <c r="I84" s="3" t="s">
        <v>288</v>
      </c>
      <c r="J84" s="1" t="s">
        <v>22</v>
      </c>
      <c r="K84" s="1"/>
      <c r="L84" s="3" t="s">
        <v>22</v>
      </c>
      <c r="M84" s="3" t="s">
        <v>289</v>
      </c>
      <c r="N84" s="1"/>
      <c r="O84" s="1" t="s">
        <v>25</v>
      </c>
      <c r="P84" s="3"/>
    </row>
    <row r="85" spans="1:16">
      <c r="A85" s="1">
        <v>84</v>
      </c>
      <c r="B85" s="1" t="s">
        <v>997</v>
      </c>
      <c r="C85" s="1" t="s">
        <v>15</v>
      </c>
      <c r="D85" s="1" t="s">
        <v>16</v>
      </c>
      <c r="E85" s="1" t="s">
        <v>17</v>
      </c>
      <c r="F85" s="1" t="s">
        <v>18</v>
      </c>
      <c r="G85" s="3" t="s">
        <v>291</v>
      </c>
      <c r="H85" s="1">
        <v>16</v>
      </c>
      <c r="I85" s="3" t="s">
        <v>292</v>
      </c>
      <c r="J85" s="1" t="s">
        <v>21</v>
      </c>
      <c r="K85" s="1"/>
      <c r="L85" s="3" t="s">
        <v>22</v>
      </c>
      <c r="M85" s="3" t="s">
        <v>23</v>
      </c>
      <c r="N85" s="1"/>
      <c r="O85" s="1" t="s">
        <v>25</v>
      </c>
      <c r="P85" s="3"/>
    </row>
    <row r="86" spans="1:16" ht="32">
      <c r="A86" s="1">
        <v>85</v>
      </c>
      <c r="B86" s="1" t="s">
        <v>997</v>
      </c>
      <c r="C86" s="1" t="s">
        <v>15</v>
      </c>
      <c r="D86" s="1" t="s">
        <v>16</v>
      </c>
      <c r="E86" s="1" t="s">
        <v>17</v>
      </c>
      <c r="F86" s="1" t="s">
        <v>18</v>
      </c>
      <c r="G86" s="3" t="s">
        <v>293</v>
      </c>
      <c r="H86" s="1">
        <v>12</v>
      </c>
      <c r="I86" s="3" t="s">
        <v>294</v>
      </c>
      <c r="J86" s="1" t="s">
        <v>21</v>
      </c>
      <c r="K86" s="1"/>
      <c r="L86" s="3" t="s">
        <v>295</v>
      </c>
      <c r="M86" s="3" t="s">
        <v>152</v>
      </c>
      <c r="N86" s="1"/>
      <c r="O86" s="1" t="s">
        <v>66</v>
      </c>
      <c r="P86" s="3" t="s">
        <v>296</v>
      </c>
    </row>
    <row r="87" spans="1:16">
      <c r="A87" s="1">
        <v>86</v>
      </c>
      <c r="B87" s="1" t="s">
        <v>997</v>
      </c>
      <c r="C87" s="1" t="s">
        <v>15</v>
      </c>
      <c r="D87" s="1" t="s">
        <v>16</v>
      </c>
      <c r="E87" s="1" t="s">
        <v>17</v>
      </c>
      <c r="F87" s="1" t="s">
        <v>26</v>
      </c>
      <c r="G87" s="3" t="s">
        <v>297</v>
      </c>
      <c r="H87" s="1">
        <v>17</v>
      </c>
      <c r="I87" s="3" t="s">
        <v>298</v>
      </c>
      <c r="J87" s="1" t="s">
        <v>299</v>
      </c>
      <c r="K87" s="1"/>
      <c r="L87" s="3" t="s">
        <v>22</v>
      </c>
      <c r="M87" s="3" t="s">
        <v>107</v>
      </c>
      <c r="N87" s="1"/>
      <c r="O87" s="1" t="s">
        <v>25</v>
      </c>
      <c r="P87" s="3"/>
    </row>
    <row r="88" spans="1:16">
      <c r="A88" s="1">
        <v>87</v>
      </c>
      <c r="B88" s="1" t="s">
        <v>997</v>
      </c>
      <c r="C88" s="1" t="s">
        <v>15</v>
      </c>
      <c r="D88" s="1" t="s">
        <v>16</v>
      </c>
      <c r="E88" s="1" t="s">
        <v>17</v>
      </c>
      <c r="F88" s="1" t="s">
        <v>26</v>
      </c>
      <c r="G88" s="3" t="s">
        <v>300</v>
      </c>
      <c r="H88" s="1">
        <v>13</v>
      </c>
      <c r="I88" s="3" t="s">
        <v>301</v>
      </c>
      <c r="J88" s="1" t="s">
        <v>45</v>
      </c>
      <c r="K88" s="1"/>
      <c r="L88" s="3" t="s">
        <v>211</v>
      </c>
      <c r="M88" s="3" t="s">
        <v>31</v>
      </c>
      <c r="N88" s="1"/>
      <c r="O88" s="1" t="s">
        <v>25</v>
      </c>
      <c r="P88" s="3"/>
    </row>
    <row r="89" spans="1:16">
      <c r="A89" s="1">
        <v>88</v>
      </c>
      <c r="B89" s="1" t="s">
        <v>997</v>
      </c>
      <c r="C89" s="1" t="s">
        <v>15</v>
      </c>
      <c r="D89" s="1" t="s">
        <v>16</v>
      </c>
      <c r="E89" s="1" t="s">
        <v>17</v>
      </c>
      <c r="F89" s="1" t="s">
        <v>32</v>
      </c>
      <c r="G89" s="3" t="s">
        <v>302</v>
      </c>
      <c r="H89" s="1">
        <v>13</v>
      </c>
      <c r="I89" s="3" t="s">
        <v>303</v>
      </c>
      <c r="J89" s="1" t="s">
        <v>304</v>
      </c>
      <c r="K89" s="1"/>
      <c r="L89" s="3" t="s">
        <v>22</v>
      </c>
      <c r="M89" s="3" t="s">
        <v>23</v>
      </c>
      <c r="N89" s="1"/>
      <c r="O89" s="1" t="s">
        <v>25</v>
      </c>
      <c r="P89" s="3"/>
    </row>
    <row r="90" spans="1:16">
      <c r="A90" s="1">
        <v>89</v>
      </c>
      <c r="B90" s="1" t="s">
        <v>997</v>
      </c>
      <c r="C90" s="1" t="s">
        <v>15</v>
      </c>
      <c r="D90" s="1" t="s">
        <v>16</v>
      </c>
      <c r="E90" s="1" t="s">
        <v>17</v>
      </c>
      <c r="F90" s="1" t="s">
        <v>32</v>
      </c>
      <c r="G90" s="3" t="s">
        <v>305</v>
      </c>
      <c r="H90" s="1">
        <v>14</v>
      </c>
      <c r="I90" s="3" t="s">
        <v>306</v>
      </c>
      <c r="J90" s="1" t="s">
        <v>22</v>
      </c>
      <c r="K90" s="1"/>
      <c r="L90" s="3" t="s">
        <v>22</v>
      </c>
      <c r="M90" s="3" t="s">
        <v>307</v>
      </c>
      <c r="N90" s="1"/>
      <c r="O90" s="1" t="s">
        <v>25</v>
      </c>
      <c r="P90" s="3"/>
    </row>
    <row r="91" spans="1:16">
      <c r="A91" s="1">
        <v>90</v>
      </c>
      <c r="B91" s="1" t="s">
        <v>997</v>
      </c>
      <c r="C91" s="1" t="s">
        <v>15</v>
      </c>
      <c r="D91" s="1" t="s">
        <v>16</v>
      </c>
      <c r="E91" s="1" t="s">
        <v>37</v>
      </c>
      <c r="F91" s="1" t="s">
        <v>18</v>
      </c>
      <c r="G91" s="3" t="s">
        <v>308</v>
      </c>
      <c r="H91" s="1">
        <v>17</v>
      </c>
      <c r="I91" s="3" t="s">
        <v>309</v>
      </c>
      <c r="J91" s="1" t="s">
        <v>310</v>
      </c>
      <c r="K91" s="1"/>
      <c r="L91" s="3" t="s">
        <v>162</v>
      </c>
      <c r="M91" s="3" t="s">
        <v>149</v>
      </c>
      <c r="N91" s="1"/>
      <c r="O91" s="1" t="s">
        <v>25</v>
      </c>
      <c r="P91" s="3"/>
    </row>
    <row r="92" spans="1:16">
      <c r="A92" s="1">
        <v>91</v>
      </c>
      <c r="B92" s="1" t="s">
        <v>997</v>
      </c>
      <c r="C92" s="1" t="s">
        <v>15</v>
      </c>
      <c r="D92" s="1" t="s">
        <v>16</v>
      </c>
      <c r="E92" s="1" t="s">
        <v>37</v>
      </c>
      <c r="F92" s="1" t="s">
        <v>18</v>
      </c>
      <c r="G92" s="3" t="s">
        <v>311</v>
      </c>
      <c r="H92" s="1">
        <v>15</v>
      </c>
      <c r="I92" s="3" t="s">
        <v>312</v>
      </c>
      <c r="J92" s="1" t="s">
        <v>313</v>
      </c>
      <c r="K92" s="1"/>
      <c r="L92" s="3" t="s">
        <v>162</v>
      </c>
      <c r="M92" s="3" t="s">
        <v>149</v>
      </c>
      <c r="N92" s="1"/>
      <c r="O92" s="1" t="s">
        <v>25</v>
      </c>
      <c r="P92" s="3"/>
    </row>
    <row r="93" spans="1:16">
      <c r="A93" s="1">
        <v>92</v>
      </c>
      <c r="B93" s="1" t="s">
        <v>997</v>
      </c>
      <c r="C93" s="1" t="s">
        <v>15</v>
      </c>
      <c r="D93" s="1" t="s">
        <v>16</v>
      </c>
      <c r="E93" s="1" t="s">
        <v>37</v>
      </c>
      <c r="F93" s="1" t="s">
        <v>26</v>
      </c>
      <c r="G93" s="3" t="s">
        <v>314</v>
      </c>
      <c r="H93" s="1">
        <v>11</v>
      </c>
      <c r="I93" s="3" t="s">
        <v>315</v>
      </c>
      <c r="J93" s="1" t="s">
        <v>316</v>
      </c>
      <c r="K93" s="1"/>
      <c r="L93" s="3" t="s">
        <v>162</v>
      </c>
      <c r="M93" s="3" t="s">
        <v>317</v>
      </c>
      <c r="N93" s="1"/>
      <c r="O93" s="1" t="s">
        <v>25</v>
      </c>
      <c r="P93" s="3"/>
    </row>
    <row r="94" spans="1:16" ht="32">
      <c r="A94" s="1">
        <v>93</v>
      </c>
      <c r="B94" s="1" t="s">
        <v>997</v>
      </c>
      <c r="C94" s="1" t="s">
        <v>15</v>
      </c>
      <c r="D94" s="1" t="s">
        <v>16</v>
      </c>
      <c r="E94" s="1" t="s">
        <v>37</v>
      </c>
      <c r="F94" s="1" t="s">
        <v>26</v>
      </c>
      <c r="G94" s="3" t="s">
        <v>318</v>
      </c>
      <c r="H94" s="1">
        <v>14</v>
      </c>
      <c r="I94" s="3" t="s">
        <v>319</v>
      </c>
      <c r="J94" s="1" t="s">
        <v>22</v>
      </c>
      <c r="K94" s="1"/>
      <c r="L94" s="3" t="s">
        <v>162</v>
      </c>
      <c r="M94" s="3" t="s">
        <v>163</v>
      </c>
      <c r="N94" s="1"/>
      <c r="O94" s="1" t="s">
        <v>25</v>
      </c>
      <c r="P94" s="3"/>
    </row>
    <row r="95" spans="1:16">
      <c r="A95" s="1">
        <v>94</v>
      </c>
      <c r="B95" s="1" t="s">
        <v>997</v>
      </c>
      <c r="C95" s="1" t="s">
        <v>15</v>
      </c>
      <c r="D95" s="1" t="s">
        <v>16</v>
      </c>
      <c r="E95" s="1" t="s">
        <v>37</v>
      </c>
      <c r="F95" s="1" t="s">
        <v>32</v>
      </c>
      <c r="G95" s="3" t="s">
        <v>320</v>
      </c>
      <c r="H95" s="1">
        <v>14</v>
      </c>
      <c r="I95" s="3" t="s">
        <v>321</v>
      </c>
      <c r="J95" s="1" t="s">
        <v>22</v>
      </c>
      <c r="K95" s="1"/>
      <c r="L95" s="3" t="s">
        <v>162</v>
      </c>
      <c r="M95" s="3" t="s">
        <v>322</v>
      </c>
      <c r="N95" s="1"/>
      <c r="O95" s="1" t="s">
        <v>25</v>
      </c>
      <c r="P95" s="3"/>
    </row>
    <row r="96" spans="1:16">
      <c r="A96" s="1">
        <v>95</v>
      </c>
      <c r="B96" s="1" t="s">
        <v>997</v>
      </c>
      <c r="C96" s="1" t="s">
        <v>15</v>
      </c>
      <c r="D96" s="1" t="s">
        <v>16</v>
      </c>
      <c r="E96" s="1" t="s">
        <v>37</v>
      </c>
      <c r="F96" s="1" t="s">
        <v>32</v>
      </c>
      <c r="G96" s="3" t="s">
        <v>323</v>
      </c>
      <c r="H96" s="1">
        <v>13</v>
      </c>
      <c r="I96" s="3" t="s">
        <v>324</v>
      </c>
      <c r="J96" s="1" t="s">
        <v>45</v>
      </c>
      <c r="K96" s="1"/>
      <c r="L96" s="3" t="s">
        <v>162</v>
      </c>
      <c r="M96" s="3" t="s">
        <v>325</v>
      </c>
      <c r="N96" s="1"/>
      <c r="O96" s="1" t="s">
        <v>25</v>
      </c>
      <c r="P96" s="3"/>
    </row>
    <row r="97" spans="1:16">
      <c r="A97" s="1">
        <v>96</v>
      </c>
      <c r="B97" s="1" t="s">
        <v>997</v>
      </c>
      <c r="C97" s="1" t="s">
        <v>15</v>
      </c>
      <c r="D97" s="1" t="s">
        <v>16</v>
      </c>
      <c r="E97" s="1" t="s">
        <v>50</v>
      </c>
      <c r="F97" s="1" t="s">
        <v>18</v>
      </c>
      <c r="G97" s="3" t="s">
        <v>326</v>
      </c>
      <c r="H97" s="1">
        <v>15</v>
      </c>
      <c r="I97" s="3" t="s">
        <v>327</v>
      </c>
      <c r="J97" s="1" t="s">
        <v>310</v>
      </c>
      <c r="K97" s="1"/>
      <c r="L97" s="3" t="s">
        <v>22</v>
      </c>
      <c r="M97" s="3" t="s">
        <v>53</v>
      </c>
      <c r="N97" s="1"/>
      <c r="O97" s="1" t="s">
        <v>25</v>
      </c>
      <c r="P97" s="3"/>
    </row>
    <row r="98" spans="1:16">
      <c r="A98" s="1">
        <v>97</v>
      </c>
      <c r="B98" s="1" t="s">
        <v>997</v>
      </c>
      <c r="C98" s="1" t="s">
        <v>15</v>
      </c>
      <c r="D98" s="1" t="s">
        <v>16</v>
      </c>
      <c r="E98" s="1" t="s">
        <v>50</v>
      </c>
      <c r="F98" s="1" t="s">
        <v>18</v>
      </c>
      <c r="G98" s="3" t="s">
        <v>328</v>
      </c>
      <c r="H98" s="1">
        <v>15</v>
      </c>
      <c r="I98" s="3" t="s">
        <v>329</v>
      </c>
      <c r="J98" s="1" t="s">
        <v>330</v>
      </c>
      <c r="K98" s="1"/>
      <c r="L98" s="3" t="s">
        <v>22</v>
      </c>
      <c r="M98" s="3" t="s">
        <v>53</v>
      </c>
      <c r="N98" s="1"/>
      <c r="O98" s="1" t="s">
        <v>25</v>
      </c>
      <c r="P98" s="3"/>
    </row>
    <row r="99" spans="1:16">
      <c r="A99" s="1">
        <v>98</v>
      </c>
      <c r="B99" s="1" t="s">
        <v>997</v>
      </c>
      <c r="C99" s="1" t="s">
        <v>15</v>
      </c>
      <c r="D99" s="1" t="s">
        <v>16</v>
      </c>
      <c r="E99" s="1" t="s">
        <v>50</v>
      </c>
      <c r="F99" s="1" t="s">
        <v>26</v>
      </c>
      <c r="G99" s="3" t="s">
        <v>331</v>
      </c>
      <c r="H99" s="1">
        <v>14</v>
      </c>
      <c r="I99" s="3" t="s">
        <v>332</v>
      </c>
      <c r="J99" s="1" t="s">
        <v>299</v>
      </c>
      <c r="K99" s="1"/>
      <c r="L99" s="3" t="s">
        <v>211</v>
      </c>
      <c r="M99" s="3" t="s">
        <v>53</v>
      </c>
      <c r="N99" s="1"/>
      <c r="O99" s="1" t="s">
        <v>25</v>
      </c>
      <c r="P99" s="3"/>
    </row>
    <row r="100" spans="1:16">
      <c r="A100" s="1">
        <v>99</v>
      </c>
      <c r="B100" s="1" t="s">
        <v>997</v>
      </c>
      <c r="C100" s="1" t="s">
        <v>15</v>
      </c>
      <c r="D100" s="1" t="s">
        <v>16</v>
      </c>
      <c r="E100" s="1" t="s">
        <v>50</v>
      </c>
      <c r="F100" s="1" t="s">
        <v>26</v>
      </c>
      <c r="G100" s="3" t="s">
        <v>333</v>
      </c>
      <c r="H100" s="1">
        <v>15</v>
      </c>
      <c r="I100" s="3" t="s">
        <v>334</v>
      </c>
      <c r="J100" s="1" t="s">
        <v>22</v>
      </c>
      <c r="K100" s="1"/>
      <c r="L100" s="3" t="s">
        <v>22</v>
      </c>
      <c r="M100" s="3" t="s">
        <v>53</v>
      </c>
      <c r="N100" s="1"/>
      <c r="O100" s="1" t="s">
        <v>25</v>
      </c>
      <c r="P100" s="3"/>
    </row>
    <row r="101" spans="1:16">
      <c r="A101" s="1">
        <v>100</v>
      </c>
      <c r="B101" s="1" t="s">
        <v>997</v>
      </c>
      <c r="C101" s="1" t="s">
        <v>15</v>
      </c>
      <c r="D101" s="1" t="s">
        <v>16</v>
      </c>
      <c r="E101" s="1" t="s">
        <v>50</v>
      </c>
      <c r="F101" s="1" t="s">
        <v>32</v>
      </c>
      <c r="G101" s="3" t="s">
        <v>335</v>
      </c>
      <c r="H101" s="1">
        <v>10</v>
      </c>
      <c r="I101" s="3" t="s">
        <v>336</v>
      </c>
      <c r="J101" s="1" t="s">
        <v>22</v>
      </c>
      <c r="K101" s="1"/>
      <c r="L101" s="3" t="s">
        <v>211</v>
      </c>
      <c r="M101" s="3" t="s">
        <v>53</v>
      </c>
      <c r="N101" s="1"/>
      <c r="O101" s="1" t="s">
        <v>25</v>
      </c>
      <c r="P101" s="3"/>
    </row>
    <row r="102" spans="1:16">
      <c r="A102" s="1">
        <v>101</v>
      </c>
      <c r="B102" s="1" t="s">
        <v>997</v>
      </c>
      <c r="C102" s="1" t="s">
        <v>15</v>
      </c>
      <c r="D102" s="1" t="s">
        <v>16</v>
      </c>
      <c r="E102" s="1" t="s">
        <v>50</v>
      </c>
      <c r="F102" s="1" t="s">
        <v>32</v>
      </c>
      <c r="G102" s="3" t="s">
        <v>337</v>
      </c>
      <c r="H102" s="1">
        <v>17</v>
      </c>
      <c r="I102" s="3" t="s">
        <v>338</v>
      </c>
      <c r="J102" s="1" t="s">
        <v>22</v>
      </c>
      <c r="K102" s="1"/>
      <c r="L102" s="3" t="s">
        <v>162</v>
      </c>
      <c r="M102" s="3" t="s">
        <v>163</v>
      </c>
      <c r="N102" s="1"/>
      <c r="O102" s="1" t="s">
        <v>25</v>
      </c>
      <c r="P102" s="3"/>
    </row>
    <row r="103" spans="1:16">
      <c r="A103" s="1">
        <v>102</v>
      </c>
      <c r="B103" s="1" t="s">
        <v>997</v>
      </c>
      <c r="C103" s="1" t="s">
        <v>15</v>
      </c>
      <c r="D103" s="1" t="s">
        <v>16</v>
      </c>
      <c r="E103" s="1" t="s">
        <v>68</v>
      </c>
      <c r="F103" s="1" t="s">
        <v>18</v>
      </c>
      <c r="G103" s="3" t="s">
        <v>339</v>
      </c>
      <c r="H103" s="1">
        <v>13</v>
      </c>
      <c r="I103" s="3" t="s">
        <v>340</v>
      </c>
      <c r="J103" s="1" t="s">
        <v>22</v>
      </c>
      <c r="K103" s="1"/>
      <c r="L103" s="3" t="s">
        <v>22</v>
      </c>
      <c r="M103" s="3" t="s">
        <v>188</v>
      </c>
      <c r="N103" s="1"/>
      <c r="O103" s="1" t="s">
        <v>25</v>
      </c>
      <c r="P103" s="3"/>
    </row>
    <row r="104" spans="1:16">
      <c r="A104" s="1">
        <v>103</v>
      </c>
      <c r="B104" s="1" t="s">
        <v>997</v>
      </c>
      <c r="C104" s="1" t="s">
        <v>15</v>
      </c>
      <c r="D104" s="1" t="s">
        <v>16</v>
      </c>
      <c r="E104" s="1" t="s">
        <v>68</v>
      </c>
      <c r="F104" s="1" t="s">
        <v>18</v>
      </c>
      <c r="G104" s="3" t="s">
        <v>341</v>
      </c>
      <c r="H104" s="1">
        <v>11</v>
      </c>
      <c r="I104" s="3" t="s">
        <v>342</v>
      </c>
      <c r="J104" s="1" t="s">
        <v>22</v>
      </c>
      <c r="K104" s="1"/>
      <c r="L104" s="3" t="s">
        <v>22</v>
      </c>
      <c r="M104" s="3" t="s">
        <v>343</v>
      </c>
      <c r="N104" s="1"/>
      <c r="O104" s="1" t="s">
        <v>25</v>
      </c>
      <c r="P104" s="3"/>
    </row>
    <row r="105" spans="1:16">
      <c r="A105" s="1">
        <v>104</v>
      </c>
      <c r="B105" s="1" t="s">
        <v>997</v>
      </c>
      <c r="C105" s="1" t="s">
        <v>15</v>
      </c>
      <c r="D105" s="1" t="s">
        <v>16</v>
      </c>
      <c r="E105" s="1" t="s">
        <v>68</v>
      </c>
      <c r="F105" s="1" t="s">
        <v>26</v>
      </c>
      <c r="G105" s="3" t="s">
        <v>344</v>
      </c>
      <c r="H105" s="1">
        <v>16</v>
      </c>
      <c r="I105" s="3" t="s">
        <v>345</v>
      </c>
      <c r="J105" s="1" t="s">
        <v>22</v>
      </c>
      <c r="K105" s="1"/>
      <c r="L105" s="3" t="s">
        <v>22</v>
      </c>
      <c r="M105" s="3" t="s">
        <v>346</v>
      </c>
      <c r="N105" s="1"/>
      <c r="O105" s="1" t="s">
        <v>25</v>
      </c>
      <c r="P105" s="3"/>
    </row>
    <row r="106" spans="1:16">
      <c r="A106" s="1">
        <v>105</v>
      </c>
      <c r="B106" s="1" t="s">
        <v>997</v>
      </c>
      <c r="C106" s="1" t="s">
        <v>15</v>
      </c>
      <c r="D106" s="1" t="s">
        <v>16</v>
      </c>
      <c r="E106" s="1" t="s">
        <v>68</v>
      </c>
      <c r="F106" s="1" t="s">
        <v>26</v>
      </c>
      <c r="G106" s="3" t="s">
        <v>347</v>
      </c>
      <c r="H106" s="1">
        <v>13</v>
      </c>
      <c r="I106" s="3" t="s">
        <v>348</v>
      </c>
      <c r="J106" s="1" t="s">
        <v>22</v>
      </c>
      <c r="K106" s="1"/>
      <c r="L106" s="3" t="s">
        <v>22</v>
      </c>
      <c r="M106" s="3" t="s">
        <v>188</v>
      </c>
      <c r="N106" s="1"/>
      <c r="O106" s="1" t="s">
        <v>25</v>
      </c>
      <c r="P106" s="3"/>
    </row>
    <row r="107" spans="1:16">
      <c r="A107" s="1">
        <v>106</v>
      </c>
      <c r="B107" s="1" t="s">
        <v>997</v>
      </c>
      <c r="C107" s="1" t="s">
        <v>15</v>
      </c>
      <c r="D107" s="1" t="s">
        <v>16</v>
      </c>
      <c r="E107" s="1" t="s">
        <v>68</v>
      </c>
      <c r="F107" s="1" t="s">
        <v>32</v>
      </c>
      <c r="G107" s="3" t="s">
        <v>349</v>
      </c>
      <c r="H107" s="1">
        <v>12</v>
      </c>
      <c r="I107" s="3" t="s">
        <v>350</v>
      </c>
      <c r="J107" s="1" t="s">
        <v>313</v>
      </c>
      <c r="K107" s="1"/>
      <c r="L107" s="3" t="s">
        <v>22</v>
      </c>
      <c r="M107" s="3" t="s">
        <v>188</v>
      </c>
      <c r="N107" s="1"/>
      <c r="O107" s="1" t="s">
        <v>25</v>
      </c>
      <c r="P107" s="3"/>
    </row>
    <row r="108" spans="1:16">
      <c r="A108" s="1">
        <v>107</v>
      </c>
      <c r="B108" s="1" t="s">
        <v>997</v>
      </c>
      <c r="C108" s="1" t="s">
        <v>15</v>
      </c>
      <c r="D108" s="1" t="s">
        <v>16</v>
      </c>
      <c r="E108" s="1" t="s">
        <v>68</v>
      </c>
      <c r="F108" s="1" t="s">
        <v>32</v>
      </c>
      <c r="G108" s="3" t="s">
        <v>351</v>
      </c>
      <c r="H108" s="1">
        <v>12</v>
      </c>
      <c r="I108" s="3" t="s">
        <v>352</v>
      </c>
      <c r="J108" s="1" t="s">
        <v>22</v>
      </c>
      <c r="K108" s="1"/>
      <c r="L108" s="3" t="s">
        <v>22</v>
      </c>
      <c r="M108" s="3" t="s">
        <v>353</v>
      </c>
      <c r="N108" s="1"/>
      <c r="O108" s="1" t="s">
        <v>25</v>
      </c>
      <c r="P108" s="3"/>
    </row>
    <row r="109" spans="1:16">
      <c r="A109" s="1">
        <v>108</v>
      </c>
      <c r="B109" s="1" t="s">
        <v>997</v>
      </c>
      <c r="C109" s="1" t="s">
        <v>15</v>
      </c>
      <c r="D109" s="1" t="s">
        <v>16</v>
      </c>
      <c r="E109" s="1" t="s">
        <v>84</v>
      </c>
      <c r="F109" s="1" t="s">
        <v>18</v>
      </c>
      <c r="G109" s="3" t="s">
        <v>354</v>
      </c>
      <c r="H109" s="1">
        <v>11</v>
      </c>
      <c r="I109" s="3" t="s">
        <v>355</v>
      </c>
      <c r="J109" s="1" t="s">
        <v>45</v>
      </c>
      <c r="K109" s="1"/>
      <c r="L109" s="3" t="s">
        <v>211</v>
      </c>
      <c r="M109" s="3" t="s">
        <v>356</v>
      </c>
      <c r="N109" s="1"/>
      <c r="O109" s="1" t="s">
        <v>25</v>
      </c>
      <c r="P109" s="3"/>
    </row>
    <row r="110" spans="1:16" ht="48">
      <c r="A110" s="1">
        <v>109</v>
      </c>
      <c r="B110" s="1" t="s">
        <v>997</v>
      </c>
      <c r="C110" s="1" t="s">
        <v>15</v>
      </c>
      <c r="D110" s="1" t="s">
        <v>16</v>
      </c>
      <c r="E110" s="1" t="s">
        <v>84</v>
      </c>
      <c r="F110" s="1" t="s">
        <v>18</v>
      </c>
      <c r="G110" s="3" t="s">
        <v>357</v>
      </c>
      <c r="H110" s="1">
        <v>16</v>
      </c>
      <c r="I110" s="3" t="s">
        <v>358</v>
      </c>
      <c r="J110" s="1" t="s">
        <v>45</v>
      </c>
      <c r="K110" s="1"/>
      <c r="L110" s="3" t="s">
        <v>359</v>
      </c>
      <c r="M110" s="3" t="s">
        <v>360</v>
      </c>
      <c r="N110" s="1"/>
      <c r="O110" s="1" t="s">
        <v>66</v>
      </c>
      <c r="P110" s="3" t="s">
        <v>281</v>
      </c>
    </row>
    <row r="111" spans="1:16">
      <c r="A111" s="1">
        <v>110</v>
      </c>
      <c r="B111" s="1" t="s">
        <v>997</v>
      </c>
      <c r="C111" s="1" t="s">
        <v>15</v>
      </c>
      <c r="D111" s="1" t="s">
        <v>16</v>
      </c>
      <c r="E111" s="1" t="s">
        <v>84</v>
      </c>
      <c r="F111" s="1" t="s">
        <v>26</v>
      </c>
      <c r="G111" s="3" t="s">
        <v>361</v>
      </c>
      <c r="H111" s="1">
        <v>12</v>
      </c>
      <c r="I111" s="3" t="s">
        <v>362</v>
      </c>
      <c r="J111" s="1" t="s">
        <v>45</v>
      </c>
      <c r="K111" s="1"/>
      <c r="L111" s="3" t="s">
        <v>211</v>
      </c>
      <c r="M111" s="3" t="s">
        <v>307</v>
      </c>
      <c r="N111" s="1"/>
      <c r="O111" s="1" t="s">
        <v>25</v>
      </c>
      <c r="P111" s="3"/>
    </row>
    <row r="112" spans="1:16">
      <c r="A112" s="1">
        <v>111</v>
      </c>
      <c r="B112" s="1" t="s">
        <v>997</v>
      </c>
      <c r="C112" s="1" t="s">
        <v>15</v>
      </c>
      <c r="D112" s="1" t="s">
        <v>16</v>
      </c>
      <c r="E112" s="1" t="s">
        <v>84</v>
      </c>
      <c r="F112" s="1" t="s">
        <v>26</v>
      </c>
      <c r="G112" s="3" t="s">
        <v>363</v>
      </c>
      <c r="H112" s="1">
        <v>16</v>
      </c>
      <c r="I112" s="3" t="s">
        <v>364</v>
      </c>
      <c r="J112" s="1" t="s">
        <v>316</v>
      </c>
      <c r="K112" s="1"/>
      <c r="L112" s="3" t="s">
        <v>211</v>
      </c>
      <c r="M112" s="3" t="s">
        <v>365</v>
      </c>
      <c r="N112" s="1"/>
      <c r="O112" s="1" t="s">
        <v>25</v>
      </c>
      <c r="P112" s="3"/>
    </row>
    <row r="113" spans="1:16" ht="48">
      <c r="A113" s="1">
        <v>112</v>
      </c>
      <c r="B113" s="1" t="s">
        <v>997</v>
      </c>
      <c r="C113" s="1" t="s">
        <v>15</v>
      </c>
      <c r="D113" s="1" t="s">
        <v>16</v>
      </c>
      <c r="E113" s="1" t="s">
        <v>84</v>
      </c>
      <c r="F113" s="1" t="s">
        <v>32</v>
      </c>
      <c r="G113" s="3" t="s">
        <v>366</v>
      </c>
      <c r="H113" s="1">
        <v>13</v>
      </c>
      <c r="I113" s="3" t="s">
        <v>367</v>
      </c>
      <c r="J113" s="1" t="s">
        <v>45</v>
      </c>
      <c r="K113" s="1"/>
      <c r="L113" s="3" t="s">
        <v>222</v>
      </c>
      <c r="M113" s="3" t="s">
        <v>368</v>
      </c>
      <c r="N113" s="1"/>
      <c r="O113" s="1" t="s">
        <v>66</v>
      </c>
      <c r="P113" s="3" t="s">
        <v>224</v>
      </c>
    </row>
    <row r="114" spans="1:16">
      <c r="A114" s="1">
        <v>113</v>
      </c>
      <c r="B114" s="1" t="s">
        <v>997</v>
      </c>
      <c r="C114" s="1" t="s">
        <v>15</v>
      </c>
      <c r="D114" s="1" t="s">
        <v>16</v>
      </c>
      <c r="E114" s="1" t="s">
        <v>94</v>
      </c>
      <c r="F114" s="1" t="s">
        <v>18</v>
      </c>
      <c r="G114" s="3" t="s">
        <v>369</v>
      </c>
      <c r="H114" s="1">
        <v>13</v>
      </c>
      <c r="I114" s="3" t="s">
        <v>370</v>
      </c>
      <c r="J114" s="1" t="s">
        <v>22</v>
      </c>
      <c r="K114" s="1"/>
      <c r="L114" s="3" t="s">
        <v>211</v>
      </c>
      <c r="M114" s="3" t="s">
        <v>97</v>
      </c>
      <c r="N114" s="1"/>
      <c r="O114" s="1" t="s">
        <v>25</v>
      </c>
      <c r="P114" s="3"/>
    </row>
    <row r="115" spans="1:16">
      <c r="A115" s="1">
        <v>114</v>
      </c>
      <c r="B115" s="1" t="s">
        <v>997</v>
      </c>
      <c r="C115" s="1" t="s">
        <v>15</v>
      </c>
      <c r="D115" s="1" t="s">
        <v>16</v>
      </c>
      <c r="E115" s="1" t="s">
        <v>94</v>
      </c>
      <c r="F115" s="1" t="s">
        <v>18</v>
      </c>
      <c r="G115" s="3" t="s">
        <v>371</v>
      </c>
      <c r="H115" s="1">
        <v>12</v>
      </c>
      <c r="I115" s="3" t="s">
        <v>372</v>
      </c>
      <c r="J115" s="1" t="s">
        <v>22</v>
      </c>
      <c r="K115" s="1"/>
      <c r="L115" s="3" t="s">
        <v>211</v>
      </c>
      <c r="M115" s="3" t="s">
        <v>97</v>
      </c>
      <c r="N115" s="1"/>
      <c r="O115" s="1" t="s">
        <v>25</v>
      </c>
      <c r="P115" s="3"/>
    </row>
    <row r="116" spans="1:16">
      <c r="A116" s="1">
        <v>115</v>
      </c>
      <c r="B116" s="1" t="s">
        <v>997</v>
      </c>
      <c r="C116" s="1" t="s">
        <v>15</v>
      </c>
      <c r="D116" s="1" t="s">
        <v>16</v>
      </c>
      <c r="E116" s="1" t="s">
        <v>94</v>
      </c>
      <c r="F116" s="1" t="s">
        <v>26</v>
      </c>
      <c r="G116" s="3" t="s">
        <v>373</v>
      </c>
      <c r="H116" s="1">
        <v>14</v>
      </c>
      <c r="I116" s="3" t="s">
        <v>374</v>
      </c>
      <c r="J116" s="1" t="s">
        <v>22</v>
      </c>
      <c r="K116" s="1"/>
      <c r="L116" s="3" t="s">
        <v>211</v>
      </c>
      <c r="M116" s="3" t="s">
        <v>375</v>
      </c>
      <c r="N116" s="1"/>
      <c r="O116" s="1" t="s">
        <v>25</v>
      </c>
      <c r="P116" s="3"/>
    </row>
    <row r="117" spans="1:16">
      <c r="A117" s="1">
        <v>116</v>
      </c>
      <c r="B117" s="1" t="s">
        <v>997</v>
      </c>
      <c r="C117" s="1" t="s">
        <v>15</v>
      </c>
      <c r="D117" s="1" t="s">
        <v>16</v>
      </c>
      <c r="E117" s="1" t="s">
        <v>94</v>
      </c>
      <c r="F117" s="1" t="s">
        <v>26</v>
      </c>
      <c r="G117" s="3" t="s">
        <v>376</v>
      </c>
      <c r="H117" s="1">
        <v>16</v>
      </c>
      <c r="I117" s="3" t="s">
        <v>377</v>
      </c>
      <c r="J117" s="1" t="s">
        <v>313</v>
      </c>
      <c r="K117" s="1"/>
      <c r="L117" s="3" t="s">
        <v>211</v>
      </c>
      <c r="M117" s="3" t="s">
        <v>227</v>
      </c>
      <c r="N117" s="1"/>
      <c r="O117" s="1" t="s">
        <v>25</v>
      </c>
      <c r="P117" s="3"/>
    </row>
    <row r="118" spans="1:16">
      <c r="A118" s="1">
        <v>117</v>
      </c>
      <c r="B118" s="1" t="s">
        <v>997</v>
      </c>
      <c r="C118" s="1" t="s">
        <v>15</v>
      </c>
      <c r="D118" s="1" t="s">
        <v>16</v>
      </c>
      <c r="E118" s="1" t="s">
        <v>94</v>
      </c>
      <c r="F118" s="1" t="s">
        <v>32</v>
      </c>
      <c r="G118" s="3" t="s">
        <v>378</v>
      </c>
      <c r="H118" s="1">
        <v>15</v>
      </c>
      <c r="I118" s="3" t="s">
        <v>379</v>
      </c>
      <c r="J118" s="1" t="s">
        <v>380</v>
      </c>
      <c r="K118" s="1"/>
      <c r="L118" s="3" t="s">
        <v>185</v>
      </c>
      <c r="M118" s="3" t="s">
        <v>107</v>
      </c>
      <c r="N118" s="1"/>
      <c r="O118" s="1" t="s">
        <v>25</v>
      </c>
      <c r="P118" s="3"/>
    </row>
    <row r="119" spans="1:16">
      <c r="A119" s="1">
        <v>118</v>
      </c>
      <c r="B119" s="1" t="s">
        <v>997</v>
      </c>
      <c r="C119" s="1" t="s">
        <v>15</v>
      </c>
      <c r="D119" s="1" t="s">
        <v>16</v>
      </c>
      <c r="E119" s="1" t="s">
        <v>94</v>
      </c>
      <c r="F119" s="1" t="s">
        <v>32</v>
      </c>
      <c r="G119" s="3" t="s">
        <v>381</v>
      </c>
      <c r="H119" s="1">
        <v>8</v>
      </c>
      <c r="I119" s="3" t="s">
        <v>382</v>
      </c>
      <c r="J119" s="1" t="s">
        <v>22</v>
      </c>
      <c r="K119" s="1"/>
      <c r="L119" s="3" t="s">
        <v>240</v>
      </c>
      <c r="M119" s="3" t="s">
        <v>383</v>
      </c>
      <c r="N119" s="1"/>
      <c r="O119" s="1" t="s">
        <v>25</v>
      </c>
      <c r="P119" s="3"/>
    </row>
    <row r="120" spans="1:16">
      <c r="A120" s="1">
        <v>119</v>
      </c>
      <c r="B120" s="1" t="s">
        <v>997</v>
      </c>
      <c r="C120" s="1" t="s">
        <v>15</v>
      </c>
      <c r="D120" s="1" t="s">
        <v>16</v>
      </c>
      <c r="E120" s="1" t="s">
        <v>111</v>
      </c>
      <c r="F120" s="1" t="s">
        <v>18</v>
      </c>
      <c r="G120" s="3" t="s">
        <v>384</v>
      </c>
      <c r="H120" s="1">
        <v>13</v>
      </c>
      <c r="I120" s="3" t="s">
        <v>385</v>
      </c>
      <c r="J120" s="1" t="s">
        <v>22</v>
      </c>
      <c r="K120" s="1"/>
      <c r="L120" s="3" t="s">
        <v>243</v>
      </c>
      <c r="M120" s="3" t="s">
        <v>134</v>
      </c>
      <c r="N120" s="1"/>
      <c r="O120" s="1" t="s">
        <v>25</v>
      </c>
      <c r="P120" s="3"/>
    </row>
    <row r="121" spans="1:16">
      <c r="A121" s="1">
        <v>120</v>
      </c>
      <c r="B121" s="1" t="s">
        <v>997</v>
      </c>
      <c r="C121" s="1" t="s">
        <v>15</v>
      </c>
      <c r="D121" s="1" t="s">
        <v>16</v>
      </c>
      <c r="E121" s="1" t="s">
        <v>111</v>
      </c>
      <c r="F121" s="1" t="s">
        <v>18</v>
      </c>
      <c r="G121" s="3" t="s">
        <v>386</v>
      </c>
      <c r="H121" s="1">
        <v>18</v>
      </c>
      <c r="I121" s="3" t="s">
        <v>387</v>
      </c>
      <c r="J121" s="1" t="s">
        <v>310</v>
      </c>
      <c r="K121" s="1"/>
      <c r="L121" s="3" t="s">
        <v>243</v>
      </c>
      <c r="M121" s="3" t="s">
        <v>149</v>
      </c>
      <c r="N121" s="1"/>
      <c r="O121" s="1" t="s">
        <v>25</v>
      </c>
      <c r="P121" s="3"/>
    </row>
    <row r="122" spans="1:16">
      <c r="A122" s="1">
        <v>121</v>
      </c>
      <c r="B122" s="1" t="s">
        <v>997</v>
      </c>
      <c r="C122" s="1" t="s">
        <v>15</v>
      </c>
      <c r="D122" s="1" t="s">
        <v>16</v>
      </c>
      <c r="E122" s="1" t="s">
        <v>111</v>
      </c>
      <c r="F122" s="1" t="s">
        <v>26</v>
      </c>
      <c r="G122" s="3" t="s">
        <v>388</v>
      </c>
      <c r="H122" s="1">
        <v>14</v>
      </c>
      <c r="I122" s="3" t="s">
        <v>389</v>
      </c>
      <c r="J122" s="1" t="s">
        <v>22</v>
      </c>
      <c r="K122" s="1"/>
      <c r="L122" s="3" t="s">
        <v>243</v>
      </c>
      <c r="M122" s="3" t="s">
        <v>390</v>
      </c>
      <c r="N122" s="1"/>
      <c r="O122" s="1" t="s">
        <v>25</v>
      </c>
      <c r="P122" s="3"/>
    </row>
    <row r="123" spans="1:16">
      <c r="A123" s="1">
        <v>122</v>
      </c>
      <c r="B123" s="1" t="s">
        <v>997</v>
      </c>
      <c r="C123" s="1" t="s">
        <v>15</v>
      </c>
      <c r="D123" s="1" t="s">
        <v>16</v>
      </c>
      <c r="E123" s="1" t="s">
        <v>111</v>
      </c>
      <c r="F123" s="1" t="s">
        <v>26</v>
      </c>
      <c r="G123" s="3" t="s">
        <v>391</v>
      </c>
      <c r="H123" s="1">
        <v>13</v>
      </c>
      <c r="I123" s="3" t="s">
        <v>392</v>
      </c>
      <c r="J123" s="1" t="s">
        <v>22</v>
      </c>
      <c r="K123" s="1"/>
      <c r="L123" s="3" t="s">
        <v>243</v>
      </c>
      <c r="M123" s="3" t="s">
        <v>393</v>
      </c>
      <c r="N123" s="1"/>
      <c r="O123" s="1" t="s">
        <v>25</v>
      </c>
      <c r="P123" s="3"/>
    </row>
    <row r="124" spans="1:16">
      <c r="A124" s="1">
        <v>123</v>
      </c>
      <c r="B124" s="1" t="s">
        <v>997</v>
      </c>
      <c r="C124" s="1" t="s">
        <v>15</v>
      </c>
      <c r="D124" s="1" t="s">
        <v>16</v>
      </c>
      <c r="E124" s="1" t="s">
        <v>111</v>
      </c>
      <c r="F124" s="1" t="s">
        <v>32</v>
      </c>
      <c r="G124" s="3" t="s">
        <v>394</v>
      </c>
      <c r="H124" s="1">
        <v>15</v>
      </c>
      <c r="I124" s="3" t="s">
        <v>395</v>
      </c>
      <c r="J124" s="1" t="s">
        <v>22</v>
      </c>
      <c r="K124" s="1"/>
      <c r="L124" s="3" t="s">
        <v>243</v>
      </c>
      <c r="M124" s="3" t="s">
        <v>396</v>
      </c>
      <c r="N124" s="1"/>
      <c r="O124" s="1" t="s">
        <v>25</v>
      </c>
      <c r="P124" s="3"/>
    </row>
    <row r="125" spans="1:16">
      <c r="A125" s="1">
        <v>124</v>
      </c>
      <c r="B125" s="1" t="s">
        <v>997</v>
      </c>
      <c r="C125" s="1" t="s">
        <v>15</v>
      </c>
      <c r="D125" s="1" t="s">
        <v>16</v>
      </c>
      <c r="E125" s="1" t="s">
        <v>111</v>
      </c>
      <c r="F125" s="1" t="s">
        <v>32</v>
      </c>
      <c r="G125" s="3" t="s">
        <v>397</v>
      </c>
      <c r="H125" s="1">
        <v>16</v>
      </c>
      <c r="I125" s="3" t="s">
        <v>398</v>
      </c>
      <c r="J125" s="1" t="s">
        <v>45</v>
      </c>
      <c r="K125" s="1"/>
      <c r="L125" s="3" t="s">
        <v>249</v>
      </c>
      <c r="M125" s="3" t="s">
        <v>399</v>
      </c>
      <c r="N125" s="1"/>
      <c r="O125" s="1" t="s">
        <v>25</v>
      </c>
      <c r="P125" s="3"/>
    </row>
    <row r="126" spans="1:16">
      <c r="A126" s="1">
        <v>125</v>
      </c>
      <c r="B126" s="1" t="s">
        <v>997</v>
      </c>
      <c r="C126" s="1" t="s">
        <v>15</v>
      </c>
      <c r="D126" s="1" t="s">
        <v>16</v>
      </c>
      <c r="E126" s="1" t="s">
        <v>120</v>
      </c>
      <c r="F126" s="1" t="s">
        <v>18</v>
      </c>
      <c r="G126" s="3" t="s">
        <v>400</v>
      </c>
      <c r="H126" s="1">
        <v>9</v>
      </c>
      <c r="I126" s="3" t="s">
        <v>401</v>
      </c>
      <c r="J126" s="1" t="s">
        <v>313</v>
      </c>
      <c r="K126" s="1"/>
      <c r="L126" s="3" t="s">
        <v>22</v>
      </c>
      <c r="M126" s="3" t="s">
        <v>261</v>
      </c>
      <c r="N126" s="1"/>
      <c r="O126" s="1" t="s">
        <v>25</v>
      </c>
      <c r="P126" s="3"/>
    </row>
    <row r="127" spans="1:16">
      <c r="A127" s="1">
        <v>126</v>
      </c>
      <c r="B127" s="1" t="s">
        <v>997</v>
      </c>
      <c r="C127" s="1" t="s">
        <v>15</v>
      </c>
      <c r="D127" s="1" t="s">
        <v>16</v>
      </c>
      <c r="E127" s="1" t="s">
        <v>120</v>
      </c>
      <c r="F127" s="1" t="s">
        <v>18</v>
      </c>
      <c r="G127" s="3" t="s">
        <v>402</v>
      </c>
      <c r="H127" s="1">
        <v>16</v>
      </c>
      <c r="I127" s="3" t="s">
        <v>403</v>
      </c>
      <c r="J127" s="1" t="s">
        <v>22</v>
      </c>
      <c r="K127" s="1"/>
      <c r="L127" s="3" t="s">
        <v>22</v>
      </c>
      <c r="M127" s="3" t="s">
        <v>65</v>
      </c>
      <c r="N127" s="1"/>
      <c r="O127" s="1" t="s">
        <v>25</v>
      </c>
      <c r="P127" s="3"/>
    </row>
    <row r="128" spans="1:16">
      <c r="A128" s="1">
        <v>127</v>
      </c>
      <c r="B128" s="1" t="s">
        <v>997</v>
      </c>
      <c r="C128" s="1" t="s">
        <v>15</v>
      </c>
      <c r="D128" s="1" t="s">
        <v>16</v>
      </c>
      <c r="E128" s="1" t="s">
        <v>120</v>
      </c>
      <c r="F128" s="1" t="s">
        <v>26</v>
      </c>
      <c r="G128" s="3" t="s">
        <v>404</v>
      </c>
      <c r="H128" s="1">
        <v>9</v>
      </c>
      <c r="I128" s="3" t="s">
        <v>405</v>
      </c>
      <c r="J128" s="1" t="s">
        <v>22</v>
      </c>
      <c r="K128" s="1"/>
      <c r="L128" s="3" t="s">
        <v>22</v>
      </c>
      <c r="M128" s="3" t="s">
        <v>270</v>
      </c>
      <c r="N128" s="1"/>
      <c r="O128" s="1" t="s">
        <v>25</v>
      </c>
      <c r="P128" s="3"/>
    </row>
    <row r="129" spans="1:16">
      <c r="A129" s="1">
        <v>128</v>
      </c>
      <c r="B129" s="1" t="s">
        <v>997</v>
      </c>
      <c r="C129" s="1" t="s">
        <v>15</v>
      </c>
      <c r="D129" s="1" t="s">
        <v>16</v>
      </c>
      <c r="E129" s="1" t="s">
        <v>120</v>
      </c>
      <c r="F129" s="1" t="s">
        <v>26</v>
      </c>
      <c r="G129" s="3" t="s">
        <v>406</v>
      </c>
      <c r="H129" s="1">
        <v>15</v>
      </c>
      <c r="I129" s="3" t="s">
        <v>407</v>
      </c>
      <c r="J129" s="1" t="s">
        <v>22</v>
      </c>
      <c r="K129" s="1"/>
      <c r="L129" s="3" t="s">
        <v>22</v>
      </c>
      <c r="M129" s="3" t="s">
        <v>267</v>
      </c>
      <c r="N129" s="1"/>
      <c r="O129" s="1" t="s">
        <v>25</v>
      </c>
      <c r="P129" s="3"/>
    </row>
    <row r="130" spans="1:16">
      <c r="A130" s="1">
        <v>129</v>
      </c>
      <c r="B130" s="1" t="s">
        <v>997</v>
      </c>
      <c r="C130" s="1" t="s">
        <v>15</v>
      </c>
      <c r="D130" s="1" t="s">
        <v>16</v>
      </c>
      <c r="E130" s="1" t="s">
        <v>120</v>
      </c>
      <c r="F130" s="1" t="s">
        <v>32</v>
      </c>
      <c r="G130" s="3" t="s">
        <v>408</v>
      </c>
      <c r="H130" s="1">
        <v>11</v>
      </c>
      <c r="I130" s="3" t="s">
        <v>409</v>
      </c>
      <c r="J130" s="1" t="s">
        <v>313</v>
      </c>
      <c r="K130" s="1"/>
      <c r="L130" s="3" t="s">
        <v>22</v>
      </c>
      <c r="M130" s="3" t="s">
        <v>410</v>
      </c>
      <c r="N130" s="1"/>
      <c r="O130" s="1" t="s">
        <v>25</v>
      </c>
      <c r="P130" s="3"/>
    </row>
    <row r="131" spans="1:16">
      <c r="A131" s="1">
        <v>130</v>
      </c>
      <c r="B131" s="1" t="s">
        <v>997</v>
      </c>
      <c r="C131" s="1" t="s">
        <v>15</v>
      </c>
      <c r="D131" s="1" t="s">
        <v>16</v>
      </c>
      <c r="E131" s="1" t="s">
        <v>120</v>
      </c>
      <c r="F131" s="1" t="s">
        <v>32</v>
      </c>
      <c r="G131" s="3" t="s">
        <v>411</v>
      </c>
      <c r="H131" s="1">
        <v>16</v>
      </c>
      <c r="I131" s="3" t="s">
        <v>412</v>
      </c>
      <c r="J131" s="1" t="s">
        <v>45</v>
      </c>
      <c r="K131" s="1"/>
      <c r="L131" s="3" t="s">
        <v>22</v>
      </c>
      <c r="M131" s="3" t="s">
        <v>413</v>
      </c>
      <c r="N131" s="1"/>
      <c r="O131" s="1" t="s">
        <v>25</v>
      </c>
      <c r="P131" s="3"/>
    </row>
    <row r="132" spans="1:16">
      <c r="A132" s="1">
        <v>131</v>
      </c>
      <c r="B132" s="1" t="s">
        <v>997</v>
      </c>
      <c r="C132" s="1" t="s">
        <v>15</v>
      </c>
      <c r="D132" s="1" t="s">
        <v>16</v>
      </c>
      <c r="E132" s="1" t="s">
        <v>17</v>
      </c>
      <c r="F132" s="1" t="s">
        <v>18</v>
      </c>
      <c r="G132" s="3" t="s">
        <v>414</v>
      </c>
      <c r="H132" s="1">
        <v>16</v>
      </c>
      <c r="I132" s="3" t="s">
        <v>415</v>
      </c>
      <c r="J132" s="1" t="s">
        <v>45</v>
      </c>
      <c r="K132" s="1"/>
      <c r="L132" s="3" t="s">
        <v>22</v>
      </c>
      <c r="M132" s="3" t="s">
        <v>227</v>
      </c>
      <c r="N132" s="1"/>
      <c r="O132" s="1" t="s">
        <v>25</v>
      </c>
      <c r="P132" s="3"/>
    </row>
    <row r="133" spans="1:16">
      <c r="A133" s="1">
        <v>132</v>
      </c>
      <c r="B133" s="1" t="s">
        <v>997</v>
      </c>
      <c r="C133" s="1" t="s">
        <v>15</v>
      </c>
      <c r="D133" s="1" t="s">
        <v>16</v>
      </c>
      <c r="E133" s="1" t="s">
        <v>17</v>
      </c>
      <c r="F133" s="1" t="s">
        <v>18</v>
      </c>
      <c r="G133" s="3" t="s">
        <v>416</v>
      </c>
      <c r="H133" s="1">
        <v>14</v>
      </c>
      <c r="I133" s="3" t="s">
        <v>417</v>
      </c>
      <c r="J133" s="1" t="s">
        <v>299</v>
      </c>
      <c r="K133" s="1"/>
      <c r="L133" s="3" t="s">
        <v>22</v>
      </c>
      <c r="M133" s="3" t="s">
        <v>418</v>
      </c>
      <c r="N133" s="1"/>
      <c r="O133" s="1" t="s">
        <v>25</v>
      </c>
      <c r="P133" s="3"/>
    </row>
    <row r="134" spans="1:16">
      <c r="A134" s="1">
        <v>133</v>
      </c>
      <c r="B134" s="1" t="s">
        <v>997</v>
      </c>
      <c r="C134" s="1" t="s">
        <v>15</v>
      </c>
      <c r="D134" s="1" t="s">
        <v>16</v>
      </c>
      <c r="E134" s="1" t="s">
        <v>17</v>
      </c>
      <c r="F134" s="1" t="s">
        <v>26</v>
      </c>
      <c r="G134" s="3" t="s">
        <v>419</v>
      </c>
      <c r="H134" s="1">
        <v>11</v>
      </c>
      <c r="I134" s="3" t="s">
        <v>420</v>
      </c>
      <c r="J134" s="1" t="s">
        <v>421</v>
      </c>
      <c r="K134" s="1"/>
      <c r="L134" s="3" t="s">
        <v>22</v>
      </c>
      <c r="M134" s="3" t="s">
        <v>31</v>
      </c>
      <c r="N134" s="1"/>
      <c r="O134" s="1" t="s">
        <v>25</v>
      </c>
      <c r="P134" s="3"/>
    </row>
    <row r="135" spans="1:16">
      <c r="A135" s="1">
        <v>134</v>
      </c>
      <c r="B135" s="1" t="s">
        <v>997</v>
      </c>
      <c r="C135" s="1" t="s">
        <v>15</v>
      </c>
      <c r="D135" s="1" t="s">
        <v>16</v>
      </c>
      <c r="E135" s="1" t="s">
        <v>17</v>
      </c>
      <c r="F135" s="1" t="s">
        <v>26</v>
      </c>
      <c r="G135" s="3" t="s">
        <v>422</v>
      </c>
      <c r="H135" s="1">
        <v>16</v>
      </c>
      <c r="I135" s="3" t="s">
        <v>423</v>
      </c>
      <c r="J135" s="1" t="s">
        <v>424</v>
      </c>
      <c r="K135" s="1"/>
      <c r="L135" s="3" t="s">
        <v>22</v>
      </c>
      <c r="M135" s="3" t="s">
        <v>23</v>
      </c>
      <c r="N135" s="1"/>
      <c r="O135" s="1" t="s">
        <v>25</v>
      </c>
      <c r="P135" s="3"/>
    </row>
    <row r="136" spans="1:16">
      <c r="A136" s="1">
        <v>135</v>
      </c>
      <c r="B136" s="1" t="s">
        <v>997</v>
      </c>
      <c r="C136" s="1" t="s">
        <v>15</v>
      </c>
      <c r="D136" s="1" t="s">
        <v>16</v>
      </c>
      <c r="E136" s="1" t="s">
        <v>17</v>
      </c>
      <c r="F136" s="1" t="s">
        <v>32</v>
      </c>
      <c r="G136" s="3" t="s">
        <v>425</v>
      </c>
      <c r="H136" s="1">
        <v>14</v>
      </c>
      <c r="I136" s="3" t="s">
        <v>426</v>
      </c>
      <c r="J136" s="1" t="s">
        <v>427</v>
      </c>
      <c r="K136" s="1"/>
      <c r="L136" s="3" t="s">
        <v>211</v>
      </c>
      <c r="M136" s="3" t="s">
        <v>365</v>
      </c>
      <c r="N136" s="1"/>
      <c r="O136" s="1" t="s">
        <v>25</v>
      </c>
      <c r="P136" s="3"/>
    </row>
    <row r="137" spans="1:16">
      <c r="A137" s="1">
        <v>136</v>
      </c>
      <c r="B137" s="1" t="s">
        <v>997</v>
      </c>
      <c r="C137" s="1" t="s">
        <v>15</v>
      </c>
      <c r="D137" s="1" t="s">
        <v>16</v>
      </c>
      <c r="E137" s="1" t="s">
        <v>17</v>
      </c>
      <c r="F137" s="1" t="s">
        <v>32</v>
      </c>
      <c r="G137" s="3" t="s">
        <v>428</v>
      </c>
      <c r="H137" s="1">
        <v>14</v>
      </c>
      <c r="I137" s="3" t="s">
        <v>429</v>
      </c>
      <c r="J137" s="1" t="s">
        <v>430</v>
      </c>
      <c r="K137" s="1"/>
      <c r="L137" s="3" t="s">
        <v>22</v>
      </c>
      <c r="M137" s="3" t="s">
        <v>307</v>
      </c>
      <c r="N137" s="1"/>
      <c r="O137" s="1" t="s">
        <v>25</v>
      </c>
      <c r="P137" s="3"/>
    </row>
    <row r="138" spans="1:16">
      <c r="A138" s="1">
        <v>137</v>
      </c>
      <c r="B138" s="1" t="s">
        <v>997</v>
      </c>
      <c r="C138" s="1" t="s">
        <v>15</v>
      </c>
      <c r="D138" s="1" t="s">
        <v>16</v>
      </c>
      <c r="E138" s="1" t="s">
        <v>37</v>
      </c>
      <c r="F138" s="1" t="s">
        <v>18</v>
      </c>
      <c r="G138" s="3" t="s">
        <v>431</v>
      </c>
      <c r="H138" s="1">
        <v>16</v>
      </c>
      <c r="I138" s="3" t="s">
        <v>432</v>
      </c>
      <c r="J138" s="1" t="s">
        <v>433</v>
      </c>
      <c r="K138" s="1"/>
      <c r="L138" s="3" t="s">
        <v>162</v>
      </c>
      <c r="M138" s="3" t="s">
        <v>149</v>
      </c>
      <c r="N138" s="1"/>
      <c r="O138" s="1" t="s">
        <v>25</v>
      </c>
      <c r="P138" s="3"/>
    </row>
    <row r="139" spans="1:16">
      <c r="A139" s="1">
        <v>138</v>
      </c>
      <c r="B139" s="1" t="s">
        <v>997</v>
      </c>
      <c r="C139" s="1" t="s">
        <v>15</v>
      </c>
      <c r="D139" s="1" t="s">
        <v>16</v>
      </c>
      <c r="E139" s="1" t="s">
        <v>37</v>
      </c>
      <c r="F139" s="1" t="s">
        <v>18</v>
      </c>
      <c r="G139" s="3" t="s">
        <v>434</v>
      </c>
      <c r="H139" s="1">
        <v>15</v>
      </c>
      <c r="I139" s="3" t="s">
        <v>435</v>
      </c>
      <c r="J139" s="1" t="s">
        <v>421</v>
      </c>
      <c r="K139" s="1"/>
      <c r="L139" s="3" t="s">
        <v>162</v>
      </c>
      <c r="M139" s="3" t="s">
        <v>317</v>
      </c>
      <c r="N139" s="1"/>
      <c r="O139" s="1" t="s">
        <v>25</v>
      </c>
      <c r="P139" s="3"/>
    </row>
    <row r="140" spans="1:16">
      <c r="A140" s="1">
        <v>139</v>
      </c>
      <c r="B140" s="1" t="s">
        <v>997</v>
      </c>
      <c r="C140" s="1" t="s">
        <v>15</v>
      </c>
      <c r="D140" s="1" t="s">
        <v>16</v>
      </c>
      <c r="E140" s="1" t="s">
        <v>37</v>
      </c>
      <c r="F140" s="1" t="s">
        <v>26</v>
      </c>
      <c r="G140" s="3" t="s">
        <v>436</v>
      </c>
      <c r="H140" s="1">
        <v>12</v>
      </c>
      <c r="I140" s="3" t="s">
        <v>437</v>
      </c>
      <c r="J140" s="1" t="s">
        <v>21</v>
      </c>
      <c r="K140" s="1"/>
      <c r="L140" s="3" t="s">
        <v>162</v>
      </c>
      <c r="M140" s="3" t="s">
        <v>170</v>
      </c>
      <c r="N140" s="1"/>
      <c r="O140" s="1" t="s">
        <v>25</v>
      </c>
      <c r="P140" s="3"/>
    </row>
    <row r="141" spans="1:16">
      <c r="A141" s="1">
        <v>140</v>
      </c>
      <c r="B141" s="1" t="s">
        <v>997</v>
      </c>
      <c r="C141" s="1" t="s">
        <v>15</v>
      </c>
      <c r="D141" s="1" t="s">
        <v>16</v>
      </c>
      <c r="E141" s="1" t="s">
        <v>37</v>
      </c>
      <c r="F141" s="1" t="s">
        <v>26</v>
      </c>
      <c r="G141" s="3" t="s">
        <v>438</v>
      </c>
      <c r="H141" s="1">
        <v>16</v>
      </c>
      <c r="I141" s="3" t="s">
        <v>439</v>
      </c>
      <c r="J141" s="1" t="s">
        <v>440</v>
      </c>
      <c r="K141" s="1"/>
      <c r="L141" s="3" t="s">
        <v>162</v>
      </c>
      <c r="M141" s="3" t="s">
        <v>149</v>
      </c>
      <c r="N141" s="1"/>
      <c r="O141" s="1" t="s">
        <v>25</v>
      </c>
      <c r="P141" s="3"/>
    </row>
    <row r="142" spans="1:16">
      <c r="A142" s="1">
        <v>141</v>
      </c>
      <c r="B142" s="1" t="s">
        <v>997</v>
      </c>
      <c r="C142" s="1" t="s">
        <v>15</v>
      </c>
      <c r="D142" s="1" t="s">
        <v>16</v>
      </c>
      <c r="E142" s="1" t="s">
        <v>37</v>
      </c>
      <c r="F142" s="1" t="s">
        <v>32</v>
      </c>
      <c r="G142" s="3" t="s">
        <v>441</v>
      </c>
      <c r="H142" s="1">
        <v>13</v>
      </c>
      <c r="I142" s="3" t="s">
        <v>442</v>
      </c>
      <c r="J142" s="1" t="s">
        <v>443</v>
      </c>
      <c r="K142" s="1"/>
      <c r="L142" s="3" t="s">
        <v>162</v>
      </c>
      <c r="M142" s="3" t="s">
        <v>46</v>
      </c>
      <c r="N142" s="1"/>
      <c r="O142" s="1" t="s">
        <v>25</v>
      </c>
      <c r="P142" s="3"/>
    </row>
    <row r="143" spans="1:16">
      <c r="A143" s="1">
        <v>142</v>
      </c>
      <c r="B143" s="1" t="s">
        <v>997</v>
      </c>
      <c r="C143" s="1" t="s">
        <v>15</v>
      </c>
      <c r="D143" s="1" t="s">
        <v>16</v>
      </c>
      <c r="E143" s="1" t="s">
        <v>37</v>
      </c>
      <c r="F143" s="1" t="s">
        <v>32</v>
      </c>
      <c r="G143" s="3" t="s">
        <v>444</v>
      </c>
      <c r="H143" s="1">
        <v>15</v>
      </c>
      <c r="I143" s="3" t="s">
        <v>445</v>
      </c>
      <c r="J143" s="1" t="s">
        <v>22</v>
      </c>
      <c r="K143" s="1"/>
      <c r="L143" s="3" t="s">
        <v>162</v>
      </c>
      <c r="M143" s="3" t="s">
        <v>170</v>
      </c>
      <c r="N143" s="1"/>
      <c r="O143" s="1" t="s">
        <v>25</v>
      </c>
      <c r="P143" s="3"/>
    </row>
    <row r="144" spans="1:16" ht="48">
      <c r="A144" s="1">
        <v>143</v>
      </c>
      <c r="B144" s="1" t="s">
        <v>997</v>
      </c>
      <c r="C144" s="1" t="s">
        <v>15</v>
      </c>
      <c r="D144" s="1" t="s">
        <v>16</v>
      </c>
      <c r="E144" s="1" t="s">
        <v>50</v>
      </c>
      <c r="F144" s="1" t="s">
        <v>18</v>
      </c>
      <c r="G144" s="3" t="s">
        <v>446</v>
      </c>
      <c r="H144" s="1">
        <v>13</v>
      </c>
      <c r="I144" s="3" t="s">
        <v>447</v>
      </c>
      <c r="J144" s="1" t="s">
        <v>299</v>
      </c>
      <c r="K144" s="1"/>
      <c r="L144" s="3" t="s">
        <v>279</v>
      </c>
      <c r="M144" s="3" t="s">
        <v>448</v>
      </c>
      <c r="N144" s="1"/>
      <c r="O144" s="1" t="s">
        <v>66</v>
      </c>
      <c r="P144" s="3" t="s">
        <v>281</v>
      </c>
    </row>
    <row r="145" spans="1:16">
      <c r="A145" s="1">
        <v>144</v>
      </c>
      <c r="B145" s="1" t="s">
        <v>997</v>
      </c>
      <c r="C145" s="1" t="s">
        <v>15</v>
      </c>
      <c r="D145" s="1" t="s">
        <v>16</v>
      </c>
      <c r="E145" s="1" t="s">
        <v>50</v>
      </c>
      <c r="F145" s="1" t="s">
        <v>18</v>
      </c>
      <c r="G145" s="3" t="s">
        <v>449</v>
      </c>
      <c r="H145" s="1">
        <v>13</v>
      </c>
      <c r="I145" s="3" t="s">
        <v>450</v>
      </c>
      <c r="J145" s="1" t="s">
        <v>433</v>
      </c>
      <c r="K145" s="1"/>
      <c r="L145" s="3" t="s">
        <v>22</v>
      </c>
      <c r="M145" s="3" t="s">
        <v>227</v>
      </c>
      <c r="N145" s="1"/>
      <c r="O145" s="1" t="s">
        <v>25</v>
      </c>
      <c r="P145" s="3"/>
    </row>
    <row r="146" spans="1:16">
      <c r="A146" s="1">
        <v>145</v>
      </c>
      <c r="B146" s="1" t="s">
        <v>997</v>
      </c>
      <c r="C146" s="1" t="s">
        <v>15</v>
      </c>
      <c r="D146" s="1" t="s">
        <v>16</v>
      </c>
      <c r="E146" s="1" t="s">
        <v>50</v>
      </c>
      <c r="F146" s="1" t="s">
        <v>26</v>
      </c>
      <c r="G146" s="3" t="s">
        <v>451</v>
      </c>
      <c r="H146" s="1">
        <v>13</v>
      </c>
      <c r="I146" s="3" t="s">
        <v>452</v>
      </c>
      <c r="J146" s="1" t="s">
        <v>330</v>
      </c>
      <c r="K146" s="1"/>
      <c r="L146" s="3" t="s">
        <v>22</v>
      </c>
      <c r="M146" s="3" t="s">
        <v>53</v>
      </c>
      <c r="N146" s="1"/>
      <c r="O146" s="1" t="s">
        <v>25</v>
      </c>
      <c r="P146" s="3"/>
    </row>
    <row r="147" spans="1:16">
      <c r="A147" s="1">
        <v>146</v>
      </c>
      <c r="B147" s="1" t="s">
        <v>997</v>
      </c>
      <c r="C147" s="1" t="s">
        <v>15</v>
      </c>
      <c r="D147" s="1" t="s">
        <v>16</v>
      </c>
      <c r="E147" s="1" t="s">
        <v>50</v>
      </c>
      <c r="F147" s="1" t="s">
        <v>26</v>
      </c>
      <c r="G147" s="3" t="s">
        <v>453</v>
      </c>
      <c r="H147" s="1">
        <v>12</v>
      </c>
      <c r="I147" s="3" t="s">
        <v>454</v>
      </c>
      <c r="J147" s="1" t="s">
        <v>455</v>
      </c>
      <c r="K147" s="1"/>
      <c r="L147" s="3" t="s">
        <v>22</v>
      </c>
      <c r="M147" s="3" t="s">
        <v>53</v>
      </c>
      <c r="N147" s="1"/>
      <c r="O147" s="1" t="s">
        <v>25</v>
      </c>
      <c r="P147" s="3"/>
    </row>
    <row r="148" spans="1:16">
      <c r="A148" s="1">
        <v>147</v>
      </c>
      <c r="B148" s="1" t="s">
        <v>997</v>
      </c>
      <c r="C148" s="1" t="s">
        <v>15</v>
      </c>
      <c r="D148" s="1" t="s">
        <v>16</v>
      </c>
      <c r="E148" s="1" t="s">
        <v>50</v>
      </c>
      <c r="F148" s="1" t="s">
        <v>32</v>
      </c>
      <c r="G148" s="3" t="s">
        <v>456</v>
      </c>
      <c r="H148" s="1">
        <v>13</v>
      </c>
      <c r="I148" s="3" t="s">
        <v>457</v>
      </c>
      <c r="J148" s="1" t="s">
        <v>21</v>
      </c>
      <c r="K148" s="1"/>
      <c r="L148" s="3" t="s">
        <v>22</v>
      </c>
      <c r="M148" s="3" t="s">
        <v>53</v>
      </c>
      <c r="N148" s="1"/>
      <c r="O148" s="1" t="s">
        <v>25</v>
      </c>
      <c r="P148" s="3"/>
    </row>
    <row r="149" spans="1:16">
      <c r="A149" s="1">
        <v>148</v>
      </c>
      <c r="B149" s="1" t="s">
        <v>997</v>
      </c>
      <c r="C149" s="1" t="s">
        <v>15</v>
      </c>
      <c r="D149" s="1" t="s">
        <v>16</v>
      </c>
      <c r="E149" s="1" t="s">
        <v>50</v>
      </c>
      <c r="F149" s="1" t="s">
        <v>32</v>
      </c>
      <c r="G149" s="3" t="s">
        <v>458</v>
      </c>
      <c r="H149" s="1">
        <v>14</v>
      </c>
      <c r="I149" s="3" t="s">
        <v>459</v>
      </c>
      <c r="J149" s="1" t="s">
        <v>22</v>
      </c>
      <c r="K149" s="1"/>
      <c r="L149" s="3" t="s">
        <v>211</v>
      </c>
      <c r="M149" s="3" t="s">
        <v>61</v>
      </c>
      <c r="N149" s="1"/>
      <c r="O149" s="1" t="s">
        <v>25</v>
      </c>
      <c r="P149" s="3"/>
    </row>
    <row r="150" spans="1:16">
      <c r="A150" s="1">
        <v>149</v>
      </c>
      <c r="B150" s="1" t="s">
        <v>997</v>
      </c>
      <c r="C150" s="1" t="s">
        <v>15</v>
      </c>
      <c r="D150" s="1" t="s">
        <v>16</v>
      </c>
      <c r="E150" s="1" t="s">
        <v>68</v>
      </c>
      <c r="F150" s="1" t="s">
        <v>18</v>
      </c>
      <c r="G150" s="3" t="s">
        <v>460</v>
      </c>
      <c r="H150" s="1">
        <v>17</v>
      </c>
      <c r="I150" s="3" t="s">
        <v>461</v>
      </c>
      <c r="J150" s="1" t="s">
        <v>22</v>
      </c>
      <c r="K150" s="1"/>
      <c r="L150" s="3" t="s">
        <v>22</v>
      </c>
      <c r="M150" s="3" t="s">
        <v>191</v>
      </c>
      <c r="N150" s="1"/>
      <c r="O150" s="1" t="s">
        <v>25</v>
      </c>
      <c r="P150" s="3"/>
    </row>
    <row r="151" spans="1:16">
      <c r="A151" s="1">
        <v>150</v>
      </c>
      <c r="B151" s="1" t="s">
        <v>997</v>
      </c>
      <c r="C151" s="1" t="s">
        <v>15</v>
      </c>
      <c r="D151" s="1" t="s">
        <v>16</v>
      </c>
      <c r="E151" s="1" t="s">
        <v>68</v>
      </c>
      <c r="F151" s="1" t="s">
        <v>18</v>
      </c>
      <c r="G151" s="3" t="s">
        <v>462</v>
      </c>
      <c r="H151" s="1">
        <v>11</v>
      </c>
      <c r="I151" s="3" t="s">
        <v>463</v>
      </c>
      <c r="J151" s="1" t="s">
        <v>22</v>
      </c>
      <c r="K151" s="1"/>
      <c r="L151" s="3" t="s">
        <v>22</v>
      </c>
      <c r="M151" s="3" t="s">
        <v>464</v>
      </c>
      <c r="N151" s="1"/>
      <c r="O151" s="1" t="s">
        <v>25</v>
      </c>
      <c r="P151" s="3"/>
    </row>
    <row r="152" spans="1:16">
      <c r="A152" s="1">
        <v>151</v>
      </c>
      <c r="B152" s="1" t="s">
        <v>997</v>
      </c>
      <c r="C152" s="1" t="s">
        <v>15</v>
      </c>
      <c r="D152" s="1" t="s">
        <v>16</v>
      </c>
      <c r="E152" s="1" t="s">
        <v>68</v>
      </c>
      <c r="F152" s="1" t="s">
        <v>26</v>
      </c>
      <c r="G152" s="3" t="s">
        <v>465</v>
      </c>
      <c r="H152" s="1">
        <v>13</v>
      </c>
      <c r="I152" s="3" t="s">
        <v>466</v>
      </c>
      <c r="J152" s="1" t="s">
        <v>421</v>
      </c>
      <c r="K152" s="1"/>
      <c r="L152" s="3" t="s">
        <v>22</v>
      </c>
      <c r="M152" s="3" t="s">
        <v>188</v>
      </c>
      <c r="N152" s="1"/>
      <c r="O152" s="1" t="s">
        <v>25</v>
      </c>
      <c r="P152" s="3"/>
    </row>
    <row r="153" spans="1:16">
      <c r="A153" s="1">
        <v>152</v>
      </c>
      <c r="B153" s="1" t="s">
        <v>997</v>
      </c>
      <c r="C153" s="1" t="s">
        <v>15</v>
      </c>
      <c r="D153" s="1" t="s">
        <v>16</v>
      </c>
      <c r="E153" s="1" t="s">
        <v>68</v>
      </c>
      <c r="F153" s="1" t="s">
        <v>26</v>
      </c>
      <c r="G153" s="3" t="s">
        <v>467</v>
      </c>
      <c r="H153" s="1">
        <v>15</v>
      </c>
      <c r="I153" s="3" t="s">
        <v>468</v>
      </c>
      <c r="J153" s="1" t="s">
        <v>433</v>
      </c>
      <c r="K153" s="1"/>
      <c r="L153" s="3" t="s">
        <v>22</v>
      </c>
      <c r="M153" s="3" t="s">
        <v>469</v>
      </c>
      <c r="N153" s="1"/>
      <c r="O153" s="1" t="s">
        <v>25</v>
      </c>
      <c r="P153" s="3"/>
    </row>
    <row r="154" spans="1:16">
      <c r="A154" s="1">
        <v>153</v>
      </c>
      <c r="B154" s="1" t="s">
        <v>997</v>
      </c>
      <c r="C154" s="1" t="s">
        <v>15</v>
      </c>
      <c r="D154" s="1" t="s">
        <v>16</v>
      </c>
      <c r="E154" s="1" t="s">
        <v>68</v>
      </c>
      <c r="F154" s="1" t="s">
        <v>32</v>
      </c>
      <c r="G154" s="3" t="s">
        <v>470</v>
      </c>
      <c r="H154" s="1">
        <v>16</v>
      </c>
      <c r="I154" s="3" t="s">
        <v>471</v>
      </c>
      <c r="J154" s="1" t="s">
        <v>22</v>
      </c>
      <c r="K154" s="1"/>
      <c r="L154" s="3" t="s">
        <v>22</v>
      </c>
      <c r="M154" s="3" t="s">
        <v>472</v>
      </c>
      <c r="N154" s="1"/>
      <c r="O154" s="1" t="s">
        <v>25</v>
      </c>
      <c r="P154" s="3"/>
    </row>
    <row r="155" spans="1:16">
      <c r="A155" s="1">
        <v>154</v>
      </c>
      <c r="B155" s="1" t="s">
        <v>997</v>
      </c>
      <c r="C155" s="1" t="s">
        <v>15</v>
      </c>
      <c r="D155" s="1" t="s">
        <v>16</v>
      </c>
      <c r="E155" s="1" t="s">
        <v>68</v>
      </c>
      <c r="F155" s="1" t="s">
        <v>32</v>
      </c>
      <c r="G155" s="3" t="s">
        <v>473</v>
      </c>
      <c r="H155" s="1">
        <v>12</v>
      </c>
      <c r="I155" s="3" t="s">
        <v>474</v>
      </c>
      <c r="J155" s="1" t="s">
        <v>443</v>
      </c>
      <c r="K155" s="1"/>
      <c r="L155" s="3" t="s">
        <v>22</v>
      </c>
      <c r="M155" s="3" t="s">
        <v>201</v>
      </c>
      <c r="N155" s="1"/>
      <c r="O155" s="1" t="s">
        <v>25</v>
      </c>
      <c r="P155" s="3"/>
    </row>
    <row r="156" spans="1:16">
      <c r="A156" s="1">
        <v>155</v>
      </c>
      <c r="B156" s="1" t="s">
        <v>997</v>
      </c>
      <c r="C156" s="1" t="s">
        <v>15</v>
      </c>
      <c r="D156" s="1" t="s">
        <v>16</v>
      </c>
      <c r="E156" s="1" t="s">
        <v>84</v>
      </c>
      <c r="F156" s="1" t="s">
        <v>18</v>
      </c>
      <c r="G156" s="3" t="s">
        <v>475</v>
      </c>
      <c r="H156" s="1">
        <v>14</v>
      </c>
      <c r="I156" s="3" t="s">
        <v>476</v>
      </c>
      <c r="J156" s="1" t="s">
        <v>427</v>
      </c>
      <c r="K156" s="1"/>
      <c r="L156" s="3" t="s">
        <v>211</v>
      </c>
      <c r="M156" s="3" t="s">
        <v>365</v>
      </c>
      <c r="N156" s="1"/>
      <c r="O156" s="1" t="s">
        <v>25</v>
      </c>
      <c r="P156" s="3"/>
    </row>
    <row r="157" spans="1:16">
      <c r="A157" s="1">
        <v>156</v>
      </c>
      <c r="B157" s="1" t="s">
        <v>997</v>
      </c>
      <c r="C157" s="1" t="s">
        <v>15</v>
      </c>
      <c r="D157" s="1" t="s">
        <v>16</v>
      </c>
      <c r="E157" s="1" t="s">
        <v>84</v>
      </c>
      <c r="F157" s="1" t="s">
        <v>18</v>
      </c>
      <c r="G157" s="3" t="s">
        <v>477</v>
      </c>
      <c r="H157" s="1">
        <v>13</v>
      </c>
      <c r="I157" s="3" t="s">
        <v>478</v>
      </c>
      <c r="J157" s="1" t="s">
        <v>45</v>
      </c>
      <c r="K157" s="1"/>
      <c r="L157" s="3" t="s">
        <v>211</v>
      </c>
      <c r="M157" s="3" t="s">
        <v>227</v>
      </c>
      <c r="N157" s="1"/>
      <c r="O157" s="1" t="s">
        <v>25</v>
      </c>
      <c r="P157" s="3"/>
    </row>
    <row r="158" spans="1:16">
      <c r="A158" s="1">
        <v>157</v>
      </c>
      <c r="B158" s="1" t="s">
        <v>997</v>
      </c>
      <c r="C158" s="1" t="s">
        <v>15</v>
      </c>
      <c r="D158" s="1" t="s">
        <v>16</v>
      </c>
      <c r="E158" s="1" t="s">
        <v>84</v>
      </c>
      <c r="F158" s="1" t="s">
        <v>26</v>
      </c>
      <c r="G158" s="3" t="s">
        <v>479</v>
      </c>
      <c r="H158" s="1">
        <v>14</v>
      </c>
      <c r="I158" s="3" t="s">
        <v>480</v>
      </c>
      <c r="J158" s="1" t="s">
        <v>481</v>
      </c>
      <c r="K158" s="1"/>
      <c r="L158" s="3" t="s">
        <v>211</v>
      </c>
      <c r="M158" s="3" t="s">
        <v>307</v>
      </c>
      <c r="N158" s="1"/>
      <c r="O158" s="1" t="s">
        <v>25</v>
      </c>
      <c r="P158" s="3"/>
    </row>
    <row r="159" spans="1:16">
      <c r="A159" s="1">
        <v>158</v>
      </c>
      <c r="B159" s="1" t="s">
        <v>997</v>
      </c>
      <c r="C159" s="1" t="s">
        <v>15</v>
      </c>
      <c r="D159" s="1" t="s">
        <v>16</v>
      </c>
      <c r="E159" s="1" t="s">
        <v>84</v>
      </c>
      <c r="F159" s="1" t="s">
        <v>26</v>
      </c>
      <c r="G159" s="3" t="s">
        <v>482</v>
      </c>
      <c r="H159" s="1">
        <v>9</v>
      </c>
      <c r="I159" s="3" t="s">
        <v>483</v>
      </c>
      <c r="J159" s="1" t="s">
        <v>316</v>
      </c>
      <c r="K159" s="1"/>
      <c r="L159" s="3" t="s">
        <v>211</v>
      </c>
      <c r="M159" s="3" t="s">
        <v>365</v>
      </c>
      <c r="N159" s="1"/>
      <c r="O159" s="1" t="s">
        <v>25</v>
      </c>
      <c r="P159" s="3"/>
    </row>
    <row r="160" spans="1:16">
      <c r="A160" s="1">
        <v>159</v>
      </c>
      <c r="B160" s="1" t="s">
        <v>997</v>
      </c>
      <c r="C160" s="1" t="s">
        <v>15</v>
      </c>
      <c r="D160" s="1" t="s">
        <v>16</v>
      </c>
      <c r="E160" s="1" t="s">
        <v>84</v>
      </c>
      <c r="F160" s="1" t="s">
        <v>32</v>
      </c>
      <c r="G160" s="3" t="s">
        <v>484</v>
      </c>
      <c r="H160" s="1">
        <v>18</v>
      </c>
      <c r="I160" s="3" t="s">
        <v>485</v>
      </c>
      <c r="J160" s="1" t="s">
        <v>45</v>
      </c>
      <c r="K160" s="1"/>
      <c r="L160" s="3" t="s">
        <v>486</v>
      </c>
      <c r="M160" s="3" t="s">
        <v>307</v>
      </c>
      <c r="N160" s="1"/>
      <c r="O160" s="1" t="s">
        <v>25</v>
      </c>
      <c r="P160" s="3"/>
    </row>
    <row r="161" spans="1:16">
      <c r="A161" s="1">
        <v>160</v>
      </c>
      <c r="B161" s="1" t="s">
        <v>997</v>
      </c>
      <c r="C161" s="1" t="s">
        <v>15</v>
      </c>
      <c r="D161" s="1" t="s">
        <v>16</v>
      </c>
      <c r="E161" s="1" t="s">
        <v>94</v>
      </c>
      <c r="F161" s="1" t="s">
        <v>18</v>
      </c>
      <c r="G161" s="3" t="s">
        <v>487</v>
      </c>
      <c r="H161" s="1">
        <v>11</v>
      </c>
      <c r="I161" s="3" t="s">
        <v>488</v>
      </c>
      <c r="J161" s="1" t="s">
        <v>299</v>
      </c>
      <c r="K161" s="1"/>
      <c r="L161" s="3" t="s">
        <v>211</v>
      </c>
      <c r="M161" s="3" t="s">
        <v>227</v>
      </c>
      <c r="N161" s="1"/>
      <c r="O161" s="1" t="s">
        <v>25</v>
      </c>
      <c r="P161" s="3"/>
    </row>
    <row r="162" spans="1:16">
      <c r="A162" s="1">
        <v>161</v>
      </c>
      <c r="B162" s="1" t="s">
        <v>997</v>
      </c>
      <c r="C162" s="1" t="s">
        <v>15</v>
      </c>
      <c r="D162" s="1" t="s">
        <v>16</v>
      </c>
      <c r="E162" s="1" t="s">
        <v>94</v>
      </c>
      <c r="F162" s="1" t="s">
        <v>18</v>
      </c>
      <c r="G162" s="3" t="s">
        <v>489</v>
      </c>
      <c r="H162" s="1">
        <v>12</v>
      </c>
      <c r="I162" s="3" t="s">
        <v>490</v>
      </c>
      <c r="J162" s="1" t="s">
        <v>491</v>
      </c>
      <c r="K162" s="1"/>
      <c r="L162" s="3" t="s">
        <v>211</v>
      </c>
      <c r="M162" s="3" t="s">
        <v>107</v>
      </c>
      <c r="N162" s="1"/>
      <c r="O162" s="1" t="s">
        <v>25</v>
      </c>
      <c r="P162" s="3"/>
    </row>
    <row r="163" spans="1:16">
      <c r="A163" s="1">
        <v>162</v>
      </c>
      <c r="B163" s="1" t="s">
        <v>997</v>
      </c>
      <c r="C163" s="1" t="s">
        <v>15</v>
      </c>
      <c r="D163" s="1" t="s">
        <v>16</v>
      </c>
      <c r="E163" s="1" t="s">
        <v>94</v>
      </c>
      <c r="F163" s="1" t="s">
        <v>26</v>
      </c>
      <c r="G163" s="3" t="s">
        <v>492</v>
      </c>
      <c r="H163" s="1">
        <v>13</v>
      </c>
      <c r="I163" s="3" t="s">
        <v>493</v>
      </c>
      <c r="J163" s="1" t="s">
        <v>313</v>
      </c>
      <c r="K163" s="1"/>
      <c r="L163" s="3" t="s">
        <v>211</v>
      </c>
      <c r="M163" s="3" t="s">
        <v>227</v>
      </c>
      <c r="N163" s="1"/>
      <c r="O163" s="1" t="s">
        <v>25</v>
      </c>
      <c r="P163" s="3"/>
    </row>
    <row r="164" spans="1:16">
      <c r="A164" s="1">
        <v>163</v>
      </c>
      <c r="B164" s="1" t="s">
        <v>997</v>
      </c>
      <c r="C164" s="1" t="s">
        <v>15</v>
      </c>
      <c r="D164" s="1" t="s">
        <v>16</v>
      </c>
      <c r="E164" s="1" t="s">
        <v>94</v>
      </c>
      <c r="F164" s="1" t="s">
        <v>26</v>
      </c>
      <c r="G164" s="3" t="s">
        <v>494</v>
      </c>
      <c r="H164" s="1">
        <v>11</v>
      </c>
      <c r="I164" s="3" t="s">
        <v>495</v>
      </c>
      <c r="J164" s="1" t="s">
        <v>316</v>
      </c>
      <c r="K164" s="1"/>
      <c r="L164" s="3" t="s">
        <v>211</v>
      </c>
      <c r="M164" s="3" t="s">
        <v>107</v>
      </c>
      <c r="N164" s="1"/>
      <c r="O164" s="1" t="s">
        <v>25</v>
      </c>
      <c r="P164" s="3"/>
    </row>
    <row r="165" spans="1:16">
      <c r="A165" s="1">
        <v>164</v>
      </c>
      <c r="B165" s="1" t="s">
        <v>997</v>
      </c>
      <c r="C165" s="1" t="s">
        <v>15</v>
      </c>
      <c r="D165" s="1" t="s">
        <v>16</v>
      </c>
      <c r="E165" s="1" t="s">
        <v>94</v>
      </c>
      <c r="F165" s="1" t="s">
        <v>32</v>
      </c>
      <c r="G165" s="3" t="s">
        <v>496</v>
      </c>
      <c r="H165" s="1">
        <v>12</v>
      </c>
      <c r="I165" s="3" t="s">
        <v>379</v>
      </c>
      <c r="J165" s="1" t="s">
        <v>443</v>
      </c>
      <c r="K165" s="1"/>
      <c r="L165" s="3" t="s">
        <v>185</v>
      </c>
      <c r="M165" s="3" t="s">
        <v>107</v>
      </c>
      <c r="N165" s="1"/>
      <c r="O165" s="1" t="s">
        <v>25</v>
      </c>
      <c r="P165" s="3"/>
    </row>
    <row r="166" spans="1:16">
      <c r="A166" s="1">
        <v>165</v>
      </c>
      <c r="B166" s="1" t="s">
        <v>997</v>
      </c>
      <c r="C166" s="1" t="s">
        <v>15</v>
      </c>
      <c r="D166" s="1" t="s">
        <v>16</v>
      </c>
      <c r="E166" s="1" t="s">
        <v>111</v>
      </c>
      <c r="F166" s="1" t="s">
        <v>18</v>
      </c>
      <c r="G166" s="3" t="s">
        <v>497</v>
      </c>
      <c r="H166" s="1">
        <v>11</v>
      </c>
      <c r="I166" s="3" t="s">
        <v>498</v>
      </c>
      <c r="J166" s="1" t="s">
        <v>45</v>
      </c>
      <c r="K166" s="1"/>
      <c r="L166" s="3" t="s">
        <v>243</v>
      </c>
      <c r="M166" s="3" t="s">
        <v>253</v>
      </c>
      <c r="N166" s="1"/>
      <c r="O166" s="1" t="s">
        <v>25</v>
      </c>
      <c r="P166" s="3"/>
    </row>
    <row r="167" spans="1:16">
      <c r="A167" s="1">
        <v>166</v>
      </c>
      <c r="B167" s="1" t="s">
        <v>997</v>
      </c>
      <c r="C167" s="1" t="s">
        <v>15</v>
      </c>
      <c r="D167" s="1" t="s">
        <v>16</v>
      </c>
      <c r="E167" s="1" t="s">
        <v>111</v>
      </c>
      <c r="F167" s="1" t="s">
        <v>18</v>
      </c>
      <c r="G167" s="3" t="s">
        <v>499</v>
      </c>
      <c r="H167" s="1">
        <v>15</v>
      </c>
      <c r="I167" s="3" t="s">
        <v>500</v>
      </c>
      <c r="J167" s="1" t="s">
        <v>310</v>
      </c>
      <c r="K167" s="1"/>
      <c r="L167" s="3" t="s">
        <v>243</v>
      </c>
      <c r="M167" s="3" t="s">
        <v>246</v>
      </c>
      <c r="N167" s="1"/>
      <c r="O167" s="1" t="s">
        <v>25</v>
      </c>
      <c r="P167" s="3"/>
    </row>
    <row r="168" spans="1:16">
      <c r="A168" s="1">
        <v>167</v>
      </c>
      <c r="B168" s="1" t="s">
        <v>997</v>
      </c>
      <c r="C168" s="1" t="s">
        <v>15</v>
      </c>
      <c r="D168" s="1" t="s">
        <v>16</v>
      </c>
      <c r="E168" s="1" t="s">
        <v>111</v>
      </c>
      <c r="F168" s="1" t="s">
        <v>26</v>
      </c>
      <c r="G168" s="3" t="s">
        <v>501</v>
      </c>
      <c r="H168" s="1">
        <v>14</v>
      </c>
      <c r="I168" s="3" t="s">
        <v>502</v>
      </c>
      <c r="J168" s="1" t="s">
        <v>421</v>
      </c>
      <c r="K168" s="1"/>
      <c r="L168" s="3" t="s">
        <v>243</v>
      </c>
      <c r="M168" s="3" t="s">
        <v>134</v>
      </c>
      <c r="N168" s="1"/>
      <c r="O168" s="1" t="s">
        <v>25</v>
      </c>
      <c r="P168" s="3"/>
    </row>
    <row r="169" spans="1:16">
      <c r="A169" s="1">
        <v>168</v>
      </c>
      <c r="B169" s="1" t="s">
        <v>997</v>
      </c>
      <c r="C169" s="1" t="s">
        <v>15</v>
      </c>
      <c r="D169" s="1" t="s">
        <v>16</v>
      </c>
      <c r="E169" s="1" t="s">
        <v>111</v>
      </c>
      <c r="F169" s="1" t="s">
        <v>26</v>
      </c>
      <c r="G169" s="3" t="s">
        <v>503</v>
      </c>
      <c r="H169" s="1">
        <v>14</v>
      </c>
      <c r="I169" s="3" t="s">
        <v>504</v>
      </c>
      <c r="J169" s="1" t="s">
        <v>310</v>
      </c>
      <c r="K169" s="1"/>
      <c r="L169" s="3" t="s">
        <v>243</v>
      </c>
      <c r="M169" s="3" t="s">
        <v>390</v>
      </c>
      <c r="N169" s="1"/>
      <c r="O169" s="1" t="s">
        <v>25</v>
      </c>
      <c r="P169" s="3"/>
    </row>
    <row r="170" spans="1:16">
      <c r="A170" s="1">
        <v>169</v>
      </c>
      <c r="B170" s="1" t="s">
        <v>997</v>
      </c>
      <c r="C170" s="1" t="s">
        <v>15</v>
      </c>
      <c r="D170" s="1" t="s">
        <v>16</v>
      </c>
      <c r="E170" s="1" t="s">
        <v>111</v>
      </c>
      <c r="F170" s="1" t="s">
        <v>32</v>
      </c>
      <c r="G170" s="3" t="s">
        <v>505</v>
      </c>
      <c r="H170" s="1">
        <v>12</v>
      </c>
      <c r="I170" s="3" t="s">
        <v>506</v>
      </c>
      <c r="J170" s="1" t="s">
        <v>21</v>
      </c>
      <c r="K170" s="1"/>
      <c r="L170" s="3" t="s">
        <v>243</v>
      </c>
      <c r="M170" s="3" t="s">
        <v>507</v>
      </c>
      <c r="N170" s="1"/>
      <c r="O170" s="1" t="s">
        <v>25</v>
      </c>
      <c r="P170" s="3"/>
    </row>
    <row r="171" spans="1:16" ht="48">
      <c r="A171" s="1">
        <v>170</v>
      </c>
      <c r="B171" s="1" t="s">
        <v>997</v>
      </c>
      <c r="C171" s="1" t="s">
        <v>15</v>
      </c>
      <c r="D171" s="1" t="s">
        <v>16</v>
      </c>
      <c r="E171" s="1" t="s">
        <v>120</v>
      </c>
      <c r="F171" s="1" t="s">
        <v>18</v>
      </c>
      <c r="G171" s="3" t="s">
        <v>508</v>
      </c>
      <c r="H171" s="1">
        <v>14</v>
      </c>
      <c r="I171" s="3" t="s">
        <v>509</v>
      </c>
      <c r="J171" s="1" t="s">
        <v>433</v>
      </c>
      <c r="K171" s="1"/>
      <c r="L171" s="3" t="s">
        <v>64</v>
      </c>
      <c r="M171" s="3" t="s">
        <v>510</v>
      </c>
      <c r="N171" s="1"/>
      <c r="O171" s="1" t="s">
        <v>66</v>
      </c>
      <c r="P171" s="3" t="s">
        <v>511</v>
      </c>
    </row>
    <row r="172" spans="1:16">
      <c r="A172" s="1">
        <v>171</v>
      </c>
      <c r="B172" s="1" t="s">
        <v>997</v>
      </c>
      <c r="C172" s="1" t="s">
        <v>15</v>
      </c>
      <c r="D172" s="1" t="s">
        <v>16</v>
      </c>
      <c r="E172" s="1" t="s">
        <v>120</v>
      </c>
      <c r="F172" s="1" t="s">
        <v>18</v>
      </c>
      <c r="G172" s="3" t="s">
        <v>512</v>
      </c>
      <c r="H172" s="1">
        <v>14</v>
      </c>
      <c r="I172" s="3" t="s">
        <v>513</v>
      </c>
      <c r="J172" s="1" t="s">
        <v>421</v>
      </c>
      <c r="K172" s="1"/>
      <c r="L172" s="3" t="s">
        <v>22</v>
      </c>
      <c r="M172" s="3" t="s">
        <v>65</v>
      </c>
      <c r="N172" s="1"/>
      <c r="O172" s="1" t="s">
        <v>25</v>
      </c>
      <c r="P172" s="3"/>
    </row>
    <row r="173" spans="1:16">
      <c r="A173" s="1">
        <v>172</v>
      </c>
      <c r="B173" s="1" t="s">
        <v>997</v>
      </c>
      <c r="C173" s="1" t="s">
        <v>15</v>
      </c>
      <c r="D173" s="1" t="s">
        <v>16</v>
      </c>
      <c r="E173" s="1" t="s">
        <v>120</v>
      </c>
      <c r="F173" s="1" t="s">
        <v>26</v>
      </c>
      <c r="G173" s="3" t="s">
        <v>514</v>
      </c>
      <c r="H173" s="1">
        <v>17</v>
      </c>
      <c r="I173" s="3" t="s">
        <v>515</v>
      </c>
      <c r="J173" s="1" t="s">
        <v>22</v>
      </c>
      <c r="K173" s="1"/>
      <c r="L173" s="3" t="s">
        <v>22</v>
      </c>
      <c r="M173" s="3" t="s">
        <v>261</v>
      </c>
      <c r="N173" s="1"/>
      <c r="O173" s="1" t="s">
        <v>25</v>
      </c>
      <c r="P173" s="3"/>
    </row>
    <row r="174" spans="1:16">
      <c r="A174" s="1">
        <v>173</v>
      </c>
      <c r="B174" s="1" t="s">
        <v>997</v>
      </c>
      <c r="C174" s="1" t="s">
        <v>15</v>
      </c>
      <c r="D174" s="1" t="s">
        <v>16</v>
      </c>
      <c r="E174" s="1" t="s">
        <v>120</v>
      </c>
      <c r="F174" s="1" t="s">
        <v>26</v>
      </c>
      <c r="G174" s="3" t="s">
        <v>516</v>
      </c>
      <c r="H174" s="1">
        <v>16</v>
      </c>
      <c r="I174" s="3" t="s">
        <v>517</v>
      </c>
      <c r="J174" s="1" t="s">
        <v>443</v>
      </c>
      <c r="K174" s="1"/>
      <c r="L174" s="3" t="s">
        <v>22</v>
      </c>
      <c r="M174" s="3" t="s">
        <v>410</v>
      </c>
      <c r="N174" s="1"/>
      <c r="O174" s="1" t="s">
        <v>25</v>
      </c>
      <c r="P174" s="3"/>
    </row>
    <row r="175" spans="1:16">
      <c r="A175" s="1">
        <v>174</v>
      </c>
      <c r="B175" s="1" t="s">
        <v>997</v>
      </c>
      <c r="C175" s="1" t="s">
        <v>15</v>
      </c>
      <c r="D175" s="1" t="s">
        <v>16</v>
      </c>
      <c r="E175" s="1" t="s">
        <v>120</v>
      </c>
      <c r="F175" s="1" t="s">
        <v>32</v>
      </c>
      <c r="G175" s="3" t="s">
        <v>518</v>
      </c>
      <c r="H175" s="1">
        <v>15</v>
      </c>
      <c r="I175" s="3" t="s">
        <v>519</v>
      </c>
      <c r="J175" s="1" t="s">
        <v>316</v>
      </c>
      <c r="K175" s="1"/>
      <c r="L175" s="3" t="s">
        <v>22</v>
      </c>
      <c r="M175" s="3" t="s">
        <v>270</v>
      </c>
      <c r="N175" s="1"/>
      <c r="O175" s="1" t="s">
        <v>25</v>
      </c>
      <c r="P175" s="3"/>
    </row>
    <row r="176" spans="1:16">
      <c r="A176" s="1">
        <v>175</v>
      </c>
      <c r="B176" s="1" t="s">
        <v>997</v>
      </c>
      <c r="C176" s="1" t="s">
        <v>15</v>
      </c>
      <c r="D176" s="1" t="s">
        <v>16</v>
      </c>
      <c r="E176" s="1" t="s">
        <v>520</v>
      </c>
      <c r="F176" s="1" t="s">
        <v>18</v>
      </c>
      <c r="G176" s="3" t="s">
        <v>521</v>
      </c>
      <c r="H176" s="1">
        <v>14</v>
      </c>
      <c r="I176" s="3" t="s">
        <v>522</v>
      </c>
      <c r="J176" s="1" t="s">
        <v>22</v>
      </c>
      <c r="K176" s="1"/>
      <c r="L176" s="3" t="s">
        <v>162</v>
      </c>
      <c r="M176" s="3" t="s">
        <v>523</v>
      </c>
      <c r="N176" s="1"/>
      <c r="O176" s="1" t="s">
        <v>25</v>
      </c>
      <c r="P176" s="3"/>
    </row>
    <row r="177" spans="1:16">
      <c r="A177" s="1">
        <v>176</v>
      </c>
      <c r="B177" s="1" t="s">
        <v>997</v>
      </c>
      <c r="C177" s="1" t="s">
        <v>15</v>
      </c>
      <c r="D177" s="1" t="s">
        <v>16</v>
      </c>
      <c r="E177" s="1" t="s">
        <v>520</v>
      </c>
      <c r="F177" s="1" t="s">
        <v>18</v>
      </c>
      <c r="G177" s="3" t="s">
        <v>524</v>
      </c>
      <c r="H177" s="1">
        <v>9</v>
      </c>
      <c r="I177" s="3" t="s">
        <v>525</v>
      </c>
      <c r="J177" s="1" t="s">
        <v>526</v>
      </c>
      <c r="K177" s="1"/>
      <c r="L177" s="3" t="s">
        <v>162</v>
      </c>
      <c r="M177" s="3" t="s">
        <v>527</v>
      </c>
      <c r="N177" s="1"/>
      <c r="O177" s="1" t="s">
        <v>25</v>
      </c>
      <c r="P177" s="3"/>
    </row>
    <row r="178" spans="1:16">
      <c r="A178" s="1">
        <v>177</v>
      </c>
      <c r="B178" s="1" t="s">
        <v>997</v>
      </c>
      <c r="C178" s="1" t="s">
        <v>15</v>
      </c>
      <c r="D178" s="1" t="s">
        <v>16</v>
      </c>
      <c r="E178" s="1" t="s">
        <v>520</v>
      </c>
      <c r="F178" s="1" t="s">
        <v>26</v>
      </c>
      <c r="G178" s="3" t="s">
        <v>528</v>
      </c>
      <c r="H178" s="1">
        <v>10</v>
      </c>
      <c r="I178" s="3" t="s">
        <v>529</v>
      </c>
      <c r="J178" s="1" t="s">
        <v>22</v>
      </c>
      <c r="K178" s="1"/>
      <c r="L178" s="3" t="s">
        <v>162</v>
      </c>
      <c r="M178" s="3" t="s">
        <v>530</v>
      </c>
      <c r="N178" s="1"/>
      <c r="O178" s="1" t="s">
        <v>25</v>
      </c>
      <c r="P178" s="3"/>
    </row>
    <row r="179" spans="1:16">
      <c r="A179" s="1">
        <v>178</v>
      </c>
      <c r="B179" s="1" t="s">
        <v>997</v>
      </c>
      <c r="C179" s="1" t="s">
        <v>15</v>
      </c>
      <c r="D179" s="1" t="s">
        <v>16</v>
      </c>
      <c r="E179" s="1" t="s">
        <v>520</v>
      </c>
      <c r="F179" s="1" t="s">
        <v>26</v>
      </c>
      <c r="G179" s="3" t="s">
        <v>531</v>
      </c>
      <c r="H179" s="1">
        <v>14</v>
      </c>
      <c r="I179" s="3" t="s">
        <v>532</v>
      </c>
      <c r="J179" s="1" t="s">
        <v>433</v>
      </c>
      <c r="K179" s="1"/>
      <c r="L179" s="3" t="s">
        <v>162</v>
      </c>
      <c r="M179" s="3" t="s">
        <v>523</v>
      </c>
      <c r="N179" s="1"/>
      <c r="O179" s="1" t="s">
        <v>25</v>
      </c>
      <c r="P179" s="3"/>
    </row>
    <row r="180" spans="1:16">
      <c r="A180" s="1">
        <v>179</v>
      </c>
      <c r="B180" s="1" t="s">
        <v>997</v>
      </c>
      <c r="C180" s="1" t="s">
        <v>15</v>
      </c>
      <c r="D180" s="1" t="s">
        <v>16</v>
      </c>
      <c r="E180" s="1" t="s">
        <v>520</v>
      </c>
      <c r="F180" s="1" t="s">
        <v>32</v>
      </c>
      <c r="G180" s="3" t="s">
        <v>533</v>
      </c>
      <c r="H180" s="1">
        <v>13</v>
      </c>
      <c r="I180" s="3" t="s">
        <v>534</v>
      </c>
      <c r="J180" s="1" t="s">
        <v>22</v>
      </c>
      <c r="K180" s="1"/>
      <c r="L180" s="3" t="s">
        <v>535</v>
      </c>
      <c r="M180" s="3" t="s">
        <v>527</v>
      </c>
      <c r="N180" s="1"/>
      <c r="O180" s="1" t="s">
        <v>25</v>
      </c>
      <c r="P180" s="3"/>
    </row>
    <row r="181" spans="1:16">
      <c r="A181" s="1">
        <v>180</v>
      </c>
      <c r="B181" s="1" t="s">
        <v>997</v>
      </c>
      <c r="C181" s="1" t="s">
        <v>15</v>
      </c>
      <c r="D181" s="1" t="s">
        <v>130</v>
      </c>
      <c r="E181" s="1" t="s">
        <v>130</v>
      </c>
      <c r="F181" s="1" t="s">
        <v>276</v>
      </c>
      <c r="G181" s="3" t="s">
        <v>536</v>
      </c>
      <c r="H181" s="1">
        <v>12</v>
      </c>
      <c r="I181" s="3" t="s">
        <v>537</v>
      </c>
      <c r="J181" s="1" t="s">
        <v>22</v>
      </c>
      <c r="K181" s="1"/>
      <c r="L181" s="3" t="s">
        <v>22</v>
      </c>
      <c r="M181" s="3" t="s">
        <v>538</v>
      </c>
      <c r="N181" s="1"/>
      <c r="O181" s="1" t="s">
        <v>25</v>
      </c>
      <c r="P181" s="3"/>
    </row>
    <row r="182" spans="1:16">
      <c r="A182" s="1">
        <v>181</v>
      </c>
      <c r="B182" s="1" t="s">
        <v>997</v>
      </c>
      <c r="C182" s="1" t="s">
        <v>15</v>
      </c>
      <c r="D182" s="1" t="s">
        <v>130</v>
      </c>
      <c r="E182" s="1" t="s">
        <v>130</v>
      </c>
      <c r="F182" s="1" t="s">
        <v>276</v>
      </c>
      <c r="G182" s="3" t="s">
        <v>539</v>
      </c>
      <c r="H182" s="1">
        <v>16</v>
      </c>
      <c r="I182" s="3" t="s">
        <v>540</v>
      </c>
      <c r="J182" s="1" t="s">
        <v>22</v>
      </c>
      <c r="K182" s="1"/>
      <c r="L182" s="3" t="s">
        <v>22</v>
      </c>
      <c r="M182" s="3" t="s">
        <v>541</v>
      </c>
      <c r="N182" s="1"/>
      <c r="O182" s="1" t="s">
        <v>25</v>
      </c>
      <c r="P182" s="3"/>
    </row>
    <row r="183" spans="1:16">
      <c r="A183" s="1">
        <v>182</v>
      </c>
      <c r="B183" s="1" t="s">
        <v>997</v>
      </c>
      <c r="C183" s="1" t="s">
        <v>15</v>
      </c>
      <c r="D183" s="1" t="s">
        <v>139</v>
      </c>
      <c r="E183" s="1" t="s">
        <v>139</v>
      </c>
      <c r="F183" s="1" t="s">
        <v>286</v>
      </c>
      <c r="G183" s="3" t="s">
        <v>542</v>
      </c>
      <c r="H183" s="1">
        <v>14</v>
      </c>
      <c r="I183" s="3" t="s">
        <v>543</v>
      </c>
      <c r="J183" s="1" t="s">
        <v>45</v>
      </c>
      <c r="K183" s="1"/>
      <c r="L183" s="3" t="s">
        <v>162</v>
      </c>
      <c r="M183" s="3" t="s">
        <v>541</v>
      </c>
      <c r="N183" s="1"/>
      <c r="O183" s="1" t="s">
        <v>25</v>
      </c>
      <c r="P183" s="3"/>
    </row>
    <row r="184" spans="1:16">
      <c r="A184" s="1">
        <v>183</v>
      </c>
      <c r="B184" s="1" t="s">
        <v>997</v>
      </c>
      <c r="C184" s="1" t="s">
        <v>15</v>
      </c>
      <c r="D184" s="1" t="s">
        <v>139</v>
      </c>
      <c r="E184" s="1" t="s">
        <v>139</v>
      </c>
      <c r="F184" s="1" t="s">
        <v>286</v>
      </c>
      <c r="G184" s="3" t="s">
        <v>544</v>
      </c>
      <c r="H184" s="1">
        <v>12</v>
      </c>
      <c r="I184" s="3" t="s">
        <v>545</v>
      </c>
      <c r="J184" s="1" t="s">
        <v>45</v>
      </c>
      <c r="K184" s="1"/>
      <c r="L184" s="3" t="s">
        <v>22</v>
      </c>
      <c r="M184" s="3" t="s">
        <v>546</v>
      </c>
      <c r="N184" s="1"/>
      <c r="O184" s="1" t="s">
        <v>25</v>
      </c>
      <c r="P184" s="3"/>
    </row>
    <row r="185" spans="1:16">
      <c r="A185" s="1">
        <v>184</v>
      </c>
      <c r="B185" s="1" t="s">
        <v>997</v>
      </c>
      <c r="C185" s="1" t="s">
        <v>15</v>
      </c>
      <c r="D185" s="1" t="s">
        <v>16</v>
      </c>
      <c r="E185" s="1" t="s">
        <v>520</v>
      </c>
      <c r="F185" s="1" t="s">
        <v>18</v>
      </c>
      <c r="G185" s="3" t="s">
        <v>547</v>
      </c>
      <c r="H185" s="1">
        <v>12</v>
      </c>
      <c r="I185" s="3" t="s">
        <v>548</v>
      </c>
      <c r="J185" s="1" t="s">
        <v>21</v>
      </c>
      <c r="K185" s="1"/>
      <c r="L185" s="3" t="s">
        <v>162</v>
      </c>
      <c r="M185" s="3" t="s">
        <v>549</v>
      </c>
      <c r="N185" s="1"/>
      <c r="O185" s="1" t="s">
        <v>25</v>
      </c>
      <c r="P185" s="3"/>
    </row>
    <row r="186" spans="1:16">
      <c r="A186" s="1">
        <v>185</v>
      </c>
      <c r="B186" s="1" t="s">
        <v>997</v>
      </c>
      <c r="C186" s="1" t="s">
        <v>15</v>
      </c>
      <c r="D186" s="1" t="s">
        <v>16</v>
      </c>
      <c r="E186" s="1" t="s">
        <v>520</v>
      </c>
      <c r="F186" s="1" t="s">
        <v>18</v>
      </c>
      <c r="G186" s="3" t="s">
        <v>550</v>
      </c>
      <c r="H186" s="1">
        <v>12</v>
      </c>
      <c r="I186" s="3" t="s">
        <v>551</v>
      </c>
      <c r="J186" s="1" t="s">
        <v>22</v>
      </c>
      <c r="K186" s="1"/>
      <c r="L186" s="3" t="s">
        <v>162</v>
      </c>
      <c r="M186" s="3" t="s">
        <v>149</v>
      </c>
      <c r="N186" s="1"/>
      <c r="O186" s="1" t="s">
        <v>25</v>
      </c>
      <c r="P186" s="3"/>
    </row>
    <row r="187" spans="1:16" ht="32">
      <c r="A187" s="1">
        <v>186</v>
      </c>
      <c r="B187" s="1" t="s">
        <v>997</v>
      </c>
      <c r="C187" s="1" t="s">
        <v>15</v>
      </c>
      <c r="D187" s="1" t="s">
        <v>16</v>
      </c>
      <c r="E187" s="1" t="s">
        <v>520</v>
      </c>
      <c r="F187" s="1" t="s">
        <v>18</v>
      </c>
      <c r="G187" s="3" t="s">
        <v>552</v>
      </c>
      <c r="H187" s="1">
        <v>12</v>
      </c>
      <c r="I187" s="3" t="s">
        <v>553</v>
      </c>
      <c r="J187" s="1" t="s">
        <v>22</v>
      </c>
      <c r="K187" s="1"/>
      <c r="L187" s="3" t="s">
        <v>295</v>
      </c>
      <c r="M187" s="3" t="s">
        <v>149</v>
      </c>
      <c r="N187" s="1"/>
      <c r="O187" s="1" t="s">
        <v>274</v>
      </c>
      <c r="P187" s="3" t="s">
        <v>554</v>
      </c>
    </row>
    <row r="188" spans="1:16">
      <c r="A188" s="1">
        <v>187</v>
      </c>
      <c r="B188" s="1" t="s">
        <v>997</v>
      </c>
      <c r="C188" s="1" t="s">
        <v>15</v>
      </c>
      <c r="D188" s="1" t="s">
        <v>16</v>
      </c>
      <c r="E188" s="1" t="s">
        <v>520</v>
      </c>
      <c r="F188" s="1" t="s">
        <v>18</v>
      </c>
      <c r="G188" s="3" t="s">
        <v>555</v>
      </c>
      <c r="H188" s="1">
        <v>13</v>
      </c>
      <c r="I188" s="3" t="s">
        <v>556</v>
      </c>
      <c r="J188" s="1" t="s">
        <v>22</v>
      </c>
      <c r="K188" s="1"/>
      <c r="L188" s="3" t="s">
        <v>162</v>
      </c>
      <c r="M188" s="3" t="s">
        <v>557</v>
      </c>
      <c r="N188" s="1"/>
      <c r="O188" s="1" t="s">
        <v>274</v>
      </c>
      <c r="P188" s="3" t="s">
        <v>558</v>
      </c>
    </row>
    <row r="189" spans="1:16">
      <c r="A189" s="1">
        <v>188</v>
      </c>
      <c r="B189" s="1" t="s">
        <v>997</v>
      </c>
      <c r="C189" s="1" t="s">
        <v>15</v>
      </c>
      <c r="D189" s="1" t="s">
        <v>16</v>
      </c>
      <c r="E189" s="1" t="s">
        <v>520</v>
      </c>
      <c r="F189" s="1" t="s">
        <v>18</v>
      </c>
      <c r="G189" s="3" t="s">
        <v>559</v>
      </c>
      <c r="H189" s="1">
        <v>14</v>
      </c>
      <c r="I189" s="3" t="s">
        <v>560</v>
      </c>
      <c r="J189" s="1" t="s">
        <v>22</v>
      </c>
      <c r="K189" s="1"/>
      <c r="L189" s="3" t="s">
        <v>162</v>
      </c>
      <c r="M189" s="3" t="s">
        <v>549</v>
      </c>
      <c r="N189" s="1"/>
      <c r="O189" s="1" t="s">
        <v>25</v>
      </c>
      <c r="P189" s="3"/>
    </row>
    <row r="190" spans="1:16">
      <c r="A190" s="1">
        <v>189</v>
      </c>
      <c r="B190" s="1" t="s">
        <v>997</v>
      </c>
      <c r="C190" s="1" t="s">
        <v>15</v>
      </c>
      <c r="D190" s="1" t="s">
        <v>16</v>
      </c>
      <c r="E190" s="1" t="s">
        <v>520</v>
      </c>
      <c r="F190" s="1" t="s">
        <v>26</v>
      </c>
      <c r="G190" s="3" t="s">
        <v>561</v>
      </c>
      <c r="H190" s="1">
        <v>11</v>
      </c>
      <c r="I190" s="3" t="s">
        <v>562</v>
      </c>
      <c r="J190" s="1" t="s">
        <v>22</v>
      </c>
      <c r="K190" s="1"/>
      <c r="L190" s="3" t="s">
        <v>162</v>
      </c>
      <c r="M190" s="3" t="s">
        <v>549</v>
      </c>
      <c r="N190" s="1"/>
      <c r="O190" s="1" t="s">
        <v>25</v>
      </c>
      <c r="P190" s="3"/>
    </row>
    <row r="191" spans="1:16">
      <c r="A191" s="1">
        <v>190</v>
      </c>
      <c r="B191" s="1" t="s">
        <v>997</v>
      </c>
      <c r="C191" s="1" t="s">
        <v>15</v>
      </c>
      <c r="D191" s="1" t="s">
        <v>16</v>
      </c>
      <c r="E191" s="1" t="s">
        <v>520</v>
      </c>
      <c r="F191" s="1" t="s">
        <v>26</v>
      </c>
      <c r="G191" s="3" t="s">
        <v>563</v>
      </c>
      <c r="H191" s="1">
        <v>11</v>
      </c>
      <c r="I191" s="3" t="s">
        <v>564</v>
      </c>
      <c r="J191" s="1" t="s">
        <v>22</v>
      </c>
      <c r="K191" s="1"/>
      <c r="L191" s="3" t="s">
        <v>162</v>
      </c>
      <c r="M191" s="3" t="s">
        <v>149</v>
      </c>
      <c r="N191" s="1"/>
      <c r="O191" s="1" t="s">
        <v>25</v>
      </c>
      <c r="P191" s="3"/>
    </row>
    <row r="192" spans="1:16">
      <c r="A192" s="1">
        <v>191</v>
      </c>
      <c r="B192" s="1" t="s">
        <v>997</v>
      </c>
      <c r="C192" s="1" t="s">
        <v>15</v>
      </c>
      <c r="D192" s="1" t="s">
        <v>16</v>
      </c>
      <c r="E192" s="1" t="s">
        <v>520</v>
      </c>
      <c r="F192" s="1" t="s">
        <v>26</v>
      </c>
      <c r="G192" s="3" t="s">
        <v>565</v>
      </c>
      <c r="H192" s="1">
        <v>10</v>
      </c>
      <c r="I192" s="3" t="s">
        <v>566</v>
      </c>
      <c r="J192" s="1" t="s">
        <v>22</v>
      </c>
      <c r="K192" s="1"/>
      <c r="L192" s="3" t="s">
        <v>162</v>
      </c>
      <c r="M192" s="3" t="s">
        <v>567</v>
      </c>
      <c r="N192" s="1"/>
      <c r="O192" s="1" t="s">
        <v>25</v>
      </c>
      <c r="P192" s="3"/>
    </row>
    <row r="193" spans="1:16">
      <c r="A193" s="1">
        <v>192</v>
      </c>
      <c r="B193" s="1" t="s">
        <v>997</v>
      </c>
      <c r="C193" s="1" t="s">
        <v>15</v>
      </c>
      <c r="D193" s="1" t="s">
        <v>16</v>
      </c>
      <c r="E193" s="1" t="s">
        <v>520</v>
      </c>
      <c r="F193" s="1" t="s">
        <v>26</v>
      </c>
      <c r="G193" s="3" t="s">
        <v>568</v>
      </c>
      <c r="H193" s="1">
        <v>12</v>
      </c>
      <c r="I193" s="3" t="s">
        <v>569</v>
      </c>
      <c r="J193" s="1" t="s">
        <v>22</v>
      </c>
      <c r="K193" s="1"/>
      <c r="L193" s="3" t="s">
        <v>162</v>
      </c>
      <c r="M193" s="3" t="s">
        <v>570</v>
      </c>
      <c r="N193" s="1"/>
      <c r="O193" s="1" t="s">
        <v>25</v>
      </c>
      <c r="P193" s="3"/>
    </row>
    <row r="194" spans="1:16" ht="32">
      <c r="A194" s="1">
        <v>193</v>
      </c>
      <c r="B194" s="1" t="s">
        <v>997</v>
      </c>
      <c r="C194" s="1" t="s">
        <v>15</v>
      </c>
      <c r="D194" s="1" t="s">
        <v>16</v>
      </c>
      <c r="E194" s="1" t="s">
        <v>520</v>
      </c>
      <c r="F194" s="1" t="s">
        <v>32</v>
      </c>
      <c r="G194" s="3" t="s">
        <v>571</v>
      </c>
      <c r="H194" s="1">
        <v>17</v>
      </c>
      <c r="I194" s="3" t="s">
        <v>572</v>
      </c>
      <c r="J194" s="1" t="s">
        <v>22</v>
      </c>
      <c r="K194" s="1"/>
      <c r="L194" s="3" t="s">
        <v>573</v>
      </c>
      <c r="M194" s="3" t="s">
        <v>549</v>
      </c>
      <c r="N194" s="1"/>
      <c r="O194" s="1" t="s">
        <v>66</v>
      </c>
      <c r="P194" s="3" t="s">
        <v>574</v>
      </c>
    </row>
    <row r="195" spans="1:16">
      <c r="A195" s="1">
        <v>194</v>
      </c>
      <c r="B195" s="1" t="s">
        <v>997</v>
      </c>
      <c r="C195" s="1" t="s">
        <v>15</v>
      </c>
      <c r="D195" s="1" t="s">
        <v>16</v>
      </c>
      <c r="E195" s="1" t="s">
        <v>520</v>
      </c>
      <c r="F195" s="1" t="s">
        <v>32</v>
      </c>
      <c r="G195" s="3" t="s">
        <v>575</v>
      </c>
      <c r="H195" s="1">
        <v>14</v>
      </c>
      <c r="I195" s="3" t="s">
        <v>576</v>
      </c>
      <c r="J195" s="1" t="s">
        <v>22</v>
      </c>
      <c r="K195" s="1"/>
      <c r="L195" s="3" t="s">
        <v>162</v>
      </c>
      <c r="M195" s="3" t="s">
        <v>149</v>
      </c>
      <c r="N195" s="1"/>
      <c r="O195" s="1" t="s">
        <v>25</v>
      </c>
      <c r="P195" s="3"/>
    </row>
    <row r="196" spans="1:16" ht="48">
      <c r="A196" s="1">
        <v>195</v>
      </c>
      <c r="B196" s="1" t="s">
        <v>997</v>
      </c>
      <c r="C196" s="1" t="s">
        <v>15</v>
      </c>
      <c r="D196" s="1" t="s">
        <v>16</v>
      </c>
      <c r="E196" s="1" t="s">
        <v>520</v>
      </c>
      <c r="F196" s="1" t="s">
        <v>32</v>
      </c>
      <c r="G196" s="3" t="s">
        <v>577</v>
      </c>
      <c r="H196" s="1">
        <v>13</v>
      </c>
      <c r="I196" s="3" t="s">
        <v>578</v>
      </c>
      <c r="J196" s="1" t="s">
        <v>22</v>
      </c>
      <c r="K196" s="1"/>
      <c r="L196" s="3" t="s">
        <v>579</v>
      </c>
      <c r="M196" s="3" t="s">
        <v>126</v>
      </c>
      <c r="N196" s="1"/>
      <c r="O196" s="1" t="s">
        <v>66</v>
      </c>
      <c r="P196" s="3" t="s">
        <v>511</v>
      </c>
    </row>
    <row r="197" spans="1:16">
      <c r="A197" s="1">
        <v>196</v>
      </c>
      <c r="B197" s="1" t="s">
        <v>997</v>
      </c>
      <c r="C197" s="1" t="s">
        <v>15</v>
      </c>
      <c r="D197" s="1" t="s">
        <v>16</v>
      </c>
      <c r="E197" s="1" t="s">
        <v>520</v>
      </c>
      <c r="F197" s="1" t="s">
        <v>32</v>
      </c>
      <c r="G197" s="3" t="s">
        <v>580</v>
      </c>
      <c r="H197" s="1">
        <v>12</v>
      </c>
      <c r="I197" s="3" t="s">
        <v>581</v>
      </c>
      <c r="J197" s="1" t="s">
        <v>22</v>
      </c>
      <c r="K197" s="1"/>
      <c r="L197" s="3" t="s">
        <v>162</v>
      </c>
      <c r="M197" s="3" t="s">
        <v>570</v>
      </c>
      <c r="N197" s="1"/>
      <c r="O197" s="1" t="s">
        <v>25</v>
      </c>
      <c r="P197" s="3"/>
    </row>
    <row r="198" spans="1:16" ht="32">
      <c r="A198" s="1">
        <v>197</v>
      </c>
      <c r="B198" s="1" t="s">
        <v>997</v>
      </c>
      <c r="C198" s="1" t="s">
        <v>15</v>
      </c>
      <c r="D198" s="1" t="s">
        <v>16</v>
      </c>
      <c r="E198" s="1" t="s">
        <v>520</v>
      </c>
      <c r="F198" s="1" t="s">
        <v>32</v>
      </c>
      <c r="G198" s="3" t="s">
        <v>582</v>
      </c>
      <c r="H198" s="1">
        <v>13</v>
      </c>
      <c r="I198" s="3" t="s">
        <v>583</v>
      </c>
      <c r="J198" s="1" t="s">
        <v>21</v>
      </c>
      <c r="K198" s="1"/>
      <c r="L198" s="3" t="s">
        <v>573</v>
      </c>
      <c r="M198" s="3" t="s">
        <v>549</v>
      </c>
      <c r="N198" s="1"/>
      <c r="O198" s="1" t="s">
        <v>66</v>
      </c>
      <c r="P198" s="3" t="s">
        <v>574</v>
      </c>
    </row>
    <row r="199" spans="1:16">
      <c r="A199" s="1">
        <v>198</v>
      </c>
      <c r="B199" s="1" t="s">
        <v>997</v>
      </c>
      <c r="C199" s="1" t="s">
        <v>15</v>
      </c>
      <c r="D199" s="1" t="s">
        <v>16</v>
      </c>
      <c r="E199" s="1" t="s">
        <v>84</v>
      </c>
      <c r="F199" s="1" t="s">
        <v>32</v>
      </c>
      <c r="G199" s="3" t="s">
        <v>584</v>
      </c>
      <c r="H199" s="1">
        <v>13</v>
      </c>
      <c r="I199" s="3" t="s">
        <v>585</v>
      </c>
      <c r="J199" s="1" t="s">
        <v>45</v>
      </c>
      <c r="K199" s="1"/>
      <c r="L199" s="3" t="s">
        <v>211</v>
      </c>
      <c r="M199" s="3" t="s">
        <v>35</v>
      </c>
      <c r="N199" s="1"/>
      <c r="O199" s="1" t="s">
        <v>25</v>
      </c>
      <c r="P199" s="3"/>
    </row>
    <row r="200" spans="1:16">
      <c r="A200" s="1">
        <v>199</v>
      </c>
      <c r="B200" s="1" t="s">
        <v>997</v>
      </c>
      <c r="C200" s="1" t="s">
        <v>15</v>
      </c>
      <c r="D200" s="1" t="s">
        <v>16</v>
      </c>
      <c r="E200" s="1" t="s">
        <v>84</v>
      </c>
      <c r="F200" s="1" t="s">
        <v>32</v>
      </c>
      <c r="G200" s="3" t="s">
        <v>586</v>
      </c>
      <c r="H200" s="1">
        <v>15</v>
      </c>
      <c r="I200" s="3" t="s">
        <v>587</v>
      </c>
      <c r="J200" s="1" t="s">
        <v>45</v>
      </c>
      <c r="K200" s="1"/>
      <c r="L200" s="3" t="s">
        <v>211</v>
      </c>
      <c r="M200" s="3" t="s">
        <v>365</v>
      </c>
      <c r="N200" s="1"/>
      <c r="O200" s="1" t="s">
        <v>25</v>
      </c>
      <c r="P200" s="3"/>
    </row>
    <row r="201" spans="1:16" ht="48">
      <c r="A201" s="1">
        <v>200</v>
      </c>
      <c r="B201" s="1" t="s">
        <v>997</v>
      </c>
      <c r="C201" s="1" t="s">
        <v>15</v>
      </c>
      <c r="D201" s="1" t="s">
        <v>16</v>
      </c>
      <c r="E201" s="1" t="s">
        <v>111</v>
      </c>
      <c r="F201" s="1" t="s">
        <v>32</v>
      </c>
      <c r="G201" s="3" t="s">
        <v>588</v>
      </c>
      <c r="H201" s="1">
        <v>12</v>
      </c>
      <c r="I201" s="3" t="s">
        <v>589</v>
      </c>
      <c r="J201" s="1" t="s">
        <v>22</v>
      </c>
      <c r="K201" s="1"/>
      <c r="L201" s="3" t="s">
        <v>579</v>
      </c>
      <c r="M201" s="3" t="s">
        <v>134</v>
      </c>
      <c r="N201" s="1"/>
      <c r="O201" s="1" t="s">
        <v>66</v>
      </c>
      <c r="P201" s="3" t="s">
        <v>511</v>
      </c>
    </row>
    <row r="202" spans="1:16">
      <c r="A202" s="1">
        <v>201</v>
      </c>
      <c r="B202" s="1" t="s">
        <v>997</v>
      </c>
      <c r="C202" s="1" t="s">
        <v>15</v>
      </c>
      <c r="D202" s="1" t="s">
        <v>16</v>
      </c>
      <c r="E202" s="1" t="s">
        <v>111</v>
      </c>
      <c r="F202" s="1" t="s">
        <v>32</v>
      </c>
      <c r="G202" s="3" t="s">
        <v>590</v>
      </c>
      <c r="H202" s="1">
        <v>11</v>
      </c>
      <c r="I202" s="3" t="s">
        <v>591</v>
      </c>
      <c r="J202" s="1" t="s">
        <v>22</v>
      </c>
      <c r="K202" s="1"/>
      <c r="L202" s="3" t="s">
        <v>592</v>
      </c>
      <c r="M202" s="3" t="s">
        <v>129</v>
      </c>
      <c r="N202" s="1"/>
      <c r="O202" s="1" t="s">
        <v>25</v>
      </c>
      <c r="P202" s="3"/>
    </row>
    <row r="203" spans="1:16">
      <c r="A203" s="1">
        <v>202</v>
      </c>
      <c r="B203" s="1" t="s">
        <v>997</v>
      </c>
      <c r="C203" s="1" t="s">
        <v>15</v>
      </c>
      <c r="D203" s="1" t="s">
        <v>16</v>
      </c>
      <c r="E203" s="1" t="s">
        <v>120</v>
      </c>
      <c r="F203" s="1" t="s">
        <v>32</v>
      </c>
      <c r="G203" s="3" t="s">
        <v>593</v>
      </c>
      <c r="H203" s="1">
        <v>14</v>
      </c>
      <c r="I203" s="3" t="s">
        <v>594</v>
      </c>
      <c r="J203" s="1" t="s">
        <v>22</v>
      </c>
      <c r="K203" s="1"/>
      <c r="L203" s="3" t="s">
        <v>22</v>
      </c>
      <c r="M203" s="3" t="s">
        <v>129</v>
      </c>
      <c r="N203" s="1"/>
      <c r="O203" s="1" t="s">
        <v>25</v>
      </c>
      <c r="P203" s="3"/>
    </row>
    <row r="204" spans="1:16" ht="32">
      <c r="A204" s="1">
        <v>203</v>
      </c>
      <c r="B204" s="1" t="s">
        <v>997</v>
      </c>
      <c r="C204" s="1" t="s">
        <v>215</v>
      </c>
      <c r="D204" s="1" t="s">
        <v>16</v>
      </c>
      <c r="E204" s="1" t="s">
        <v>94</v>
      </c>
      <c r="F204" s="1" t="s">
        <v>32</v>
      </c>
      <c r="G204" s="3" t="s">
        <v>595</v>
      </c>
      <c r="H204" s="1">
        <v>15</v>
      </c>
      <c r="I204" s="3" t="s">
        <v>596</v>
      </c>
      <c r="J204" s="1" t="s">
        <v>22</v>
      </c>
      <c r="K204" s="1"/>
      <c r="L204" s="3" t="s">
        <v>211</v>
      </c>
      <c r="M204" s="3" t="s">
        <v>97</v>
      </c>
      <c r="N204" s="1"/>
      <c r="O204" s="1" t="s">
        <v>215</v>
      </c>
      <c r="P204" s="3" t="s">
        <v>597</v>
      </c>
    </row>
    <row r="205" spans="1:16">
      <c r="A205" s="1">
        <v>204</v>
      </c>
      <c r="B205" s="1" t="s">
        <v>997</v>
      </c>
      <c r="C205" s="1" t="s">
        <v>15</v>
      </c>
      <c r="D205" s="1" t="s">
        <v>16</v>
      </c>
      <c r="E205" s="1" t="s">
        <v>17</v>
      </c>
      <c r="F205" s="1" t="s">
        <v>18</v>
      </c>
      <c r="G205" s="3" t="s">
        <v>598</v>
      </c>
      <c r="H205" s="1">
        <v>14</v>
      </c>
      <c r="I205" s="3" t="s">
        <v>599</v>
      </c>
      <c r="J205" s="1" t="s">
        <v>22</v>
      </c>
      <c r="K205" s="1"/>
      <c r="L205" s="3" t="s">
        <v>22</v>
      </c>
      <c r="M205" s="3" t="s">
        <v>149</v>
      </c>
      <c r="N205" s="1"/>
      <c r="O205" s="1" t="s">
        <v>25</v>
      </c>
      <c r="P205" s="3"/>
    </row>
    <row r="206" spans="1:16">
      <c r="A206" s="1">
        <v>205</v>
      </c>
      <c r="B206" s="1" t="s">
        <v>997</v>
      </c>
      <c r="C206" s="1" t="s">
        <v>15</v>
      </c>
      <c r="D206" s="1" t="s">
        <v>16</v>
      </c>
      <c r="E206" s="1" t="s">
        <v>94</v>
      </c>
      <c r="F206" s="1" t="s">
        <v>18</v>
      </c>
      <c r="G206" s="3" t="s">
        <v>600</v>
      </c>
      <c r="H206" s="1">
        <v>14</v>
      </c>
      <c r="I206" s="3" t="s">
        <v>601</v>
      </c>
      <c r="J206" s="1" t="s">
        <v>22</v>
      </c>
      <c r="K206" s="1"/>
      <c r="L206" s="3" t="s">
        <v>211</v>
      </c>
      <c r="M206" s="3" t="s">
        <v>227</v>
      </c>
      <c r="N206" s="1"/>
      <c r="O206" s="1" t="s">
        <v>25</v>
      </c>
      <c r="P206" s="3"/>
    </row>
    <row r="207" spans="1:16">
      <c r="A207" s="1">
        <v>206</v>
      </c>
      <c r="B207" s="1" t="s">
        <v>997</v>
      </c>
      <c r="C207" s="1" t="s">
        <v>15</v>
      </c>
      <c r="D207" s="1" t="s">
        <v>16</v>
      </c>
      <c r="E207" s="1" t="s">
        <v>37</v>
      </c>
      <c r="F207" s="1" t="s">
        <v>18</v>
      </c>
      <c r="G207" s="3" t="s">
        <v>602</v>
      </c>
      <c r="H207" s="1">
        <v>12</v>
      </c>
      <c r="I207" s="3" t="s">
        <v>603</v>
      </c>
      <c r="J207" s="1" t="s">
        <v>22</v>
      </c>
      <c r="K207" s="1"/>
      <c r="L207" s="3" t="s">
        <v>162</v>
      </c>
      <c r="M207" s="3" t="s">
        <v>149</v>
      </c>
      <c r="N207" s="1"/>
      <c r="O207" s="1" t="s">
        <v>25</v>
      </c>
      <c r="P207" s="3"/>
    </row>
    <row r="208" spans="1:16">
      <c r="A208" s="1">
        <v>207</v>
      </c>
      <c r="B208" s="1" t="s">
        <v>997</v>
      </c>
      <c r="C208" s="1" t="s">
        <v>15</v>
      </c>
      <c r="D208" s="1" t="s">
        <v>16</v>
      </c>
      <c r="E208" s="1" t="s">
        <v>111</v>
      </c>
      <c r="F208" s="1" t="s">
        <v>18</v>
      </c>
      <c r="G208" s="3" t="s">
        <v>604</v>
      </c>
      <c r="H208" s="1">
        <v>13</v>
      </c>
      <c r="I208" s="3" t="s">
        <v>605</v>
      </c>
      <c r="J208" s="1" t="s">
        <v>22</v>
      </c>
      <c r="K208" s="1"/>
      <c r="L208" s="3" t="s">
        <v>162</v>
      </c>
      <c r="M208" s="3" t="s">
        <v>134</v>
      </c>
      <c r="N208" s="1"/>
      <c r="O208" s="1" t="s">
        <v>25</v>
      </c>
      <c r="P208" s="3"/>
    </row>
    <row r="209" spans="1:16">
      <c r="A209" s="1">
        <v>208</v>
      </c>
      <c r="B209" s="1" t="s">
        <v>997</v>
      </c>
      <c r="C209" s="1" t="s">
        <v>15</v>
      </c>
      <c r="D209" s="1" t="s">
        <v>16</v>
      </c>
      <c r="E209" s="1" t="s">
        <v>37</v>
      </c>
      <c r="F209" s="1" t="s">
        <v>18</v>
      </c>
      <c r="G209" s="3" t="s">
        <v>606</v>
      </c>
      <c r="H209" s="1">
        <v>11</v>
      </c>
      <c r="I209" s="3" t="s">
        <v>607</v>
      </c>
      <c r="J209" s="1" t="s">
        <v>22</v>
      </c>
      <c r="K209" s="1"/>
      <c r="L209" s="3" t="s">
        <v>162</v>
      </c>
      <c r="M209" s="3" t="s">
        <v>149</v>
      </c>
      <c r="N209" s="1"/>
      <c r="O209" s="1" t="s">
        <v>25</v>
      </c>
      <c r="P209" s="3"/>
    </row>
    <row r="210" spans="1:16">
      <c r="A210" s="1">
        <v>209</v>
      </c>
      <c r="B210" s="1" t="s">
        <v>997</v>
      </c>
      <c r="C210" s="1" t="s">
        <v>15</v>
      </c>
      <c r="D210" s="1" t="s">
        <v>16</v>
      </c>
      <c r="E210" s="1" t="s">
        <v>111</v>
      </c>
      <c r="F210" s="1" t="s">
        <v>18</v>
      </c>
      <c r="G210" s="3" t="s">
        <v>608</v>
      </c>
      <c r="H210" s="1">
        <v>10</v>
      </c>
      <c r="I210" s="3" t="s">
        <v>609</v>
      </c>
      <c r="J210" s="1" t="s">
        <v>22</v>
      </c>
      <c r="K210" s="1"/>
      <c r="L210" s="3" t="s">
        <v>162</v>
      </c>
      <c r="M210" s="3" t="s">
        <v>134</v>
      </c>
      <c r="N210" s="1"/>
      <c r="O210" s="1" t="s">
        <v>25</v>
      </c>
      <c r="P210" s="3"/>
    </row>
    <row r="211" spans="1:16">
      <c r="A211" s="1">
        <v>210</v>
      </c>
      <c r="B211" s="1" t="s">
        <v>997</v>
      </c>
      <c r="C211" s="1" t="s">
        <v>15</v>
      </c>
      <c r="D211" s="1" t="s">
        <v>16</v>
      </c>
      <c r="E211" s="1" t="s">
        <v>68</v>
      </c>
      <c r="F211" s="1" t="s">
        <v>26</v>
      </c>
      <c r="G211" s="3" t="s">
        <v>610</v>
      </c>
      <c r="H211" s="1">
        <v>10</v>
      </c>
      <c r="I211" s="3" t="s">
        <v>611</v>
      </c>
      <c r="J211" s="1" t="s">
        <v>22</v>
      </c>
      <c r="K211" s="1"/>
      <c r="L211" s="3" t="s">
        <v>22</v>
      </c>
      <c r="M211" s="3" t="s">
        <v>188</v>
      </c>
      <c r="N211" s="1"/>
      <c r="O211" s="1" t="s">
        <v>25</v>
      </c>
      <c r="P211" s="3"/>
    </row>
    <row r="212" spans="1:16">
      <c r="A212" s="1">
        <v>211</v>
      </c>
      <c r="B212" s="1" t="s">
        <v>997</v>
      </c>
      <c r="C212" s="1" t="s">
        <v>15</v>
      </c>
      <c r="D212" s="1" t="s">
        <v>16</v>
      </c>
      <c r="E212" s="1" t="s">
        <v>120</v>
      </c>
      <c r="F212" s="1" t="s">
        <v>26</v>
      </c>
      <c r="G212" s="3" t="s">
        <v>612</v>
      </c>
      <c r="H212" s="1">
        <v>11</v>
      </c>
      <c r="I212" s="3" t="s">
        <v>613</v>
      </c>
      <c r="J212" s="1" t="s">
        <v>22</v>
      </c>
      <c r="K212" s="1"/>
      <c r="L212" s="3" t="s">
        <v>22</v>
      </c>
      <c r="M212" s="3" t="s">
        <v>129</v>
      </c>
      <c r="N212" s="1"/>
      <c r="O212" s="1" t="s">
        <v>25</v>
      </c>
      <c r="P212" s="3"/>
    </row>
    <row r="213" spans="1:16">
      <c r="A213" s="1">
        <v>212</v>
      </c>
      <c r="B213" s="1" t="s">
        <v>997</v>
      </c>
      <c r="C213" s="1" t="s">
        <v>15</v>
      </c>
      <c r="D213" s="1" t="s">
        <v>16</v>
      </c>
      <c r="E213" s="1" t="s">
        <v>37</v>
      </c>
      <c r="F213" s="1" t="s">
        <v>26</v>
      </c>
      <c r="G213" s="3" t="s">
        <v>614</v>
      </c>
      <c r="H213" s="1">
        <v>14</v>
      </c>
      <c r="I213" s="3" t="s">
        <v>615</v>
      </c>
      <c r="J213" s="1" t="s">
        <v>22</v>
      </c>
      <c r="K213" s="1"/>
      <c r="L213" s="3" t="s">
        <v>162</v>
      </c>
      <c r="M213" s="3" t="s">
        <v>40</v>
      </c>
      <c r="N213" s="1"/>
      <c r="O213" s="1" t="s">
        <v>25</v>
      </c>
      <c r="P213" s="3"/>
    </row>
    <row r="214" spans="1:16">
      <c r="A214" s="1">
        <v>213</v>
      </c>
      <c r="B214" s="1" t="s">
        <v>997</v>
      </c>
      <c r="C214" s="1" t="s">
        <v>15</v>
      </c>
      <c r="D214" s="1" t="s">
        <v>16</v>
      </c>
      <c r="E214" s="1" t="s">
        <v>68</v>
      </c>
      <c r="F214" s="1" t="s">
        <v>26</v>
      </c>
      <c r="G214" s="3" t="s">
        <v>616</v>
      </c>
      <c r="H214" s="1">
        <v>12</v>
      </c>
      <c r="I214" s="3" t="s">
        <v>617</v>
      </c>
      <c r="J214" s="1" t="s">
        <v>22</v>
      </c>
      <c r="K214" s="1"/>
      <c r="L214" s="3" t="s">
        <v>22</v>
      </c>
      <c r="M214" s="3" t="s">
        <v>227</v>
      </c>
      <c r="N214" s="1"/>
      <c r="O214" s="1" t="s">
        <v>25</v>
      </c>
      <c r="P214" s="3"/>
    </row>
    <row r="215" spans="1:16">
      <c r="A215" s="1">
        <v>214</v>
      </c>
      <c r="B215" s="1" t="s">
        <v>997</v>
      </c>
      <c r="C215" s="1" t="s">
        <v>15</v>
      </c>
      <c r="D215" s="1" t="s">
        <v>16</v>
      </c>
      <c r="E215" s="1" t="s">
        <v>94</v>
      </c>
      <c r="F215" s="1" t="s">
        <v>26</v>
      </c>
      <c r="G215" s="3" t="s">
        <v>618</v>
      </c>
      <c r="H215" s="1">
        <v>14</v>
      </c>
      <c r="I215" s="3" t="s">
        <v>619</v>
      </c>
      <c r="J215" s="1" t="s">
        <v>22</v>
      </c>
      <c r="K215" s="1"/>
      <c r="L215" s="3" t="s">
        <v>211</v>
      </c>
      <c r="M215" s="3" t="s">
        <v>97</v>
      </c>
      <c r="N215" s="1"/>
      <c r="O215" s="1" t="s">
        <v>25</v>
      </c>
      <c r="P215" s="3"/>
    </row>
    <row r="216" spans="1:16">
      <c r="A216" s="1">
        <v>215</v>
      </c>
      <c r="B216" s="1" t="s">
        <v>997</v>
      </c>
      <c r="C216" s="1" t="s">
        <v>15</v>
      </c>
      <c r="D216" s="1" t="s">
        <v>16</v>
      </c>
      <c r="E216" s="1" t="s">
        <v>68</v>
      </c>
      <c r="F216" s="1" t="s">
        <v>18</v>
      </c>
      <c r="G216" s="3" t="s">
        <v>620</v>
      </c>
      <c r="H216" s="1">
        <v>9</v>
      </c>
      <c r="I216" s="3" t="s">
        <v>621</v>
      </c>
      <c r="J216" s="1" t="s">
        <v>22</v>
      </c>
      <c r="K216" s="1"/>
      <c r="L216" s="3" t="s">
        <v>22</v>
      </c>
      <c r="M216" s="3" t="s">
        <v>188</v>
      </c>
      <c r="N216" s="1"/>
      <c r="O216" s="1" t="s">
        <v>25</v>
      </c>
      <c r="P216" s="3"/>
    </row>
    <row r="217" spans="1:16">
      <c r="A217" s="1">
        <v>216</v>
      </c>
      <c r="B217" s="1" t="s">
        <v>997</v>
      </c>
      <c r="C217" s="1" t="s">
        <v>15</v>
      </c>
      <c r="D217" s="1" t="s">
        <v>16</v>
      </c>
      <c r="E217" s="1" t="s">
        <v>50</v>
      </c>
      <c r="F217" s="1" t="s">
        <v>26</v>
      </c>
      <c r="G217" s="3" t="s">
        <v>622</v>
      </c>
      <c r="H217" s="1">
        <v>14</v>
      </c>
      <c r="I217" s="3" t="s">
        <v>623</v>
      </c>
      <c r="J217" s="1" t="s">
        <v>22</v>
      </c>
      <c r="K217" s="1"/>
      <c r="L217" s="3" t="s">
        <v>22</v>
      </c>
      <c r="M217" s="3" t="s">
        <v>53</v>
      </c>
      <c r="N217" s="1"/>
      <c r="O217" s="1" t="s">
        <v>25</v>
      </c>
      <c r="P217" s="3"/>
    </row>
    <row r="218" spans="1:16">
      <c r="A218" s="1">
        <v>217</v>
      </c>
      <c r="B218" s="1" t="s">
        <v>997</v>
      </c>
      <c r="C218" s="1" t="s">
        <v>15</v>
      </c>
      <c r="D218" s="1" t="s">
        <v>16</v>
      </c>
      <c r="E218" s="1" t="s">
        <v>120</v>
      </c>
      <c r="F218" s="1" t="s">
        <v>18</v>
      </c>
      <c r="G218" s="3" t="s">
        <v>624</v>
      </c>
      <c r="H218" s="1">
        <v>13</v>
      </c>
      <c r="I218" s="3" t="s">
        <v>625</v>
      </c>
      <c r="J218" s="1" t="s">
        <v>22</v>
      </c>
      <c r="K218" s="1"/>
      <c r="L218" s="3" t="s">
        <v>22</v>
      </c>
      <c r="M218" s="3" t="s">
        <v>129</v>
      </c>
      <c r="N218" s="1"/>
      <c r="O218" s="1" t="s">
        <v>25</v>
      </c>
      <c r="P218" s="3"/>
    </row>
    <row r="219" spans="1:16">
      <c r="A219" s="1">
        <v>218</v>
      </c>
      <c r="B219" s="1" t="s">
        <v>997</v>
      </c>
      <c r="C219" s="1" t="s">
        <v>15</v>
      </c>
      <c r="D219" s="1" t="s">
        <v>16</v>
      </c>
      <c r="E219" s="1" t="s">
        <v>50</v>
      </c>
      <c r="F219" s="1" t="s">
        <v>18</v>
      </c>
      <c r="G219" s="3" t="s">
        <v>626</v>
      </c>
      <c r="H219" s="1">
        <v>12</v>
      </c>
      <c r="I219" s="3" t="s">
        <v>627</v>
      </c>
      <c r="J219" s="1" t="s">
        <v>22</v>
      </c>
      <c r="K219" s="1"/>
      <c r="L219" s="3" t="s">
        <v>22</v>
      </c>
      <c r="M219" s="3" t="s">
        <v>53</v>
      </c>
      <c r="N219" s="1"/>
      <c r="O219" s="1" t="s">
        <v>25</v>
      </c>
      <c r="P219" s="3"/>
    </row>
    <row r="220" spans="1:16">
      <c r="A220" s="1">
        <v>219</v>
      </c>
      <c r="B220" s="1" t="s">
        <v>997</v>
      </c>
      <c r="C220" s="1" t="s">
        <v>15</v>
      </c>
      <c r="D220" s="1" t="s">
        <v>16</v>
      </c>
      <c r="E220" s="1" t="s">
        <v>50</v>
      </c>
      <c r="F220" s="1" t="s">
        <v>18</v>
      </c>
      <c r="G220" s="3" t="s">
        <v>628</v>
      </c>
      <c r="H220" s="1">
        <v>12</v>
      </c>
      <c r="I220" s="3" t="s">
        <v>629</v>
      </c>
      <c r="J220" s="1" t="s">
        <v>22</v>
      </c>
      <c r="K220" s="1"/>
      <c r="L220" s="3" t="s">
        <v>22</v>
      </c>
      <c r="M220" s="3" t="s">
        <v>53</v>
      </c>
      <c r="N220" s="1"/>
      <c r="O220" s="1" t="s">
        <v>25</v>
      </c>
      <c r="P220" s="3"/>
    </row>
    <row r="221" spans="1:16" ht="48">
      <c r="A221" s="1">
        <v>220</v>
      </c>
      <c r="B221" s="1" t="s">
        <v>997</v>
      </c>
      <c r="C221" s="1" t="s">
        <v>15</v>
      </c>
      <c r="D221" s="1" t="s">
        <v>16</v>
      </c>
      <c r="E221" s="1" t="s">
        <v>50</v>
      </c>
      <c r="F221" s="1" t="s">
        <v>18</v>
      </c>
      <c r="G221" s="3" t="s">
        <v>630</v>
      </c>
      <c r="H221" s="1">
        <v>13</v>
      </c>
      <c r="I221" s="3" t="s">
        <v>631</v>
      </c>
      <c r="J221" s="1" t="s">
        <v>22</v>
      </c>
      <c r="K221" s="1"/>
      <c r="L221" s="3" t="s">
        <v>279</v>
      </c>
      <c r="M221" s="3" t="s">
        <v>53</v>
      </c>
      <c r="N221" s="1"/>
      <c r="O221" s="1" t="s">
        <v>66</v>
      </c>
      <c r="P221" s="3" t="s">
        <v>281</v>
      </c>
    </row>
    <row r="222" spans="1:16">
      <c r="A222" s="1">
        <v>221</v>
      </c>
      <c r="B222" s="1" t="s">
        <v>997</v>
      </c>
      <c r="C222" s="1" t="s">
        <v>15</v>
      </c>
      <c r="D222" s="1" t="s">
        <v>16</v>
      </c>
      <c r="E222" s="1" t="s">
        <v>17</v>
      </c>
      <c r="F222" s="1" t="s">
        <v>26</v>
      </c>
      <c r="G222" s="3" t="s">
        <v>632</v>
      </c>
      <c r="H222" s="1">
        <v>11</v>
      </c>
      <c r="I222" s="3" t="s">
        <v>633</v>
      </c>
      <c r="J222" s="1" t="s">
        <v>22</v>
      </c>
      <c r="K222" s="1"/>
      <c r="L222" s="3" t="s">
        <v>211</v>
      </c>
      <c r="M222" s="3" t="s">
        <v>227</v>
      </c>
      <c r="N222" s="1"/>
      <c r="O222" s="1" t="s">
        <v>25</v>
      </c>
      <c r="P222" s="3"/>
    </row>
    <row r="223" spans="1:16">
      <c r="A223" s="1">
        <v>222</v>
      </c>
      <c r="B223" s="1" t="s">
        <v>997</v>
      </c>
      <c r="C223" s="1" t="s">
        <v>15</v>
      </c>
      <c r="D223" s="1" t="s">
        <v>130</v>
      </c>
      <c r="E223" s="1" t="s">
        <v>130</v>
      </c>
      <c r="F223" s="1" t="s">
        <v>22</v>
      </c>
      <c r="G223" s="3" t="s">
        <v>634</v>
      </c>
      <c r="H223" s="1">
        <v>12</v>
      </c>
      <c r="I223" s="3" t="s">
        <v>635</v>
      </c>
      <c r="J223" s="1" t="s">
        <v>22</v>
      </c>
      <c r="K223" s="1"/>
      <c r="L223" s="3" t="s">
        <v>22</v>
      </c>
      <c r="M223" s="3" t="s">
        <v>138</v>
      </c>
      <c r="N223" s="1"/>
      <c r="O223" s="1" t="s">
        <v>25</v>
      </c>
      <c r="P223" s="3"/>
    </row>
    <row r="224" spans="1:16" ht="32">
      <c r="A224" s="1">
        <v>223</v>
      </c>
      <c r="B224" s="1" t="s">
        <v>997</v>
      </c>
      <c r="C224" s="1" t="s">
        <v>15</v>
      </c>
      <c r="D224" s="1" t="s">
        <v>130</v>
      </c>
      <c r="E224" s="1" t="s">
        <v>130</v>
      </c>
      <c r="F224" s="1" t="s">
        <v>22</v>
      </c>
      <c r="G224" s="3" t="s">
        <v>636</v>
      </c>
      <c r="H224" s="1">
        <v>12</v>
      </c>
      <c r="I224" s="3" t="s">
        <v>637</v>
      </c>
      <c r="J224" s="1" t="s">
        <v>22</v>
      </c>
      <c r="K224" s="1"/>
      <c r="L224" s="3" t="s">
        <v>279</v>
      </c>
      <c r="M224" s="3" t="s">
        <v>138</v>
      </c>
      <c r="N224" s="1"/>
      <c r="O224" s="1" t="s">
        <v>274</v>
      </c>
      <c r="P224" s="3" t="s">
        <v>638</v>
      </c>
    </row>
    <row r="225" spans="1:16">
      <c r="A225" s="1">
        <v>224</v>
      </c>
      <c r="B225" s="1" t="s">
        <v>997</v>
      </c>
      <c r="C225" s="1" t="s">
        <v>15</v>
      </c>
      <c r="D225" s="1" t="s">
        <v>139</v>
      </c>
      <c r="E225" s="1" t="s">
        <v>139</v>
      </c>
      <c r="F225" s="1" t="s">
        <v>22</v>
      </c>
      <c r="G225" s="3" t="s">
        <v>639</v>
      </c>
      <c r="H225" s="1">
        <v>12</v>
      </c>
      <c r="I225" s="3" t="s">
        <v>640</v>
      </c>
      <c r="J225" s="1" t="s">
        <v>22</v>
      </c>
      <c r="K225" s="1"/>
      <c r="L225" s="3" t="s">
        <v>22</v>
      </c>
      <c r="M225" s="3" t="s">
        <v>138</v>
      </c>
      <c r="N225" s="1"/>
      <c r="O225" s="1" t="s">
        <v>25</v>
      </c>
      <c r="P225" s="3"/>
    </row>
    <row r="226" spans="1:16" ht="32">
      <c r="A226" s="1">
        <v>225</v>
      </c>
      <c r="B226" s="1" t="s">
        <v>997</v>
      </c>
      <c r="C226" s="1" t="s">
        <v>15</v>
      </c>
      <c r="D226" s="1" t="s">
        <v>139</v>
      </c>
      <c r="E226" s="1" t="s">
        <v>139</v>
      </c>
      <c r="F226" s="1" t="s">
        <v>22</v>
      </c>
      <c r="G226" s="3" t="s">
        <v>641</v>
      </c>
      <c r="H226" s="1">
        <v>14</v>
      </c>
      <c r="I226" s="3" t="s">
        <v>642</v>
      </c>
      <c r="J226" s="1" t="s">
        <v>45</v>
      </c>
      <c r="K226" s="1"/>
      <c r="L226" s="3" t="s">
        <v>643</v>
      </c>
      <c r="M226" s="3" t="s">
        <v>138</v>
      </c>
      <c r="N226" s="1"/>
      <c r="O226" s="1" t="s">
        <v>274</v>
      </c>
      <c r="P226" s="3" t="s">
        <v>644</v>
      </c>
    </row>
  </sheetData>
  <autoFilter ref="A1:P1" xr:uid="{AC694106-73D2-4BAF-A8E7-E6EF935B2F7F}"/>
  <phoneticPr fontId="1" type="noConversion"/>
  <conditionalFormatting sqref="C2:C226">
    <cfRule type="cellIs" dxfId="8" priority="1" stopIfTrue="1" operator="equal">
      <formula>"""제외"""</formula>
    </cfRule>
    <cfRule type="cellIs" dxfId="7" priority="2" stopIfTrue="1" operator="equal">
      <formula>"""보류"""</formula>
    </cfRule>
  </conditionalFormatting>
  <conditionalFormatting sqref="H2:H226">
    <cfRule type="cellIs" dxfId="6" priority="3" stopIfTrue="1" operator="greaterThan">
      <formula>22</formula>
    </cfRule>
  </conditionalFormatting>
  <conditionalFormatting sqref="N2:N226">
    <cfRule type="cellIs" dxfId="5" priority="4" stopIfTrue="1" operator="equal">
      <formula>"""약함"""</formula>
    </cfRule>
  </conditionalFormatting>
  <conditionalFormatting sqref="O2:O226">
    <cfRule type="cellIs" dxfId="4" priority="5" stopIfTrue="1" operator="equal">
      <formula>"""삭제"""</formula>
    </cfRule>
    <cfRule type="cellIs" dxfId="3" priority="6" stopIfTrue="1" operator="equal">
      <formula>"""수정"""</formula>
    </cfRule>
    <cfRule type="cellIs" dxfId="2" priority="7" stopIfTrue="1" operator="equal">
      <formula>"""보류"""</formula>
    </cfRule>
    <cfRule type="cellIs" dxfId="1" priority="8" stopIfTrue="1" operator="equal">
      <formula>"""조건부"""</formula>
    </cfRule>
    <cfRule type="cellIs" dxfId="0" priority="9" stopIfTrue="1" operator="equal">
      <formula>"""확인 필요"""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94FDF-6631-4D80-8B50-20B81799B5F6}">
  <dimension ref="A1:J9"/>
  <sheetViews>
    <sheetView workbookViewId="0">
      <pane ySplit="1" topLeftCell="A2" activePane="bottomLeft" state="frozen"/>
      <selection pane="bottomLeft" activeCell="A2" sqref="A2"/>
    </sheetView>
  </sheetViews>
  <sheetFormatPr defaultRowHeight="17"/>
  <cols>
    <col min="1" max="1" width="8.58203125" customWidth="1"/>
    <col min="2" max="2" width="16.58203125" customWidth="1"/>
    <col min="3" max="3" width="26.58203125" customWidth="1"/>
    <col min="4" max="4" width="44.58203125" customWidth="1"/>
    <col min="5" max="5" width="20.58203125" customWidth="1"/>
    <col min="6" max="7" width="18.58203125" customWidth="1"/>
    <col min="8" max="8" width="16.58203125" customWidth="1"/>
    <col min="9" max="9" width="26.58203125" customWidth="1"/>
    <col min="10" max="10" width="30.58203125" customWidth="1"/>
  </cols>
  <sheetData>
    <row r="1" spans="1:10">
      <c r="A1" s="2" t="s">
        <v>645</v>
      </c>
      <c r="B1" s="2" t="s">
        <v>3</v>
      </c>
      <c r="C1" s="2" t="s">
        <v>646</v>
      </c>
      <c r="D1" s="2" t="s">
        <v>647</v>
      </c>
      <c r="E1" s="2" t="s">
        <v>648</v>
      </c>
      <c r="F1" s="2" t="s">
        <v>649</v>
      </c>
      <c r="G1" s="2" t="s">
        <v>650</v>
      </c>
      <c r="H1" s="2" t="s">
        <v>651</v>
      </c>
      <c r="I1" s="2" t="s">
        <v>652</v>
      </c>
      <c r="J1" s="2" t="s">
        <v>653</v>
      </c>
    </row>
    <row r="2" spans="1:10" ht="32">
      <c r="A2" s="1">
        <v>1</v>
      </c>
      <c r="B2" s="1" t="s">
        <v>17</v>
      </c>
      <c r="C2" s="3" t="s">
        <v>654</v>
      </c>
      <c r="D2" s="3" t="s">
        <v>655</v>
      </c>
      <c r="E2" s="1" t="s">
        <v>22</v>
      </c>
      <c r="F2" s="1" t="s">
        <v>22</v>
      </c>
      <c r="G2" s="1" t="s">
        <v>22</v>
      </c>
      <c r="H2" s="1" t="s">
        <v>22</v>
      </c>
      <c r="I2" s="3" t="s">
        <v>656</v>
      </c>
      <c r="J2" s="3" t="s">
        <v>657</v>
      </c>
    </row>
    <row r="3" spans="1:10">
      <c r="A3" s="1">
        <v>2</v>
      </c>
      <c r="B3" s="1" t="s">
        <v>37</v>
      </c>
      <c r="C3" s="3" t="s">
        <v>658</v>
      </c>
      <c r="D3" s="3" t="s">
        <v>659</v>
      </c>
      <c r="E3" s="1" t="s">
        <v>660</v>
      </c>
      <c r="F3" s="1" t="s">
        <v>661</v>
      </c>
      <c r="G3" s="1" t="s">
        <v>662</v>
      </c>
      <c r="H3" s="1" t="s">
        <v>663</v>
      </c>
      <c r="I3" s="3" t="s">
        <v>664</v>
      </c>
      <c r="J3" s="3"/>
    </row>
    <row r="4" spans="1:10">
      <c r="A4" s="1">
        <v>3</v>
      </c>
      <c r="B4" s="1" t="s">
        <v>50</v>
      </c>
      <c r="C4" s="3" t="s">
        <v>665</v>
      </c>
      <c r="D4" s="3" t="s">
        <v>666</v>
      </c>
      <c r="E4" s="1" t="s">
        <v>667</v>
      </c>
      <c r="F4" s="1" t="s">
        <v>661</v>
      </c>
      <c r="G4" s="1" t="s">
        <v>660</v>
      </c>
      <c r="H4" s="1" t="s">
        <v>663</v>
      </c>
      <c r="I4" s="3" t="s">
        <v>668</v>
      </c>
      <c r="J4" s="3"/>
    </row>
    <row r="5" spans="1:10">
      <c r="A5" s="1">
        <v>4</v>
      </c>
      <c r="B5" s="1" t="s">
        <v>68</v>
      </c>
      <c r="C5" s="3" t="s">
        <v>669</v>
      </c>
      <c r="D5" s="3" t="s">
        <v>670</v>
      </c>
      <c r="E5" s="1" t="s">
        <v>671</v>
      </c>
      <c r="F5" s="1" t="s">
        <v>672</v>
      </c>
      <c r="G5" s="1" t="s">
        <v>673</v>
      </c>
      <c r="H5" s="1" t="s">
        <v>663</v>
      </c>
      <c r="I5" s="3" t="s">
        <v>674</v>
      </c>
      <c r="J5" s="3" t="s">
        <v>675</v>
      </c>
    </row>
    <row r="6" spans="1:10" ht="32">
      <c r="A6" s="1">
        <v>5</v>
      </c>
      <c r="B6" s="1" t="s">
        <v>84</v>
      </c>
      <c r="C6" s="3" t="s">
        <v>676</v>
      </c>
      <c r="D6" s="3" t="s">
        <v>677</v>
      </c>
      <c r="E6" s="1" t="s">
        <v>662</v>
      </c>
      <c r="F6" s="1" t="s">
        <v>678</v>
      </c>
      <c r="G6" s="1" t="s">
        <v>679</v>
      </c>
      <c r="H6" s="1" t="s">
        <v>680</v>
      </c>
      <c r="I6" s="3" t="s">
        <v>681</v>
      </c>
      <c r="J6" s="3" t="s">
        <v>682</v>
      </c>
    </row>
    <row r="7" spans="1:10">
      <c r="A7" s="1">
        <v>6</v>
      </c>
      <c r="B7" s="1" t="s">
        <v>94</v>
      </c>
      <c r="C7" s="3" t="s">
        <v>683</v>
      </c>
      <c r="D7" s="3" t="s">
        <v>684</v>
      </c>
      <c r="E7" s="1" t="s">
        <v>685</v>
      </c>
      <c r="F7" s="1" t="s">
        <v>686</v>
      </c>
      <c r="G7" s="1" t="s">
        <v>687</v>
      </c>
      <c r="H7" s="1" t="s">
        <v>663</v>
      </c>
      <c r="I7" s="3" t="s">
        <v>688</v>
      </c>
      <c r="J7" s="3" t="s">
        <v>689</v>
      </c>
    </row>
    <row r="8" spans="1:10">
      <c r="A8" s="1">
        <v>7</v>
      </c>
      <c r="B8" s="1" t="s">
        <v>111</v>
      </c>
      <c r="C8" s="3" t="s">
        <v>690</v>
      </c>
      <c r="D8" s="3" t="s">
        <v>691</v>
      </c>
      <c r="E8" s="1" t="s">
        <v>692</v>
      </c>
      <c r="F8" s="1" t="s">
        <v>693</v>
      </c>
      <c r="G8" s="1" t="s">
        <v>662</v>
      </c>
      <c r="H8" s="1" t="s">
        <v>663</v>
      </c>
      <c r="I8" s="3" t="s">
        <v>694</v>
      </c>
      <c r="J8" s="3" t="s">
        <v>695</v>
      </c>
    </row>
    <row r="9" spans="1:10">
      <c r="A9" s="1">
        <v>8</v>
      </c>
      <c r="B9" s="1" t="s">
        <v>120</v>
      </c>
      <c r="C9" s="3" t="s">
        <v>696</v>
      </c>
      <c r="D9" s="3" t="s">
        <v>697</v>
      </c>
      <c r="E9" s="1" t="s">
        <v>662</v>
      </c>
      <c r="F9" s="1" t="s">
        <v>661</v>
      </c>
      <c r="G9" s="1" t="s">
        <v>660</v>
      </c>
      <c r="H9" s="1" t="s">
        <v>663</v>
      </c>
      <c r="I9" s="3" t="s">
        <v>698</v>
      </c>
      <c r="J9" s="3"/>
    </row>
  </sheetData>
  <autoFilter ref="A1:J1" xr:uid="{9E494FDF-6631-4D80-8B50-20B81799B5F6}"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A8931-53EF-4EA8-B6C6-EF590A45CC55}">
  <dimension ref="A1:H23"/>
  <sheetViews>
    <sheetView workbookViewId="0">
      <pane ySplit="1" topLeftCell="A2" activePane="bottomLeft" state="frozen"/>
      <selection pane="bottomLeft" activeCell="A2" sqref="A2"/>
    </sheetView>
  </sheetViews>
  <sheetFormatPr defaultRowHeight="17"/>
  <cols>
    <col min="1" max="1" width="14.58203125" customWidth="1"/>
    <col min="2" max="2" width="20.58203125" customWidth="1"/>
    <col min="3" max="3" width="34.58203125" customWidth="1"/>
    <col min="4" max="4" width="30.58203125" customWidth="1"/>
    <col min="5" max="5" width="28.58203125" customWidth="1"/>
    <col min="6" max="6" width="62.58203125" customWidth="1"/>
    <col min="7" max="7" width="22.58203125" customWidth="1"/>
    <col min="8" max="8" width="34.58203125" customWidth="1"/>
  </cols>
  <sheetData>
    <row r="1" spans="1:8">
      <c r="A1" s="2" t="s">
        <v>2</v>
      </c>
      <c r="B1" s="2" t="s">
        <v>699</v>
      </c>
      <c r="C1" s="2" t="s">
        <v>700</v>
      </c>
      <c r="D1" s="2" t="s">
        <v>701</v>
      </c>
      <c r="E1" s="2" t="s">
        <v>702</v>
      </c>
      <c r="F1" s="2" t="s">
        <v>703</v>
      </c>
      <c r="G1" s="2" t="s">
        <v>704</v>
      </c>
      <c r="H1" s="2" t="s">
        <v>11</v>
      </c>
    </row>
    <row r="2" spans="1:8" ht="64">
      <c r="A2" s="1" t="s">
        <v>705</v>
      </c>
      <c r="B2" s="1" t="s">
        <v>706</v>
      </c>
      <c r="C2" s="3" t="s">
        <v>707</v>
      </c>
      <c r="D2" s="3" t="s">
        <v>708</v>
      </c>
      <c r="E2" s="3" t="s">
        <v>709</v>
      </c>
      <c r="F2" s="3" t="s">
        <v>710</v>
      </c>
      <c r="G2" s="1" t="s">
        <v>706</v>
      </c>
      <c r="H2" s="3" t="s">
        <v>711</v>
      </c>
    </row>
    <row r="3" spans="1:8" ht="48">
      <c r="A3" s="1" t="s">
        <v>705</v>
      </c>
      <c r="B3" s="1" t="s">
        <v>712</v>
      </c>
      <c r="C3" s="3" t="s">
        <v>713</v>
      </c>
      <c r="D3" s="3" t="s">
        <v>708</v>
      </c>
      <c r="E3" s="3" t="s">
        <v>714</v>
      </c>
      <c r="F3" s="3" t="s">
        <v>715</v>
      </c>
      <c r="G3" s="1" t="s">
        <v>712</v>
      </c>
      <c r="H3" s="3" t="s">
        <v>716</v>
      </c>
    </row>
    <row r="4" spans="1:8" ht="32">
      <c r="A4" s="1" t="s">
        <v>705</v>
      </c>
      <c r="B4" s="1" t="s">
        <v>717</v>
      </c>
      <c r="C4" s="3" t="s">
        <v>718</v>
      </c>
      <c r="D4" s="3" t="s">
        <v>708</v>
      </c>
      <c r="E4" s="3" t="s">
        <v>719</v>
      </c>
      <c r="F4" s="3" t="s">
        <v>720</v>
      </c>
      <c r="G4" s="1" t="s">
        <v>721</v>
      </c>
      <c r="H4" s="3" t="s">
        <v>722</v>
      </c>
    </row>
    <row r="5" spans="1:8" ht="80">
      <c r="A5" s="1" t="s">
        <v>705</v>
      </c>
      <c r="B5" s="1" t="s">
        <v>723</v>
      </c>
      <c r="C5" s="3" t="s">
        <v>724</v>
      </c>
      <c r="D5" s="3" t="s">
        <v>725</v>
      </c>
      <c r="E5" s="3" t="s">
        <v>726</v>
      </c>
      <c r="F5" s="3" t="s">
        <v>727</v>
      </c>
      <c r="G5" s="1" t="s">
        <v>728</v>
      </c>
      <c r="H5" s="3" t="s">
        <v>729</v>
      </c>
    </row>
    <row r="6" spans="1:8" ht="32">
      <c r="A6" s="1" t="s">
        <v>705</v>
      </c>
      <c r="B6" s="1" t="s">
        <v>730</v>
      </c>
      <c r="C6" s="3" t="s">
        <v>731</v>
      </c>
      <c r="D6" s="3" t="s">
        <v>732</v>
      </c>
      <c r="E6" s="3" t="s">
        <v>733</v>
      </c>
      <c r="F6" s="3" t="s">
        <v>734</v>
      </c>
      <c r="G6" s="1" t="s">
        <v>735</v>
      </c>
      <c r="H6" s="3" t="s">
        <v>736</v>
      </c>
    </row>
    <row r="7" spans="1:8" ht="32">
      <c r="A7" s="1" t="s">
        <v>705</v>
      </c>
      <c r="B7" s="1" t="s">
        <v>737</v>
      </c>
      <c r="C7" s="3" t="s">
        <v>738</v>
      </c>
      <c r="D7" s="3" t="s">
        <v>739</v>
      </c>
      <c r="E7" s="3" t="s">
        <v>740</v>
      </c>
      <c r="F7" s="3" t="s">
        <v>720</v>
      </c>
      <c r="G7" s="1" t="s">
        <v>737</v>
      </c>
      <c r="H7" s="3" t="s">
        <v>741</v>
      </c>
    </row>
    <row r="8" spans="1:8" ht="32">
      <c r="A8" s="1" t="s">
        <v>742</v>
      </c>
      <c r="B8" s="1" t="s">
        <v>743</v>
      </c>
      <c r="C8" s="3" t="s">
        <v>744</v>
      </c>
      <c r="D8" s="3" t="s">
        <v>745</v>
      </c>
      <c r="E8" s="3" t="s">
        <v>746</v>
      </c>
      <c r="F8" s="3" t="s">
        <v>747</v>
      </c>
      <c r="G8" s="1" t="s">
        <v>748</v>
      </c>
      <c r="H8" s="3" t="s">
        <v>749</v>
      </c>
    </row>
    <row r="9" spans="1:8" ht="32">
      <c r="A9" s="1" t="s">
        <v>742</v>
      </c>
      <c r="B9" s="1" t="s">
        <v>211</v>
      </c>
      <c r="C9" s="3" t="s">
        <v>750</v>
      </c>
      <c r="D9" s="3" t="s">
        <v>751</v>
      </c>
      <c r="E9" s="3" t="s">
        <v>746</v>
      </c>
      <c r="F9" s="3" t="s">
        <v>752</v>
      </c>
      <c r="G9" s="1" t="s">
        <v>748</v>
      </c>
      <c r="H9" s="3" t="s">
        <v>753</v>
      </c>
    </row>
    <row r="10" spans="1:8" ht="32">
      <c r="A10" s="1" t="s">
        <v>742</v>
      </c>
      <c r="B10" s="1" t="s">
        <v>754</v>
      </c>
      <c r="C10" s="3" t="s">
        <v>755</v>
      </c>
      <c r="D10" s="3" t="s">
        <v>756</v>
      </c>
      <c r="E10" s="3" t="s">
        <v>746</v>
      </c>
      <c r="F10" s="3" t="s">
        <v>757</v>
      </c>
      <c r="G10" s="1" t="s">
        <v>748</v>
      </c>
      <c r="H10" s="3" t="s">
        <v>758</v>
      </c>
    </row>
    <row r="11" spans="1:8" ht="32">
      <c r="A11" s="1" t="s">
        <v>742</v>
      </c>
      <c r="B11" s="1" t="s">
        <v>759</v>
      </c>
      <c r="C11" s="3" t="s">
        <v>760</v>
      </c>
      <c r="D11" s="3" t="s">
        <v>761</v>
      </c>
      <c r="E11" s="3" t="s">
        <v>746</v>
      </c>
      <c r="F11" s="3" t="s">
        <v>762</v>
      </c>
      <c r="G11" s="1" t="s">
        <v>748</v>
      </c>
      <c r="H11" s="3" t="s">
        <v>763</v>
      </c>
    </row>
    <row r="12" spans="1:8" ht="48">
      <c r="A12" s="1" t="s">
        <v>742</v>
      </c>
      <c r="B12" s="1" t="s">
        <v>764</v>
      </c>
      <c r="C12" s="3" t="s">
        <v>765</v>
      </c>
      <c r="D12" s="3" t="s">
        <v>766</v>
      </c>
      <c r="E12" s="3" t="s">
        <v>746</v>
      </c>
      <c r="F12" s="3" t="s">
        <v>767</v>
      </c>
      <c r="G12" s="1" t="s">
        <v>748</v>
      </c>
      <c r="H12" s="3" t="s">
        <v>768</v>
      </c>
    </row>
    <row r="13" spans="1:8" ht="32">
      <c r="A13" s="1" t="s">
        <v>290</v>
      </c>
      <c r="B13" s="1" t="s">
        <v>769</v>
      </c>
      <c r="C13" s="3" t="s">
        <v>770</v>
      </c>
      <c r="D13" s="3" t="s">
        <v>771</v>
      </c>
      <c r="E13" s="3" t="s">
        <v>772</v>
      </c>
      <c r="F13" s="3" t="s">
        <v>720</v>
      </c>
      <c r="G13" s="1" t="s">
        <v>22</v>
      </c>
      <c r="H13" s="3" t="s">
        <v>773</v>
      </c>
    </row>
    <row r="14" spans="1:8" ht="32">
      <c r="A14" s="1" t="s">
        <v>290</v>
      </c>
      <c r="B14" s="1" t="s">
        <v>774</v>
      </c>
      <c r="C14" s="3" t="s">
        <v>775</v>
      </c>
      <c r="D14" s="3" t="s">
        <v>771</v>
      </c>
      <c r="E14" s="3" t="s">
        <v>776</v>
      </c>
      <c r="F14" s="3" t="s">
        <v>777</v>
      </c>
      <c r="G14" s="1" t="s">
        <v>22</v>
      </c>
      <c r="H14" s="3" t="s">
        <v>778</v>
      </c>
    </row>
    <row r="15" spans="1:8" ht="32">
      <c r="A15" s="1" t="s">
        <v>290</v>
      </c>
      <c r="B15" s="1" t="s">
        <v>779</v>
      </c>
      <c r="C15" s="3" t="s">
        <v>780</v>
      </c>
      <c r="D15" s="3" t="s">
        <v>781</v>
      </c>
      <c r="E15" s="3" t="s">
        <v>782</v>
      </c>
      <c r="F15" s="3" t="s">
        <v>720</v>
      </c>
      <c r="G15" s="1" t="s">
        <v>22</v>
      </c>
      <c r="H15" s="3" t="s">
        <v>783</v>
      </c>
    </row>
    <row r="16" spans="1:8" ht="32">
      <c r="A16" s="1" t="s">
        <v>290</v>
      </c>
      <c r="B16" s="1" t="s">
        <v>784</v>
      </c>
      <c r="C16" s="3" t="s">
        <v>785</v>
      </c>
      <c r="D16" s="3" t="s">
        <v>771</v>
      </c>
      <c r="E16" s="3" t="s">
        <v>786</v>
      </c>
      <c r="F16" s="3" t="s">
        <v>787</v>
      </c>
      <c r="G16" s="1" t="s">
        <v>22</v>
      </c>
      <c r="H16" s="3" t="s">
        <v>788</v>
      </c>
    </row>
    <row r="17" spans="1:8">
      <c r="A17" s="1" t="s">
        <v>290</v>
      </c>
      <c r="B17" s="1" t="s">
        <v>789</v>
      </c>
      <c r="C17" s="3" t="s">
        <v>790</v>
      </c>
      <c r="D17" s="3" t="s">
        <v>771</v>
      </c>
      <c r="E17" s="3" t="s">
        <v>111</v>
      </c>
      <c r="F17" s="3" t="s">
        <v>791</v>
      </c>
      <c r="G17" s="1" t="s">
        <v>22</v>
      </c>
      <c r="H17" s="3" t="s">
        <v>792</v>
      </c>
    </row>
    <row r="18" spans="1:8" ht="32">
      <c r="A18" s="1" t="s">
        <v>793</v>
      </c>
      <c r="B18" s="1" t="s">
        <v>794</v>
      </c>
      <c r="C18" s="3" t="s">
        <v>795</v>
      </c>
      <c r="D18" s="3" t="s">
        <v>22</v>
      </c>
      <c r="E18" s="3" t="s">
        <v>22</v>
      </c>
      <c r="F18" s="3" t="s">
        <v>22</v>
      </c>
      <c r="G18" s="1" t="s">
        <v>22</v>
      </c>
      <c r="H18" s="3" t="s">
        <v>796</v>
      </c>
    </row>
    <row r="19" spans="1:8">
      <c r="A19" s="1" t="s">
        <v>793</v>
      </c>
      <c r="B19" s="1" t="s">
        <v>797</v>
      </c>
      <c r="C19" s="3" t="s">
        <v>798</v>
      </c>
      <c r="D19" s="3" t="s">
        <v>22</v>
      </c>
      <c r="E19" s="3" t="s">
        <v>22</v>
      </c>
      <c r="F19" s="3" t="s">
        <v>22</v>
      </c>
      <c r="G19" s="1" t="s">
        <v>22</v>
      </c>
      <c r="H19" s="3" t="s">
        <v>799</v>
      </c>
    </row>
    <row r="20" spans="1:8">
      <c r="A20" s="1" t="s">
        <v>793</v>
      </c>
      <c r="B20" s="1" t="s">
        <v>800</v>
      </c>
      <c r="C20" s="3" t="s">
        <v>801</v>
      </c>
      <c r="D20" s="3" t="s">
        <v>22</v>
      </c>
      <c r="E20" s="3" t="s">
        <v>22</v>
      </c>
      <c r="F20" s="3" t="s">
        <v>22</v>
      </c>
      <c r="G20" s="1" t="s">
        <v>22</v>
      </c>
      <c r="H20" s="3" t="s">
        <v>802</v>
      </c>
    </row>
    <row r="21" spans="1:8" ht="32">
      <c r="A21" s="1" t="s">
        <v>793</v>
      </c>
      <c r="B21" s="1" t="s">
        <v>803</v>
      </c>
      <c r="C21" s="3" t="s">
        <v>804</v>
      </c>
      <c r="D21" s="3" t="s">
        <v>22</v>
      </c>
      <c r="E21" s="3" t="s">
        <v>22</v>
      </c>
      <c r="F21" s="3" t="s">
        <v>22</v>
      </c>
      <c r="G21" s="1" t="s">
        <v>22</v>
      </c>
      <c r="H21" s="3" t="s">
        <v>805</v>
      </c>
    </row>
    <row r="22" spans="1:8" ht="32">
      <c r="A22" s="1" t="s">
        <v>806</v>
      </c>
      <c r="B22" s="1" t="s">
        <v>807</v>
      </c>
      <c r="C22" s="3" t="s">
        <v>808</v>
      </c>
      <c r="D22" s="3" t="s">
        <v>809</v>
      </c>
      <c r="E22" s="3" t="s">
        <v>746</v>
      </c>
      <c r="F22" s="3" t="s">
        <v>810</v>
      </c>
      <c r="G22" s="1" t="s">
        <v>748</v>
      </c>
      <c r="H22" s="3" t="s">
        <v>811</v>
      </c>
    </row>
    <row r="23" spans="1:8" ht="32">
      <c r="A23" s="1" t="s">
        <v>806</v>
      </c>
      <c r="B23" s="1" t="s">
        <v>812</v>
      </c>
      <c r="C23" s="3" t="s">
        <v>813</v>
      </c>
      <c r="D23" s="3" t="s">
        <v>814</v>
      </c>
      <c r="E23" s="3" t="s">
        <v>746</v>
      </c>
      <c r="F23" s="3" t="s">
        <v>815</v>
      </c>
      <c r="G23" s="1" t="s">
        <v>748</v>
      </c>
      <c r="H23" s="3" t="s">
        <v>816</v>
      </c>
    </row>
  </sheetData>
  <autoFilter ref="A1:H1" xr:uid="{932A8931-53EF-4EA8-B6C6-EF590A45CC55}"/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356AF-C49E-4D89-BF6A-D10B09669A53}">
  <dimension ref="A1:E34"/>
  <sheetViews>
    <sheetView workbookViewId="0">
      <pane ySplit="1" topLeftCell="A2" activePane="bottomLeft" state="frozen"/>
      <selection pane="bottomLeft" activeCell="A2" sqref="A2"/>
    </sheetView>
  </sheetViews>
  <sheetFormatPr defaultRowHeight="17"/>
  <cols>
    <col min="1" max="1" width="12.58203125" customWidth="1"/>
    <col min="2" max="2" width="24.58203125" customWidth="1"/>
    <col min="3" max="3" width="36.58203125" customWidth="1"/>
    <col min="4" max="4" width="32.58203125" customWidth="1"/>
    <col min="5" max="5" width="42.58203125" customWidth="1"/>
  </cols>
  <sheetData>
    <row r="1" spans="1:5">
      <c r="A1" s="2" t="s">
        <v>2</v>
      </c>
      <c r="B1" s="2" t="s">
        <v>817</v>
      </c>
      <c r="C1" s="2" t="s">
        <v>818</v>
      </c>
      <c r="D1" s="2" t="s">
        <v>819</v>
      </c>
      <c r="E1" s="2" t="s">
        <v>820</v>
      </c>
    </row>
    <row r="2" spans="1:5">
      <c r="A2" s="1" t="s">
        <v>821</v>
      </c>
      <c r="B2" s="1" t="s">
        <v>822</v>
      </c>
      <c r="C2" s="3" t="s">
        <v>823</v>
      </c>
      <c r="D2" s="3" t="s">
        <v>824</v>
      </c>
      <c r="E2" s="3" t="s">
        <v>825</v>
      </c>
    </row>
    <row r="3" spans="1:5">
      <c r="A3" s="1" t="s">
        <v>821</v>
      </c>
      <c r="B3" s="1" t="s">
        <v>826</v>
      </c>
      <c r="C3" s="3" t="s">
        <v>827</v>
      </c>
      <c r="D3" s="3" t="s">
        <v>824</v>
      </c>
      <c r="E3" s="3" t="s">
        <v>825</v>
      </c>
    </row>
    <row r="4" spans="1:5">
      <c r="A4" s="1" t="s">
        <v>821</v>
      </c>
      <c r="B4" s="1" t="s">
        <v>828</v>
      </c>
      <c r="C4" s="3" t="s">
        <v>829</v>
      </c>
      <c r="D4" s="3" t="s">
        <v>824</v>
      </c>
      <c r="E4" s="3" t="s">
        <v>825</v>
      </c>
    </row>
    <row r="5" spans="1:5">
      <c r="A5" s="1" t="s">
        <v>821</v>
      </c>
      <c r="B5" s="1" t="s">
        <v>830</v>
      </c>
      <c r="C5" s="3" t="s">
        <v>831</v>
      </c>
      <c r="D5" s="3" t="s">
        <v>832</v>
      </c>
      <c r="E5" s="3"/>
    </row>
    <row r="6" spans="1:5">
      <c r="A6" s="1" t="s">
        <v>821</v>
      </c>
      <c r="B6" s="1" t="s">
        <v>833</v>
      </c>
      <c r="C6" s="3" t="s">
        <v>834</v>
      </c>
      <c r="D6" s="3" t="s">
        <v>824</v>
      </c>
      <c r="E6" s="3"/>
    </row>
    <row r="7" spans="1:5">
      <c r="A7" s="1" t="s">
        <v>4</v>
      </c>
      <c r="B7" s="1" t="s">
        <v>835</v>
      </c>
      <c r="C7" s="3" t="s">
        <v>836</v>
      </c>
      <c r="D7" s="3" t="s">
        <v>837</v>
      </c>
      <c r="E7" s="3" t="s">
        <v>838</v>
      </c>
    </row>
    <row r="8" spans="1:5">
      <c r="A8" s="1" t="s">
        <v>4</v>
      </c>
      <c r="B8" s="1" t="s">
        <v>839</v>
      </c>
      <c r="C8" s="3" t="s">
        <v>840</v>
      </c>
      <c r="D8" s="3" t="s">
        <v>841</v>
      </c>
      <c r="E8" s="3" t="s">
        <v>842</v>
      </c>
    </row>
    <row r="9" spans="1:5">
      <c r="A9" s="1" t="s">
        <v>843</v>
      </c>
      <c r="B9" s="1" t="s">
        <v>844</v>
      </c>
      <c r="C9" s="4">
        <v>0.5</v>
      </c>
      <c r="D9" s="3" t="s">
        <v>845</v>
      </c>
      <c r="E9" s="3" t="s">
        <v>846</v>
      </c>
    </row>
    <row r="10" spans="1:5">
      <c r="A10" s="1" t="s">
        <v>843</v>
      </c>
      <c r="B10" s="1" t="s">
        <v>847</v>
      </c>
      <c r="C10" s="4">
        <v>0.625</v>
      </c>
      <c r="D10" s="3" t="s">
        <v>848</v>
      </c>
      <c r="E10" s="3"/>
    </row>
    <row r="11" spans="1:5">
      <c r="A11" s="1" t="s">
        <v>843</v>
      </c>
      <c r="B11" s="1" t="s">
        <v>849</v>
      </c>
      <c r="C11" s="4">
        <v>0.875</v>
      </c>
      <c r="D11" s="3" t="s">
        <v>850</v>
      </c>
      <c r="E11" s="3" t="s">
        <v>851</v>
      </c>
    </row>
    <row r="12" spans="1:5">
      <c r="A12" s="1" t="s">
        <v>852</v>
      </c>
      <c r="B12" s="1" t="s">
        <v>853</v>
      </c>
      <c r="C12" s="4">
        <v>0.16666666666666666</v>
      </c>
      <c r="D12" s="3" t="s">
        <v>854</v>
      </c>
      <c r="E12" s="3" t="s">
        <v>855</v>
      </c>
    </row>
    <row r="13" spans="1:5">
      <c r="A13" s="1" t="s">
        <v>856</v>
      </c>
      <c r="B13" s="1" t="s">
        <v>857</v>
      </c>
      <c r="C13" s="4">
        <v>0.75</v>
      </c>
      <c r="D13" s="3" t="s">
        <v>858</v>
      </c>
      <c r="E13" s="3"/>
    </row>
    <row r="14" spans="1:5">
      <c r="A14" s="1" t="s">
        <v>856</v>
      </c>
      <c r="B14" s="1" t="s">
        <v>859</v>
      </c>
      <c r="C14" s="3" t="s">
        <v>860</v>
      </c>
      <c r="D14" s="3" t="s">
        <v>861</v>
      </c>
      <c r="E14" s="3"/>
    </row>
    <row r="15" spans="1:5">
      <c r="A15" s="1" t="s">
        <v>647</v>
      </c>
      <c r="B15" s="1" t="s">
        <v>862</v>
      </c>
      <c r="C15" s="3" t="s">
        <v>863</v>
      </c>
      <c r="D15" s="3" t="s">
        <v>864</v>
      </c>
      <c r="E15" s="3" t="s">
        <v>865</v>
      </c>
    </row>
    <row r="16" spans="1:5">
      <c r="A16" s="1" t="s">
        <v>866</v>
      </c>
      <c r="B16" s="1" t="s">
        <v>867</v>
      </c>
      <c r="C16" s="3" t="s">
        <v>868</v>
      </c>
      <c r="D16" s="3" t="s">
        <v>869</v>
      </c>
      <c r="E16" s="3" t="s">
        <v>870</v>
      </c>
    </row>
    <row r="17" spans="1:5">
      <c r="A17" s="1" t="s">
        <v>866</v>
      </c>
      <c r="B17" s="1" t="s">
        <v>871</v>
      </c>
      <c r="C17" s="3" t="s">
        <v>872</v>
      </c>
      <c r="D17" s="3" t="s">
        <v>869</v>
      </c>
      <c r="E17" s="3" t="s">
        <v>873</v>
      </c>
    </row>
    <row r="18" spans="1:5">
      <c r="A18" s="1" t="s">
        <v>866</v>
      </c>
      <c r="B18" s="1" t="s">
        <v>874</v>
      </c>
      <c r="C18" s="3" t="s">
        <v>875</v>
      </c>
      <c r="D18" s="3" t="s">
        <v>876</v>
      </c>
      <c r="E18" s="3" t="s">
        <v>877</v>
      </c>
    </row>
    <row r="19" spans="1:5">
      <c r="A19" s="1" t="s">
        <v>878</v>
      </c>
      <c r="B19" s="1" t="s">
        <v>879</v>
      </c>
      <c r="C19" s="3" t="s">
        <v>880</v>
      </c>
      <c r="D19" s="3" t="s">
        <v>881</v>
      </c>
      <c r="E19" s="3" t="s">
        <v>882</v>
      </c>
    </row>
    <row r="20" spans="1:5">
      <c r="A20" s="1" t="s">
        <v>878</v>
      </c>
      <c r="B20" s="1" t="s">
        <v>883</v>
      </c>
      <c r="C20" s="3" t="s">
        <v>884</v>
      </c>
      <c r="D20" s="3" t="s">
        <v>881</v>
      </c>
      <c r="E20" s="3" t="s">
        <v>885</v>
      </c>
    </row>
    <row r="21" spans="1:5">
      <c r="A21" s="1" t="s">
        <v>878</v>
      </c>
      <c r="B21" s="1" t="s">
        <v>886</v>
      </c>
      <c r="C21" s="3" t="s">
        <v>887</v>
      </c>
      <c r="D21" s="3" t="s">
        <v>888</v>
      </c>
      <c r="E21" s="3" t="s">
        <v>889</v>
      </c>
    </row>
    <row r="22" spans="1:5">
      <c r="A22" s="1" t="s">
        <v>878</v>
      </c>
      <c r="B22" s="1" t="s">
        <v>890</v>
      </c>
      <c r="C22" s="3" t="s">
        <v>891</v>
      </c>
      <c r="D22" s="3" t="s">
        <v>892</v>
      </c>
      <c r="E22" s="3" t="s">
        <v>893</v>
      </c>
    </row>
    <row r="23" spans="1:5" ht="32">
      <c r="A23" s="1" t="s">
        <v>878</v>
      </c>
      <c r="B23" s="1" t="s">
        <v>894</v>
      </c>
      <c r="C23" s="3" t="s">
        <v>895</v>
      </c>
      <c r="D23" s="3" t="s">
        <v>892</v>
      </c>
      <c r="E23" s="3" t="s">
        <v>896</v>
      </c>
    </row>
    <row r="24" spans="1:5">
      <c r="A24" s="1" t="s">
        <v>878</v>
      </c>
      <c r="B24" s="1" t="s">
        <v>897</v>
      </c>
      <c r="C24" s="3" t="s">
        <v>898</v>
      </c>
      <c r="D24" s="3" t="s">
        <v>892</v>
      </c>
      <c r="E24" s="3" t="s">
        <v>899</v>
      </c>
    </row>
    <row r="25" spans="1:5">
      <c r="A25" s="1" t="s">
        <v>878</v>
      </c>
      <c r="B25" s="1" t="s">
        <v>900</v>
      </c>
      <c r="C25" s="3" t="s">
        <v>901</v>
      </c>
      <c r="D25" s="3" t="s">
        <v>892</v>
      </c>
      <c r="E25" s="3" t="s">
        <v>902</v>
      </c>
    </row>
    <row r="26" spans="1:5">
      <c r="A26" s="1" t="s">
        <v>903</v>
      </c>
      <c r="B26" s="1" t="s">
        <v>904</v>
      </c>
      <c r="C26" s="3" t="s">
        <v>905</v>
      </c>
      <c r="D26" s="3" t="s">
        <v>906</v>
      </c>
      <c r="E26" s="3" t="s">
        <v>907</v>
      </c>
    </row>
    <row r="27" spans="1:5">
      <c r="A27" s="1" t="s">
        <v>903</v>
      </c>
      <c r="B27" s="1" t="s">
        <v>908</v>
      </c>
      <c r="C27" s="3" t="s">
        <v>909</v>
      </c>
      <c r="D27" s="3" t="s">
        <v>910</v>
      </c>
      <c r="E27" s="3" t="s">
        <v>911</v>
      </c>
    </row>
    <row r="28" spans="1:5">
      <c r="A28" s="1" t="s">
        <v>903</v>
      </c>
      <c r="B28" s="1" t="s">
        <v>912</v>
      </c>
      <c r="C28" s="3" t="s">
        <v>913</v>
      </c>
      <c r="D28" s="3" t="s">
        <v>914</v>
      </c>
      <c r="E28" s="3" t="s">
        <v>915</v>
      </c>
    </row>
    <row r="29" spans="1:5">
      <c r="A29" s="1" t="s">
        <v>916</v>
      </c>
      <c r="B29" s="1" t="s">
        <v>917</v>
      </c>
      <c r="C29" s="3" t="s">
        <v>918</v>
      </c>
      <c r="D29" s="3" t="s">
        <v>919</v>
      </c>
      <c r="E29" s="3" t="s">
        <v>920</v>
      </c>
    </row>
    <row r="30" spans="1:5">
      <c r="A30" s="1" t="s">
        <v>916</v>
      </c>
      <c r="B30" s="1" t="s">
        <v>921</v>
      </c>
      <c r="C30" s="3" t="s">
        <v>922</v>
      </c>
      <c r="D30" s="3" t="s">
        <v>923</v>
      </c>
      <c r="E30" s="3" t="s">
        <v>920</v>
      </c>
    </row>
    <row r="31" spans="1:5">
      <c r="A31" s="1" t="s">
        <v>924</v>
      </c>
      <c r="B31" s="1" t="s">
        <v>925</v>
      </c>
      <c r="C31" s="3" t="s">
        <v>926</v>
      </c>
      <c r="D31" s="3" t="s">
        <v>927</v>
      </c>
      <c r="E31" s="3" t="s">
        <v>928</v>
      </c>
    </row>
    <row r="32" spans="1:5">
      <c r="A32" s="1" t="s">
        <v>924</v>
      </c>
      <c r="B32" s="1" t="s">
        <v>929</v>
      </c>
      <c r="C32" s="3" t="s">
        <v>930</v>
      </c>
      <c r="D32" s="3" t="s">
        <v>931</v>
      </c>
      <c r="E32" s="3" t="s">
        <v>932</v>
      </c>
    </row>
    <row r="33" spans="1:5">
      <c r="A33" s="1" t="s">
        <v>924</v>
      </c>
      <c r="B33" s="1" t="s">
        <v>933</v>
      </c>
      <c r="C33" s="3" t="s">
        <v>934</v>
      </c>
      <c r="D33" s="3" t="s">
        <v>935</v>
      </c>
      <c r="E33" s="3" t="s">
        <v>936</v>
      </c>
    </row>
    <row r="34" spans="1:5">
      <c r="A34" s="1" t="s">
        <v>924</v>
      </c>
      <c r="B34" s="1" t="s">
        <v>937</v>
      </c>
      <c r="C34" s="3" t="s">
        <v>938</v>
      </c>
      <c r="D34" s="3" t="s">
        <v>939</v>
      </c>
      <c r="E34" s="3" t="s">
        <v>940</v>
      </c>
    </row>
  </sheetData>
  <autoFilter ref="A1:E1" xr:uid="{3B0356AF-C49E-4D89-BF6A-D10B09669A53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안내</vt:lpstr>
      <vt:lpstr>문구세트</vt:lpstr>
      <vt:lpstr>축정의</vt:lpstr>
      <vt:lpstr>상병코드매핑</vt:lpstr>
      <vt:lpstr>설정값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이사라</dc:creator>
  <cp:lastModifiedBy>이사라</cp:lastModifiedBy>
  <dcterms:created xsi:type="dcterms:W3CDTF">2026-09-21T03:54:33Z</dcterms:created>
  <dcterms:modified xsi:type="dcterms:W3CDTF">2026-09-21T04:05:20Z</dcterms:modified>
</cp:coreProperties>
</file>
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사라\Documents\Project_maiReport\outputs\mai-report-metrics\"/>
    </mc:Choice>
  </mc:AlternateContent>
  <xr:revisionPtr revIDLastSave="0" documentId="13_ncr:1_{6BC16B98-1698-464D-A1FF-4DBE9D5505BF}" xr6:coauthVersionLast="47" xr6:coauthVersionMax="47" xr10:uidLastSave="{00000000-0000-0000-0000-000000000000}"/>
  <bookViews>
    <workbookView xWindow="4180" yWindow="4180" windowWidth="28800" windowHeight="15370" activeTab="1" xr2:uid="{04B47D0B-056A-43FF-A045-ABFFA5343EB3}"/>
  </bookViews>
  <sheets>
    <sheet name="안내" sheetId="19" r:id="rId1"/>
    <sheet name="입력_결과" sheetId="1" r:id="rId2"/>
    <sheet name="D_BMI" sheetId="2" r:id="rId3"/>
    <sheet name="D_WAIST" sheetId="3" r:id="rId4"/>
    <sheet name="D_SBP" sheetId="4" r:id="rId5"/>
    <sheet name="D_DBP" sheetId="5" r:id="rId6"/>
    <sheet name="D_FBG" sheetId="6" r:id="rId7"/>
    <sheet name="D_TC" sheetId="7" r:id="rId8"/>
    <sheet name="D_HDL" sheetId="8" r:id="rId9"/>
    <sheet name="D_TG" sheetId="9" r:id="rId10"/>
    <sheet name="D_LDL" sheetId="10" r:id="rId11"/>
    <sheet name="D_HB" sheetId="11" r:id="rId12"/>
    <sheet name="D_CR" sheetId="12" r:id="rId13"/>
    <sheet name="D_EGFR" sheetId="13" r:id="rId14"/>
    <sheet name="D_AST" sheetId="14" r:id="rId15"/>
    <sheet name="D_ALT" sheetId="15" r:id="rId16"/>
    <sheet name="D_GGT" sheetId="16" r:id="rId17"/>
    <sheet name="M_신장체중" sheetId="17" r:id="rId18"/>
    <sheet name="K_영양조사" sheetId="18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1" l="1"/>
  <c r="K31" i="1"/>
  <c r="I31" i="1"/>
  <c r="H31" i="1"/>
  <c r="G31" i="1"/>
  <c r="O31" i="1"/>
  <c r="N31" i="1"/>
  <c r="K30" i="1"/>
  <c r="I30" i="1"/>
  <c r="H30" i="1"/>
  <c r="G30" i="1"/>
  <c r="O30" i="1"/>
  <c r="N30" i="1"/>
  <c r="G13" i="1"/>
  <c r="O13" i="1"/>
  <c r="N13" i="1"/>
  <c r="O12" i="1"/>
  <c r="G12" i="1" s="1"/>
  <c r="N12" i="1"/>
  <c r="K21" i="1"/>
  <c r="L21" i="1"/>
  <c r="B9" i="1"/>
  <c r="B8" i="1"/>
  <c r="B7" i="1"/>
  <c r="B6" i="1"/>
  <c r="M26" i="1"/>
  <c r="L26" i="1"/>
  <c r="M25" i="1"/>
  <c r="L25" i="1"/>
  <c r="M24" i="1"/>
  <c r="L24" i="1"/>
  <c r="M23" i="1"/>
  <c r="L23" i="1"/>
  <c r="M22" i="1"/>
  <c r="L22" i="1"/>
  <c r="M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G26" i="1" l="1"/>
  <c r="G25" i="1"/>
  <c r="G19" i="1"/>
  <c r="G18" i="1"/>
  <c r="G22" i="1"/>
  <c r="G24" i="1"/>
  <c r="G20" i="1"/>
  <c r="G17" i="1"/>
  <c r="G23" i="1"/>
  <c r="G16" i="1"/>
  <c r="G21" i="1"/>
  <c r="H21" i="1" s="1"/>
  <c r="I21" i="1" s="1"/>
  <c r="J21" i="1" s="1"/>
  <c r="G15" i="1"/>
  <c r="P12" i="1"/>
  <c r="G14" i="1"/>
  <c r="P13" i="1"/>
  <c r="H12" i="1"/>
  <c r="I12" i="1" s="1"/>
  <c r="J12" i="1" s="1"/>
  <c r="K26" i="1"/>
  <c r="K25" i="1"/>
  <c r="K24" i="1"/>
  <c r="K23" i="1"/>
  <c r="K22" i="1"/>
  <c r="K20" i="1"/>
  <c r="K19" i="1"/>
  <c r="K18" i="1"/>
  <c r="K17" i="1"/>
  <c r="K16" i="1"/>
  <c r="K15" i="1"/>
  <c r="K14" i="1"/>
  <c r="K12" i="1" l="1"/>
  <c r="K13" i="1"/>
  <c r="H26" i="1"/>
  <c r="I26" i="1" s="1"/>
  <c r="J26" i="1" s="1"/>
  <c r="H25" i="1"/>
  <c r="I25" i="1" s="1"/>
  <c r="J25" i="1" s="1"/>
  <c r="H24" i="1"/>
  <c r="I24" i="1" s="1"/>
  <c r="J24" i="1" s="1"/>
  <c r="H23" i="1"/>
  <c r="I23" i="1" s="1"/>
  <c r="J23" i="1" s="1"/>
  <c r="H22" i="1"/>
  <c r="I22" i="1" s="1"/>
  <c r="J22" i="1" s="1"/>
  <c r="H20" i="1"/>
  <c r="I20" i="1" s="1"/>
  <c r="J20" i="1" s="1"/>
  <c r="H19" i="1"/>
  <c r="I19" i="1" s="1"/>
  <c r="J19" i="1" s="1"/>
  <c r="H18" i="1"/>
  <c r="I18" i="1" s="1"/>
  <c r="J18" i="1" s="1"/>
  <c r="H17" i="1"/>
  <c r="I17" i="1" s="1"/>
  <c r="J17" i="1" s="1"/>
  <c r="H16" i="1"/>
  <c r="I16" i="1" s="1"/>
  <c r="J16" i="1" s="1"/>
  <c r="H15" i="1"/>
  <c r="I15" i="1" s="1"/>
  <c r="J15" i="1" s="1"/>
  <c r="H14" i="1"/>
  <c r="H13" i="1"/>
  <c r="I13" i="1" s="1"/>
  <c r="J13" i="1" s="1"/>
  <c r="D38" i="1" l="1"/>
  <c r="B38" i="1"/>
  <c r="C38" i="1"/>
  <c r="B35" i="1"/>
  <c r="B36" i="1"/>
  <c r="B37" i="1" s="1"/>
  <c r="I14" i="1"/>
  <c r="J14" i="1" s="1"/>
  <c r="B34" i="1"/>
</calcChain>
</file>

<file path=xl/sharedStrings.xml><?xml version="1.0" encoding="utf-8"?>
<sst xmlns="http://schemas.openxmlformats.org/spreadsheetml/2006/main" count="3321" uniqueCount="525">
  <si>
    <t>체질량지수 분포 · 국민건강보험공단 건강검진통계 2024 (KOSIS, 전국) · 단위 kg/m²</t>
  </si>
  <si>
    <t>3~4행 하한·상한은 열 이름의 구간 경계. 양끝 개방 구간의 바깥 경계는 계산용 가정값(파란색). 데이터 셀(6행 이하)은 수정하지 마세요.</t>
  </si>
  <si>
    <t>하한</t>
  </si>
  <si>
    <t>상한</t>
  </si>
  <si>
    <t>키</t>
  </si>
  <si>
    <t>연령</t>
  </si>
  <si>
    <t>성별</t>
  </si>
  <si>
    <t>계</t>
  </si>
  <si>
    <t>저체중(18.5미만)</t>
  </si>
  <si>
    <t>정상(18.5~25미만)</t>
  </si>
  <si>
    <t>비만1단계(25~30미만)</t>
  </si>
  <si>
    <t>비만2단계(30~40미만)</t>
  </si>
  <si>
    <t>비만3단계(40이상)</t>
  </si>
  <si>
    <t>(미사용)</t>
  </si>
  <si>
    <t>계|합계</t>
  </si>
  <si>
    <t>합계</t>
  </si>
  <si>
    <t>계|남자</t>
  </si>
  <si>
    <t>남자</t>
  </si>
  <si>
    <t>계|여자</t>
  </si>
  <si>
    <t>여자</t>
  </si>
  <si>
    <t>19세이하|합계</t>
  </si>
  <si>
    <t>19세이하</t>
  </si>
  <si>
    <t>19세이하|남자</t>
  </si>
  <si>
    <t>19세이하|여자</t>
  </si>
  <si>
    <t>20-24세|합계</t>
  </si>
  <si>
    <t>20~24세</t>
  </si>
  <si>
    <t>20-24세|남자</t>
  </si>
  <si>
    <t>20-24세|여자</t>
  </si>
  <si>
    <t>25-29세|합계</t>
  </si>
  <si>
    <t>25~29세</t>
  </si>
  <si>
    <t>25-29세|남자</t>
  </si>
  <si>
    <t>25-29세|여자</t>
  </si>
  <si>
    <t>30-34세|합계</t>
  </si>
  <si>
    <t>30~34세</t>
  </si>
  <si>
    <t>30-34세|남자</t>
  </si>
  <si>
    <t>30-34세|여자</t>
  </si>
  <si>
    <t>35-39세|합계</t>
  </si>
  <si>
    <t>35~39세</t>
  </si>
  <si>
    <t>35-39세|남자</t>
  </si>
  <si>
    <t>35-39세|여자</t>
  </si>
  <si>
    <t>40-44세|합계</t>
  </si>
  <si>
    <t>40~44세</t>
  </si>
  <si>
    <t>40-44세|남자</t>
  </si>
  <si>
    <t>40-44세|여자</t>
  </si>
  <si>
    <t>45-49세|합계</t>
  </si>
  <si>
    <t>45~49세</t>
  </si>
  <si>
    <t>45-49세|남자</t>
  </si>
  <si>
    <t>45-49세|여자</t>
  </si>
  <si>
    <t>50-54세|합계</t>
  </si>
  <si>
    <t>50~54세</t>
  </si>
  <si>
    <t>50-54세|남자</t>
  </si>
  <si>
    <t>50-54세|여자</t>
  </si>
  <si>
    <t>55-59세|합계</t>
  </si>
  <si>
    <t>55~59세</t>
  </si>
  <si>
    <t>55-59세|남자</t>
  </si>
  <si>
    <t>55-59세|여자</t>
  </si>
  <si>
    <t>60-64세|합계</t>
  </si>
  <si>
    <t>60~64세</t>
  </si>
  <si>
    <t>60-64세|남자</t>
  </si>
  <si>
    <t>60-64세|여자</t>
  </si>
  <si>
    <t>65-69세|합계</t>
  </si>
  <si>
    <t>65~69세</t>
  </si>
  <si>
    <t>65-69세|남자</t>
  </si>
  <si>
    <t>65-69세|여자</t>
  </si>
  <si>
    <t>70-74세|합계</t>
  </si>
  <si>
    <t>70~74세</t>
  </si>
  <si>
    <t>70-74세|남자</t>
  </si>
  <si>
    <t>70-74세|여자</t>
  </si>
  <si>
    <t>75-79세|합계</t>
  </si>
  <si>
    <t>75~79세</t>
  </si>
  <si>
    <t>75-79세|남자</t>
  </si>
  <si>
    <t>75-79세|여자</t>
  </si>
  <si>
    <t>80-84세|합계</t>
  </si>
  <si>
    <t>80~84세</t>
  </si>
  <si>
    <t>80-84세|남자</t>
  </si>
  <si>
    <t>80-84세|여자</t>
  </si>
  <si>
    <t>85세이상|합계</t>
  </si>
  <si>
    <t>85세이상</t>
  </si>
  <si>
    <t>85세이상|남자</t>
  </si>
  <si>
    <t>85세이상|여자</t>
  </si>
  <si>
    <t>허리둘레 분포 · 국민건강보험공단 건강검진통계 2024 (KOSIS, 전국) · 단위 cm</t>
  </si>
  <si>
    <t>75cm미만</t>
  </si>
  <si>
    <t>75-79</t>
  </si>
  <si>
    <t>80-84</t>
  </si>
  <si>
    <t>85-89</t>
  </si>
  <si>
    <t>90-94</t>
  </si>
  <si>
    <t>95-99</t>
  </si>
  <si>
    <t>100-104</t>
  </si>
  <si>
    <t>105-109</t>
  </si>
  <si>
    <t>110cm이상</t>
  </si>
  <si>
    <t>수축기 혈압 분포 · 국민건강보험공단 건강검진통계 2024 (KOSIS, 전국) · 단위 mmHg</t>
  </si>
  <si>
    <t>110미만</t>
  </si>
  <si>
    <t>110-119</t>
  </si>
  <si>
    <t>120-129</t>
  </si>
  <si>
    <t>130-139</t>
  </si>
  <si>
    <t>140-149</t>
  </si>
  <si>
    <t>150-159</t>
  </si>
  <si>
    <t>160-169</t>
  </si>
  <si>
    <t>170-179</t>
  </si>
  <si>
    <t>180이상</t>
  </si>
  <si>
    <t>이완기 혈압 분포 · 국민건강보험공단 건강검진통계 2024 (KOSIS, 전국) · 단위 mmHg</t>
  </si>
  <si>
    <t>70미만</t>
  </si>
  <si>
    <t>70-79</t>
  </si>
  <si>
    <t>80-89</t>
  </si>
  <si>
    <t>90-99</t>
  </si>
  <si>
    <t>100-109</t>
  </si>
  <si>
    <t>120이상</t>
  </si>
  <si>
    <t>공복 혈당 분포 · 국민건강보험공단 건강검진통계 2024 (KOSIS, 전국) · 단위 mg/dL</t>
  </si>
  <si>
    <t>100미만</t>
  </si>
  <si>
    <t>110-125</t>
  </si>
  <si>
    <t>126-139</t>
  </si>
  <si>
    <t>140-159</t>
  </si>
  <si>
    <t>160-179</t>
  </si>
  <si>
    <t>180-199</t>
  </si>
  <si>
    <t>200이상</t>
  </si>
  <si>
    <t>총 콜레스테롤 분포 · 국민건강보험공단 건강검진통계 2024 (KOSIS, 전국) · 단위 mg/dL</t>
  </si>
  <si>
    <t>140미만</t>
  </si>
  <si>
    <t>200-219</t>
  </si>
  <si>
    <t>220-239</t>
  </si>
  <si>
    <t>240-259</t>
  </si>
  <si>
    <t>260-279</t>
  </si>
  <si>
    <t>280이상</t>
  </si>
  <si>
    <t>HDL 콜레스테롤 분포 · 국민건강보험공단 건강검진통계 2024 (KOSIS, 전국) · 단위 mg/dL</t>
  </si>
  <si>
    <t>30미만</t>
  </si>
  <si>
    <t>30-39</t>
  </si>
  <si>
    <t>40-49</t>
  </si>
  <si>
    <t>50-59</t>
  </si>
  <si>
    <t>60-69</t>
  </si>
  <si>
    <t>90이상</t>
  </si>
  <si>
    <t>중성지방 분포 · 국민건강보험공단 건강검진통계 2024 (KOSIS, 전국) · 단위 mg/dL</t>
  </si>
  <si>
    <t>50미만</t>
  </si>
  <si>
    <t>50-99</t>
  </si>
  <si>
    <t>100-149</t>
  </si>
  <si>
    <t>150-199</t>
  </si>
  <si>
    <t>200-299</t>
  </si>
  <si>
    <t>300-399</t>
  </si>
  <si>
    <t>400-499</t>
  </si>
  <si>
    <t>500이상</t>
  </si>
  <si>
    <t>LDL 콜레스테롤 분포 · 국민건강보험공단 건강검진통계 2024 (KOSIS, 전국) · 단위 mg/dL</t>
  </si>
  <si>
    <t>70-99</t>
  </si>
  <si>
    <t>100-129</t>
  </si>
  <si>
    <t>130-159</t>
  </si>
  <si>
    <t>160-189</t>
  </si>
  <si>
    <t>190이상</t>
  </si>
  <si>
    <t>혈색소 분포 · 국민건강보험공단 건강검진통계 2024 (KOSIS, 전국) · 단위 g/dL</t>
  </si>
  <si>
    <t>10.0미만</t>
  </si>
  <si>
    <t>10.0-10.9</t>
  </si>
  <si>
    <t>11.0-11.9</t>
  </si>
  <si>
    <t>12.0-12.9</t>
  </si>
  <si>
    <t>13.0-13.9</t>
  </si>
  <si>
    <t>14.0-14.9</t>
  </si>
  <si>
    <t>15.0-15.5</t>
  </si>
  <si>
    <t>15.6-15.9</t>
  </si>
  <si>
    <t>16.0-16.5</t>
  </si>
  <si>
    <t>16.6이상</t>
  </si>
  <si>
    <t>혈청 크레아티닌 분포 · 국민건강보험공단 건강검진통계 2024 (KOSIS, 전국) · 단위 mg/dL</t>
  </si>
  <si>
    <t>0.9미만</t>
  </si>
  <si>
    <t>0.9-1.0</t>
  </si>
  <si>
    <t>1.1-1.2</t>
  </si>
  <si>
    <t>1.3-1.4</t>
  </si>
  <si>
    <t>1.5-1.6</t>
  </si>
  <si>
    <t>1.7-1.8</t>
  </si>
  <si>
    <t>1.9-2.0</t>
  </si>
  <si>
    <t>2.1이상</t>
  </si>
  <si>
    <t>신사구체여과율 분포 · 국민건강보험공단 건강검진통계 2024 (KOSIS, 전국) · 단위 mL/min/1.73㎡</t>
  </si>
  <si>
    <t>60-79</t>
  </si>
  <si>
    <t>80-99</t>
  </si>
  <si>
    <t>150이상</t>
  </si>
  <si>
    <t>AST 분포 · 국민건강보험공단 건강검진통계 2024 (KOSIS, 전국) · 단위 U/L</t>
  </si>
  <si>
    <t>30이하</t>
  </si>
  <si>
    <t>31-40</t>
  </si>
  <si>
    <t>41-50</t>
  </si>
  <si>
    <t>51-60</t>
  </si>
  <si>
    <t>61-70</t>
  </si>
  <si>
    <t>71-80</t>
  </si>
  <si>
    <t>81-90</t>
  </si>
  <si>
    <t>91-100</t>
  </si>
  <si>
    <t>101이상</t>
  </si>
  <si>
    <t>ALT 분포 · 국민건강보험공단 건강검진통계 2024 (KOSIS, 전국) · 단위 U/L</t>
  </si>
  <si>
    <t>35이하</t>
  </si>
  <si>
    <t>36-40</t>
  </si>
  <si>
    <t>41-45</t>
  </si>
  <si>
    <t>46-50</t>
  </si>
  <si>
    <t>감마-GTP 분포 · 국민건강보험공단 건강검진통계 2024 (KOSIS, 전국) · 단위 U/L</t>
  </si>
  <si>
    <t>8미만</t>
  </si>
  <si>
    <t>36-45</t>
  </si>
  <si>
    <t>46-63</t>
  </si>
  <si>
    <t>64-77</t>
  </si>
  <si>
    <t>78-99</t>
  </si>
  <si>
    <t>100이상</t>
  </si>
  <si>
    <t>키·몸무게 · 국가기술표준원 제8차 한국인 인체치수조사 (2020 실측, KOSIS orgId 115 · DT_115019_002, DT_115019_125) · 성별 × 5세 구간(20~69세) 측정수·평균·표준편차·백분위. 국민건강영양조사는 표준편차를 공표하지 않아 이 표를 사용. 70세 이상은 없음. 키는 원표 mm를 cm로 환산.</t>
  </si>
  <si>
    <t>백분위 →</t>
  </si>
  <si>
    <t>항목</t>
  </si>
  <si>
    <t>측정수</t>
  </si>
  <si>
    <t>평균</t>
  </si>
  <si>
    <t>표준편차</t>
  </si>
  <si>
    <t>p1</t>
  </si>
  <si>
    <t>p5</t>
  </si>
  <si>
    <t>p10</t>
  </si>
  <si>
    <t>p25</t>
  </si>
  <si>
    <t>p50</t>
  </si>
  <si>
    <t>p75</t>
  </si>
  <si>
    <t>p90</t>
  </si>
  <si>
    <t>p95</t>
  </si>
  <si>
    <t>p99</t>
  </si>
  <si>
    <t>키|남자|20-24세</t>
  </si>
  <si>
    <t>20-24세</t>
  </si>
  <si>
    <t>키|남자|25-29세</t>
  </si>
  <si>
    <t>25-29세</t>
  </si>
  <si>
    <t>키|남자|30-34세</t>
  </si>
  <si>
    <t>30-34세</t>
  </si>
  <si>
    <t>키|남자|35-39세</t>
  </si>
  <si>
    <t>35-39세</t>
  </si>
  <si>
    <t>키|남자|40-44세</t>
  </si>
  <si>
    <t>40-44세</t>
  </si>
  <si>
    <t>키|남자|45-49세</t>
  </si>
  <si>
    <t>45-49세</t>
  </si>
  <si>
    <t>키|남자|50-54세</t>
  </si>
  <si>
    <t>50-54세</t>
  </si>
  <si>
    <t>키|남자|55-59세</t>
  </si>
  <si>
    <t>55-59세</t>
  </si>
  <si>
    <t>키|남자|60-64세</t>
  </si>
  <si>
    <t>60-64세</t>
  </si>
  <si>
    <t>키|남자|65-69세</t>
  </si>
  <si>
    <t>65-69세</t>
  </si>
  <si>
    <t>키|남자|전체</t>
  </si>
  <si>
    <t>전체</t>
  </si>
  <si>
    <t>키|여자|20-24세</t>
  </si>
  <si>
    <t>키|여자|25-29세</t>
  </si>
  <si>
    <t>키|여자|30-34세</t>
  </si>
  <si>
    <t>키|여자|35-39세</t>
  </si>
  <si>
    <t>키|여자|40-44세</t>
  </si>
  <si>
    <t>키|여자|45-49세</t>
  </si>
  <si>
    <t>키|여자|50-54세</t>
  </si>
  <si>
    <t>키|여자|55-59세</t>
  </si>
  <si>
    <t>키|여자|60-64세</t>
  </si>
  <si>
    <t>키|여자|65-69세</t>
  </si>
  <si>
    <t>키|여자|전체</t>
  </si>
  <si>
    <t>체중|남자|20-24세</t>
  </si>
  <si>
    <t>체중</t>
  </si>
  <si>
    <t>체중|남자|25-29세</t>
  </si>
  <si>
    <t>체중|남자|30-34세</t>
  </si>
  <si>
    <t>체중|남자|35-39세</t>
  </si>
  <si>
    <t>체중|남자|40-44세</t>
  </si>
  <si>
    <t>체중|남자|45-49세</t>
  </si>
  <si>
    <t>체중|남자|50-54세</t>
  </si>
  <si>
    <t>체중|남자|55-59세</t>
  </si>
  <si>
    <t>체중|남자|60-64세</t>
  </si>
  <si>
    <t>체중|남자|65-69세</t>
  </si>
  <si>
    <t>체중|남자|전체</t>
  </si>
  <si>
    <t>체중|여자|20-24세</t>
  </si>
  <si>
    <t>체중|여자|25-29세</t>
  </si>
  <si>
    <t>체중|여자|30-34세</t>
  </si>
  <si>
    <t>체중|여자|35-39세</t>
  </si>
  <si>
    <t>체중|여자|40-44세</t>
  </si>
  <si>
    <t>체중|여자|45-49세</t>
  </si>
  <si>
    <t>체중|여자|50-54세</t>
  </si>
  <si>
    <t>체중|여자|55-59세</t>
  </si>
  <si>
    <t>체중|여자|60-64세</t>
  </si>
  <si>
    <t>체중|여자|65-69세</t>
  </si>
  <si>
    <t>체중|여자|전체</t>
  </si>
  <si>
    <t>질병관리청 국민건강영양조사 2022~2024 원시자료(HN22~24_ALL, 만 19세 이상 검진 참여자 17,262명)에서 계산한 성별 × 5세 구간별 가중 백분위(p1~p99). 가중치 wt_itvex를 연도별 1/3로 나눠 합산. 이 행의 p1~p99가 "내 집단·항목의 경계값 99개"입니다.</t>
  </si>
  <si>
    <t>n</t>
  </si>
  <si>
    <t>가중평균</t>
  </si>
  <si>
    <t>가중표준편차</t>
  </si>
  <si>
    <t>p2</t>
  </si>
  <si>
    <t>p3</t>
  </si>
  <si>
    <t>p4</t>
  </si>
  <si>
    <t>p6</t>
  </si>
  <si>
    <t>p7</t>
  </si>
  <si>
    <t>p8</t>
  </si>
  <si>
    <t>p9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</si>
  <si>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</si>
  <si>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</si>
  <si>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</si>
  <si>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</si>
  <si>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</si>
  <si>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</si>
  <si>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</si>
  <si>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</si>
  <si>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</si>
  <si>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</si>
  <si>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</si>
  <si>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</si>
  <si>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</si>
  <si>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</si>
  <si>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</si>
  <si>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</si>
  <si>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</si>
  <si>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</si>
  <si>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</si>
  <si>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</si>
  <si>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</si>
  <si>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</si>
  <si>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</si>
  <si>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</si>
  <si>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</si>
  <si>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</si>
  <si>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</si>
  <si>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</si>
  <si>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</si>
  <si>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</si>
  <si>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</si>
  <si>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</si>
  <si>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</si>
  <si>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</si>
  <si>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</si>
  <si>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</si>
  <si>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</si>
  <si>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</si>
  <si>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</si>
  <si>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</si>
  <si>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</si>
  <si>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</si>
  <si>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</si>
  <si>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</si>
  <si>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</si>
  <si>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</si>
  <si>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</si>
  <si>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</si>
  <si>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</si>
  <si>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</si>
  <si>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</si>
  <si>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</si>
  <si>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</si>
  <si>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</si>
  <si>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</si>
  <si>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</si>
  <si>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</si>
  <si>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</si>
  <si>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</si>
  <si>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</si>
  <si>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</si>
  <si>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</si>
  <si>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</si>
  <si>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</si>
  <si>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</si>
  <si>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</si>
  <si>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</si>
  <si>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</si>
  <si>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</si>
  <si>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</si>
  <si>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</si>
  <si>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</si>
  <si>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</si>
  <si>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</si>
  <si>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</si>
  <si>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</si>
  <si>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p91</t>
  </si>
  <si>
    <t>p92</t>
  </si>
  <si>
    <t>p93</t>
  </si>
  <si>
    <t>p94</t>
  </si>
  <si>
    <t>p96</t>
  </si>
  <si>
    <t>p97</t>
  </si>
  <si>
    <t>p98</t>
  </si>
  <si>
    <t>키|남자|70-74세</t>
  </si>
  <si>
    <t>70-74세</t>
  </si>
  <si>
    <t>키|남자|75-79세</t>
  </si>
  <si>
    <t>75-79세</t>
  </si>
  <si>
    <t>키|남자|80세이상</t>
  </si>
  <si>
    <t>80세이상</t>
  </si>
  <si>
    <t>키|여자|70-74세</t>
  </si>
  <si>
    <t>키|여자|75-79세</t>
  </si>
  <si>
    <t>키|여자|80세이상</t>
  </si>
  <si>
    <t>체중|남자|70-74세</t>
  </si>
  <si>
    <t>체중|남자|75-79세</t>
  </si>
  <si>
    <t>체중|남자|80세이상</t>
  </si>
  <si>
    <t>체중|여자|70-74세</t>
  </si>
  <si>
    <t>체중|여자|75-79세</t>
  </si>
  <si>
    <t>체중|여자|80세이상</t>
  </si>
  <si>
    <t>BMI|남자|20-24세</t>
  </si>
  <si>
    <t>BMI</t>
  </si>
  <si>
    <t>BMI|남자|25-29세</t>
  </si>
  <si>
    <t>BMI|남자|30-34세</t>
  </si>
  <si>
    <t>BMI|남자|35-39세</t>
  </si>
  <si>
    <t>BMI|남자|40-44세</t>
  </si>
  <si>
    <t>BMI|남자|45-49세</t>
  </si>
  <si>
    <t>BMI|남자|50-54세</t>
  </si>
  <si>
    <t>BMI|남자|55-59세</t>
  </si>
  <si>
    <t>BMI|남자|60-64세</t>
  </si>
  <si>
    <t>BMI|남자|65-69세</t>
  </si>
  <si>
    <t>BMI|남자|70-74세</t>
  </si>
  <si>
    <t>BMI|남자|75-79세</t>
  </si>
  <si>
    <t>BMI|남자|80세이상</t>
  </si>
  <si>
    <t>BMI|여자|20-24세</t>
  </si>
  <si>
    <t>BMI|여자|25-29세</t>
  </si>
  <si>
    <t>BMI|여자|30-34세</t>
  </si>
  <si>
    <t>BMI|여자|35-39세</t>
  </si>
  <si>
    <t>BMI|여자|40-44세</t>
  </si>
  <si>
    <t>BMI|여자|45-49세</t>
  </si>
  <si>
    <t>BMI|여자|50-54세</t>
  </si>
  <si>
    <t>BMI|여자|55-59세</t>
  </si>
  <si>
    <t>BMI|여자|60-64세</t>
  </si>
  <si>
    <t>BMI|여자|65-69세</t>
  </si>
  <si>
    <t>BMI|여자|70-74세</t>
  </si>
  <si>
    <t>BMI|여자|75-79세</t>
  </si>
  <si>
    <t>BMI|여자|80세이상</t>
  </si>
  <si>
    <t>허리둘레|남자|20-24세</t>
  </si>
  <si>
    <t>허리둘레</t>
  </si>
  <si>
    <t>허리둘레|남자|25-29세</t>
  </si>
  <si>
    <t>허리둘레|남자|30-34세</t>
  </si>
  <si>
    <t>허리둘레|남자|35-39세</t>
  </si>
  <si>
    <t>허리둘레|남자|40-44세</t>
  </si>
  <si>
    <t>허리둘레|남자|45-49세</t>
  </si>
  <si>
    <t>허리둘레|남자|50-54세</t>
  </si>
  <si>
    <t>허리둘레|남자|55-59세</t>
  </si>
  <si>
    <t>허리둘레|남자|60-64세</t>
  </si>
  <si>
    <t>허리둘레|남자|65-69세</t>
  </si>
  <si>
    <t>허리둘레|남자|70-74세</t>
  </si>
  <si>
    <t>허리둘레|남자|75-79세</t>
  </si>
  <si>
    <t>허리둘레|남자|80세이상</t>
  </si>
  <si>
    <t>허리둘레|여자|20-24세</t>
  </si>
  <si>
    <t>허리둘레|여자|25-29세</t>
  </si>
  <si>
    <t>허리둘레|여자|30-34세</t>
  </si>
  <si>
    <t>허리둘레|여자|35-39세</t>
  </si>
  <si>
    <t>허리둘레|여자|40-44세</t>
  </si>
  <si>
    <t>허리둘레|여자|45-49세</t>
  </si>
  <si>
    <t>허리둘레|여자|50-54세</t>
  </si>
  <si>
    <t>허리둘레|여자|55-59세</t>
  </si>
  <si>
    <t>허리둘레|여자|60-64세</t>
  </si>
  <si>
    <t>허리둘레|여자|65-69세</t>
  </si>
  <si>
    <t>허리둘레|여자|70-74세</t>
  </si>
  <si>
    <t>허리둘레|여자|75-79세</t>
  </si>
  <si>
    <t>허리둘레|여자|80세이상</t>
  </si>
  <si>
    <t>maiReport · 또래 등수(퍼센타일) 계산표</t>
  </si>
  <si>
    <t>노란 셀만 입력하세요. 기준: 국민건강보험공단 건강검진통계 2024(KOSIS) 전국 수검자. 판정(정상/이상)이 아니라 "같은 성별·연령대 수검자 중 위치"입니다.</t>
  </si>
  <si>
    <t>만 나이</t>
  </si>
  <si>
    <t>5세 구간 (키 형식: 45-49세)</t>
  </si>
  <si>
    <t>10세 구간</t>
  </si>
  <si>
    <t>조회 키</t>
  </si>
  <si>
    <t>영양조사 구간 (80세 이상은 한 구간)</t>
  </si>
  <si>
    <t>성별은 남자 / 여자 로 입력. 20세 미만은 계산하지 않습니다. 예시 값은 프로토타입 검진결과 화면(남성 45세 가정)입니다.</t>
  </si>
  <si>
    <t>① 검진 항목 (분포표 기반 · 경험적 백분위)</t>
  </si>
  <si>
    <t>기준 시트</t>
  </si>
  <si>
    <t>단위</t>
  </si>
  <si>
    <t>입력값</t>
  </si>
  <si>
    <t>방향</t>
  </si>
  <si>
    <t>저값 경고 기준</t>
  </si>
  <si>
    <t>분포 위치 P (%)</t>
  </si>
  <si>
    <t>또래 상위 % (rank)</t>
  </si>
  <si>
    <t>100명 중 N번째</t>
  </si>
  <si>
    <t>구간 라벨</t>
  </si>
  <si>
    <t>비고</t>
  </si>
  <si>
    <t>계산: 보정값 x</t>
  </si>
  <si>
    <t>계산: 행 번호</t>
  </si>
  <si>
    <t>계산: 영양조사 행</t>
  </si>
  <si>
    <t>계산: 영양조사 k</t>
  </si>
  <si>
    <t>참고: 건강검진 구간표 P</t>
  </si>
  <si>
    <t>체질량지수</t>
  </si>
  <si>
    <t>kg/m²</t>
  </si>
  <si>
    <t>low</t>
  </si>
  <si>
    <t>cm</t>
  </si>
  <si>
    <t>수축기 혈압</t>
  </si>
  <si>
    <t>D_SBP</t>
  </si>
  <si>
    <t>mmHg</t>
  </si>
  <si>
    <t>이완기 혈압</t>
  </si>
  <si>
    <t>D_DBP</t>
  </si>
  <si>
    <t>공복 혈당</t>
  </si>
  <si>
    <t>D_FBG</t>
  </si>
  <si>
    <t>mg/dL</t>
  </si>
  <si>
    <t>총 콜레스테롤</t>
  </si>
  <si>
    <t>D_TC</t>
  </si>
  <si>
    <t>HDL 콜레스테롤</t>
  </si>
  <si>
    <t>D_HDL</t>
  </si>
  <si>
    <t>high</t>
  </si>
  <si>
    <t>중성지방</t>
  </si>
  <si>
    <t>D_TG</t>
  </si>
  <si>
    <t>LDL 콜레스테롤</t>
  </si>
  <si>
    <t>D_LDL</t>
  </si>
  <si>
    <t>혈색소</t>
  </si>
  <si>
    <t>D_HB</t>
  </si>
  <si>
    <t>g/dL</t>
  </si>
  <si>
    <t>혈청 크레아티닌</t>
  </si>
  <si>
    <t>D_CR</t>
  </si>
  <si>
    <t>신사구체여과율</t>
  </si>
  <si>
    <t>D_EGFR</t>
  </si>
  <si>
    <t>mL/min/1.73㎡</t>
  </si>
  <si>
    <t>AST</t>
  </si>
  <si>
    <t>D_AST</t>
  </si>
  <si>
    <t>U/L</t>
  </si>
  <si>
    <t>ALT</t>
  </si>
  <si>
    <t>D_ALT</t>
  </si>
  <si>
    <t>감마-GTP</t>
  </si>
  <si>
    <t>D_GGT</t>
  </si>
  <si>
    <t>K_영양조사</t>
  </si>
  <si>
    <t>K_영양조사</t>
    <phoneticPr fontId="1" type="noConversion"/>
  </si>
  <si>
    <t>② 키·체중 (국민건강영양조사 2022~2024 백분위표 보간 · 좋고 나쁨 없음)</t>
  </si>
  <si>
    <t>큰 순 상위 %</t>
  </si>
  <si>
    <t>none</t>
  </si>
  <si>
    <t>kg</t>
  </si>
  <si>
    <t>③ 종합</t>
  </si>
  <si>
    <t>계산된 항목 수</t>
  </si>
  <si>
    <t>또래 평균보다 나쁜 항목 수 (rank&gt;50)</t>
  </si>
  <si>
    <t>평균 퍼센타일 (가중치 없음)</t>
  </si>
  <si>
    <t>종합 등급</t>
  </si>
  <si>
    <t>먼저 볼 항목 (rank 상위 3)</t>
  </si>
  <si>
    <t>산식과 규칙</t>
  </si>
  <si>
    <t>P(분포 위치) = [ Σ(상한≤x 구간 인원) + 해당 구간 인원 × (x−하한)/(상한−하한) ] ÷ 성별·연령 구간 총 인원 × 100   ← 정규분포 가정 없이 실제 수검자 분포에서 계산</t>
  </si>
  <si>
    <t>rank(또래 상위 %) = P (낮을수록 좋은 항목) 또는 100−P (높을수록 좋은 항목: HDL, 혈색소, 신사구체여과율)</t>
  </si>
  <si>
    <t>100명 중 N번째 = rank를 정수로 반올림하고 1~99로 제한. 0과 100은 표시하지 않음</t>
  </si>
  <si>
    <t>구간 라벨: 1~25 또래보다 좋음 / 26~60 또래 수준 / 61~85 또래보다 나쁨 / 86~99 또래 하위 15%</t>
  </si>
  <si>
    <t>BMI = 체중(kg) ÷ 키(m)² 를 소수 1자리로 반올림해 자동 계산(②의 키·체중 입력값 사용). 검진 결과지의 BMI와 다르면 결과지 값을 12행 D열에 직접 입력해 우선 적용</t>
  </si>
  <si>
    <t>저값 경고: BMI 18.5 미만, 수축기 90 미만, 이완기 60 미만이면 순위 대신 "확인 필요" (낮은 값이 상위로 보이는 것을 막음). 종합에서 제외</t>
  </si>
  <si>
    <t>키·체중·BMI·허리둘레는 K_영양조사 시트(국민건강영양조사 2022~2024 원시자료, 성인 17,262명, 가중 백분위 p1~p99)를 기준으로 계산: k = 내 값이 넘는 마지막 백분위, P = k + (x − p_k)/(p_k+1 − p_k). p1 미만은 1, p99 이상은 99. 이 p1~p99가 "내 집단·항목의 경계값 99개"</t>
  </si>
  <si>
    <t>키·체중은 방향이 없으므로 "큰 순 상위 %"로만 표시하고 종합에서 제외. BMI·허리둘레는 P열에 건강검진 구간표 기준 P를 참고로 같이 둠(두 값이 크게 다르면 구간 보간 오차). M_신장체중 시트(인체치수조사 2020)는 참고용으로 유지</t>
  </si>
  <si>
    <t>분포표(D_ 시트)는 KOSIS 건강검진통계 2024 "연령별 ○○ 분포 현황"의 전국 인원수. 양끝 개방 구간(예: 180 이상)의 바깥 경계는 각 시트 3~4행의 가정값(파란색)</t>
  </si>
  <si>
    <t>지질 4종(총콜레스테롤·HDL·중성지방·LDL)은 2024년 검사 주기 대상자만 집계. 20~39세 여성은 행이 0이라 계산되지 않음(비고에 표시)</t>
  </si>
  <si>
    <t>수검자 통계이므로 "또래 검진 수검자 중 위치"로 읽음. 검진기관 판정과는 별개의 축이며 의학적 판정을 대체하지 않음</t>
  </si>
  <si>
    <t>개발 규격: outputs/mai-report-metrics/maiReport_또래퍼센타일_산출규격.html (PCT-001). 이 표의 G~J 열 로직이 규격 4.3~4.6절과 대응</t>
  </si>
  <si>
    <t>발행 상태: v1.0.1 · 2026-10-06</t>
  </si>
  <si>
    <t>읽는 법</t>
  </si>
  <si>
    <t>입력_결과 시트의 노란 셀(성별·만 나이·검진값)만 바꾸면 됩니다. BMI는 키·체중에서 자동 계산되고, 결과지 값을 쓰려면 그 셀에 덮어씁니다.</t>
  </si>
  <si>
    <t>K_영양조사 = 국민건강영양조사 2022~2024 원시자료로 만든 성별·5세 구간별 경계값 99개(키·체중·BMI·허리둘레). D_ 시트 = 건강검진통계 2024 구간별 인원수(혈압·혈당·지질·간·신장·혈색소). M_신장체중 = 인체치수조사 2020 참고표.</t>
  </si>
  <si>
    <t>바뀐 내용</t>
  </si>
  <si>
    <t>날짜</t>
  </si>
  <si>
    <t>바뀐 것</t>
  </si>
  <si>
    <t>어디</t>
  </si>
  <si>
    <t>최초</t>
  </si>
  <si>
    <t>건강검진통계 구간표 + 영양조사 경계값표로 계산하는 첫 판</t>
  </si>
  <si>
    <t>지질 4종</t>
  </si>
  <si>
    <t>20~39세 여성처럼 집계 인원이 0인 행에서 #DIV/0! 오류가 나던 것을 빈칸으로 처리. 종합 평균도 오류 없이 계산</t>
  </si>
  <si>
    <t>입력_결과 G열·P열</t>
  </si>
  <si>
    <t>안내 시트</t>
  </si>
  <si>
    <t>발행 상태와 바뀐 내용 표 추가</t>
  </si>
  <si>
    <t>안내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</si>
</sst>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월&quot;\ d&quot;일&quot;"/>
    <numFmt numFmtId="177" formatCode="0.0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0"/>
      <color rgb="FF0000FF"/>
      <name val="Malgun Gothic"/>
      <family val="3"/>
      <charset val="129"/>
    </font>
    <font>
      <sz val="10"/>
      <color rgb="FF808080"/>
      <name val="Malgun Gothic"/>
      <family val="3"/>
      <charset val="129"/>
    </font>
    <font>
      <b/>
      <sz val="13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  <xf numFmtId="3" fontId="2" fillId="0" borderId="0" xfId="0" applyNumberFormat="1" applyFont="1">
      <alignment vertical="center"/>
    </xf>
    <xf numFmtId="176" fontId="4" fillId="2" borderId="0" xfId="0" applyNumberFormat="1" applyFont="1" applyFill="1">
      <alignment vertical="center"/>
    </xf>
    <xf numFmtId="17" fontId="4" fillId="2" borderId="0" xfId="0" applyNumberFormat="1" applyFont="1" applyFill="1">
      <alignment vertical="center"/>
    </xf>
    <xf numFmtId="177" fontId="2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3" borderId="0" xfId="0" applyFont="1" applyFill="1">
      <alignment vertical="center"/>
    </xf>
    <xf numFmtId="177" fontId="8" fillId="0" borderId="0" xfId="0" applyNumberFormat="1" applyFont="1">
      <alignment vertical="center"/>
    </xf>
    <xf numFmtId="0" fontId="6" fillId="2" borderId="0" xfId="0" applyFont="1" applyFill="1">
      <alignment vertical="center"/>
    </xf>
    <xf numFmtId="177" fontId="6" fillId="0" borderId="0" xfId="0" applyNumberFormat="1" applyFont="1">
      <alignment vertical="center"/>
    </xf>
    <xf numFmtId="1" fontId="2" fillId="0" borderId="0" xfId="0" applyNumberFormat="1" applyFont="1">
      <alignment vertical="center"/>
    </xf>
    <xf numFmtId="14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A01A4-C390-4F47-9990-64BDBF04BA54}">
  <dimension ref="A1:D12"/>
  <sheetViews>
    <sheetView workbookViewId="0"/>
  </sheetViews>
  <sheetFormatPr defaultRowHeight="17"/>
  <cols>
    <col min="1" max="2" width="14.58203125" customWidth="1"/>
    <col min="3" max="3" width="80.58203125" customWidth="1"/>
    <col min="4" max="4" width="18.58203125" customWidth="1"/>
  </cols>
  <sheetData>
    <row r="1" spans="1:4" ht="20.5">
      <c r="A1" s="11" t="s">
        <v>424</v>
      </c>
      <c r="B1" s="1"/>
      <c r="C1" s="1"/>
      <c r="D1" s="1"/>
    </row>
    <row r="2" spans="1:4">
      <c r="A2" s="1" t="s">
        <v>509</v>
      </c>
      <c r="B2" s="1"/>
      <c r="C2" s="1"/>
      <c r="D2" s="1"/>
    </row>
    <row r="3" spans="1:4">
      <c r="A3" s="1"/>
      <c r="B3" s="1"/>
      <c r="C3" s="1"/>
      <c r="D3" s="1"/>
    </row>
    <row r="4" spans="1:4">
      <c r="A4" s="3" t="s">
        <v>510</v>
      </c>
      <c r="B4" s="1"/>
      <c r="C4" s="1"/>
      <c r="D4" s="1"/>
    </row>
    <row r="5" spans="1:4">
      <c r="A5" s="1" t="s">
        <v>511</v>
      </c>
      <c r="B5" s="1"/>
      <c r="C5" s="1"/>
      <c r="D5" s="1"/>
    </row>
    <row r="6" spans="1:4">
      <c r="A6" s="1" t="s">
        <v>512</v>
      </c>
      <c r="B6" s="1"/>
      <c r="C6" s="1"/>
      <c r="D6" s="1"/>
    </row>
    <row r="7" spans="1:4">
      <c r="A7" s="1"/>
      <c r="B7" s="1"/>
      <c r="C7" s="1"/>
      <c r="D7" s="1"/>
    </row>
    <row r="8" spans="1:4">
      <c r="A8" s="3" t="s">
        <v>513</v>
      </c>
      <c r="B8" s="1"/>
      <c r="C8" s="1"/>
      <c r="D8" s="1"/>
    </row>
    <row r="9" spans="1:4">
      <c r="A9" s="4" t="s">
        <v>514</v>
      </c>
      <c r="B9" s="4" t="s">
        <v>192</v>
      </c>
      <c r="C9" s="4" t="s">
        <v>515</v>
      </c>
      <c r="D9" s="4" t="s">
        <v>516</v>
      </c>
    </row>
    <row r="10" spans="1:4">
      <c r="A10" s="17">
        <v>46279</v>
      </c>
      <c r="B10" s="1" t="s">
        <v>517</v>
      </c>
      <c r="C10" s="1" t="s">
        <v>518</v>
      </c>
      <c r="D10" s="1" t="s">
        <v>226</v>
      </c>
    </row>
    <row r="11" spans="1:4">
      <c r="A11" s="17">
        <v>46301</v>
      </c>
      <c r="B11" s="1" t="s">
        <v>519</v>
      </c>
      <c r="C11" s="1" t="s">
        <v>520</v>
      </c>
      <c r="D11" s="1" t="s">
        <v>521</v>
      </c>
    </row>
    <row r="12" spans="1:4">
      <c r="A12" s="17">
        <v>46301</v>
      </c>
      <c r="B12" s="1" t="s">
        <v>522</v>
      </c>
      <c r="C12" s="1" t="s">
        <v>523</v>
      </c>
      <c r="D12" s="1" t="s">
        <v>524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034F-C7AD-4E9C-8D4A-A894318D506A}">
  <dimension ref="A1:P52"/>
  <sheetViews>
    <sheetView tabSelected="1" workbookViewId="0">
      <pane ySplit="11" topLeftCell="A12" activePane="bottomLeft" state="frozen"/>
      <selection pane="bottomLeft" activeCell="A12" sqref="A12"/>
    </sheetView>
  </sheetViews>
  <sheetFormatPr defaultRowHeight="17"/>
  <cols>
    <col min="1" max="1" width="30.58203125" customWidth="1"/>
    <col min="2" max="3" width="14.58203125" customWidth="1"/>
    <col min="4" max="6" width="12.58203125" customWidth="1"/>
    <col min="7" max="10" width="16.58203125" customWidth="1"/>
    <col min="11" max="11" width="44.58203125" customWidth="1"/>
    <col min="12" max="13" width="14.58203125" customWidth="1"/>
  </cols>
  <sheetData>
    <row r="1" spans="1:16" ht="20.5">
      <c r="A1" s="11" t="s">
        <v>424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425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 t="s">
        <v>6</v>
      </c>
      <c r="B4" s="12" t="s">
        <v>17</v>
      </c>
      <c r="C4" s="1"/>
      <c r="D4" s="1" t="s">
        <v>431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 t="s">
        <v>426</v>
      </c>
      <c r="B5" s="12">
        <v>45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427</v>
      </c>
      <c r="B6" s="1" t="str">
        <f>IF(B5&lt;20,"19세이하",IF(B5&gt;=85,"85세이상",INT(B5/5)*5&amp;"-"&amp;INT(B5/5)*5+4&amp;"세"))</f>
        <v>45-49세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1" t="s">
        <v>428</v>
      </c>
      <c r="B7" s="1" t="str">
        <f>IF(B5&lt;20,"19세이하",IF(B5&gt;=80,"80세이상",INT(B5/10)*10&amp;"대"))</f>
        <v>40대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 t="s">
        <v>429</v>
      </c>
      <c r="B8" s="1" t="str">
        <f>B6&amp;"|"&amp;B4</f>
        <v>45-49세|남자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430</v>
      </c>
      <c r="B9" s="1" t="str">
        <f>IF(B5&lt;20,"",IF(B5&gt;=80,"80세이상",B6))</f>
        <v>45-49세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3" t="s">
        <v>432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4" t="s">
        <v>192</v>
      </c>
      <c r="B11" s="4" t="s">
        <v>433</v>
      </c>
      <c r="C11" s="4" t="s">
        <v>434</v>
      </c>
      <c r="D11" s="4" t="s">
        <v>435</v>
      </c>
      <c r="E11" s="4" t="s">
        <v>436</v>
      </c>
      <c r="F11" s="4" t="s">
        <v>437</v>
      </c>
      <c r="G11" s="4" t="s">
        <v>438</v>
      </c>
      <c r="H11" s="4" t="s">
        <v>439</v>
      </c>
      <c r="I11" s="4" t="s">
        <v>440</v>
      </c>
      <c r="J11" s="4" t="s">
        <v>441</v>
      </c>
      <c r="K11" s="4" t="s">
        <v>442</v>
      </c>
      <c r="L11" s="14" t="s">
        <v>443</v>
      </c>
      <c r="M11" s="14" t="s">
        <v>444</v>
      </c>
      <c r="N11" s="14" t="s">
        <v>445</v>
      </c>
      <c r="O11" s="14" t="s">
        <v>446</v>
      </c>
      <c r="P11" s="14" t="s">
        <v>447</v>
      </c>
    </row>
    <row r="12" spans="1:16">
      <c r="A12" s="1" t="s">
        <v>448</v>
      </c>
      <c r="B12" s="1" t="s">
        <v>485</v>
      </c>
      <c r="C12" s="1" t="s">
        <v>449</v>
      </c>
      <c r="D12" s="13">
        <f>IF(OR(D30="",D31=""),"",ROUND(D31/(D30/100)^2,1))</f>
        <v>24.5</v>
      </c>
      <c r="E12" s="1" t="s">
        <v>450</v>
      </c>
      <c r="F12" s="5">
        <v>18.5</v>
      </c>
      <c r="G12" s="9">
        <f>IF(OR(O12="",$B$5&lt;20),"",IF(O12=0,1,IF(O12&gt;=99,99,IFERROR(O12+(D12-INDEX(K_영양조사!$H$4:$DB$107,N12,O12))/(INDEX(K_영양조사!$H$4:$DB$107,N12,O12+1)-INDEX(K_영양조사!$H$4:$DB$107,N12,O12)),O12))))</f>
        <v>40</v>
      </c>
      <c r="H12" s="9">
        <f t="shared" ref="H12:H26" si="0">IF(G12="","",IF(AND(F12&lt;&gt;"",D12&lt;F12),"확인 필요",IF(E12="low",G12,100-G12)))</f>
        <v>40</v>
      </c>
      <c r="I12" s="16">
        <f t="shared" ref="I12:I26" si="1">IF(OR(H12="",H12="확인 필요"),"",MAX(1,MIN(99,ROUND(H12,0))))</f>
        <v>40</v>
      </c>
      <c r="J12" s="1" t="str">
        <f t="shared" ref="J12:J26" si="2">IF(I12="","",IF(I12&lt;=25,"또래보다 좋음",IF(I12&lt;=60,"또래 수준",IF(I12&lt;=85,"또래보다 나쁨","또래 하위 15%"))))</f>
        <v>또래 수준</v>
      </c>
      <c r="K12" s="1" t="str">
        <f ca="1">IF(D12="","키·체중을 입력하면 자동 계산","BMI = 체중 "&amp;D31&amp;" ÷ (키 "&amp;D30&amp;"/100)² 자동 계산 · 결과지 값을 쓰려면 D열에 덮어쓰기 · 영양조사 백분위 기준 · 건강검진 구간표 기준 P="&amp;IF(P12="","-",TEXT(P12,"0"))&amp;"%")</f>
        <v>BMI = 체중 72.5 ÷ (키 172/100)² 자동 계산 · 결과지 값을 쓰려면 D열에 덮어쓰기 · 영양조사 백분위 기준 · 건강검진 구간표 기준 P=41%</v>
      </c>
      <c r="L12" s="10">
        <f ca="1">IF(D12="","",MIN(MAX(D12,INDIRECT("'D_BMI'!E3")),MAX(INDIRECT("'D_BMI'!E4:P4"))-0.000000001))</f>
        <v>24.5</v>
      </c>
      <c r="M12" s="10">
        <f ca="1">IFERROR(MATCH($B$8,INDIRECT("'D_BMI'!A6:A60"),0),"")</f>
        <v>23</v>
      </c>
      <c r="N12" s="10">
        <f>IFERROR(MATCH("BMI|"&amp;$B$4&amp;"|"&amp;$B$9,K_영양조사!$A$4:$A$107,0),"")</f>
        <v>58</v>
      </c>
      <c r="O12" s="10">
        <f>IF(OR(D12="",N12=""),"",IFERROR(MATCH(D12,INDEX(K_영양조사!$H$4:$DB$107,N12,0),1),0))</f>
        <v>40</v>
      </c>
      <c r="P12" s="15">
        <f ca="1">IF(OR(L12="",M12="",$B$5&lt;20),"",IF(INDEX(INDIRECT("'D_BMI'!D6:D60"),M12)=0,"",(SUMPRODUCT(--(INDIRECT("'D_BMI'!E4:P4")&lt;=L12),INDEX(INDIRECT("'D_BMI'!E6:P60"),M12,0))+SUMPRODUCT((INDIRECT("'D_BMI'!E3:P3")&lt;L12)*(INDIRECT("'D_BMI'!E4:P4")&gt;L12)*INDEX(INDIRECT("'D_BMI'!E6:P60"),M12,0)*(L12-INDIRECT("'D_BMI'!E3:P3"))/(INDIRECT("'D_BMI'!E4:P4")-INDIRECT("'D_BMI'!E3:P3"))))/INDEX(INDIRECT("'D_BMI'!D6:D60"),M12)*100))</f>
        <v>41.152953842643115</v>
      </c>
    </row>
    <row r="13" spans="1:16">
      <c r="A13" s="1" t="s">
        <v>398</v>
      </c>
      <c r="B13" s="1" t="s">
        <v>485</v>
      </c>
      <c r="C13" s="1" t="s">
        <v>451</v>
      </c>
      <c r="D13" s="12">
        <v>82</v>
      </c>
      <c r="E13" s="1" t="s">
        <v>450</v>
      </c>
      <c r="F13" s="5"/>
      <c r="G13" s="9">
        <f>IF(OR(O13="",$B$5&lt;20),"",IF(O13=0,1,IF(O13&gt;=99,99,IFERROR(O13+(D13-INDEX(K_영양조사!$H$4:$DB$107,N13,O13))/(INDEX(K_영양조사!$H$4:$DB$107,N13,O13+1)-INDEX(K_영양조사!$H$4:$DB$107,N13,O13)),O13))))</f>
        <v>21</v>
      </c>
      <c r="H13" s="9">
        <f t="shared" si="0"/>
        <v>21</v>
      </c>
      <c r="I13" s="16">
        <f t="shared" si="1"/>
        <v>21</v>
      </c>
      <c r="J13" s="1" t="str">
        <f t="shared" si="2"/>
        <v>또래보다 좋음</v>
      </c>
      <c r="K13" s="1" t="str">
        <f ca="1">IF(D13="","","영양조사 백분위 기준 · 건강검진 구간표 기준 P="&amp;IF(P13="","-",TEXT(P13,"0"))&amp;"%")</f>
        <v>영양조사 백분위 기준 · 건강검진 구간표 기준 P=28%</v>
      </c>
      <c r="L13" s="10">
        <f ca="1">IF(D13="","",MIN(MAX(D13,INDIRECT("'D_WAIST'!E3")),MAX(INDIRECT("'D_WAIST'!E4:P4"))-0.000000001))</f>
        <v>82</v>
      </c>
      <c r="M13" s="10">
        <f ca="1">IFERROR(MATCH($B$8,INDIRECT("'D_WAIST'!A6:A60"),0),"")</f>
        <v>23</v>
      </c>
      <c r="N13" s="10">
        <f>IFERROR(MATCH("허리둘레|"&amp;$B$4&amp;"|"&amp;$B$9,K_영양조사!$A$4:$A$107,0),"")</f>
        <v>84</v>
      </c>
      <c r="O13" s="10">
        <f>IF(OR(D13="",N13=""),"",IFERROR(MATCH(D13,INDEX(K_영양조사!$H$4:$DB$107,N13,0),1),0))</f>
        <v>21</v>
      </c>
      <c r="P13" s="15">
        <f ca="1">IF(OR(L13="",M13="",$B$5&lt;20),"",IF(INDEX(INDIRECT("'D_WAIST'!D6:D60"),M13)=0,"",(SUMPRODUCT(--(INDIRECT("'D_WAIST'!E4:P4")&lt;=L13),INDEX(INDIRECT("'D_WAIST'!E6:P60"),M13,0))+SUMPRODUCT((INDIRECT("'D_WAIST'!E3:P3")&lt;L13)*(INDIRECT("'D_WAIST'!E4:P4")&gt;L13)*INDEX(INDIRECT("'D_WAIST'!E6:P60"),M13,0)*(L13-INDIRECT("'D_WAIST'!E3:P3"))/(INDIRECT("'D_WAIST'!E4:P4")-INDIRECT("'D_WAIST'!E3:P3"))))/INDEX(INDIRECT("'D_WAIST'!D6:D60"),M13)*100))</f>
        <v>27.868978615738762</v>
      </c>
    </row>
    <row r="14" spans="1:16">
      <c r="A14" s="1" t="s">
        <v>452</v>
      </c>
      <c r="B14" s="1" t="s">
        <v>453</v>
      </c>
      <c r="C14" s="1" t="s">
        <v>454</v>
      </c>
      <c r="D14" s="12">
        <v>148</v>
      </c>
      <c r="E14" s="1" t="s">
        <v>450</v>
      </c>
      <c r="F14" s="5">
        <v>90</v>
      </c>
      <c r="G14" s="9">
        <f ca="1">IF(OR(L14="",M14="",$B$5&lt;20),"",IF(INDEX(INDIRECT("'D_SBP'!D6:D60"),M14)=0,"",(SUMPRODUCT(--(INDIRECT("'D_SBP'!E4:P4")&lt;=L14),INDEX(INDIRECT("'D_SBP'!E6:P60"),M14,0))+SUMPRODUCT((INDIRECT("'D_SBP'!E3:P3")&lt;L14)*(INDIRECT("'D_SBP'!E4:P4")&gt;L14)*INDEX(INDIRECT("'D_SBP'!E6:P60"),M14,0)*(L14-INDIRECT("'D_SBP'!E3:P3"))/(INDIRECT("'D_SBP'!E4:P4")-INDIRECT("'D_SBP'!E3:P3"))))/INDEX(INDIRECT("'D_SBP'!D6:D60"),M14)*100))</f>
        <v>94.679028377575776</v>
      </c>
      <c r="H14" s="9">
        <f t="shared" ca="1" si="0"/>
        <v>94.679028377575776</v>
      </c>
      <c r="I14" s="16">
        <f t="shared" ca="1" si="1"/>
        <v>95</v>
      </c>
      <c r="J14" s="1" t="str">
        <f t="shared" ca="1" si="2"/>
        <v>또래 하위 15%</v>
      </c>
      <c r="K14" s="1" t="str">
        <f ca="1">IF(D14="","",IF(M14="","해당 연령·성별 행 없음",IF(INDEX(INDIRECT("'D_SBP'!D6:D60"),M14)=0,"이 연령·성별은 2024년 검사 대상 아님(지질 4년 주기)","")))</f>
        <v/>
      </c>
      <c r="L14" s="10">
        <f ca="1">IF(D14="","",MIN(MAX(D14,INDIRECT("'D_SBP'!E3")),MAX(INDIRECT("'D_SBP'!E4:P4"))-0.000000001))</f>
        <v>148</v>
      </c>
      <c r="M14" s="10">
        <f ca="1">IFERROR(MATCH($B$8,INDIRECT("'D_SBP'!A6:A60"),0),"")</f>
        <v>23</v>
      </c>
      <c r="N14" s="10"/>
      <c r="O14" s="10"/>
      <c r="P14" s="10"/>
    </row>
    <row r="15" spans="1:16">
      <c r="A15" s="1" t="s">
        <v>455</v>
      </c>
      <c r="B15" s="1" t="s">
        <v>456</v>
      </c>
      <c r="C15" s="1" t="s">
        <v>454</v>
      </c>
      <c r="D15" s="12">
        <v>94</v>
      </c>
      <c r="E15" s="1" t="s">
        <v>450</v>
      </c>
      <c r="F15" s="5">
        <v>60</v>
      </c>
      <c r="G15" s="9">
        <f ca="1">IF(OR(L15="",M15="",$B$5&lt;20),"",IF(INDEX(INDIRECT("'D_DBP'!D6:D60"),M15)=0,"",(SUMPRODUCT(--(INDIRECT("'D_DBP'!E4:P4")&lt;=L15),INDEX(INDIRECT("'D_DBP'!E6:P60"),M15,0))+SUMPRODUCT((INDIRECT("'D_DBP'!E3:P3")&lt;L15)*(INDIRECT("'D_DBP'!E4:P4")&gt;L15)*INDEX(INDIRECT("'D_DBP'!E6:P60"),M15,0)*(L15-INDIRECT("'D_DBP'!E3:P3"))/(INDIRECT("'D_DBP'!E4:P4")-INDIRECT("'D_DBP'!E3:P3"))))/INDEX(INDIRECT("'D_DBP'!D6:D60"),M15)*100))</f>
        <v>90.389004654096922</v>
      </c>
      <c r="H15" s="9">
        <f t="shared" ca="1" si="0"/>
        <v>90.389004654096922</v>
      </c>
      <c r="I15" s="16">
        <f t="shared" ca="1" si="1"/>
        <v>90</v>
      </c>
      <c r="J15" s="1" t="str">
        <f t="shared" ca="1" si="2"/>
        <v>또래 하위 15%</v>
      </c>
      <c r="K15" s="1" t="str">
        <f ca="1">IF(D15="","",IF(M15="","해당 연령·성별 행 없음",IF(INDEX(INDIRECT("'D_DBP'!D6:D60"),M15)=0,"이 연령·성별은 2024년 검사 대상 아님(지질 4년 주기)","")))</f>
        <v/>
      </c>
      <c r="L15" s="10">
        <f ca="1">IF(D15="","",MIN(MAX(D15,INDIRECT("'D_DBP'!E3")),MAX(INDIRECT("'D_DBP'!E4:P4"))-0.000000001))</f>
        <v>94</v>
      </c>
      <c r="M15" s="10">
        <f ca="1">IFERROR(MATCH($B$8,INDIRECT("'D_DBP'!A6:A60"),0),"")</f>
        <v>23</v>
      </c>
      <c r="N15" s="10"/>
      <c r="O15" s="10"/>
      <c r="P15" s="10"/>
    </row>
    <row r="16" spans="1:16">
      <c r="A16" s="1" t="s">
        <v>457</v>
      </c>
      <c r="B16" s="1" t="s">
        <v>458</v>
      </c>
      <c r="C16" s="1" t="s">
        <v>459</v>
      </c>
      <c r="D16" s="12">
        <v>128</v>
      </c>
      <c r="E16" s="1" t="s">
        <v>450</v>
      </c>
      <c r="F16" s="5"/>
      <c r="G16" s="9">
        <f ca="1">IF(OR(L16="",M16="",$B$5&lt;20),"",IF(INDEX(INDIRECT("'D_FBG'!D6:D60"),M16)=0,"",(SUMPRODUCT(--(INDIRECT("'D_FBG'!E4:P4")&lt;=L16),INDEX(INDIRECT("'D_FBG'!E6:P60"),M16,0))+SUMPRODUCT((INDIRECT("'D_FBG'!E3:P3")&lt;L16)*(INDIRECT("'D_FBG'!E4:P4")&gt;L16)*INDEX(INDIRECT("'D_FBG'!E6:P60"),M16,0)*(L16-INDIRECT("'D_FBG'!E3:P3"))/(INDIRECT("'D_FBG'!E4:P4")-INDIRECT("'D_FBG'!E3:P3"))))/INDEX(INDIRECT("'D_FBG'!D6:D60"),M16)*100))</f>
        <v>91.145246281671021</v>
      </c>
      <c r="H16" s="9">
        <f t="shared" ca="1" si="0"/>
        <v>91.145246281671021</v>
      </c>
      <c r="I16" s="16">
        <f t="shared" ca="1" si="1"/>
        <v>91</v>
      </c>
      <c r="J16" s="1" t="str">
        <f t="shared" ca="1" si="2"/>
        <v>또래 하위 15%</v>
      </c>
      <c r="K16" s="1" t="str">
        <f ca="1">IF(D16="","",IF(M16="","해당 연령·성별 행 없음",IF(INDEX(INDIRECT("'D_FBG'!D6:D60"),M16)=0,"이 연령·성별은 2024년 검사 대상 아님(지질 4년 주기)","")))</f>
        <v/>
      </c>
      <c r="L16" s="10">
        <f ca="1">IF(D16="","",MIN(MAX(D16,INDIRECT("'D_FBG'!E3")),MAX(INDIRECT("'D_FBG'!E4:P4"))-0.000000001))</f>
        <v>128</v>
      </c>
      <c r="M16" s="10">
        <f ca="1">IFERROR(MATCH($B$8,INDIRECT("'D_FBG'!A6:A60"),0),"")</f>
        <v>23</v>
      </c>
      <c r="N16" s="10"/>
      <c r="O16" s="10"/>
      <c r="P16" s="10"/>
    </row>
    <row r="17" spans="1:16">
      <c r="A17" s="1" t="s">
        <v>460</v>
      </c>
      <c r="B17" s="1" t="s">
        <v>461</v>
      </c>
      <c r="C17" s="1" t="s">
        <v>459</v>
      </c>
      <c r="D17" s="12">
        <v>201</v>
      </c>
      <c r="E17" s="1" t="s">
        <v>450</v>
      </c>
      <c r="F17" s="5"/>
      <c r="G17" s="9">
        <f ca="1">IF(OR(L17="",M17="",$B$5&lt;20),"",IF(INDEX(INDIRECT("'D_TC'!D6:D60"),M17)=0,"",(SUMPRODUCT(--(INDIRECT("'D_TC'!E4:P4")&lt;=L17),INDEX(INDIRECT("'D_TC'!E6:P60"),M17,0))+SUMPRODUCT((INDIRECT("'D_TC'!E3:P3")&lt;L17)*(INDIRECT("'D_TC'!E4:P4")&gt;L17)*INDEX(INDIRECT("'D_TC'!E6:P60"),M17,0)*(L17-INDIRECT("'D_TC'!E3:P3"))/(INDIRECT("'D_TC'!E4:P4")-INDIRECT("'D_TC'!E3:P3"))))/INDEX(INDIRECT("'D_TC'!D6:D60"),M17)*100))</f>
        <v>44.956146158002653</v>
      </c>
      <c r="H17" s="9">
        <f t="shared" ca="1" si="0"/>
        <v>44.956146158002653</v>
      </c>
      <c r="I17" s="16">
        <f t="shared" ca="1" si="1"/>
        <v>45</v>
      </c>
      <c r="J17" s="1" t="str">
        <f t="shared" ca="1" si="2"/>
        <v>또래 수준</v>
      </c>
      <c r="K17" s="1" t="str">
        <f ca="1">IF(D17="","",IF(M17="","해당 연령·성별 행 없음",IF(INDEX(INDIRECT("'D_TC'!D6:D60"),M17)=0,"이 연령·성별은 2024년 검사 대상 아님(지질 4년 주기)","")))</f>
        <v/>
      </c>
      <c r="L17" s="10">
        <f ca="1">IF(D17="","",MIN(MAX(D17,INDIRECT("'D_TC'!E3")),MAX(INDIRECT("'D_TC'!E4:P4"))-0.000000001))</f>
        <v>201</v>
      </c>
      <c r="M17" s="10">
        <f ca="1">IFERROR(MATCH($B$8,INDIRECT("'D_TC'!A6:A60"),0),"")</f>
        <v>23</v>
      </c>
      <c r="N17" s="10"/>
      <c r="O17" s="10"/>
      <c r="P17" s="10"/>
    </row>
    <row r="18" spans="1:16">
      <c r="A18" s="1" t="s">
        <v>462</v>
      </c>
      <c r="B18" s="1" t="s">
        <v>463</v>
      </c>
      <c r="C18" s="1" t="s">
        <v>459</v>
      </c>
      <c r="D18" s="12">
        <v>52</v>
      </c>
      <c r="E18" s="1" t="s">
        <v>464</v>
      </c>
      <c r="F18" s="5"/>
      <c r="G18" s="9">
        <f ca="1">IF(OR(L18="",M18="",$B$5&lt;20),"",IF(INDEX(INDIRECT("'D_HDL'!D6:D60"),M18)=0,"",(SUMPRODUCT(--(INDIRECT("'D_HDL'!E4:P4")&lt;=L18),INDEX(INDIRECT("'D_HDL'!E6:P60"),M18,0))+SUMPRODUCT((INDIRECT("'D_HDL'!E3:P3")&lt;L18)*(INDIRECT("'D_HDL'!E4:P4")&gt;L18)*INDEX(INDIRECT("'D_HDL'!E6:P60"),M18,0)*(L18-INDIRECT("'D_HDL'!E3:P3"))/(INDIRECT("'D_HDL'!E4:P4")-INDIRECT("'D_HDL'!E3:P3"))))/INDEX(INDIRECT("'D_HDL'!D6:D60"),M18)*100))</f>
        <v>51.834632905232048</v>
      </c>
      <c r="H18" s="9">
        <f t="shared" ca="1" si="0"/>
        <v>48.165367094767952</v>
      </c>
      <c r="I18" s="16">
        <f t="shared" ca="1" si="1"/>
        <v>48</v>
      </c>
      <c r="J18" s="1" t="str">
        <f t="shared" ca="1" si="2"/>
        <v>또래 수준</v>
      </c>
      <c r="K18" s="1" t="str">
        <f ca="1">IF(D18="","",IF(M18="","해당 연령·성별 행 없음",IF(INDEX(INDIRECT("'D_HDL'!D6:D60"),M18)=0,"이 연령·성별은 2024년 검사 대상 아님(지질 4년 주기)","")))</f>
        <v/>
      </c>
      <c r="L18" s="10">
        <f ca="1">IF(D18="","",MIN(MAX(D18,INDIRECT("'D_HDL'!E3")),MAX(INDIRECT("'D_HDL'!E4:P4"))-0.000000001))</f>
        <v>52</v>
      </c>
      <c r="M18" s="10">
        <f ca="1">IFERROR(MATCH($B$8,INDIRECT("'D_HDL'!A6:A60"),0),"")</f>
        <v>23</v>
      </c>
      <c r="N18" s="10"/>
      <c r="O18" s="10"/>
      <c r="P18" s="10"/>
    </row>
    <row r="19" spans="1:16">
      <c r="A19" s="1" t="s">
        <v>465</v>
      </c>
      <c r="B19" s="1" t="s">
        <v>466</v>
      </c>
      <c r="C19" s="1" t="s">
        <v>459</v>
      </c>
      <c r="D19" s="12">
        <v>115</v>
      </c>
      <c r="E19" s="1" t="s">
        <v>450</v>
      </c>
      <c r="F19" s="5"/>
      <c r="G19" s="9">
        <f ca="1">IF(OR(L19="",M19="",$B$5&lt;20),"",IF(INDEX(INDIRECT("'D_TG'!D6:D60"),M19)=0,"",(SUMPRODUCT(--(INDIRECT("'D_TG'!E4:P4")&lt;=L19),INDEX(INDIRECT("'D_TG'!E6:P60"),M19,0))+SUMPRODUCT((INDIRECT("'D_TG'!E3:P3")&lt;L19)*(INDIRECT("'D_TG'!E4:P4")&gt;L19)*INDEX(INDIRECT("'D_TG'!E6:P60"),M19,0)*(L19-INDIRECT("'D_TG'!E3:P3"))/(INDIRECT("'D_TG'!E4:P4")-INDIRECT("'D_TG'!E3:P3"))))/INDEX(INDIRECT("'D_TG'!D6:D60"),M19)*100))</f>
        <v>36.912900339953481</v>
      </c>
      <c r="H19" s="9">
        <f t="shared" ca="1" si="0"/>
        <v>36.912900339953481</v>
      </c>
      <c r="I19" s="16">
        <f t="shared" ca="1" si="1"/>
        <v>37</v>
      </c>
      <c r="J19" s="1" t="str">
        <f t="shared" ca="1" si="2"/>
        <v>또래 수준</v>
      </c>
      <c r="K19" s="1" t="str">
        <f ca="1">IF(D19="","",IF(M19="","해당 연령·성별 행 없음",IF(INDEX(INDIRECT("'D_TG'!D6:D60"),M19)=0,"이 연령·성별은 2024년 검사 대상 아님(지질 4년 주기)","")))</f>
        <v/>
      </c>
      <c r="L19" s="10">
        <f ca="1">IF(D19="","",MIN(MAX(D19,INDIRECT("'D_TG'!E3")),MAX(INDIRECT("'D_TG'!E4:P4"))-0.000000001))</f>
        <v>115</v>
      </c>
      <c r="M19" s="10">
        <f ca="1">IFERROR(MATCH($B$8,INDIRECT("'D_TG'!A6:A60"),0),"")</f>
        <v>23</v>
      </c>
      <c r="N19" s="10"/>
      <c r="O19" s="10"/>
      <c r="P19" s="10"/>
    </row>
    <row r="20" spans="1:16">
      <c r="A20" s="1" t="s">
        <v>467</v>
      </c>
      <c r="B20" s="1" t="s">
        <v>468</v>
      </c>
      <c r="C20" s="1" t="s">
        <v>459</v>
      </c>
      <c r="D20" s="12">
        <v>126</v>
      </c>
      <c r="E20" s="1" t="s">
        <v>450</v>
      </c>
      <c r="F20" s="5"/>
      <c r="G20" s="9">
        <f ca="1">IF(OR(L20="",M20="",$B$5&lt;20),"",IF(INDEX(INDIRECT("'D_LDL'!D6:D60"),M20)=0,"",(SUMPRODUCT(--(INDIRECT("'D_LDL'!E4:P4")&lt;=L20),INDEX(INDIRECT("'D_LDL'!E6:P60"),M20,0))+SUMPRODUCT((INDIRECT("'D_LDL'!E3:P3")&lt;L20)*(INDIRECT("'D_LDL'!E4:P4")&gt;L20)*INDEX(INDIRECT("'D_LDL'!E6:P60"),M20,0)*(L20-INDIRECT("'D_LDL'!E3:P3"))/(INDIRECT("'D_LDL'!E4:P4")-INDIRECT("'D_LDL'!E3:P3"))))/INDEX(INDIRECT("'D_LDL'!D6:D60"),M20)*100))</f>
        <v>54.238586921228645</v>
      </c>
      <c r="H20" s="9">
        <f t="shared" ca="1" si="0"/>
        <v>54.238586921228645</v>
      </c>
      <c r="I20" s="16">
        <f t="shared" ca="1" si="1"/>
        <v>54</v>
      </c>
      <c r="J20" s="1" t="str">
        <f t="shared" ca="1" si="2"/>
        <v>또래 수준</v>
      </c>
      <c r="K20" s="1" t="str">
        <f ca="1">IF(D20="","",IF(M20="","해당 연령·성별 행 없음",IF(INDEX(INDIRECT("'D_LDL'!D6:D60"),M20)=0,"이 연령·성별은 2024년 검사 대상 아님(지질 4년 주기)","")))</f>
        <v/>
      </c>
      <c r="L20" s="10">
        <f ca="1">IF(D20="","",MIN(MAX(D20,INDIRECT("'D_LDL'!E3")),MAX(INDIRECT("'D_LDL'!E4:P4"))-0.000000001))</f>
        <v>126</v>
      </c>
      <c r="M20" s="10">
        <f ca="1">IFERROR(MATCH($B$8,INDIRECT("'D_LDL'!A6:A60"),0),"")</f>
        <v>23</v>
      </c>
      <c r="N20" s="10"/>
      <c r="O20" s="10"/>
      <c r="P20" s="10"/>
    </row>
    <row r="21" spans="1:16">
      <c r="A21" s="1" t="s">
        <v>469</v>
      </c>
      <c r="B21" s="1" t="s">
        <v>470</v>
      </c>
      <c r="C21" s="1" t="s">
        <v>471</v>
      </c>
      <c r="D21" s="12"/>
      <c r="E21" s="1" t="s">
        <v>464</v>
      </c>
      <c r="F21" s="5"/>
      <c r="G21" s="9" t="str">
        <f ca="1">IF(OR(L21="",M21="",$B$5&lt;20),"",IF(INDEX(INDIRECT("'D_HB'!D6:D60"),M21)=0,"",(SUMPRODUCT(--(INDIRECT("'D_HB'!E4:P4")&lt;=L21),INDEX(INDIRECT("'D_HB'!E6:P60"),M21,0))+SUMPRODUCT((INDIRECT("'D_HB'!E3:P3")&lt;L21)*(INDIRECT("'D_HB'!E4:P4")&gt;L21)*INDEX(INDIRECT("'D_HB'!E6:P60"),M21,0)*(L21-INDIRECT("'D_HB'!E3:P3"))/(INDIRECT("'D_HB'!E4:P4")-INDIRECT("'D_HB'!E3:P3"))))/INDEX(INDIRECT("'D_HB'!D6:D60"),M21)*100))</f>
        <v/>
      </c>
      <c r="H21" s="9" t="str">
        <f t="shared" ca="1" si="0"/>
        <v/>
      </c>
      <c r="I21" s="16" t="str">
        <f t="shared" ca="1" si="1"/>
        <v/>
      </c>
      <c r="J21" s="1" t="str">
        <f t="shared" ca="1" si="2"/>
        <v/>
      </c>
      <c r="K21" s="1" t="str">
        <f ca="1">IF(D21="","",IF(M21="","해당 연령·성별 행 없음",IF(INDEX(INDIRECT("'D_HB'!D6:D60"),M21)=0,"이 연령·성별은 2024년 검사 대상 아님(지질 4년 주기)","")))</f>
        <v/>
      </c>
      <c r="L21" s="10" t="str">
        <f ca="1">IF(D21="","",MIN(MAX(D21,INDIRECT("'D_HB'!E3")),MAX(INDIRECT("'D_HB'!E4:P4"))-0.000000001))</f>
        <v/>
      </c>
      <c r="M21" s="10">
        <f ca="1">IFERROR(MATCH($B$8,INDIRECT("'D_HB'!A6:A60"),0),"")</f>
        <v>23</v>
      </c>
      <c r="N21" s="10"/>
      <c r="O21" s="10"/>
      <c r="P21" s="10"/>
    </row>
    <row r="22" spans="1:16">
      <c r="A22" s="1" t="s">
        <v>472</v>
      </c>
      <c r="B22" s="1" t="s">
        <v>473</v>
      </c>
      <c r="C22" s="1" t="s">
        <v>459</v>
      </c>
      <c r="D22" s="12">
        <v>1</v>
      </c>
      <c r="E22" s="1" t="s">
        <v>450</v>
      </c>
      <c r="F22" s="5"/>
      <c r="G22" s="9">
        <f ca="1">IF(OR(L22="",M22="",$B$5&lt;20),"",IF(INDEX(INDIRECT("'D_CR'!D6:D60"),M22)=0,"",(SUMPRODUCT(--(INDIRECT("'D_CR'!E4:P4")&lt;=L22),INDEX(INDIRECT("'D_CR'!E6:P60"),M22,0))+SUMPRODUCT((INDIRECT("'D_CR'!E3:P3")&lt;L22)*(INDIRECT("'D_CR'!E4:P4")&gt;L22)*INDEX(INDIRECT("'D_CR'!E6:P60"),M22,0)*(L22-INDIRECT("'D_CR'!E3:P3"))/(INDIRECT("'D_CR'!E4:P4")-INDIRECT("'D_CR'!E3:P3"))))/INDEX(INDIRECT("'D_CR'!D6:D60"),M22)*100))</f>
        <v>52.262188110971408</v>
      </c>
      <c r="H22" s="9">
        <f t="shared" ca="1" si="0"/>
        <v>52.262188110971408</v>
      </c>
      <c r="I22" s="16">
        <f t="shared" ca="1" si="1"/>
        <v>52</v>
      </c>
      <c r="J22" s="1" t="str">
        <f t="shared" ca="1" si="2"/>
        <v>또래 수준</v>
      </c>
      <c r="K22" s="1" t="str">
        <f ca="1">IF(D22="","",IF(M22="","해당 연령·성별 행 없음",IF(INDEX(INDIRECT("'D_CR'!D6:D60"),M22)=0,"이 연령·성별은 2024년 검사 대상 아님(지질 4년 주기)","")))</f>
        <v/>
      </c>
      <c r="L22" s="10">
        <f ca="1">IF(D22="","",MIN(MAX(D22,INDIRECT("'D_CR'!E3")),MAX(INDIRECT("'D_CR'!E4:P4"))-0.000000001))</f>
        <v>1</v>
      </c>
      <c r="M22" s="10">
        <f ca="1">IFERROR(MATCH($B$8,INDIRECT("'D_CR'!A6:A60"),0),"")</f>
        <v>23</v>
      </c>
      <c r="N22" s="10"/>
      <c r="O22" s="10"/>
      <c r="P22" s="10"/>
    </row>
    <row r="23" spans="1:16">
      <c r="A23" s="1" t="s">
        <v>474</v>
      </c>
      <c r="B23" s="1" t="s">
        <v>475</v>
      </c>
      <c r="C23" s="1" t="s">
        <v>476</v>
      </c>
      <c r="D23" s="12">
        <v>93</v>
      </c>
      <c r="E23" s="1" t="s">
        <v>464</v>
      </c>
      <c r="F23" s="5"/>
      <c r="G23" s="9">
        <f ca="1">IF(OR(L23="",M23="",$B$5&lt;20),"",IF(INDEX(INDIRECT("'D_EGFR'!D6:D60"),M23)=0,"",(SUMPRODUCT(--(INDIRECT("'D_EGFR'!E4:P4")&lt;=L23),INDEX(INDIRECT("'D_EGFR'!E6:P60"),M23,0))+SUMPRODUCT((INDIRECT("'D_EGFR'!E3:P3")&lt;L23)*(INDIRECT("'D_EGFR'!E4:P4")&gt;L23)*INDEX(INDIRECT("'D_EGFR'!E6:P60"),M23,0)*(L23-INDIRECT("'D_EGFR'!E3:P3"))/(INDIRECT("'D_EGFR'!E4:P4")-INDIRECT("'D_EGFR'!E3:P3"))))/INDEX(INDIRECT("'D_EGFR'!D6:D60"),M23)*100))</f>
        <v>39.377949742761174</v>
      </c>
      <c r="H23" s="9">
        <f t="shared" ca="1" si="0"/>
        <v>60.622050257238826</v>
      </c>
      <c r="I23" s="16">
        <f t="shared" ca="1" si="1"/>
        <v>61</v>
      </c>
      <c r="J23" s="1" t="str">
        <f t="shared" ca="1" si="2"/>
        <v>또래보다 나쁨</v>
      </c>
      <c r="K23" s="1" t="str">
        <f ca="1">IF(D23="","",IF(M23="","해당 연령·성별 행 없음",IF(INDEX(INDIRECT("'D_EGFR'!D6:D60"),M23)=0,"이 연령·성별은 2024년 검사 대상 아님(지질 4년 주기)","")))</f>
        <v/>
      </c>
      <c r="L23" s="10">
        <f ca="1">IF(D23="","",MIN(MAX(D23,INDIRECT("'D_EGFR'!E3")),MAX(INDIRECT("'D_EGFR'!E4:P4"))-0.000000001))</f>
        <v>93</v>
      </c>
      <c r="M23" s="10">
        <f ca="1">IFERROR(MATCH($B$8,INDIRECT("'D_EGFR'!A6:A60"),0),"")</f>
        <v>23</v>
      </c>
      <c r="N23" s="10"/>
      <c r="O23" s="10"/>
      <c r="P23" s="10"/>
    </row>
    <row r="24" spans="1:16">
      <c r="A24" s="1" t="s">
        <v>477</v>
      </c>
      <c r="B24" s="1" t="s">
        <v>478</v>
      </c>
      <c r="C24" s="1" t="s">
        <v>479</v>
      </c>
      <c r="D24" s="12">
        <v>21</v>
      </c>
      <c r="E24" s="1" t="s">
        <v>450</v>
      </c>
      <c r="F24" s="5"/>
      <c r="G24" s="9">
        <f ca="1">IF(OR(L24="",M24="",$B$5&lt;20),"",IF(INDEX(INDIRECT("'D_AST'!D6:D60"),M24)=0,"",(SUMPRODUCT(--(INDIRECT("'D_AST'!E4:P4")&lt;=L24),INDEX(INDIRECT("'D_AST'!E6:P60"),M24,0))+SUMPRODUCT((INDIRECT("'D_AST'!E3:P3")&lt;L24)*(INDIRECT("'D_AST'!E4:P4")&gt;L24)*INDEX(INDIRECT("'D_AST'!E6:P60"),M24,0)*(L24-INDIRECT("'D_AST'!E3:P3"))/(INDIRECT("'D_AST'!E4:P4")-INDIRECT("'D_AST'!E3:P3"))))/INDEX(INDIRECT("'D_AST'!D6:D60"),M24)*100))</f>
        <v>44.127184553059159</v>
      </c>
      <c r="H24" s="9">
        <f t="shared" ca="1" si="0"/>
        <v>44.127184553059159</v>
      </c>
      <c r="I24" s="16">
        <f t="shared" ca="1" si="1"/>
        <v>44</v>
      </c>
      <c r="J24" s="1" t="str">
        <f t="shared" ca="1" si="2"/>
        <v>또래 수준</v>
      </c>
      <c r="K24" s="1" t="str">
        <f ca="1">IF(D24="","",IF(M24="","해당 연령·성별 행 없음",IF(INDEX(INDIRECT("'D_AST'!D6:D60"),M24)=0,"이 연령·성별은 2024년 검사 대상 아님(지질 4년 주기)","")))</f>
        <v/>
      </c>
      <c r="L24" s="10">
        <f ca="1">IF(D24="","",MIN(MAX(D24,INDIRECT("'D_AST'!E3")),MAX(INDIRECT("'D_AST'!E4:P4"))-0.000000001))</f>
        <v>21</v>
      </c>
      <c r="M24" s="10">
        <f ca="1">IFERROR(MATCH($B$8,INDIRECT("'D_AST'!A6:A60"),0),"")</f>
        <v>23</v>
      </c>
      <c r="N24" s="10"/>
      <c r="O24" s="10"/>
      <c r="P24" s="10"/>
    </row>
    <row r="25" spans="1:16">
      <c r="A25" s="1" t="s">
        <v>480</v>
      </c>
      <c r="B25" s="1" t="s">
        <v>481</v>
      </c>
      <c r="C25" s="1" t="s">
        <v>479</v>
      </c>
      <c r="D25" s="12">
        <v>26</v>
      </c>
      <c r="E25" s="1" t="s">
        <v>450</v>
      </c>
      <c r="F25" s="5"/>
      <c r="G25" s="9">
        <f ca="1">IF(OR(L25="",M25="",$B$5&lt;20),"",IF(INDEX(INDIRECT("'D_ALT'!D6:D60"),M25)=0,"",(SUMPRODUCT(--(INDIRECT("'D_ALT'!E4:P4")&lt;=L25),INDEX(INDIRECT("'D_ALT'!E6:P60"),M25,0))+SUMPRODUCT((INDIRECT("'D_ALT'!E3:P3")&lt;L25)*(INDIRECT("'D_ALT'!E4:P4")&gt;L25)*INDEX(INDIRECT("'D_ALT'!E6:P60"),M25,0)*(L25-INDIRECT("'D_ALT'!E3:P3"))/(INDIRECT("'D_ALT'!E4:P4")-INDIRECT("'D_ALT'!E3:P3"))))/INDEX(INDIRECT("'D_ALT'!D6:D60"),M25)*100))</f>
        <v>48.227054486995023</v>
      </c>
      <c r="H25" s="9">
        <f t="shared" ca="1" si="0"/>
        <v>48.227054486995023</v>
      </c>
      <c r="I25" s="16">
        <f t="shared" ca="1" si="1"/>
        <v>48</v>
      </c>
      <c r="J25" s="1" t="str">
        <f t="shared" ca="1" si="2"/>
        <v>또래 수준</v>
      </c>
      <c r="K25" s="1" t="str">
        <f ca="1">IF(D25="","",IF(M25="","해당 연령·성별 행 없음",IF(INDEX(INDIRECT("'D_ALT'!D6:D60"),M25)=0,"이 연령·성별은 2024년 검사 대상 아님(지질 4년 주기)","")))</f>
        <v/>
      </c>
      <c r="L25" s="10">
        <f ca="1">IF(D25="","",MIN(MAX(D25,INDIRECT("'D_ALT'!E3")),MAX(INDIRECT("'D_ALT'!E4:P4"))-0.000000001))</f>
        <v>26</v>
      </c>
      <c r="M25" s="10">
        <f ca="1">IFERROR(MATCH($B$8,INDIRECT("'D_ALT'!A6:A60"),0),"")</f>
        <v>23</v>
      </c>
      <c r="N25" s="10"/>
      <c r="O25" s="10"/>
      <c r="P25" s="10"/>
    </row>
    <row r="26" spans="1:16">
      <c r="A26" s="1" t="s">
        <v>482</v>
      </c>
      <c r="B26" s="1" t="s">
        <v>483</v>
      </c>
      <c r="C26" s="1" t="s">
        <v>479</v>
      </c>
      <c r="D26" s="12">
        <v>18</v>
      </c>
      <c r="E26" s="1" t="s">
        <v>450</v>
      </c>
      <c r="F26" s="5"/>
      <c r="G26" s="9">
        <f ca="1">IF(OR(L26="",M26="",$B$5&lt;20),"",IF(INDEX(INDIRECT("'D_GGT'!D6:D60"),M26)=0,"",(SUMPRODUCT(--(INDIRECT("'D_GGT'!E4:P4")&lt;=L26),INDEX(INDIRECT("'D_GGT'!E6:P60"),M26,0))+SUMPRODUCT((INDIRECT("'D_GGT'!E3:P3")&lt;L26)*(INDIRECT("'D_GGT'!E4:P4")&gt;L26)*INDEX(INDIRECT("'D_GGT'!E6:P60"),M26,0)*(L26-INDIRECT("'D_GGT'!E3:P3"))/(INDIRECT("'D_GGT'!E4:P4")-INDIRECT("'D_GGT'!E3:P3"))))/INDEX(INDIRECT("'D_GGT'!D6:D60"),M26)*100))</f>
        <v>15.046196372914928</v>
      </c>
      <c r="H26" s="9">
        <f t="shared" ca="1" si="0"/>
        <v>15.046196372914928</v>
      </c>
      <c r="I26" s="16">
        <f t="shared" ca="1" si="1"/>
        <v>15</v>
      </c>
      <c r="J26" s="1" t="str">
        <f t="shared" ca="1" si="2"/>
        <v>또래보다 좋음</v>
      </c>
      <c r="K26" s="1" t="str">
        <f ca="1">IF(D26="","",IF(M26="","해당 연령·성별 행 없음",IF(INDEX(INDIRECT("'D_GGT'!D6:D60"),M26)=0,"이 연령·성별은 2024년 검사 대상 아님(지질 4년 주기)","")))</f>
        <v/>
      </c>
      <c r="L26" s="10">
        <f ca="1">IF(D26="","",MIN(MAX(D26,INDIRECT("'D_GGT'!E3")),MAX(INDIRECT("'D_GGT'!E4:P4"))-0.000000001))</f>
        <v>18</v>
      </c>
      <c r="M26" s="10">
        <f ca="1">IFERROR(MATCH($B$8,INDIRECT("'D_GGT'!A6:A60"),0),"")</f>
        <v>23</v>
      </c>
      <c r="N26" s="10"/>
      <c r="O26" s="10"/>
      <c r="P26" s="10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3" t="s">
        <v>486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4" t="s">
        <v>192</v>
      </c>
      <c r="B29" s="4" t="s">
        <v>433</v>
      </c>
      <c r="C29" s="4" t="s">
        <v>434</v>
      </c>
      <c r="D29" s="4" t="s">
        <v>435</v>
      </c>
      <c r="E29" s="4" t="s">
        <v>436</v>
      </c>
      <c r="F29" s="4"/>
      <c r="G29" s="4" t="s">
        <v>438</v>
      </c>
      <c r="H29" s="4" t="s">
        <v>487</v>
      </c>
      <c r="I29" s="4" t="s">
        <v>440</v>
      </c>
      <c r="J29" s="4"/>
      <c r="K29" s="4" t="s">
        <v>442</v>
      </c>
      <c r="L29" s="4"/>
      <c r="M29" s="4"/>
      <c r="N29" s="1" t="s">
        <v>445</v>
      </c>
      <c r="O29" s="1" t="s">
        <v>446</v>
      </c>
      <c r="P29" s="1"/>
    </row>
    <row r="30" spans="1:16">
      <c r="A30" s="1" t="s">
        <v>4</v>
      </c>
      <c r="B30" s="1" t="s">
        <v>484</v>
      </c>
      <c r="C30" s="1" t="s">
        <v>451</v>
      </c>
      <c r="D30" s="12">
        <v>172</v>
      </c>
      <c r="E30" s="1" t="s">
        <v>488</v>
      </c>
      <c r="F30" s="1"/>
      <c r="G30" s="9">
        <f>IF(OR(O30="",$B$5&lt;20),"",IF(O30=0,1,IF(O30&gt;=99,99,IFERROR(O30+(D30-INDEX(K_영양조사!$H$4:$DB$107,N30,O30))/(INDEX(K_영양조사!$H$4:$DB$107,N30,O30+1)-INDEX(K_영양조사!$H$4:$DB$107,N30,O30)),O30))))</f>
        <v>42.5</v>
      </c>
      <c r="H30" s="9">
        <f>IF(G30="","",100-G30)</f>
        <v>57.5</v>
      </c>
      <c r="I30" s="16">
        <f>IF(H30="","",MAX(1,MIN(99,ROUND(H30,0))))</f>
        <v>58</v>
      </c>
      <c r="J30" s="1"/>
      <c r="K30" s="1" t="str">
        <f>IF(D30="","",IF(N30="","해당 연령·성별 행 없음","또래 평균 "&amp;TEXT(INDEX(K_영양조사!$F$4:$F$107,N30),"0.0")&amp;" · 표준편차 "&amp;TEXT(INDEX(K_영양조사!$G$4:$G$107,N30),"0.0")&amp;" · n="&amp;INDEX(K_영양조사!$E$4:$E$107,N30)&amp;" · 종합 제외"))</f>
        <v>또래 평균 173.1 · 표준편차 5.7 · n=567 · 종합 제외</v>
      </c>
      <c r="L30" s="1"/>
      <c r="M30" s="1"/>
      <c r="N30" s="10">
        <f>IFERROR(MATCH("키|"&amp;$B$4&amp;"|"&amp;$B$9,K_영양조사!$A$4:$A$107,0),"")</f>
        <v>6</v>
      </c>
      <c r="O30" s="10">
        <f>IF(OR(D30="",N30=""),"",IFERROR(MATCH(D30,INDEX(K_영양조사!$H$4:$DB$107,N30,0),1),0))</f>
        <v>42</v>
      </c>
      <c r="P30" s="1"/>
    </row>
    <row r="31" spans="1:16">
      <c r="A31" s="1" t="s">
        <v>239</v>
      </c>
      <c r="B31" s="1" t="s">
        <v>484</v>
      </c>
      <c r="C31" s="1" t="s">
        <v>489</v>
      </c>
      <c r="D31" s="12">
        <v>72.5</v>
      </c>
      <c r="E31" s="1" t="s">
        <v>488</v>
      </c>
      <c r="F31" s="1"/>
      <c r="G31" s="9">
        <f>IF(OR(O31="",$B$5&lt;20),"",IF(O31=0,1,IF(O31&gt;=99,99,IFERROR(O31+(D31-INDEX(K_영양조사!$H$4:$DB$107,N31,O31))/(INDEX(K_영양조사!$H$4:$DB$107,N31,O31+1)-INDEX(K_영양조사!$H$4:$DB$107,N31,O31)),O31))))</f>
        <v>36.249999999999993</v>
      </c>
      <c r="H31" s="9">
        <f>IF(G31="","",100-G31)</f>
        <v>63.750000000000007</v>
      </c>
      <c r="I31" s="16">
        <f>IF(H31="","",MAX(1,MIN(99,ROUND(H31,0))))</f>
        <v>64</v>
      </c>
      <c r="J31" s="1"/>
      <c r="K31" s="1" t="str">
        <f>IF(D31="","",IF(N31="","해당 연령·성별 행 없음","또래 평균 "&amp;TEXT(INDEX(K_영양조사!$F$4:$F$107,N31),"0.0")&amp;" · 표준편차 "&amp;TEXT(INDEX(K_영양조사!$G$4:$G$107,N31),"0.0")&amp;" · n="&amp;INDEX(K_영양조사!$E$4:$E$107,N31)&amp;" · 종합 제외"))</f>
        <v>또래 평균 76.9 · 표준편차 12.3 · n=568 · 종합 제외</v>
      </c>
      <c r="L31" s="1"/>
      <c r="M31" s="1"/>
      <c r="N31" s="10">
        <f>IFERROR(MATCH("체중|"&amp;$B$4&amp;"|"&amp;$B$9,K_영양조사!$A$4:$A$107,0),"")</f>
        <v>32</v>
      </c>
      <c r="O31" s="10">
        <f>IF(OR(D31="",N31=""),"",IFERROR(MATCH(D31,INDEX(K_영양조사!$H$4:$DB$107,N31,0),1),0))</f>
        <v>36</v>
      </c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3" t="s">
        <v>490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 t="s">
        <v>491</v>
      </c>
      <c r="B34" s="1">
        <f ca="1">COUNT(H12:H26)</f>
        <v>14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 t="s">
        <v>492</v>
      </c>
      <c r="B35" s="1">
        <f ca="1">COUNTIF(H12:H26,"&gt;50")</f>
        <v>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 t="s">
        <v>493</v>
      </c>
      <c r="B36" s="9">
        <f ca="1">IF(COUNT(H12:H26)&lt;3,"",AVERAGE(H12:H26))</f>
        <v>52.983639543462552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 t="s">
        <v>494</v>
      </c>
      <c r="B37" s="1" t="str">
        <f ca="1">IF(B36="","항목 3개 미만",IF(B36&lt;=25,"또래보다 좋음",IF(B36&lt;=60,"또래 수준",IF(B36&lt;=85,"또래보다 나쁨","또래 하위 15%"))))</f>
        <v>또래 수준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 t="s">
        <v>495</v>
      </c>
      <c r="B38" s="1" t="str">
        <f ca="1">IFERROR(INDEX($A$12:$A$26,MATCH(LARGE($H$12:$H$26,1),$H$12:$H$26,0)),"")</f>
        <v>수축기 혈압</v>
      </c>
      <c r="C38" s="1" t="str">
        <f ca="1">IFERROR(INDEX($A$12:$A$26,MATCH(LARGE($H$12:$H$26,2),$H$12:$H$26,0)),"")</f>
        <v>공복 혈당</v>
      </c>
      <c r="D38" s="1" t="str">
        <f ca="1">IFERROR(INDEX($A$12:$A$26,MATCH(LARGE($H$12:$H$26,3),$H$12:$H$26,0)),"")</f>
        <v>이완기 혈압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3" t="s">
        <v>496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 t="s">
        <v>497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 t="s">
        <v>498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 t="s">
        <v>499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 t="s">
        <v>500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 t="s">
        <v>501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 t="s">
        <v>502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 t="s">
        <v>503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 t="s">
        <v>504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 t="s">
        <v>505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 t="s">
        <v>506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 t="s">
        <v>507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 t="s">
        <v>508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AF23-6E17-459F-B903-BC5FAE3EA54E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10</v>
      </c>
      <c r="F3" s="5">
        <v>18.5</v>
      </c>
      <c r="G3" s="5">
        <v>25</v>
      </c>
      <c r="H3" s="5">
        <v>30</v>
      </c>
      <c r="I3" s="5">
        <v>40</v>
      </c>
      <c r="J3" s="5">
        <v>1000000000</v>
      </c>
      <c r="K3" s="5">
        <v>1000000000</v>
      </c>
      <c r="L3" s="5">
        <v>1000000000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18.5</v>
      </c>
      <c r="F4" s="5">
        <v>25</v>
      </c>
      <c r="G4" s="5">
        <v>30</v>
      </c>
      <c r="H4" s="5">
        <v>40</v>
      </c>
      <c r="I4" s="5">
        <v>60</v>
      </c>
      <c r="J4" s="5">
        <v>2000000000</v>
      </c>
      <c r="K4" s="5">
        <v>2000000000</v>
      </c>
      <c r="L4" s="5">
        <v>2000000000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13</v>
      </c>
      <c r="L5" s="4" t="s">
        <v>13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17510081</v>
      </c>
      <c r="E6" s="6">
        <v>582126</v>
      </c>
      <c r="F6" s="6">
        <v>9913201</v>
      </c>
      <c r="G6" s="6">
        <v>5665466</v>
      </c>
      <c r="H6" s="6">
        <v>1307731</v>
      </c>
      <c r="I6" s="6">
        <v>41557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9091686</v>
      </c>
      <c r="E7" s="6">
        <v>123362</v>
      </c>
      <c r="F7" s="6">
        <v>4410154</v>
      </c>
      <c r="G7" s="6">
        <v>3707704</v>
      </c>
      <c r="H7" s="6">
        <v>825962</v>
      </c>
      <c r="I7" s="6">
        <v>24504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8418395</v>
      </c>
      <c r="E8" s="6">
        <v>458764</v>
      </c>
      <c r="F8" s="6">
        <v>5503047</v>
      </c>
      <c r="G8" s="6">
        <v>1957762</v>
      </c>
      <c r="H8" s="6">
        <v>481769</v>
      </c>
      <c r="I8" s="6">
        <v>17053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8653</v>
      </c>
      <c r="E9" s="6">
        <v>705</v>
      </c>
      <c r="F9" s="6">
        <v>4910</v>
      </c>
      <c r="G9" s="6">
        <v>1922</v>
      </c>
      <c r="H9" s="6">
        <v>1040</v>
      </c>
      <c r="I9" s="6">
        <v>76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5723</v>
      </c>
      <c r="E10" s="6">
        <v>353</v>
      </c>
      <c r="F10" s="6">
        <v>3050</v>
      </c>
      <c r="G10" s="6">
        <v>1460</v>
      </c>
      <c r="H10" s="6">
        <v>803</v>
      </c>
      <c r="I10" s="6">
        <v>57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352</v>
      </c>
      <c r="F11" s="6">
        <v>1860</v>
      </c>
      <c r="G11" s="6">
        <v>462</v>
      </c>
      <c r="H11" s="6">
        <v>237</v>
      </c>
      <c r="I11" s="6">
        <v>19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544564</v>
      </c>
      <c r="E12" s="6">
        <v>55357</v>
      </c>
      <c r="F12" s="6">
        <v>335151</v>
      </c>
      <c r="G12" s="6">
        <v>107294</v>
      </c>
      <c r="H12" s="6">
        <v>43845</v>
      </c>
      <c r="I12" s="6">
        <v>2917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232290</v>
      </c>
      <c r="E13" s="6">
        <v>10534</v>
      </c>
      <c r="F13" s="6">
        <v>127209</v>
      </c>
      <c r="G13" s="6">
        <v>66528</v>
      </c>
      <c r="H13" s="6">
        <v>26334</v>
      </c>
      <c r="I13" s="6">
        <v>1685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312274</v>
      </c>
      <c r="E14" s="6">
        <v>44823</v>
      </c>
      <c r="F14" s="6">
        <v>207942</v>
      </c>
      <c r="G14" s="6">
        <v>40766</v>
      </c>
      <c r="H14" s="6">
        <v>17511</v>
      </c>
      <c r="I14" s="6">
        <v>1232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1204753</v>
      </c>
      <c r="E15" s="6">
        <v>75015</v>
      </c>
      <c r="F15" s="6">
        <v>710730</v>
      </c>
      <c r="G15" s="6">
        <v>301383</v>
      </c>
      <c r="H15" s="6">
        <v>111267</v>
      </c>
      <c r="I15" s="6">
        <v>6358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626802</v>
      </c>
      <c r="E16" s="6">
        <v>12286</v>
      </c>
      <c r="F16" s="6">
        <v>310321</v>
      </c>
      <c r="G16" s="6">
        <v>222989</v>
      </c>
      <c r="H16" s="6">
        <v>77328</v>
      </c>
      <c r="I16" s="6">
        <v>3878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577951</v>
      </c>
      <c r="E17" s="6">
        <v>62729</v>
      </c>
      <c r="F17" s="6">
        <v>400409</v>
      </c>
      <c r="G17" s="6">
        <v>78394</v>
      </c>
      <c r="H17" s="6">
        <v>33939</v>
      </c>
      <c r="I17" s="6">
        <v>2480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1638210</v>
      </c>
      <c r="E18" s="6">
        <v>74523</v>
      </c>
      <c r="F18" s="6">
        <v>893360</v>
      </c>
      <c r="G18" s="6">
        <v>483203</v>
      </c>
      <c r="H18" s="6">
        <v>177721</v>
      </c>
      <c r="I18" s="6">
        <v>9403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923035</v>
      </c>
      <c r="E19" s="6">
        <v>10346</v>
      </c>
      <c r="F19" s="6">
        <v>404861</v>
      </c>
      <c r="G19" s="6">
        <v>371321</v>
      </c>
      <c r="H19" s="6">
        <v>130264</v>
      </c>
      <c r="I19" s="6">
        <v>6243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715175</v>
      </c>
      <c r="E20" s="6">
        <v>64177</v>
      </c>
      <c r="F20" s="6">
        <v>488499</v>
      </c>
      <c r="G20" s="6">
        <v>111882</v>
      </c>
      <c r="H20" s="6">
        <v>47457</v>
      </c>
      <c r="I20" s="6">
        <v>3160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1299514</v>
      </c>
      <c r="E21" s="6">
        <v>45104</v>
      </c>
      <c r="F21" s="6">
        <v>660681</v>
      </c>
      <c r="G21" s="6">
        <v>429689</v>
      </c>
      <c r="H21" s="6">
        <v>156704</v>
      </c>
      <c r="I21" s="6">
        <v>7336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771493</v>
      </c>
      <c r="E22" s="6">
        <v>6320</v>
      </c>
      <c r="F22" s="6">
        <v>308905</v>
      </c>
      <c r="G22" s="6">
        <v>333508</v>
      </c>
      <c r="H22" s="6">
        <v>117859</v>
      </c>
      <c r="I22" s="6">
        <v>4901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528021</v>
      </c>
      <c r="E23" s="6">
        <v>38784</v>
      </c>
      <c r="F23" s="6">
        <v>351776</v>
      </c>
      <c r="G23" s="6">
        <v>96181</v>
      </c>
      <c r="H23" s="6">
        <v>38845</v>
      </c>
      <c r="I23" s="6">
        <v>2435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1998329</v>
      </c>
      <c r="E24" s="6">
        <v>65767</v>
      </c>
      <c r="F24" s="6">
        <v>1062185</v>
      </c>
      <c r="G24" s="6">
        <v>658819</v>
      </c>
      <c r="H24" s="6">
        <v>204877</v>
      </c>
      <c r="I24" s="6">
        <v>6681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1102746</v>
      </c>
      <c r="E25" s="6">
        <v>9112</v>
      </c>
      <c r="F25" s="6">
        <v>456441</v>
      </c>
      <c r="G25" s="6">
        <v>488017</v>
      </c>
      <c r="H25" s="6">
        <v>145163</v>
      </c>
      <c r="I25" s="6">
        <v>4013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895583</v>
      </c>
      <c r="E26" s="6">
        <v>56655</v>
      </c>
      <c r="F26" s="6">
        <v>605744</v>
      </c>
      <c r="G26" s="6">
        <v>170802</v>
      </c>
      <c r="H26" s="6">
        <v>59714</v>
      </c>
      <c r="I26" s="6">
        <v>2668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1608468</v>
      </c>
      <c r="E27" s="6">
        <v>43848</v>
      </c>
      <c r="F27" s="6">
        <v>873439</v>
      </c>
      <c r="G27" s="6">
        <v>548761</v>
      </c>
      <c r="H27" s="6">
        <v>139187</v>
      </c>
      <c r="I27" s="6">
        <v>3233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893962</v>
      </c>
      <c r="E28" s="6">
        <v>7673</v>
      </c>
      <c r="F28" s="6">
        <v>390237</v>
      </c>
      <c r="G28" s="6">
        <v>398867</v>
      </c>
      <c r="H28" s="6">
        <v>95394</v>
      </c>
      <c r="I28" s="6">
        <v>1791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714506</v>
      </c>
      <c r="E29" s="6">
        <v>36175</v>
      </c>
      <c r="F29" s="6">
        <v>483202</v>
      </c>
      <c r="G29" s="6">
        <v>149894</v>
      </c>
      <c r="H29" s="6">
        <v>43793</v>
      </c>
      <c r="I29" s="6">
        <v>1442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2173133</v>
      </c>
      <c r="E30" s="6">
        <v>59554</v>
      </c>
      <c r="F30" s="6">
        <v>1242102</v>
      </c>
      <c r="G30" s="6">
        <v>724960</v>
      </c>
      <c r="H30" s="6">
        <v>144126</v>
      </c>
      <c r="I30" s="6">
        <v>2391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1122396</v>
      </c>
      <c r="E31" s="6">
        <v>10972</v>
      </c>
      <c r="F31" s="6">
        <v>529791</v>
      </c>
      <c r="G31" s="6">
        <v>491430</v>
      </c>
      <c r="H31" s="6">
        <v>89057</v>
      </c>
      <c r="I31" s="6">
        <v>1146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1050737</v>
      </c>
      <c r="E32" s="6">
        <v>48582</v>
      </c>
      <c r="F32" s="6">
        <v>712311</v>
      </c>
      <c r="G32" s="6">
        <v>233530</v>
      </c>
      <c r="H32" s="6">
        <v>55069</v>
      </c>
      <c r="I32" s="6">
        <v>1245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1751943</v>
      </c>
      <c r="E33" s="6">
        <v>37644</v>
      </c>
      <c r="F33" s="6">
        <v>1019116</v>
      </c>
      <c r="G33" s="6">
        <v>599102</v>
      </c>
      <c r="H33" s="6">
        <v>94931</v>
      </c>
      <c r="I33" s="6">
        <v>1150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882086</v>
      </c>
      <c r="E34" s="6">
        <v>9592</v>
      </c>
      <c r="F34" s="6">
        <v>444949</v>
      </c>
      <c r="G34" s="6">
        <v>375531</v>
      </c>
      <c r="H34" s="6">
        <v>51599</v>
      </c>
      <c r="I34" s="6">
        <v>415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869857</v>
      </c>
      <c r="E35" s="6">
        <v>28052</v>
      </c>
      <c r="F35" s="6">
        <v>574167</v>
      </c>
      <c r="G35" s="6">
        <v>223571</v>
      </c>
      <c r="H35" s="6">
        <v>43332</v>
      </c>
      <c r="I35" s="6">
        <v>735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1974459</v>
      </c>
      <c r="E36" s="6">
        <v>41517</v>
      </c>
      <c r="F36" s="6">
        <v>1178461</v>
      </c>
      <c r="G36" s="6">
        <v>664389</v>
      </c>
      <c r="H36" s="6">
        <v>89255</v>
      </c>
      <c r="I36" s="6">
        <v>837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951102</v>
      </c>
      <c r="E37" s="6">
        <v>12395</v>
      </c>
      <c r="F37" s="6">
        <v>516684</v>
      </c>
      <c r="G37" s="6">
        <v>380815</v>
      </c>
      <c r="H37" s="6">
        <v>41021</v>
      </c>
      <c r="I37" s="6">
        <v>187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1023357</v>
      </c>
      <c r="E38" s="6">
        <v>29122</v>
      </c>
      <c r="F38" s="6">
        <v>661777</v>
      </c>
      <c r="G38" s="6">
        <v>283574</v>
      </c>
      <c r="H38" s="6">
        <v>48234</v>
      </c>
      <c r="I38" s="6">
        <v>650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1284575</v>
      </c>
      <c r="E39" s="6">
        <v>26207</v>
      </c>
      <c r="F39" s="6">
        <v>755768</v>
      </c>
      <c r="G39" s="6">
        <v>445825</v>
      </c>
      <c r="H39" s="6">
        <v>56290</v>
      </c>
      <c r="I39" s="6">
        <v>485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626911</v>
      </c>
      <c r="E40" s="6">
        <v>9520</v>
      </c>
      <c r="F40" s="6">
        <v>350786</v>
      </c>
      <c r="G40" s="6">
        <v>243170</v>
      </c>
      <c r="H40" s="6">
        <v>23342</v>
      </c>
      <c r="I40" s="6">
        <v>93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657664</v>
      </c>
      <c r="E41" s="6">
        <v>16687</v>
      </c>
      <c r="F41" s="6">
        <v>404982</v>
      </c>
      <c r="G41" s="6">
        <v>202655</v>
      </c>
      <c r="H41" s="6">
        <v>32948</v>
      </c>
      <c r="I41" s="6">
        <v>392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1083882</v>
      </c>
      <c r="E42" s="6">
        <v>23268</v>
      </c>
      <c r="F42" s="6">
        <v>624862</v>
      </c>
      <c r="G42" s="6">
        <v>385680</v>
      </c>
      <c r="H42" s="6">
        <v>49624</v>
      </c>
      <c r="I42" s="6">
        <v>448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515549</v>
      </c>
      <c r="E43" s="6">
        <v>9871</v>
      </c>
      <c r="F43" s="6">
        <v>297569</v>
      </c>
      <c r="G43" s="6">
        <v>191274</v>
      </c>
      <c r="H43" s="6">
        <v>16777</v>
      </c>
      <c r="I43" s="6">
        <v>58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568333</v>
      </c>
      <c r="E44" s="6">
        <v>13397</v>
      </c>
      <c r="F44" s="6">
        <v>327293</v>
      </c>
      <c r="G44" s="6">
        <v>194406</v>
      </c>
      <c r="H44" s="6">
        <v>32847</v>
      </c>
      <c r="I44" s="6">
        <v>390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475515</v>
      </c>
      <c r="E45" s="6">
        <v>12375</v>
      </c>
      <c r="F45" s="6">
        <v>274515</v>
      </c>
      <c r="G45" s="6">
        <v>167500</v>
      </c>
      <c r="H45" s="6">
        <v>20989</v>
      </c>
      <c r="I45" s="6">
        <v>136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228794</v>
      </c>
      <c r="E46" s="6">
        <v>5779</v>
      </c>
      <c r="F46" s="6">
        <v>136710</v>
      </c>
      <c r="G46" s="6">
        <v>79841</v>
      </c>
      <c r="H46" s="6">
        <v>6442</v>
      </c>
      <c r="I46" s="6">
        <v>22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246721</v>
      </c>
      <c r="E47" s="6">
        <v>6596</v>
      </c>
      <c r="F47" s="6">
        <v>137805</v>
      </c>
      <c r="G47" s="6">
        <v>87659</v>
      </c>
      <c r="H47" s="6">
        <v>14547</v>
      </c>
      <c r="I47" s="6">
        <v>114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356685</v>
      </c>
      <c r="E48" s="6">
        <v>12714</v>
      </c>
      <c r="F48" s="6">
        <v>210650</v>
      </c>
      <c r="G48" s="6">
        <v>118685</v>
      </c>
      <c r="H48" s="6">
        <v>14546</v>
      </c>
      <c r="I48" s="6">
        <v>90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164332</v>
      </c>
      <c r="E49" s="6">
        <v>5927</v>
      </c>
      <c r="F49" s="6">
        <v>102972</v>
      </c>
      <c r="G49" s="6">
        <v>51543</v>
      </c>
      <c r="H49" s="6">
        <v>3877</v>
      </c>
      <c r="I49" s="6">
        <v>13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192353</v>
      </c>
      <c r="E50" s="6">
        <v>6787</v>
      </c>
      <c r="F50" s="6">
        <v>107678</v>
      </c>
      <c r="G50" s="6">
        <v>67142</v>
      </c>
      <c r="H50" s="6">
        <v>10669</v>
      </c>
      <c r="I50" s="6">
        <v>77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107398</v>
      </c>
      <c r="E51" s="6">
        <v>8528</v>
      </c>
      <c r="F51" s="6">
        <v>67271</v>
      </c>
      <c r="G51" s="6">
        <v>28254</v>
      </c>
      <c r="H51" s="6">
        <v>3329</v>
      </c>
      <c r="I51" s="6">
        <v>16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44465</v>
      </c>
      <c r="E52" s="6">
        <v>2682</v>
      </c>
      <c r="F52" s="6">
        <v>29669</v>
      </c>
      <c r="G52" s="6">
        <v>11410</v>
      </c>
      <c r="H52" s="6">
        <v>702</v>
      </c>
      <c r="I52" s="6">
        <v>2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62933</v>
      </c>
      <c r="E53" s="6">
        <v>5846</v>
      </c>
      <c r="F53" s="6">
        <v>37602</v>
      </c>
      <c r="G53" s="6">
        <v>16844</v>
      </c>
      <c r="H53" s="6">
        <v>2627</v>
      </c>
      <c r="I53" s="6">
        <v>14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5703-90F2-46C6-B114-8CF30DDCF4F9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50</v>
      </c>
      <c r="F3" s="5">
        <v>75</v>
      </c>
      <c r="G3" s="5">
        <v>80</v>
      </c>
      <c r="H3" s="5">
        <v>85</v>
      </c>
      <c r="I3" s="5">
        <v>90</v>
      </c>
      <c r="J3" s="5">
        <v>95</v>
      </c>
      <c r="K3" s="5">
        <v>100</v>
      </c>
      <c r="L3" s="5">
        <v>105</v>
      </c>
      <c r="M3" s="5">
        <v>110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75</v>
      </c>
      <c r="F4" s="5">
        <v>80</v>
      </c>
      <c r="G4" s="5">
        <v>85</v>
      </c>
      <c r="H4" s="5">
        <v>90</v>
      </c>
      <c r="I4" s="5">
        <v>95</v>
      </c>
      <c r="J4" s="5">
        <v>100</v>
      </c>
      <c r="K4" s="5">
        <v>105</v>
      </c>
      <c r="L4" s="5">
        <v>110</v>
      </c>
      <c r="M4" s="5">
        <v>140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81</v>
      </c>
      <c r="F5" s="4" t="s">
        <v>82</v>
      </c>
      <c r="G5" s="4" t="s">
        <v>83</v>
      </c>
      <c r="H5" s="4" t="s">
        <v>84</v>
      </c>
      <c r="I5" s="4" t="s">
        <v>85</v>
      </c>
      <c r="J5" s="4" t="s">
        <v>86</v>
      </c>
      <c r="K5" s="4" t="s">
        <v>87</v>
      </c>
      <c r="L5" s="4" t="s">
        <v>88</v>
      </c>
      <c r="M5" s="4" t="s">
        <v>89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17504300</v>
      </c>
      <c r="E6" s="6">
        <v>5153493</v>
      </c>
      <c r="F6" s="6">
        <v>2420801</v>
      </c>
      <c r="G6" s="6">
        <v>3258551</v>
      </c>
      <c r="H6" s="6">
        <v>2853900</v>
      </c>
      <c r="I6" s="6">
        <v>1903641</v>
      </c>
      <c r="J6" s="6">
        <v>1035640</v>
      </c>
      <c r="K6" s="6">
        <v>486881</v>
      </c>
      <c r="L6" s="6">
        <v>214417</v>
      </c>
      <c r="M6" s="6">
        <v>176976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9092955</v>
      </c>
      <c r="E7" s="6">
        <v>934743</v>
      </c>
      <c r="F7" s="6">
        <v>1100423</v>
      </c>
      <c r="G7" s="6">
        <v>2000852</v>
      </c>
      <c r="H7" s="6">
        <v>2062247</v>
      </c>
      <c r="I7" s="6">
        <v>1466148</v>
      </c>
      <c r="J7" s="6">
        <v>819380</v>
      </c>
      <c r="K7" s="6">
        <v>390519</v>
      </c>
      <c r="L7" s="6">
        <v>173274</v>
      </c>
      <c r="M7" s="6">
        <v>145369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8411345</v>
      </c>
      <c r="E8" s="6">
        <v>4218750</v>
      </c>
      <c r="F8" s="6">
        <v>1320378</v>
      </c>
      <c r="G8" s="6">
        <v>1257699</v>
      </c>
      <c r="H8" s="6">
        <v>791653</v>
      </c>
      <c r="I8" s="6">
        <v>437493</v>
      </c>
      <c r="J8" s="6">
        <v>216260</v>
      </c>
      <c r="K8" s="6">
        <v>96362</v>
      </c>
      <c r="L8" s="6">
        <v>41143</v>
      </c>
      <c r="M8" s="6">
        <v>31607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8654</v>
      </c>
      <c r="E9" s="6">
        <v>4285</v>
      </c>
      <c r="F9" s="6">
        <v>1167</v>
      </c>
      <c r="G9" s="6">
        <v>1056</v>
      </c>
      <c r="H9" s="6">
        <v>715</v>
      </c>
      <c r="I9" s="6">
        <v>487</v>
      </c>
      <c r="J9" s="6">
        <v>358</v>
      </c>
      <c r="K9" s="6">
        <v>248</v>
      </c>
      <c r="L9" s="6">
        <v>137</v>
      </c>
      <c r="M9" s="6">
        <v>201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5725</v>
      </c>
      <c r="E10" s="6">
        <v>2165</v>
      </c>
      <c r="F10" s="6">
        <v>854</v>
      </c>
      <c r="G10" s="6">
        <v>857</v>
      </c>
      <c r="H10" s="6">
        <v>587</v>
      </c>
      <c r="I10" s="6">
        <v>417</v>
      </c>
      <c r="J10" s="6">
        <v>316</v>
      </c>
      <c r="K10" s="6">
        <v>221</v>
      </c>
      <c r="L10" s="6">
        <v>126</v>
      </c>
      <c r="M10" s="6">
        <v>182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2929</v>
      </c>
      <c r="E11" s="6">
        <v>2120</v>
      </c>
      <c r="F11" s="6">
        <v>313</v>
      </c>
      <c r="G11" s="6">
        <v>199</v>
      </c>
      <c r="H11" s="6">
        <v>128</v>
      </c>
      <c r="I11" s="6">
        <v>70</v>
      </c>
      <c r="J11" s="6">
        <v>42</v>
      </c>
      <c r="K11" s="6">
        <v>27</v>
      </c>
      <c r="L11" s="6">
        <v>11</v>
      </c>
      <c r="M11" s="6">
        <v>19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544683</v>
      </c>
      <c r="E12" s="6">
        <v>311732</v>
      </c>
      <c r="F12" s="6">
        <v>68276</v>
      </c>
      <c r="G12" s="6">
        <v>61265</v>
      </c>
      <c r="H12" s="6">
        <v>40309</v>
      </c>
      <c r="I12" s="6">
        <v>25030</v>
      </c>
      <c r="J12" s="6">
        <v>15821</v>
      </c>
      <c r="K12" s="6">
        <v>9637</v>
      </c>
      <c r="L12" s="6">
        <v>5597</v>
      </c>
      <c r="M12" s="6">
        <v>7016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232371</v>
      </c>
      <c r="E13" s="6">
        <v>71966</v>
      </c>
      <c r="F13" s="6">
        <v>40320</v>
      </c>
      <c r="G13" s="6">
        <v>41985</v>
      </c>
      <c r="H13" s="6">
        <v>29481</v>
      </c>
      <c r="I13" s="6">
        <v>18620</v>
      </c>
      <c r="J13" s="6">
        <v>12036</v>
      </c>
      <c r="K13" s="6">
        <v>7602</v>
      </c>
      <c r="L13" s="6">
        <v>4499</v>
      </c>
      <c r="M13" s="6">
        <v>5862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312312</v>
      </c>
      <c r="E14" s="6">
        <v>239766</v>
      </c>
      <c r="F14" s="6">
        <v>27956</v>
      </c>
      <c r="G14" s="6">
        <v>19280</v>
      </c>
      <c r="H14" s="6">
        <v>10828</v>
      </c>
      <c r="I14" s="6">
        <v>6410</v>
      </c>
      <c r="J14" s="6">
        <v>3785</v>
      </c>
      <c r="K14" s="6">
        <v>2035</v>
      </c>
      <c r="L14" s="6">
        <v>1098</v>
      </c>
      <c r="M14" s="6">
        <v>1154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1204258</v>
      </c>
      <c r="E15" s="6">
        <v>552838</v>
      </c>
      <c r="F15" s="6">
        <v>161498</v>
      </c>
      <c r="G15" s="6">
        <v>172707</v>
      </c>
      <c r="H15" s="6">
        <v>126424</v>
      </c>
      <c r="I15" s="6">
        <v>79323</v>
      </c>
      <c r="J15" s="6">
        <v>48853</v>
      </c>
      <c r="K15" s="6">
        <v>28355</v>
      </c>
      <c r="L15" s="6">
        <v>15939</v>
      </c>
      <c r="M15" s="6">
        <v>18321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626992</v>
      </c>
      <c r="E16" s="6">
        <v>120910</v>
      </c>
      <c r="F16" s="6">
        <v>107285</v>
      </c>
      <c r="G16" s="6">
        <v>134528</v>
      </c>
      <c r="H16" s="6">
        <v>104365</v>
      </c>
      <c r="I16" s="6">
        <v>66101</v>
      </c>
      <c r="J16" s="6">
        <v>40823</v>
      </c>
      <c r="K16" s="6">
        <v>23831</v>
      </c>
      <c r="L16" s="6">
        <v>13455</v>
      </c>
      <c r="M16" s="6">
        <v>15694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577266</v>
      </c>
      <c r="E17" s="6">
        <v>431928</v>
      </c>
      <c r="F17" s="6">
        <v>54213</v>
      </c>
      <c r="G17" s="6">
        <v>38179</v>
      </c>
      <c r="H17" s="6">
        <v>22059</v>
      </c>
      <c r="I17" s="6">
        <v>13222</v>
      </c>
      <c r="J17" s="6">
        <v>8030</v>
      </c>
      <c r="K17" s="6">
        <v>4524</v>
      </c>
      <c r="L17" s="6">
        <v>2484</v>
      </c>
      <c r="M17" s="6">
        <v>2627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1634154</v>
      </c>
      <c r="E18" s="6">
        <v>595554</v>
      </c>
      <c r="F18" s="6">
        <v>211500</v>
      </c>
      <c r="G18" s="6">
        <v>261593</v>
      </c>
      <c r="H18" s="6">
        <v>216567</v>
      </c>
      <c r="I18" s="6">
        <v>146534</v>
      </c>
      <c r="J18" s="6">
        <v>90764</v>
      </c>
      <c r="K18" s="6">
        <v>51792</v>
      </c>
      <c r="L18" s="6">
        <v>28371</v>
      </c>
      <c r="M18" s="6">
        <v>31479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923367</v>
      </c>
      <c r="E19" s="6">
        <v>112048</v>
      </c>
      <c r="F19" s="6">
        <v>131091</v>
      </c>
      <c r="G19" s="6">
        <v>200974</v>
      </c>
      <c r="H19" s="6">
        <v>180687</v>
      </c>
      <c r="I19" s="6">
        <v>124832</v>
      </c>
      <c r="J19" s="6">
        <v>77508</v>
      </c>
      <c r="K19" s="6">
        <v>44466</v>
      </c>
      <c r="L19" s="6">
        <v>24458</v>
      </c>
      <c r="M19" s="6">
        <v>27303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710787</v>
      </c>
      <c r="E20" s="6">
        <v>483506</v>
      </c>
      <c r="F20" s="6">
        <v>80409</v>
      </c>
      <c r="G20" s="6">
        <v>60619</v>
      </c>
      <c r="H20" s="6">
        <v>35880</v>
      </c>
      <c r="I20" s="6">
        <v>21702</v>
      </c>
      <c r="J20" s="6">
        <v>13256</v>
      </c>
      <c r="K20" s="6">
        <v>7326</v>
      </c>
      <c r="L20" s="6">
        <v>3913</v>
      </c>
      <c r="M20" s="6">
        <v>4176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1297671</v>
      </c>
      <c r="E21" s="6">
        <v>387608</v>
      </c>
      <c r="F21" s="6">
        <v>156448</v>
      </c>
      <c r="G21" s="6">
        <v>213852</v>
      </c>
      <c r="H21" s="6">
        <v>197894</v>
      </c>
      <c r="I21" s="6">
        <v>143812</v>
      </c>
      <c r="J21" s="6">
        <v>91169</v>
      </c>
      <c r="K21" s="6">
        <v>51527</v>
      </c>
      <c r="L21" s="6">
        <v>27094</v>
      </c>
      <c r="M21" s="6">
        <v>28267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771715</v>
      </c>
      <c r="E22" s="6">
        <v>65412</v>
      </c>
      <c r="F22" s="6">
        <v>87804</v>
      </c>
      <c r="G22" s="6">
        <v>158583</v>
      </c>
      <c r="H22" s="6">
        <v>163988</v>
      </c>
      <c r="I22" s="6">
        <v>123449</v>
      </c>
      <c r="J22" s="6">
        <v>79055</v>
      </c>
      <c r="K22" s="6">
        <v>45012</v>
      </c>
      <c r="L22" s="6">
        <v>23674</v>
      </c>
      <c r="M22" s="6">
        <v>24738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525956</v>
      </c>
      <c r="E23" s="6">
        <v>322196</v>
      </c>
      <c r="F23" s="6">
        <v>68644</v>
      </c>
      <c r="G23" s="6">
        <v>55269</v>
      </c>
      <c r="H23" s="6">
        <v>33906</v>
      </c>
      <c r="I23" s="6">
        <v>20363</v>
      </c>
      <c r="J23" s="6">
        <v>12114</v>
      </c>
      <c r="K23" s="6">
        <v>6515</v>
      </c>
      <c r="L23" s="6">
        <v>3420</v>
      </c>
      <c r="M23" s="6">
        <v>3529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1998271</v>
      </c>
      <c r="E24" s="6">
        <v>612172</v>
      </c>
      <c r="F24" s="6">
        <v>244553</v>
      </c>
      <c r="G24" s="6">
        <v>332811</v>
      </c>
      <c r="H24" s="6">
        <v>310498</v>
      </c>
      <c r="I24" s="6">
        <v>224569</v>
      </c>
      <c r="J24" s="6">
        <v>135810</v>
      </c>
      <c r="K24" s="6">
        <v>72089</v>
      </c>
      <c r="L24" s="6">
        <v>34991</v>
      </c>
      <c r="M24" s="6">
        <v>30778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1102916</v>
      </c>
      <c r="E25" s="6">
        <v>84681</v>
      </c>
      <c r="F25" s="6">
        <v>117206</v>
      </c>
      <c r="G25" s="6">
        <v>229238</v>
      </c>
      <c r="H25" s="6">
        <v>249326</v>
      </c>
      <c r="I25" s="6">
        <v>188682</v>
      </c>
      <c r="J25" s="6">
        <v>115805</v>
      </c>
      <c r="K25" s="6">
        <v>61749</v>
      </c>
      <c r="L25" s="6">
        <v>29954</v>
      </c>
      <c r="M25" s="6">
        <v>26275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895355</v>
      </c>
      <c r="E26" s="6">
        <v>527491</v>
      </c>
      <c r="F26" s="6">
        <v>127347</v>
      </c>
      <c r="G26" s="6">
        <v>103573</v>
      </c>
      <c r="H26" s="6">
        <v>61172</v>
      </c>
      <c r="I26" s="6">
        <v>35887</v>
      </c>
      <c r="J26" s="6">
        <v>20005</v>
      </c>
      <c r="K26" s="6">
        <v>10340</v>
      </c>
      <c r="L26" s="6">
        <v>5037</v>
      </c>
      <c r="M26" s="6">
        <v>4503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1608569</v>
      </c>
      <c r="E27" s="6">
        <v>471594</v>
      </c>
      <c r="F27" s="6">
        <v>210361</v>
      </c>
      <c r="G27" s="6">
        <v>287489</v>
      </c>
      <c r="H27" s="6">
        <v>264744</v>
      </c>
      <c r="I27" s="6">
        <v>182364</v>
      </c>
      <c r="J27" s="6">
        <v>103055</v>
      </c>
      <c r="K27" s="6">
        <v>50033</v>
      </c>
      <c r="L27" s="6">
        <v>21897</v>
      </c>
      <c r="M27" s="6">
        <v>17032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894022</v>
      </c>
      <c r="E28" s="6">
        <v>71205</v>
      </c>
      <c r="F28" s="6">
        <v>99719</v>
      </c>
      <c r="G28" s="6">
        <v>195577</v>
      </c>
      <c r="H28" s="6">
        <v>211099</v>
      </c>
      <c r="I28" s="6">
        <v>153366</v>
      </c>
      <c r="J28" s="6">
        <v>87815</v>
      </c>
      <c r="K28" s="6">
        <v>42389</v>
      </c>
      <c r="L28" s="6">
        <v>18588</v>
      </c>
      <c r="M28" s="6">
        <v>14264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714547</v>
      </c>
      <c r="E29" s="6">
        <v>400389</v>
      </c>
      <c r="F29" s="6">
        <v>110642</v>
      </c>
      <c r="G29" s="6">
        <v>91912</v>
      </c>
      <c r="H29" s="6">
        <v>53645</v>
      </c>
      <c r="I29" s="6">
        <v>28998</v>
      </c>
      <c r="J29" s="6">
        <v>15240</v>
      </c>
      <c r="K29" s="6">
        <v>7644</v>
      </c>
      <c r="L29" s="6">
        <v>3309</v>
      </c>
      <c r="M29" s="6">
        <v>2768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2173226</v>
      </c>
      <c r="E30" s="6">
        <v>649708</v>
      </c>
      <c r="F30" s="6">
        <v>307482</v>
      </c>
      <c r="G30" s="6">
        <v>407629</v>
      </c>
      <c r="H30" s="6">
        <v>359216</v>
      </c>
      <c r="I30" s="6">
        <v>235012</v>
      </c>
      <c r="J30" s="6">
        <v>123162</v>
      </c>
      <c r="K30" s="6">
        <v>54664</v>
      </c>
      <c r="L30" s="6">
        <v>21711</v>
      </c>
      <c r="M30" s="6">
        <v>14642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1122442</v>
      </c>
      <c r="E31" s="6">
        <v>95034</v>
      </c>
      <c r="F31" s="6">
        <v>130167</v>
      </c>
      <c r="G31" s="6">
        <v>257866</v>
      </c>
      <c r="H31" s="6">
        <v>273296</v>
      </c>
      <c r="I31" s="6">
        <v>190612</v>
      </c>
      <c r="J31" s="6">
        <v>101324</v>
      </c>
      <c r="K31" s="6">
        <v>44882</v>
      </c>
      <c r="L31" s="6">
        <v>17591</v>
      </c>
      <c r="M31" s="6">
        <v>11670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1050784</v>
      </c>
      <c r="E32" s="6">
        <v>554674</v>
      </c>
      <c r="F32" s="6">
        <v>177315</v>
      </c>
      <c r="G32" s="6">
        <v>149763</v>
      </c>
      <c r="H32" s="6">
        <v>85920</v>
      </c>
      <c r="I32" s="6">
        <v>44400</v>
      </c>
      <c r="J32" s="6">
        <v>21838</v>
      </c>
      <c r="K32" s="6">
        <v>9782</v>
      </c>
      <c r="L32" s="6">
        <v>4120</v>
      </c>
      <c r="M32" s="6">
        <v>2972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1752022</v>
      </c>
      <c r="E33" s="6">
        <v>470150</v>
      </c>
      <c r="F33" s="6">
        <v>268129</v>
      </c>
      <c r="G33" s="6">
        <v>357884</v>
      </c>
      <c r="H33" s="6">
        <v>306739</v>
      </c>
      <c r="I33" s="6">
        <v>193103</v>
      </c>
      <c r="J33" s="6">
        <v>95091</v>
      </c>
      <c r="K33" s="6">
        <v>38401</v>
      </c>
      <c r="L33" s="6">
        <v>14363</v>
      </c>
      <c r="M33" s="6">
        <v>8162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882130</v>
      </c>
      <c r="E34" s="6">
        <v>77464</v>
      </c>
      <c r="F34" s="6">
        <v>104607</v>
      </c>
      <c r="G34" s="6">
        <v>208061</v>
      </c>
      <c r="H34" s="6">
        <v>219922</v>
      </c>
      <c r="I34" s="6">
        <v>149534</v>
      </c>
      <c r="J34" s="6">
        <v>75221</v>
      </c>
      <c r="K34" s="6">
        <v>30247</v>
      </c>
      <c r="L34" s="6">
        <v>11028</v>
      </c>
      <c r="M34" s="6">
        <v>6046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869892</v>
      </c>
      <c r="E35" s="6">
        <v>392686</v>
      </c>
      <c r="F35" s="6">
        <v>163522</v>
      </c>
      <c r="G35" s="6">
        <v>149823</v>
      </c>
      <c r="H35" s="6">
        <v>86817</v>
      </c>
      <c r="I35" s="6">
        <v>43569</v>
      </c>
      <c r="J35" s="6">
        <v>19870</v>
      </c>
      <c r="K35" s="6">
        <v>8154</v>
      </c>
      <c r="L35" s="6">
        <v>3335</v>
      </c>
      <c r="M35" s="6">
        <v>2116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1974512</v>
      </c>
      <c r="E36" s="6">
        <v>484290</v>
      </c>
      <c r="F36" s="6">
        <v>311700</v>
      </c>
      <c r="G36" s="6">
        <v>426142</v>
      </c>
      <c r="H36" s="6">
        <v>360011</v>
      </c>
      <c r="I36" s="6">
        <v>223298</v>
      </c>
      <c r="J36" s="6">
        <v>106375</v>
      </c>
      <c r="K36" s="6">
        <v>41337</v>
      </c>
      <c r="L36" s="6">
        <v>14209</v>
      </c>
      <c r="M36" s="6">
        <v>7150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951131</v>
      </c>
      <c r="E37" s="6">
        <v>86276</v>
      </c>
      <c r="F37" s="6">
        <v>111927</v>
      </c>
      <c r="G37" s="6">
        <v>225208</v>
      </c>
      <c r="H37" s="6">
        <v>239265</v>
      </c>
      <c r="I37" s="6">
        <v>162776</v>
      </c>
      <c r="J37" s="6">
        <v>79856</v>
      </c>
      <c r="K37" s="6">
        <v>30769</v>
      </c>
      <c r="L37" s="6">
        <v>10214</v>
      </c>
      <c r="M37" s="6">
        <v>4840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1023381</v>
      </c>
      <c r="E38" s="6">
        <v>398014</v>
      </c>
      <c r="F38" s="6">
        <v>199773</v>
      </c>
      <c r="G38" s="6">
        <v>200934</v>
      </c>
      <c r="H38" s="6">
        <v>120746</v>
      </c>
      <c r="I38" s="6">
        <v>60522</v>
      </c>
      <c r="J38" s="6">
        <v>26519</v>
      </c>
      <c r="K38" s="6">
        <v>10568</v>
      </c>
      <c r="L38" s="6">
        <v>3995</v>
      </c>
      <c r="M38" s="6">
        <v>2310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1284626</v>
      </c>
      <c r="E39" s="6">
        <v>267622</v>
      </c>
      <c r="F39" s="6">
        <v>197159</v>
      </c>
      <c r="G39" s="6">
        <v>286564</v>
      </c>
      <c r="H39" s="6">
        <v>250368</v>
      </c>
      <c r="I39" s="6">
        <v>160543</v>
      </c>
      <c r="J39" s="6">
        <v>77880</v>
      </c>
      <c r="K39" s="6">
        <v>29511</v>
      </c>
      <c r="L39" s="6">
        <v>10146</v>
      </c>
      <c r="M39" s="6">
        <v>4833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626942</v>
      </c>
      <c r="E40" s="6">
        <v>55485</v>
      </c>
      <c r="F40" s="6">
        <v>70090</v>
      </c>
      <c r="G40" s="6">
        <v>143927</v>
      </c>
      <c r="H40" s="6">
        <v>157579</v>
      </c>
      <c r="I40" s="6">
        <v>112014</v>
      </c>
      <c r="J40" s="6">
        <v>56251</v>
      </c>
      <c r="K40" s="6">
        <v>21350</v>
      </c>
      <c r="L40" s="6">
        <v>7083</v>
      </c>
      <c r="M40" s="6">
        <v>3163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657684</v>
      </c>
      <c r="E41" s="6">
        <v>212137</v>
      </c>
      <c r="F41" s="6">
        <v>127069</v>
      </c>
      <c r="G41" s="6">
        <v>142637</v>
      </c>
      <c r="H41" s="6">
        <v>92789</v>
      </c>
      <c r="I41" s="6">
        <v>48529</v>
      </c>
      <c r="J41" s="6">
        <v>21629</v>
      </c>
      <c r="K41" s="6">
        <v>8161</v>
      </c>
      <c r="L41" s="6">
        <v>3063</v>
      </c>
      <c r="M41" s="6">
        <v>1670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1083931</v>
      </c>
      <c r="E42" s="6">
        <v>190388</v>
      </c>
      <c r="F42" s="6">
        <v>156974</v>
      </c>
      <c r="G42" s="6">
        <v>244390</v>
      </c>
      <c r="H42" s="6">
        <v>224011</v>
      </c>
      <c r="I42" s="6">
        <v>149560</v>
      </c>
      <c r="J42" s="6">
        <v>74376</v>
      </c>
      <c r="K42" s="6">
        <v>29407</v>
      </c>
      <c r="L42" s="6">
        <v>10073</v>
      </c>
      <c r="M42" s="6">
        <v>4752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515579</v>
      </c>
      <c r="E43" s="6">
        <v>46259</v>
      </c>
      <c r="F43" s="6">
        <v>54174</v>
      </c>
      <c r="G43" s="6">
        <v>113363</v>
      </c>
      <c r="H43" s="6">
        <v>128717</v>
      </c>
      <c r="I43" s="6">
        <v>94972</v>
      </c>
      <c r="J43" s="6">
        <v>49189</v>
      </c>
      <c r="K43" s="6">
        <v>19511</v>
      </c>
      <c r="L43" s="6">
        <v>6570</v>
      </c>
      <c r="M43" s="6">
        <v>2824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568352</v>
      </c>
      <c r="E44" s="6">
        <v>144129</v>
      </c>
      <c r="F44" s="6">
        <v>102800</v>
      </c>
      <c r="G44" s="6">
        <v>131027</v>
      </c>
      <c r="H44" s="6">
        <v>95294</v>
      </c>
      <c r="I44" s="6">
        <v>54588</v>
      </c>
      <c r="J44" s="6">
        <v>25187</v>
      </c>
      <c r="K44" s="6">
        <v>9896</v>
      </c>
      <c r="L44" s="6">
        <v>3503</v>
      </c>
      <c r="M44" s="6">
        <v>1928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475537</v>
      </c>
      <c r="E45" s="6">
        <v>75365</v>
      </c>
      <c r="F45" s="6">
        <v>64464</v>
      </c>
      <c r="G45" s="6">
        <v>104820</v>
      </c>
      <c r="H45" s="6">
        <v>100948</v>
      </c>
      <c r="I45" s="6">
        <v>71118</v>
      </c>
      <c r="J45" s="6">
        <v>36534</v>
      </c>
      <c r="K45" s="6">
        <v>15074</v>
      </c>
      <c r="L45" s="6">
        <v>5058</v>
      </c>
      <c r="M45" s="6">
        <v>2156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228808</v>
      </c>
      <c r="E46" s="6">
        <v>21714</v>
      </c>
      <c r="F46" s="6">
        <v>23187</v>
      </c>
      <c r="G46" s="6">
        <v>47843</v>
      </c>
      <c r="H46" s="6">
        <v>55713</v>
      </c>
      <c r="I46" s="6">
        <v>43040</v>
      </c>
      <c r="J46" s="6">
        <v>23137</v>
      </c>
      <c r="K46" s="6">
        <v>9720</v>
      </c>
      <c r="L46" s="6">
        <v>3177</v>
      </c>
      <c r="M46" s="6">
        <v>1277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246729</v>
      </c>
      <c r="E47" s="6">
        <v>53651</v>
      </c>
      <c r="F47" s="6">
        <v>41277</v>
      </c>
      <c r="G47" s="6">
        <v>56977</v>
      </c>
      <c r="H47" s="6">
        <v>45235</v>
      </c>
      <c r="I47" s="6">
        <v>28078</v>
      </c>
      <c r="J47" s="6">
        <v>13397</v>
      </c>
      <c r="K47" s="6">
        <v>5354</v>
      </c>
      <c r="L47" s="6">
        <v>1881</v>
      </c>
      <c r="M47" s="6">
        <v>879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356715</v>
      </c>
      <c r="E48" s="6">
        <v>57027</v>
      </c>
      <c r="F48" s="6">
        <v>46226</v>
      </c>
      <c r="G48" s="6">
        <v>77588</v>
      </c>
      <c r="H48" s="6">
        <v>75295</v>
      </c>
      <c r="I48" s="6">
        <v>54660</v>
      </c>
      <c r="J48" s="6">
        <v>28746</v>
      </c>
      <c r="K48" s="6">
        <v>11617</v>
      </c>
      <c r="L48" s="6">
        <v>3828</v>
      </c>
      <c r="M48" s="6">
        <v>1728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164346</v>
      </c>
      <c r="E49" s="6">
        <v>17843</v>
      </c>
      <c r="F49" s="6">
        <v>16857</v>
      </c>
      <c r="G49" s="6">
        <v>33607</v>
      </c>
      <c r="H49" s="6">
        <v>38567</v>
      </c>
      <c r="I49" s="6">
        <v>30280</v>
      </c>
      <c r="J49" s="6">
        <v>16901</v>
      </c>
      <c r="K49" s="6">
        <v>6999</v>
      </c>
      <c r="L49" s="6">
        <v>2303</v>
      </c>
      <c r="M49" s="6">
        <v>989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192369</v>
      </c>
      <c r="E50" s="6">
        <v>39184</v>
      </c>
      <c r="F50" s="6">
        <v>29369</v>
      </c>
      <c r="G50" s="6">
        <v>43981</v>
      </c>
      <c r="H50" s="6">
        <v>36728</v>
      </c>
      <c r="I50" s="6">
        <v>24380</v>
      </c>
      <c r="J50" s="6">
        <v>11845</v>
      </c>
      <c r="K50" s="6">
        <v>4618</v>
      </c>
      <c r="L50" s="6">
        <v>1525</v>
      </c>
      <c r="M50" s="6">
        <v>739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107471</v>
      </c>
      <c r="E51" s="6">
        <v>23160</v>
      </c>
      <c r="F51" s="6">
        <v>14864</v>
      </c>
      <c r="G51" s="6">
        <v>22761</v>
      </c>
      <c r="H51" s="6">
        <v>20161</v>
      </c>
      <c r="I51" s="6">
        <v>14228</v>
      </c>
      <c r="J51" s="6">
        <v>7646</v>
      </c>
      <c r="K51" s="6">
        <v>3189</v>
      </c>
      <c r="L51" s="6">
        <v>1003</v>
      </c>
      <c r="M51" s="6">
        <v>459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44469</v>
      </c>
      <c r="E52" s="6">
        <v>6281</v>
      </c>
      <c r="F52" s="6">
        <v>5135</v>
      </c>
      <c r="G52" s="6">
        <v>9235</v>
      </c>
      <c r="H52" s="6">
        <v>9655</v>
      </c>
      <c r="I52" s="6">
        <v>7453</v>
      </c>
      <c r="J52" s="6">
        <v>4143</v>
      </c>
      <c r="K52" s="6">
        <v>1771</v>
      </c>
      <c r="L52" s="6">
        <v>554</v>
      </c>
      <c r="M52" s="6">
        <v>242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63002</v>
      </c>
      <c r="E53" s="6">
        <v>16879</v>
      </c>
      <c r="F53" s="6">
        <v>9729</v>
      </c>
      <c r="G53" s="6">
        <v>13526</v>
      </c>
      <c r="H53" s="6">
        <v>10506</v>
      </c>
      <c r="I53" s="6">
        <v>6775</v>
      </c>
      <c r="J53" s="6">
        <v>3503</v>
      </c>
      <c r="K53" s="6">
        <v>1418</v>
      </c>
      <c r="L53" s="6">
        <v>449</v>
      </c>
      <c r="M53" s="6">
        <v>217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0DA3-1703-4BB1-886C-DEAC82024CAE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70</v>
      </c>
      <c r="F3" s="5">
        <v>110</v>
      </c>
      <c r="G3" s="5">
        <v>120</v>
      </c>
      <c r="H3" s="5">
        <v>130</v>
      </c>
      <c r="I3" s="5">
        <v>140</v>
      </c>
      <c r="J3" s="5">
        <v>150</v>
      </c>
      <c r="K3" s="5">
        <v>160</v>
      </c>
      <c r="L3" s="5">
        <v>170</v>
      </c>
      <c r="M3" s="5">
        <v>180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110</v>
      </c>
      <c r="F4" s="5">
        <v>120</v>
      </c>
      <c r="G4" s="5">
        <v>130</v>
      </c>
      <c r="H4" s="5">
        <v>140</v>
      </c>
      <c r="I4" s="5">
        <v>150</v>
      </c>
      <c r="J4" s="5">
        <v>160</v>
      </c>
      <c r="K4" s="5">
        <v>170</v>
      </c>
      <c r="L4" s="5">
        <v>180</v>
      </c>
      <c r="M4" s="5">
        <v>220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91</v>
      </c>
      <c r="F5" s="4" t="s">
        <v>92</v>
      </c>
      <c r="G5" s="4" t="s">
        <v>93</v>
      </c>
      <c r="H5" s="4" t="s">
        <v>94</v>
      </c>
      <c r="I5" s="4" t="s">
        <v>95</v>
      </c>
      <c r="J5" s="4" t="s">
        <v>96</v>
      </c>
      <c r="K5" s="4" t="s">
        <v>97</v>
      </c>
      <c r="L5" s="4" t="s">
        <v>98</v>
      </c>
      <c r="M5" s="4" t="s">
        <v>99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17516901</v>
      </c>
      <c r="E6" s="6">
        <v>2918325</v>
      </c>
      <c r="F6" s="6">
        <v>4667566</v>
      </c>
      <c r="G6" s="6">
        <v>4330052</v>
      </c>
      <c r="H6" s="6">
        <v>3650104</v>
      </c>
      <c r="I6" s="6">
        <v>1181671</v>
      </c>
      <c r="J6" s="6">
        <v>512297</v>
      </c>
      <c r="K6" s="6">
        <v>171935</v>
      </c>
      <c r="L6" s="6">
        <v>52553</v>
      </c>
      <c r="M6" s="6">
        <v>32398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9093244</v>
      </c>
      <c r="E7" s="6">
        <v>905632</v>
      </c>
      <c r="F7" s="6">
        <v>2310476</v>
      </c>
      <c r="G7" s="6">
        <v>2499485</v>
      </c>
      <c r="H7" s="6">
        <v>2258227</v>
      </c>
      <c r="I7" s="6">
        <v>688410</v>
      </c>
      <c r="J7" s="6">
        <v>289709</v>
      </c>
      <c r="K7" s="6">
        <v>95143</v>
      </c>
      <c r="L7" s="6">
        <v>28614</v>
      </c>
      <c r="M7" s="6">
        <v>17548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8423657</v>
      </c>
      <c r="E8" s="6">
        <v>2012693</v>
      </c>
      <c r="F8" s="6">
        <v>2357090</v>
      </c>
      <c r="G8" s="6">
        <v>1830567</v>
      </c>
      <c r="H8" s="6">
        <v>1391877</v>
      </c>
      <c r="I8" s="6">
        <v>493261</v>
      </c>
      <c r="J8" s="6">
        <v>222588</v>
      </c>
      <c r="K8" s="6">
        <v>76792</v>
      </c>
      <c r="L8" s="6">
        <v>23939</v>
      </c>
      <c r="M8" s="6">
        <v>14850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8655</v>
      </c>
      <c r="E9" s="6">
        <v>2160</v>
      </c>
      <c r="F9" s="6">
        <v>3156</v>
      </c>
      <c r="G9" s="6">
        <v>1910</v>
      </c>
      <c r="H9" s="6">
        <v>1203</v>
      </c>
      <c r="I9" s="6">
        <v>152</v>
      </c>
      <c r="J9" s="6">
        <v>52</v>
      </c>
      <c r="K9" s="6">
        <v>14</v>
      </c>
      <c r="L9" s="6">
        <v>6</v>
      </c>
      <c r="M9" s="6">
        <v>2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5725</v>
      </c>
      <c r="E10" s="6">
        <v>909</v>
      </c>
      <c r="F10" s="6">
        <v>2099</v>
      </c>
      <c r="G10" s="6">
        <v>1514</v>
      </c>
      <c r="H10" s="6">
        <v>1014</v>
      </c>
      <c r="I10" s="6">
        <v>122</v>
      </c>
      <c r="J10" s="6">
        <v>49</v>
      </c>
      <c r="K10" s="6">
        <v>12</v>
      </c>
      <c r="L10" s="6">
        <v>6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1251</v>
      </c>
      <c r="F11" s="6">
        <v>1057</v>
      </c>
      <c r="G11" s="6">
        <v>396</v>
      </c>
      <c r="H11" s="6">
        <v>189</v>
      </c>
      <c r="I11" s="6">
        <v>30</v>
      </c>
      <c r="J11" s="6">
        <v>3</v>
      </c>
      <c r="K11" s="6">
        <v>2</v>
      </c>
      <c r="L11" s="6">
        <v>0</v>
      </c>
      <c r="M11" s="6">
        <v>2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544717</v>
      </c>
      <c r="E12" s="6">
        <v>172730</v>
      </c>
      <c r="F12" s="6">
        <v>190631</v>
      </c>
      <c r="G12" s="6">
        <v>111165</v>
      </c>
      <c r="H12" s="6">
        <v>57904</v>
      </c>
      <c r="I12" s="6">
        <v>8344</v>
      </c>
      <c r="J12" s="6">
        <v>2858</v>
      </c>
      <c r="K12" s="6">
        <v>782</v>
      </c>
      <c r="L12" s="6">
        <v>211</v>
      </c>
      <c r="M12" s="6">
        <v>92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232358</v>
      </c>
      <c r="E13" s="6">
        <v>36784</v>
      </c>
      <c r="F13" s="6">
        <v>79618</v>
      </c>
      <c r="G13" s="6">
        <v>64690</v>
      </c>
      <c r="H13" s="6">
        <v>41875</v>
      </c>
      <c r="I13" s="6">
        <v>6349</v>
      </c>
      <c r="J13" s="6">
        <v>2237</v>
      </c>
      <c r="K13" s="6">
        <v>577</v>
      </c>
      <c r="L13" s="6">
        <v>163</v>
      </c>
      <c r="M13" s="6">
        <v>65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312359</v>
      </c>
      <c r="E14" s="6">
        <v>135946</v>
      </c>
      <c r="F14" s="6">
        <v>111013</v>
      </c>
      <c r="G14" s="6">
        <v>46475</v>
      </c>
      <c r="H14" s="6">
        <v>16029</v>
      </c>
      <c r="I14" s="6">
        <v>1995</v>
      </c>
      <c r="J14" s="6">
        <v>621</v>
      </c>
      <c r="K14" s="6">
        <v>205</v>
      </c>
      <c r="L14" s="6">
        <v>48</v>
      </c>
      <c r="M14" s="6">
        <v>27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1205411</v>
      </c>
      <c r="E15" s="6">
        <v>322987</v>
      </c>
      <c r="F15" s="6">
        <v>414760</v>
      </c>
      <c r="G15" s="6">
        <v>266888</v>
      </c>
      <c r="H15" s="6">
        <v>161447</v>
      </c>
      <c r="I15" s="6">
        <v>25880</v>
      </c>
      <c r="J15" s="6">
        <v>9231</v>
      </c>
      <c r="K15" s="6">
        <v>2874</v>
      </c>
      <c r="L15" s="6">
        <v>786</v>
      </c>
      <c r="M15" s="6">
        <v>558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626997</v>
      </c>
      <c r="E16" s="6">
        <v>80863</v>
      </c>
      <c r="F16" s="6">
        <v>207835</v>
      </c>
      <c r="G16" s="6">
        <v>178172</v>
      </c>
      <c r="H16" s="6">
        <v>128570</v>
      </c>
      <c r="I16" s="6">
        <v>20855</v>
      </c>
      <c r="J16" s="6">
        <v>7458</v>
      </c>
      <c r="K16" s="6">
        <v>2259</v>
      </c>
      <c r="L16" s="6">
        <v>597</v>
      </c>
      <c r="M16" s="6">
        <v>388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578414</v>
      </c>
      <c r="E17" s="6">
        <v>242124</v>
      </c>
      <c r="F17" s="6">
        <v>206925</v>
      </c>
      <c r="G17" s="6">
        <v>88716</v>
      </c>
      <c r="H17" s="6">
        <v>32877</v>
      </c>
      <c r="I17" s="6">
        <v>5025</v>
      </c>
      <c r="J17" s="6">
        <v>1773</v>
      </c>
      <c r="K17" s="6">
        <v>615</v>
      </c>
      <c r="L17" s="6">
        <v>189</v>
      </c>
      <c r="M17" s="6">
        <v>170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1640842</v>
      </c>
      <c r="E18" s="6">
        <v>402095</v>
      </c>
      <c r="F18" s="6">
        <v>534511</v>
      </c>
      <c r="G18" s="6">
        <v>377547</v>
      </c>
      <c r="H18" s="6">
        <v>248822</v>
      </c>
      <c r="I18" s="6">
        <v>48947</v>
      </c>
      <c r="J18" s="6">
        <v>18872</v>
      </c>
      <c r="K18" s="6">
        <v>6457</v>
      </c>
      <c r="L18" s="6">
        <v>2089</v>
      </c>
      <c r="M18" s="6">
        <v>1502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923379</v>
      </c>
      <c r="E19" s="6">
        <v>109440</v>
      </c>
      <c r="F19" s="6">
        <v>286200</v>
      </c>
      <c r="G19" s="6">
        <v>262942</v>
      </c>
      <c r="H19" s="6">
        <v>201463</v>
      </c>
      <c r="I19" s="6">
        <v>39963</v>
      </c>
      <c r="J19" s="6">
        <v>15444</v>
      </c>
      <c r="K19" s="6">
        <v>5154</v>
      </c>
      <c r="L19" s="6">
        <v>1638</v>
      </c>
      <c r="M19" s="6">
        <v>1135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717463</v>
      </c>
      <c r="E20" s="6">
        <v>292655</v>
      </c>
      <c r="F20" s="6">
        <v>248311</v>
      </c>
      <c r="G20" s="6">
        <v>114605</v>
      </c>
      <c r="H20" s="6">
        <v>47359</v>
      </c>
      <c r="I20" s="6">
        <v>8984</v>
      </c>
      <c r="J20" s="6">
        <v>3428</v>
      </c>
      <c r="K20" s="6">
        <v>1303</v>
      </c>
      <c r="L20" s="6">
        <v>451</v>
      </c>
      <c r="M20" s="6">
        <v>367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1300971</v>
      </c>
      <c r="E21" s="6">
        <v>272521</v>
      </c>
      <c r="F21" s="6">
        <v>400171</v>
      </c>
      <c r="G21" s="6">
        <v>314660</v>
      </c>
      <c r="H21" s="6">
        <v>229488</v>
      </c>
      <c r="I21" s="6">
        <v>51164</v>
      </c>
      <c r="J21" s="6">
        <v>20940</v>
      </c>
      <c r="K21" s="6">
        <v>7653</v>
      </c>
      <c r="L21" s="6">
        <v>2414</v>
      </c>
      <c r="M21" s="6">
        <v>1960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771723</v>
      </c>
      <c r="E22" s="6">
        <v>78472</v>
      </c>
      <c r="F22" s="6">
        <v>220045</v>
      </c>
      <c r="G22" s="6">
        <v>220860</v>
      </c>
      <c r="H22" s="6">
        <v>184692</v>
      </c>
      <c r="I22" s="6">
        <v>41521</v>
      </c>
      <c r="J22" s="6">
        <v>16892</v>
      </c>
      <c r="K22" s="6">
        <v>5985</v>
      </c>
      <c r="L22" s="6">
        <v>1839</v>
      </c>
      <c r="M22" s="6">
        <v>1417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529248</v>
      </c>
      <c r="E23" s="6">
        <v>194049</v>
      </c>
      <c r="F23" s="6">
        <v>180126</v>
      </c>
      <c r="G23" s="6">
        <v>93800</v>
      </c>
      <c r="H23" s="6">
        <v>44796</v>
      </c>
      <c r="I23" s="6">
        <v>9643</v>
      </c>
      <c r="J23" s="6">
        <v>4048</v>
      </c>
      <c r="K23" s="6">
        <v>1668</v>
      </c>
      <c r="L23" s="6">
        <v>575</v>
      </c>
      <c r="M23" s="6">
        <v>543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1998889</v>
      </c>
      <c r="E24" s="6">
        <v>398964</v>
      </c>
      <c r="F24" s="6">
        <v>592541</v>
      </c>
      <c r="G24" s="6">
        <v>495650</v>
      </c>
      <c r="H24" s="6">
        <v>361937</v>
      </c>
      <c r="I24" s="6">
        <v>93412</v>
      </c>
      <c r="J24" s="6">
        <v>36681</v>
      </c>
      <c r="K24" s="6">
        <v>12595</v>
      </c>
      <c r="L24" s="6">
        <v>4023</v>
      </c>
      <c r="M24" s="6">
        <v>3086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1102936</v>
      </c>
      <c r="E25" s="6">
        <v>111272</v>
      </c>
      <c r="F25" s="6">
        <v>297935</v>
      </c>
      <c r="G25" s="6">
        <v>316995</v>
      </c>
      <c r="H25" s="6">
        <v>265734</v>
      </c>
      <c r="I25" s="6">
        <v>69738</v>
      </c>
      <c r="J25" s="6">
        <v>27324</v>
      </c>
      <c r="K25" s="6">
        <v>9078</v>
      </c>
      <c r="L25" s="6">
        <v>2835</v>
      </c>
      <c r="M25" s="6">
        <v>2025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895953</v>
      </c>
      <c r="E26" s="6">
        <v>287692</v>
      </c>
      <c r="F26" s="6">
        <v>294606</v>
      </c>
      <c r="G26" s="6">
        <v>178655</v>
      </c>
      <c r="H26" s="6">
        <v>96203</v>
      </c>
      <c r="I26" s="6">
        <v>23674</v>
      </c>
      <c r="J26" s="6">
        <v>9357</v>
      </c>
      <c r="K26" s="6">
        <v>3517</v>
      </c>
      <c r="L26" s="6">
        <v>1188</v>
      </c>
      <c r="M26" s="6">
        <v>1061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1608620</v>
      </c>
      <c r="E27" s="6">
        <v>277575</v>
      </c>
      <c r="F27" s="6">
        <v>458653</v>
      </c>
      <c r="G27" s="6">
        <v>412373</v>
      </c>
      <c r="H27" s="6">
        <v>320117</v>
      </c>
      <c r="I27" s="6">
        <v>86767</v>
      </c>
      <c r="J27" s="6">
        <v>34823</v>
      </c>
      <c r="K27" s="6">
        <v>11984</v>
      </c>
      <c r="L27" s="6">
        <v>3734</v>
      </c>
      <c r="M27" s="6">
        <v>2594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894051</v>
      </c>
      <c r="E28" s="6">
        <v>89345</v>
      </c>
      <c r="F28" s="6">
        <v>234887</v>
      </c>
      <c r="G28" s="6">
        <v>253557</v>
      </c>
      <c r="H28" s="6">
        <v>220513</v>
      </c>
      <c r="I28" s="6">
        <v>60221</v>
      </c>
      <c r="J28" s="6">
        <v>23621</v>
      </c>
      <c r="K28" s="6">
        <v>7894</v>
      </c>
      <c r="L28" s="6">
        <v>2413</v>
      </c>
      <c r="M28" s="6">
        <v>1600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714569</v>
      </c>
      <c r="E29" s="6">
        <v>188230</v>
      </c>
      <c r="F29" s="6">
        <v>223766</v>
      </c>
      <c r="G29" s="6">
        <v>158816</v>
      </c>
      <c r="H29" s="6">
        <v>99604</v>
      </c>
      <c r="I29" s="6">
        <v>26546</v>
      </c>
      <c r="J29" s="6">
        <v>11202</v>
      </c>
      <c r="K29" s="6">
        <v>4090</v>
      </c>
      <c r="L29" s="6">
        <v>1321</v>
      </c>
      <c r="M29" s="6">
        <v>994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2173263</v>
      </c>
      <c r="E30" s="6">
        <v>346797</v>
      </c>
      <c r="F30" s="6">
        <v>589562</v>
      </c>
      <c r="G30" s="6">
        <v>563781</v>
      </c>
      <c r="H30" s="6">
        <v>456421</v>
      </c>
      <c r="I30" s="6">
        <v>135045</v>
      </c>
      <c r="J30" s="6">
        <v>54312</v>
      </c>
      <c r="K30" s="6">
        <v>17991</v>
      </c>
      <c r="L30" s="6">
        <v>5623</v>
      </c>
      <c r="M30" s="6">
        <v>3731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1122468</v>
      </c>
      <c r="E31" s="6">
        <v>114868</v>
      </c>
      <c r="F31" s="6">
        <v>284116</v>
      </c>
      <c r="G31" s="6">
        <v>313589</v>
      </c>
      <c r="H31" s="6">
        <v>278322</v>
      </c>
      <c r="I31" s="6">
        <v>83041</v>
      </c>
      <c r="J31" s="6">
        <v>32754</v>
      </c>
      <c r="K31" s="6">
        <v>10509</v>
      </c>
      <c r="L31" s="6">
        <v>3163</v>
      </c>
      <c r="M31" s="6">
        <v>2106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1050795</v>
      </c>
      <c r="E32" s="6">
        <v>231929</v>
      </c>
      <c r="F32" s="6">
        <v>305446</v>
      </c>
      <c r="G32" s="6">
        <v>250192</v>
      </c>
      <c r="H32" s="6">
        <v>178099</v>
      </c>
      <c r="I32" s="6">
        <v>52004</v>
      </c>
      <c r="J32" s="6">
        <v>21558</v>
      </c>
      <c r="K32" s="6">
        <v>7482</v>
      </c>
      <c r="L32" s="6">
        <v>2460</v>
      </c>
      <c r="M32" s="6">
        <v>1625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1752067</v>
      </c>
      <c r="E33" s="6">
        <v>241379</v>
      </c>
      <c r="F33" s="6">
        <v>447955</v>
      </c>
      <c r="G33" s="6">
        <v>458327</v>
      </c>
      <c r="H33" s="6">
        <v>403950</v>
      </c>
      <c r="I33" s="6">
        <v>124502</v>
      </c>
      <c r="J33" s="6">
        <v>51460</v>
      </c>
      <c r="K33" s="6">
        <v>16621</v>
      </c>
      <c r="L33" s="6">
        <v>4855</v>
      </c>
      <c r="M33" s="6">
        <v>3018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882160</v>
      </c>
      <c r="E34" s="6">
        <v>84490</v>
      </c>
      <c r="F34" s="6">
        <v>211026</v>
      </c>
      <c r="G34" s="6">
        <v>240062</v>
      </c>
      <c r="H34" s="6">
        <v>230769</v>
      </c>
      <c r="I34" s="6">
        <v>71637</v>
      </c>
      <c r="J34" s="6">
        <v>29778</v>
      </c>
      <c r="K34" s="6">
        <v>9674</v>
      </c>
      <c r="L34" s="6">
        <v>2916</v>
      </c>
      <c r="M34" s="6">
        <v>1808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869907</v>
      </c>
      <c r="E35" s="6">
        <v>156889</v>
      </c>
      <c r="F35" s="6">
        <v>236929</v>
      </c>
      <c r="G35" s="6">
        <v>218265</v>
      </c>
      <c r="H35" s="6">
        <v>173181</v>
      </c>
      <c r="I35" s="6">
        <v>52865</v>
      </c>
      <c r="J35" s="6">
        <v>21682</v>
      </c>
      <c r="K35" s="6">
        <v>6947</v>
      </c>
      <c r="L35" s="6">
        <v>1939</v>
      </c>
      <c r="M35" s="6">
        <v>1210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1974563</v>
      </c>
      <c r="E36" s="6">
        <v>228572</v>
      </c>
      <c r="F36" s="6">
        <v>452692</v>
      </c>
      <c r="G36" s="6">
        <v>517602</v>
      </c>
      <c r="H36" s="6">
        <v>494906</v>
      </c>
      <c r="I36" s="6">
        <v>174732</v>
      </c>
      <c r="J36" s="6">
        <v>73154</v>
      </c>
      <c r="K36" s="6">
        <v>22747</v>
      </c>
      <c r="L36" s="6">
        <v>6461</v>
      </c>
      <c r="M36" s="6">
        <v>3697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951165</v>
      </c>
      <c r="E37" s="6">
        <v>85135</v>
      </c>
      <c r="F37" s="6">
        <v>206274</v>
      </c>
      <c r="G37" s="6">
        <v>254011</v>
      </c>
      <c r="H37" s="6">
        <v>258306</v>
      </c>
      <c r="I37" s="6">
        <v>91700</v>
      </c>
      <c r="J37" s="6">
        <v>38317</v>
      </c>
      <c r="K37" s="6">
        <v>11981</v>
      </c>
      <c r="L37" s="6">
        <v>3418</v>
      </c>
      <c r="M37" s="6">
        <v>2023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1023398</v>
      </c>
      <c r="E38" s="6">
        <v>143437</v>
      </c>
      <c r="F38" s="6">
        <v>246418</v>
      </c>
      <c r="G38" s="6">
        <v>263591</v>
      </c>
      <c r="H38" s="6">
        <v>236600</v>
      </c>
      <c r="I38" s="6">
        <v>83032</v>
      </c>
      <c r="J38" s="6">
        <v>34837</v>
      </c>
      <c r="K38" s="6">
        <v>10766</v>
      </c>
      <c r="L38" s="6">
        <v>3043</v>
      </c>
      <c r="M38" s="6">
        <v>1674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1284670</v>
      </c>
      <c r="E39" s="6">
        <v>118031</v>
      </c>
      <c r="F39" s="6">
        <v>258947</v>
      </c>
      <c r="G39" s="6">
        <v>332161</v>
      </c>
      <c r="H39" s="6">
        <v>348487</v>
      </c>
      <c r="I39" s="6">
        <v>138229</v>
      </c>
      <c r="J39" s="6">
        <v>61212</v>
      </c>
      <c r="K39" s="6">
        <v>19202</v>
      </c>
      <c r="L39" s="6">
        <v>5557</v>
      </c>
      <c r="M39" s="6">
        <v>2844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626967</v>
      </c>
      <c r="E40" s="6">
        <v>49543</v>
      </c>
      <c r="F40" s="6">
        <v>123078</v>
      </c>
      <c r="G40" s="6">
        <v>163974</v>
      </c>
      <c r="H40" s="6">
        <v>177746</v>
      </c>
      <c r="I40" s="6">
        <v>69089</v>
      </c>
      <c r="J40" s="6">
        <v>30141</v>
      </c>
      <c r="K40" s="6">
        <v>9366</v>
      </c>
      <c r="L40" s="6">
        <v>2687</v>
      </c>
      <c r="M40" s="6">
        <v>1343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657703</v>
      </c>
      <c r="E41" s="6">
        <v>68488</v>
      </c>
      <c r="F41" s="6">
        <v>135869</v>
      </c>
      <c r="G41" s="6">
        <v>168187</v>
      </c>
      <c r="H41" s="6">
        <v>170741</v>
      </c>
      <c r="I41" s="6">
        <v>69140</v>
      </c>
      <c r="J41" s="6">
        <v>31071</v>
      </c>
      <c r="K41" s="6">
        <v>9836</v>
      </c>
      <c r="L41" s="6">
        <v>2870</v>
      </c>
      <c r="M41" s="6">
        <v>1501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1083986</v>
      </c>
      <c r="E42" s="6">
        <v>79099</v>
      </c>
      <c r="F42" s="6">
        <v>187654</v>
      </c>
      <c r="G42" s="6">
        <v>267388</v>
      </c>
      <c r="H42" s="6">
        <v>304932</v>
      </c>
      <c r="I42" s="6">
        <v>144560</v>
      </c>
      <c r="J42" s="6">
        <v>68188</v>
      </c>
      <c r="K42" s="6">
        <v>22212</v>
      </c>
      <c r="L42" s="6">
        <v>6567</v>
      </c>
      <c r="M42" s="6">
        <v>3386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515604</v>
      </c>
      <c r="E43" s="6">
        <v>36743</v>
      </c>
      <c r="F43" s="6">
        <v>90457</v>
      </c>
      <c r="G43" s="6">
        <v>128882</v>
      </c>
      <c r="H43" s="6">
        <v>146971</v>
      </c>
      <c r="I43" s="6">
        <v>67328</v>
      </c>
      <c r="J43" s="6">
        <v>30954</v>
      </c>
      <c r="K43" s="6">
        <v>10011</v>
      </c>
      <c r="L43" s="6">
        <v>2837</v>
      </c>
      <c r="M43" s="6">
        <v>1421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568382</v>
      </c>
      <c r="E44" s="6">
        <v>42356</v>
      </c>
      <c r="F44" s="6">
        <v>97197</v>
      </c>
      <c r="G44" s="6">
        <v>138506</v>
      </c>
      <c r="H44" s="6">
        <v>157961</v>
      </c>
      <c r="I44" s="6">
        <v>77232</v>
      </c>
      <c r="J44" s="6">
        <v>37234</v>
      </c>
      <c r="K44" s="6">
        <v>12201</v>
      </c>
      <c r="L44" s="6">
        <v>3730</v>
      </c>
      <c r="M44" s="6">
        <v>1965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475593</v>
      </c>
      <c r="E45" s="6">
        <v>28018</v>
      </c>
      <c r="F45" s="6">
        <v>71221</v>
      </c>
      <c r="G45" s="6">
        <v>109417</v>
      </c>
      <c r="H45" s="6">
        <v>136138</v>
      </c>
      <c r="I45" s="6">
        <v>73403</v>
      </c>
      <c r="J45" s="6">
        <v>37804</v>
      </c>
      <c r="K45" s="6">
        <v>13179</v>
      </c>
      <c r="L45" s="6">
        <v>4116</v>
      </c>
      <c r="M45" s="6">
        <v>2297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228820</v>
      </c>
      <c r="E46" s="6">
        <v>14417</v>
      </c>
      <c r="F46" s="6">
        <v>35963</v>
      </c>
      <c r="G46" s="6">
        <v>54063</v>
      </c>
      <c r="H46" s="6">
        <v>65552</v>
      </c>
      <c r="I46" s="6">
        <v>33761</v>
      </c>
      <c r="J46" s="6">
        <v>16768</v>
      </c>
      <c r="K46" s="6">
        <v>5680</v>
      </c>
      <c r="L46" s="6">
        <v>1728</v>
      </c>
      <c r="M46" s="6">
        <v>888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246773</v>
      </c>
      <c r="E47" s="6">
        <v>13601</v>
      </c>
      <c r="F47" s="6">
        <v>35258</v>
      </c>
      <c r="G47" s="6">
        <v>55354</v>
      </c>
      <c r="H47" s="6">
        <v>70586</v>
      </c>
      <c r="I47" s="6">
        <v>39642</v>
      </c>
      <c r="J47" s="6">
        <v>21036</v>
      </c>
      <c r="K47" s="6">
        <v>7499</v>
      </c>
      <c r="L47" s="6">
        <v>2388</v>
      </c>
      <c r="M47" s="6">
        <v>1409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356875</v>
      </c>
      <c r="E48" s="6">
        <v>19473</v>
      </c>
      <c r="F48" s="6">
        <v>48858</v>
      </c>
      <c r="G48" s="6">
        <v>77567</v>
      </c>
      <c r="H48" s="6">
        <v>97788</v>
      </c>
      <c r="I48" s="6">
        <v>59800</v>
      </c>
      <c r="J48" s="6">
        <v>33037</v>
      </c>
      <c r="K48" s="6">
        <v>13280</v>
      </c>
      <c r="L48" s="6">
        <v>4487</v>
      </c>
      <c r="M48" s="6">
        <v>2585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164378</v>
      </c>
      <c r="E49" s="6">
        <v>10208</v>
      </c>
      <c r="F49" s="6">
        <v>24088</v>
      </c>
      <c r="G49" s="6">
        <v>36582</v>
      </c>
      <c r="H49" s="6">
        <v>45270</v>
      </c>
      <c r="I49" s="6">
        <v>26162</v>
      </c>
      <c r="J49" s="6">
        <v>14032</v>
      </c>
      <c r="K49" s="6">
        <v>5320</v>
      </c>
      <c r="L49" s="6">
        <v>1759</v>
      </c>
      <c r="M49" s="6">
        <v>957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192497</v>
      </c>
      <c r="E50" s="6">
        <v>9265</v>
      </c>
      <c r="F50" s="6">
        <v>24770</v>
      </c>
      <c r="G50" s="6">
        <v>40985</v>
      </c>
      <c r="H50" s="6">
        <v>52518</v>
      </c>
      <c r="I50" s="6">
        <v>33638</v>
      </c>
      <c r="J50" s="6">
        <v>19005</v>
      </c>
      <c r="K50" s="6">
        <v>7960</v>
      </c>
      <c r="L50" s="6">
        <v>2728</v>
      </c>
      <c r="M50" s="6">
        <v>1628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107779</v>
      </c>
      <c r="E51" s="6">
        <v>7924</v>
      </c>
      <c r="F51" s="6">
        <v>16254</v>
      </c>
      <c r="G51" s="6">
        <v>23616</v>
      </c>
      <c r="H51" s="6">
        <v>26564</v>
      </c>
      <c r="I51" s="6">
        <v>16734</v>
      </c>
      <c r="J51" s="6">
        <v>9673</v>
      </c>
      <c r="K51" s="6">
        <v>4344</v>
      </c>
      <c r="L51" s="6">
        <v>1624</v>
      </c>
      <c r="M51" s="6">
        <v>1046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44513</v>
      </c>
      <c r="E52" s="6">
        <v>3143</v>
      </c>
      <c r="F52" s="6">
        <v>6855</v>
      </c>
      <c r="G52" s="6">
        <v>9592</v>
      </c>
      <c r="H52" s="6">
        <v>11430</v>
      </c>
      <c r="I52" s="6">
        <v>6923</v>
      </c>
      <c r="J52" s="6">
        <v>3940</v>
      </c>
      <c r="K52" s="6">
        <v>1643</v>
      </c>
      <c r="L52" s="6">
        <v>615</v>
      </c>
      <c r="M52" s="6">
        <v>372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63266</v>
      </c>
      <c r="E53" s="6">
        <v>4781</v>
      </c>
      <c r="F53" s="6">
        <v>9399</v>
      </c>
      <c r="G53" s="6">
        <v>14024</v>
      </c>
      <c r="H53" s="6">
        <v>15134</v>
      </c>
      <c r="I53" s="6">
        <v>9811</v>
      </c>
      <c r="J53" s="6">
        <v>5733</v>
      </c>
      <c r="K53" s="6">
        <v>2701</v>
      </c>
      <c r="L53" s="6">
        <v>1009</v>
      </c>
      <c r="M53" s="6">
        <v>674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84ADB-8BC8-4FC1-8C8C-92EF19C99B9D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40</v>
      </c>
      <c r="F3" s="5">
        <v>70</v>
      </c>
      <c r="G3" s="5">
        <v>80</v>
      </c>
      <c r="H3" s="5">
        <v>90</v>
      </c>
      <c r="I3" s="5">
        <v>100</v>
      </c>
      <c r="J3" s="5">
        <v>110</v>
      </c>
      <c r="K3" s="5">
        <v>120</v>
      </c>
      <c r="L3" s="5">
        <v>1000000000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70</v>
      </c>
      <c r="F4" s="5">
        <v>80</v>
      </c>
      <c r="G4" s="5">
        <v>90</v>
      </c>
      <c r="H4" s="5">
        <v>100</v>
      </c>
      <c r="I4" s="5">
        <v>110</v>
      </c>
      <c r="J4" s="5">
        <v>120</v>
      </c>
      <c r="K4" s="5">
        <v>150</v>
      </c>
      <c r="L4" s="5">
        <v>2000000000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101</v>
      </c>
      <c r="F5" s="4" t="s">
        <v>102</v>
      </c>
      <c r="G5" s="4" t="s">
        <v>103</v>
      </c>
      <c r="H5" s="4" t="s">
        <v>104</v>
      </c>
      <c r="I5" s="4" t="s">
        <v>105</v>
      </c>
      <c r="J5" s="4" t="s">
        <v>92</v>
      </c>
      <c r="K5" s="4" t="s">
        <v>106</v>
      </c>
      <c r="L5" s="4" t="s">
        <v>13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17516901</v>
      </c>
      <c r="E6" s="6">
        <v>4862573</v>
      </c>
      <c r="F6" s="6">
        <v>6559305</v>
      </c>
      <c r="G6" s="6">
        <v>4721309</v>
      </c>
      <c r="H6" s="6">
        <v>1057805</v>
      </c>
      <c r="I6" s="6">
        <v>250654</v>
      </c>
      <c r="J6" s="6">
        <v>50054</v>
      </c>
      <c r="K6" s="6">
        <v>15201</v>
      </c>
      <c r="L6" s="6">
        <v>0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9093244</v>
      </c>
      <c r="E7" s="6">
        <v>1786863</v>
      </c>
      <c r="F7" s="6">
        <v>3444689</v>
      </c>
      <c r="G7" s="6">
        <v>2943605</v>
      </c>
      <c r="H7" s="6">
        <v>694122</v>
      </c>
      <c r="I7" s="6">
        <v>176352</v>
      </c>
      <c r="J7" s="6">
        <v>36378</v>
      </c>
      <c r="K7" s="6">
        <v>11235</v>
      </c>
      <c r="L7" s="6">
        <v>0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8423657</v>
      </c>
      <c r="E8" s="6">
        <v>3075710</v>
      </c>
      <c r="F8" s="6">
        <v>3114616</v>
      </c>
      <c r="G8" s="6">
        <v>1777704</v>
      </c>
      <c r="H8" s="6">
        <v>363683</v>
      </c>
      <c r="I8" s="6">
        <v>74302</v>
      </c>
      <c r="J8" s="6">
        <v>13676</v>
      </c>
      <c r="K8" s="6">
        <v>3966</v>
      </c>
      <c r="L8" s="6">
        <v>0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8655</v>
      </c>
      <c r="E9" s="6">
        <v>3949</v>
      </c>
      <c r="F9" s="6">
        <v>3290</v>
      </c>
      <c r="G9" s="6">
        <v>1288</v>
      </c>
      <c r="H9" s="6">
        <v>101</v>
      </c>
      <c r="I9" s="6">
        <v>21</v>
      </c>
      <c r="J9" s="6">
        <v>5</v>
      </c>
      <c r="K9" s="6">
        <v>1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5725</v>
      </c>
      <c r="E10" s="6">
        <v>2292</v>
      </c>
      <c r="F10" s="6">
        <v>2334</v>
      </c>
      <c r="G10" s="6">
        <v>999</v>
      </c>
      <c r="H10" s="6">
        <v>82</v>
      </c>
      <c r="I10" s="6">
        <v>14</v>
      </c>
      <c r="J10" s="6">
        <v>4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1657</v>
      </c>
      <c r="F11" s="6">
        <v>956</v>
      </c>
      <c r="G11" s="6">
        <v>289</v>
      </c>
      <c r="H11" s="6">
        <v>19</v>
      </c>
      <c r="I11" s="6">
        <v>7</v>
      </c>
      <c r="J11" s="6">
        <v>1</v>
      </c>
      <c r="K11" s="6">
        <v>1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544717</v>
      </c>
      <c r="E12" s="6">
        <v>257444</v>
      </c>
      <c r="F12" s="6">
        <v>199276</v>
      </c>
      <c r="G12" s="6">
        <v>77156</v>
      </c>
      <c r="H12" s="6">
        <v>8656</v>
      </c>
      <c r="I12" s="6">
        <v>1762</v>
      </c>
      <c r="J12" s="6">
        <v>333</v>
      </c>
      <c r="K12" s="6">
        <v>90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232358</v>
      </c>
      <c r="E13" s="6">
        <v>83766</v>
      </c>
      <c r="F13" s="6">
        <v>95880</v>
      </c>
      <c r="G13" s="6">
        <v>45730</v>
      </c>
      <c r="H13" s="6">
        <v>5577</v>
      </c>
      <c r="I13" s="6">
        <v>1141</v>
      </c>
      <c r="J13" s="6">
        <v>208</v>
      </c>
      <c r="K13" s="6">
        <v>56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312359</v>
      </c>
      <c r="E14" s="6">
        <v>173678</v>
      </c>
      <c r="F14" s="6">
        <v>103396</v>
      </c>
      <c r="G14" s="6">
        <v>31426</v>
      </c>
      <c r="H14" s="6">
        <v>3079</v>
      </c>
      <c r="I14" s="6">
        <v>621</v>
      </c>
      <c r="J14" s="6">
        <v>125</v>
      </c>
      <c r="K14" s="6">
        <v>34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1205411</v>
      </c>
      <c r="E15" s="6">
        <v>487537</v>
      </c>
      <c r="F15" s="6">
        <v>460743</v>
      </c>
      <c r="G15" s="6">
        <v>218747</v>
      </c>
      <c r="H15" s="6">
        <v>29063</v>
      </c>
      <c r="I15" s="6">
        <v>7073</v>
      </c>
      <c r="J15" s="6">
        <v>1629</v>
      </c>
      <c r="K15" s="6">
        <v>619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626997</v>
      </c>
      <c r="E16" s="6">
        <v>184328</v>
      </c>
      <c r="F16" s="6">
        <v>262333</v>
      </c>
      <c r="G16" s="6">
        <v>152366</v>
      </c>
      <c r="H16" s="6">
        <v>21222</v>
      </c>
      <c r="I16" s="6">
        <v>5179</v>
      </c>
      <c r="J16" s="6">
        <v>1141</v>
      </c>
      <c r="K16" s="6">
        <v>428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578414</v>
      </c>
      <c r="E17" s="6">
        <v>303209</v>
      </c>
      <c r="F17" s="6">
        <v>198410</v>
      </c>
      <c r="G17" s="6">
        <v>66381</v>
      </c>
      <c r="H17" s="6">
        <v>7841</v>
      </c>
      <c r="I17" s="6">
        <v>1894</v>
      </c>
      <c r="J17" s="6">
        <v>488</v>
      </c>
      <c r="K17" s="6">
        <v>191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1640842</v>
      </c>
      <c r="E18" s="6">
        <v>583353</v>
      </c>
      <c r="F18" s="6">
        <v>618883</v>
      </c>
      <c r="G18" s="6">
        <v>353732</v>
      </c>
      <c r="H18" s="6">
        <v>60974</v>
      </c>
      <c r="I18" s="6">
        <v>17524</v>
      </c>
      <c r="J18" s="6">
        <v>4486</v>
      </c>
      <c r="K18" s="6">
        <v>1890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923379</v>
      </c>
      <c r="E19" s="6">
        <v>222998</v>
      </c>
      <c r="F19" s="6">
        <v>374008</v>
      </c>
      <c r="G19" s="6">
        <v>261029</v>
      </c>
      <c r="H19" s="6">
        <v>46860</v>
      </c>
      <c r="I19" s="6">
        <v>13569</v>
      </c>
      <c r="J19" s="6">
        <v>3441</v>
      </c>
      <c r="K19" s="6">
        <v>1474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717463</v>
      </c>
      <c r="E20" s="6">
        <v>360355</v>
      </c>
      <c r="F20" s="6">
        <v>244875</v>
      </c>
      <c r="G20" s="6">
        <v>92703</v>
      </c>
      <c r="H20" s="6">
        <v>14114</v>
      </c>
      <c r="I20" s="6">
        <v>3955</v>
      </c>
      <c r="J20" s="6">
        <v>1045</v>
      </c>
      <c r="K20" s="6">
        <v>416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1300971</v>
      </c>
      <c r="E21" s="6">
        <v>383499</v>
      </c>
      <c r="F21" s="6">
        <v>481859</v>
      </c>
      <c r="G21" s="6">
        <v>335939</v>
      </c>
      <c r="H21" s="6">
        <v>69498</v>
      </c>
      <c r="I21" s="6">
        <v>22107</v>
      </c>
      <c r="J21" s="6">
        <v>5797</v>
      </c>
      <c r="K21" s="6">
        <v>2272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771723</v>
      </c>
      <c r="E22" s="6">
        <v>143027</v>
      </c>
      <c r="F22" s="6">
        <v>296232</v>
      </c>
      <c r="G22" s="6">
        <v>253973</v>
      </c>
      <c r="H22" s="6">
        <v>54583</v>
      </c>
      <c r="I22" s="6">
        <v>17535</v>
      </c>
      <c r="J22" s="6">
        <v>4583</v>
      </c>
      <c r="K22" s="6">
        <v>1790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529248</v>
      </c>
      <c r="E23" s="6">
        <v>240472</v>
      </c>
      <c r="F23" s="6">
        <v>185627</v>
      </c>
      <c r="G23" s="6">
        <v>81966</v>
      </c>
      <c r="H23" s="6">
        <v>14915</v>
      </c>
      <c r="I23" s="6">
        <v>4572</v>
      </c>
      <c r="J23" s="6">
        <v>1214</v>
      </c>
      <c r="K23" s="6">
        <v>482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1998889</v>
      </c>
      <c r="E24" s="6">
        <v>532315</v>
      </c>
      <c r="F24" s="6">
        <v>722675</v>
      </c>
      <c r="G24" s="6">
        <v>554873</v>
      </c>
      <c r="H24" s="6">
        <v>135278</v>
      </c>
      <c r="I24" s="6">
        <v>40721</v>
      </c>
      <c r="J24" s="6">
        <v>9734</v>
      </c>
      <c r="K24" s="6">
        <v>3293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1102936</v>
      </c>
      <c r="E25" s="6">
        <v>170816</v>
      </c>
      <c r="F25" s="6">
        <v>400324</v>
      </c>
      <c r="G25" s="6">
        <v>389638</v>
      </c>
      <c r="H25" s="6">
        <v>100772</v>
      </c>
      <c r="I25" s="6">
        <v>31358</v>
      </c>
      <c r="J25" s="6">
        <v>7474</v>
      </c>
      <c r="K25" s="6">
        <v>2554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895953</v>
      </c>
      <c r="E26" s="6">
        <v>361499</v>
      </c>
      <c r="F26" s="6">
        <v>322351</v>
      </c>
      <c r="G26" s="6">
        <v>165235</v>
      </c>
      <c r="H26" s="6">
        <v>34506</v>
      </c>
      <c r="I26" s="6">
        <v>9363</v>
      </c>
      <c r="J26" s="6">
        <v>2260</v>
      </c>
      <c r="K26" s="6">
        <v>739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1608620</v>
      </c>
      <c r="E27" s="6">
        <v>377333</v>
      </c>
      <c r="F27" s="6">
        <v>581467</v>
      </c>
      <c r="G27" s="6">
        <v>484184</v>
      </c>
      <c r="H27" s="6">
        <v>121659</v>
      </c>
      <c r="I27" s="6">
        <v>34405</v>
      </c>
      <c r="J27" s="6">
        <v>7469</v>
      </c>
      <c r="K27" s="6">
        <v>2103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894051</v>
      </c>
      <c r="E28" s="6">
        <v>125957</v>
      </c>
      <c r="F28" s="6">
        <v>317850</v>
      </c>
      <c r="G28" s="6">
        <v>329298</v>
      </c>
      <c r="H28" s="6">
        <v>87547</v>
      </c>
      <c r="I28" s="6">
        <v>26001</v>
      </c>
      <c r="J28" s="6">
        <v>5770</v>
      </c>
      <c r="K28" s="6">
        <v>1628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714569</v>
      </c>
      <c r="E29" s="6">
        <v>251376</v>
      </c>
      <c r="F29" s="6">
        <v>263617</v>
      </c>
      <c r="G29" s="6">
        <v>154886</v>
      </c>
      <c r="H29" s="6">
        <v>34112</v>
      </c>
      <c r="I29" s="6">
        <v>8404</v>
      </c>
      <c r="J29" s="6">
        <v>1699</v>
      </c>
      <c r="K29" s="6">
        <v>475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2173263</v>
      </c>
      <c r="E30" s="6">
        <v>486055</v>
      </c>
      <c r="F30" s="6">
        <v>793726</v>
      </c>
      <c r="G30" s="6">
        <v>669638</v>
      </c>
      <c r="H30" s="6">
        <v>171649</v>
      </c>
      <c r="I30" s="6">
        <v>42266</v>
      </c>
      <c r="J30" s="6">
        <v>7922</v>
      </c>
      <c r="K30" s="6">
        <v>2007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1122468</v>
      </c>
      <c r="E31" s="6">
        <v>157870</v>
      </c>
      <c r="F31" s="6">
        <v>398840</v>
      </c>
      <c r="G31" s="6">
        <v>414803</v>
      </c>
      <c r="H31" s="6">
        <v>113890</v>
      </c>
      <c r="I31" s="6">
        <v>29872</v>
      </c>
      <c r="J31" s="6">
        <v>5727</v>
      </c>
      <c r="K31" s="6">
        <v>1466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1050795</v>
      </c>
      <c r="E32" s="6">
        <v>328185</v>
      </c>
      <c r="F32" s="6">
        <v>394886</v>
      </c>
      <c r="G32" s="6">
        <v>254835</v>
      </c>
      <c r="H32" s="6">
        <v>57759</v>
      </c>
      <c r="I32" s="6">
        <v>12394</v>
      </c>
      <c r="J32" s="6">
        <v>2195</v>
      </c>
      <c r="K32" s="6">
        <v>541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1752067</v>
      </c>
      <c r="E33" s="6">
        <v>380716</v>
      </c>
      <c r="F33" s="6">
        <v>660240</v>
      </c>
      <c r="G33" s="6">
        <v>547016</v>
      </c>
      <c r="H33" s="6">
        <v>130493</v>
      </c>
      <c r="I33" s="6">
        <v>27996</v>
      </c>
      <c r="J33" s="6">
        <v>4553</v>
      </c>
      <c r="K33" s="6">
        <v>1053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882160</v>
      </c>
      <c r="E34" s="6">
        <v>128467</v>
      </c>
      <c r="F34" s="6">
        <v>322582</v>
      </c>
      <c r="G34" s="6">
        <v>323932</v>
      </c>
      <c r="H34" s="6">
        <v>83744</v>
      </c>
      <c r="I34" s="6">
        <v>19405</v>
      </c>
      <c r="J34" s="6">
        <v>3260</v>
      </c>
      <c r="K34" s="6">
        <v>770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869907</v>
      </c>
      <c r="E35" s="6">
        <v>252249</v>
      </c>
      <c r="F35" s="6">
        <v>337658</v>
      </c>
      <c r="G35" s="6">
        <v>223084</v>
      </c>
      <c r="H35" s="6">
        <v>46749</v>
      </c>
      <c r="I35" s="6">
        <v>8591</v>
      </c>
      <c r="J35" s="6">
        <v>1293</v>
      </c>
      <c r="K35" s="6">
        <v>283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1974563</v>
      </c>
      <c r="E36" s="6">
        <v>457362</v>
      </c>
      <c r="F36" s="6">
        <v>762063</v>
      </c>
      <c r="G36" s="6">
        <v>590947</v>
      </c>
      <c r="H36" s="6">
        <v>135284</v>
      </c>
      <c r="I36" s="6">
        <v>24485</v>
      </c>
      <c r="J36" s="6">
        <v>3634</v>
      </c>
      <c r="K36" s="6">
        <v>788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951165</v>
      </c>
      <c r="E37" s="6">
        <v>164042</v>
      </c>
      <c r="F37" s="6">
        <v>361242</v>
      </c>
      <c r="G37" s="6">
        <v>326617</v>
      </c>
      <c r="H37" s="6">
        <v>80721</v>
      </c>
      <c r="I37" s="6">
        <v>15588</v>
      </c>
      <c r="J37" s="6">
        <v>2405</v>
      </c>
      <c r="K37" s="6">
        <v>550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1023398</v>
      </c>
      <c r="E38" s="6">
        <v>293320</v>
      </c>
      <c r="F38" s="6">
        <v>400821</v>
      </c>
      <c r="G38" s="6">
        <v>264330</v>
      </c>
      <c r="H38" s="6">
        <v>54563</v>
      </c>
      <c r="I38" s="6">
        <v>8897</v>
      </c>
      <c r="J38" s="6">
        <v>1229</v>
      </c>
      <c r="K38" s="6">
        <v>238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1284670</v>
      </c>
      <c r="E39" s="6">
        <v>320128</v>
      </c>
      <c r="F39" s="6">
        <v>503291</v>
      </c>
      <c r="G39" s="6">
        <v>366849</v>
      </c>
      <c r="H39" s="6">
        <v>78909</v>
      </c>
      <c r="I39" s="6">
        <v>13338</v>
      </c>
      <c r="J39" s="6">
        <v>1759</v>
      </c>
      <c r="K39" s="6">
        <v>396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626967</v>
      </c>
      <c r="E40" s="6">
        <v>130791</v>
      </c>
      <c r="F40" s="6">
        <v>245916</v>
      </c>
      <c r="G40" s="6">
        <v>197125</v>
      </c>
      <c r="H40" s="6">
        <v>44062</v>
      </c>
      <c r="I40" s="6">
        <v>7788</v>
      </c>
      <c r="J40" s="6">
        <v>1049</v>
      </c>
      <c r="K40" s="6">
        <v>236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657703</v>
      </c>
      <c r="E41" s="6">
        <v>189337</v>
      </c>
      <c r="F41" s="6">
        <v>257375</v>
      </c>
      <c r="G41" s="6">
        <v>169724</v>
      </c>
      <c r="H41" s="6">
        <v>34847</v>
      </c>
      <c r="I41" s="6">
        <v>5550</v>
      </c>
      <c r="J41" s="6">
        <v>710</v>
      </c>
      <c r="K41" s="6">
        <v>160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1083986</v>
      </c>
      <c r="E42" s="6">
        <v>300877</v>
      </c>
      <c r="F42" s="6">
        <v>422364</v>
      </c>
      <c r="G42" s="6">
        <v>286637</v>
      </c>
      <c r="H42" s="6">
        <v>62641</v>
      </c>
      <c r="I42" s="6">
        <v>9815</v>
      </c>
      <c r="J42" s="6">
        <v>1359</v>
      </c>
      <c r="K42" s="6">
        <v>293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515604</v>
      </c>
      <c r="E43" s="6">
        <v>133084</v>
      </c>
      <c r="F43" s="6">
        <v>202745</v>
      </c>
      <c r="G43" s="6">
        <v>142345</v>
      </c>
      <c r="H43" s="6">
        <v>31592</v>
      </c>
      <c r="I43" s="6">
        <v>4992</v>
      </c>
      <c r="J43" s="6">
        <v>719</v>
      </c>
      <c r="K43" s="6">
        <v>127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568382</v>
      </c>
      <c r="E44" s="6">
        <v>167793</v>
      </c>
      <c r="F44" s="6">
        <v>219619</v>
      </c>
      <c r="G44" s="6">
        <v>144292</v>
      </c>
      <c r="H44" s="6">
        <v>31049</v>
      </c>
      <c r="I44" s="6">
        <v>4823</v>
      </c>
      <c r="J44" s="6">
        <v>640</v>
      </c>
      <c r="K44" s="6">
        <v>166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475593</v>
      </c>
      <c r="E45" s="6">
        <v>143743</v>
      </c>
      <c r="F45" s="6">
        <v>181241</v>
      </c>
      <c r="G45" s="6">
        <v>118880</v>
      </c>
      <c r="H45" s="6">
        <v>26537</v>
      </c>
      <c r="I45" s="6">
        <v>4400</v>
      </c>
      <c r="J45" s="6">
        <v>627</v>
      </c>
      <c r="K45" s="6">
        <v>165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228820</v>
      </c>
      <c r="E46" s="6">
        <v>68738</v>
      </c>
      <c r="F46" s="6">
        <v>88203</v>
      </c>
      <c r="G46" s="6">
        <v>57031</v>
      </c>
      <c r="H46" s="6">
        <v>12481</v>
      </c>
      <c r="I46" s="6">
        <v>1990</v>
      </c>
      <c r="J46" s="6">
        <v>305</v>
      </c>
      <c r="K46" s="6">
        <v>72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246773</v>
      </c>
      <c r="E47" s="6">
        <v>75005</v>
      </c>
      <c r="F47" s="6">
        <v>93038</v>
      </c>
      <c r="G47" s="6">
        <v>61849</v>
      </c>
      <c r="H47" s="6">
        <v>14056</v>
      </c>
      <c r="I47" s="6">
        <v>2410</v>
      </c>
      <c r="J47" s="6">
        <v>322</v>
      </c>
      <c r="K47" s="6">
        <v>93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356875</v>
      </c>
      <c r="E48" s="6">
        <v>112728</v>
      </c>
      <c r="F48" s="6">
        <v>130576</v>
      </c>
      <c r="G48" s="6">
        <v>88541</v>
      </c>
      <c r="H48" s="6">
        <v>20727</v>
      </c>
      <c r="I48" s="6">
        <v>3594</v>
      </c>
      <c r="J48" s="6">
        <v>545</v>
      </c>
      <c r="K48" s="6">
        <v>164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164378</v>
      </c>
      <c r="E49" s="6">
        <v>54740</v>
      </c>
      <c r="F49" s="6">
        <v>60541</v>
      </c>
      <c r="G49" s="6">
        <v>38607</v>
      </c>
      <c r="H49" s="6">
        <v>8697</v>
      </c>
      <c r="I49" s="6">
        <v>1506</v>
      </c>
      <c r="J49" s="6">
        <v>230</v>
      </c>
      <c r="K49" s="6">
        <v>57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192497</v>
      </c>
      <c r="E50" s="6">
        <v>57988</v>
      </c>
      <c r="F50" s="6">
        <v>70035</v>
      </c>
      <c r="G50" s="6">
        <v>49934</v>
      </c>
      <c r="H50" s="6">
        <v>12030</v>
      </c>
      <c r="I50" s="6">
        <v>2088</v>
      </c>
      <c r="J50" s="6">
        <v>315</v>
      </c>
      <c r="K50" s="6">
        <v>107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107779</v>
      </c>
      <c r="E51" s="6">
        <v>35534</v>
      </c>
      <c r="F51" s="6">
        <v>37611</v>
      </c>
      <c r="G51" s="6">
        <v>26882</v>
      </c>
      <c r="H51" s="6">
        <v>6336</v>
      </c>
      <c r="I51" s="6">
        <v>1147</v>
      </c>
      <c r="J51" s="6">
        <v>202</v>
      </c>
      <c r="K51" s="6">
        <v>67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44513</v>
      </c>
      <c r="E52" s="6">
        <v>15947</v>
      </c>
      <c r="F52" s="6">
        <v>15659</v>
      </c>
      <c r="G52" s="6">
        <v>10112</v>
      </c>
      <c r="H52" s="6">
        <v>2292</v>
      </c>
      <c r="I52" s="6">
        <v>414</v>
      </c>
      <c r="J52" s="6">
        <v>62</v>
      </c>
      <c r="K52" s="6">
        <v>27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63266</v>
      </c>
      <c r="E53" s="6">
        <v>19587</v>
      </c>
      <c r="F53" s="6">
        <v>21952</v>
      </c>
      <c r="G53" s="6">
        <v>16770</v>
      </c>
      <c r="H53" s="6">
        <v>4044</v>
      </c>
      <c r="I53" s="6">
        <v>733</v>
      </c>
      <c r="J53" s="6">
        <v>140</v>
      </c>
      <c r="K53" s="6">
        <v>40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0E11-8572-41DF-8719-5B03A34CA872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50</v>
      </c>
      <c r="F3" s="5">
        <v>100</v>
      </c>
      <c r="G3" s="5">
        <v>110</v>
      </c>
      <c r="H3" s="5">
        <v>126</v>
      </c>
      <c r="I3" s="5">
        <v>140</v>
      </c>
      <c r="J3" s="5">
        <v>160</v>
      </c>
      <c r="K3" s="5">
        <v>180</v>
      </c>
      <c r="L3" s="5">
        <v>200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100</v>
      </c>
      <c r="F4" s="5">
        <v>110</v>
      </c>
      <c r="G4" s="5">
        <v>126</v>
      </c>
      <c r="H4" s="5">
        <v>140</v>
      </c>
      <c r="I4" s="5">
        <v>160</v>
      </c>
      <c r="J4" s="5">
        <v>180</v>
      </c>
      <c r="K4" s="5">
        <v>200</v>
      </c>
      <c r="L4" s="5">
        <v>350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108</v>
      </c>
      <c r="F5" s="4" t="s">
        <v>105</v>
      </c>
      <c r="G5" s="4" t="s">
        <v>109</v>
      </c>
      <c r="H5" s="4" t="s">
        <v>110</v>
      </c>
      <c r="I5" s="4" t="s">
        <v>111</v>
      </c>
      <c r="J5" s="4" t="s">
        <v>112</v>
      </c>
      <c r="K5" s="4" t="s">
        <v>113</v>
      </c>
      <c r="L5" s="4" t="s">
        <v>114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17516657</v>
      </c>
      <c r="E6" s="6">
        <v>10524597</v>
      </c>
      <c r="F6" s="6">
        <v>3633287</v>
      </c>
      <c r="G6" s="6">
        <v>1978663</v>
      </c>
      <c r="H6" s="6">
        <v>608266</v>
      </c>
      <c r="I6" s="6">
        <v>378503</v>
      </c>
      <c r="J6" s="6">
        <v>159648</v>
      </c>
      <c r="K6" s="6">
        <v>80292</v>
      </c>
      <c r="L6" s="6">
        <v>153401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9093069</v>
      </c>
      <c r="E7" s="6">
        <v>4846543</v>
      </c>
      <c r="F7" s="6">
        <v>2107557</v>
      </c>
      <c r="G7" s="6">
        <v>1226060</v>
      </c>
      <c r="H7" s="6">
        <v>390355</v>
      </c>
      <c r="I7" s="6">
        <v>251056</v>
      </c>
      <c r="J7" s="6">
        <v>107961</v>
      </c>
      <c r="K7" s="6">
        <v>55307</v>
      </c>
      <c r="L7" s="6">
        <v>108230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8423588</v>
      </c>
      <c r="E8" s="6">
        <v>5678054</v>
      </c>
      <c r="F8" s="6">
        <v>1525730</v>
      </c>
      <c r="G8" s="6">
        <v>752603</v>
      </c>
      <c r="H8" s="6">
        <v>217911</v>
      </c>
      <c r="I8" s="6">
        <v>127447</v>
      </c>
      <c r="J8" s="6">
        <v>51687</v>
      </c>
      <c r="K8" s="6">
        <v>24985</v>
      </c>
      <c r="L8" s="6">
        <v>45171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8654</v>
      </c>
      <c r="E9" s="6">
        <v>7279</v>
      </c>
      <c r="F9" s="6">
        <v>1074</v>
      </c>
      <c r="G9" s="6">
        <v>226</v>
      </c>
      <c r="H9" s="6">
        <v>28</v>
      </c>
      <c r="I9" s="6">
        <v>12</v>
      </c>
      <c r="J9" s="6">
        <v>6</v>
      </c>
      <c r="K9" s="6">
        <v>6</v>
      </c>
      <c r="L9" s="6">
        <v>23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5724</v>
      </c>
      <c r="E10" s="6">
        <v>4777</v>
      </c>
      <c r="F10" s="6">
        <v>741</v>
      </c>
      <c r="G10" s="6">
        <v>156</v>
      </c>
      <c r="H10" s="6">
        <v>21</v>
      </c>
      <c r="I10" s="6">
        <v>10</v>
      </c>
      <c r="J10" s="6">
        <v>4</v>
      </c>
      <c r="K10" s="6">
        <v>2</v>
      </c>
      <c r="L10" s="6">
        <v>13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2502</v>
      </c>
      <c r="F11" s="6">
        <v>333</v>
      </c>
      <c r="G11" s="6">
        <v>70</v>
      </c>
      <c r="H11" s="6">
        <v>7</v>
      </c>
      <c r="I11" s="6">
        <v>2</v>
      </c>
      <c r="J11" s="6">
        <v>2</v>
      </c>
      <c r="K11" s="6">
        <v>4</v>
      </c>
      <c r="L11" s="6">
        <v>10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544697</v>
      </c>
      <c r="E12" s="6">
        <v>472830</v>
      </c>
      <c r="F12" s="6">
        <v>57308</v>
      </c>
      <c r="G12" s="6">
        <v>10366</v>
      </c>
      <c r="H12" s="6">
        <v>1550</v>
      </c>
      <c r="I12" s="6">
        <v>837</v>
      </c>
      <c r="J12" s="6">
        <v>398</v>
      </c>
      <c r="K12" s="6">
        <v>289</v>
      </c>
      <c r="L12" s="6">
        <v>1119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232348</v>
      </c>
      <c r="E13" s="6">
        <v>192849</v>
      </c>
      <c r="F13" s="6">
        <v>31339</v>
      </c>
      <c r="G13" s="6">
        <v>5982</v>
      </c>
      <c r="H13" s="6">
        <v>870</v>
      </c>
      <c r="I13" s="6">
        <v>471</v>
      </c>
      <c r="J13" s="6">
        <v>200</v>
      </c>
      <c r="K13" s="6">
        <v>127</v>
      </c>
      <c r="L13" s="6">
        <v>510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312349</v>
      </c>
      <c r="E14" s="6">
        <v>279981</v>
      </c>
      <c r="F14" s="6">
        <v>25969</v>
      </c>
      <c r="G14" s="6">
        <v>4384</v>
      </c>
      <c r="H14" s="6">
        <v>680</v>
      </c>
      <c r="I14" s="6">
        <v>366</v>
      </c>
      <c r="J14" s="6">
        <v>198</v>
      </c>
      <c r="K14" s="6">
        <v>162</v>
      </c>
      <c r="L14" s="6">
        <v>609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1205373</v>
      </c>
      <c r="E15" s="6">
        <v>998702</v>
      </c>
      <c r="F15" s="6">
        <v>159999</v>
      </c>
      <c r="G15" s="6">
        <v>33728</v>
      </c>
      <c r="H15" s="6">
        <v>4728</v>
      </c>
      <c r="I15" s="6">
        <v>2684</v>
      </c>
      <c r="J15" s="6">
        <v>1265</v>
      </c>
      <c r="K15" s="6">
        <v>849</v>
      </c>
      <c r="L15" s="6">
        <v>3418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626978</v>
      </c>
      <c r="E16" s="6">
        <v>490425</v>
      </c>
      <c r="F16" s="6">
        <v>105239</v>
      </c>
      <c r="G16" s="6">
        <v>23141</v>
      </c>
      <c r="H16" s="6">
        <v>3052</v>
      </c>
      <c r="I16" s="6">
        <v>1723</v>
      </c>
      <c r="J16" s="6">
        <v>782</v>
      </c>
      <c r="K16" s="6">
        <v>513</v>
      </c>
      <c r="L16" s="6">
        <v>2103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578395</v>
      </c>
      <c r="E17" s="6">
        <v>508277</v>
      </c>
      <c r="F17" s="6">
        <v>54760</v>
      </c>
      <c r="G17" s="6">
        <v>10587</v>
      </c>
      <c r="H17" s="6">
        <v>1676</v>
      </c>
      <c r="I17" s="6">
        <v>961</v>
      </c>
      <c r="J17" s="6">
        <v>483</v>
      </c>
      <c r="K17" s="6">
        <v>336</v>
      </c>
      <c r="L17" s="6">
        <v>1315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1640810</v>
      </c>
      <c r="E18" s="6">
        <v>1272275</v>
      </c>
      <c r="F18" s="6">
        <v>268624</v>
      </c>
      <c r="G18" s="6">
        <v>70415</v>
      </c>
      <c r="H18" s="6">
        <v>10715</v>
      </c>
      <c r="I18" s="6">
        <v>6328</v>
      </c>
      <c r="J18" s="6">
        <v>3006</v>
      </c>
      <c r="K18" s="6">
        <v>1909</v>
      </c>
      <c r="L18" s="6">
        <v>7538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923361</v>
      </c>
      <c r="E19" s="6">
        <v>661601</v>
      </c>
      <c r="F19" s="6">
        <v>188670</v>
      </c>
      <c r="G19" s="6">
        <v>52089</v>
      </c>
      <c r="H19" s="6">
        <v>7655</v>
      </c>
      <c r="I19" s="6">
        <v>4490</v>
      </c>
      <c r="J19" s="6">
        <v>2071</v>
      </c>
      <c r="K19" s="6">
        <v>1378</v>
      </c>
      <c r="L19" s="6">
        <v>5407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717449</v>
      </c>
      <c r="E20" s="6">
        <v>610674</v>
      </c>
      <c r="F20" s="6">
        <v>79954</v>
      </c>
      <c r="G20" s="6">
        <v>18326</v>
      </c>
      <c r="H20" s="6">
        <v>3060</v>
      </c>
      <c r="I20" s="6">
        <v>1838</v>
      </c>
      <c r="J20" s="6">
        <v>935</v>
      </c>
      <c r="K20" s="6">
        <v>531</v>
      </c>
      <c r="L20" s="6">
        <v>2131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1300960</v>
      </c>
      <c r="E21" s="6">
        <v>921867</v>
      </c>
      <c r="F21" s="6">
        <v>252235</v>
      </c>
      <c r="G21" s="6">
        <v>84746</v>
      </c>
      <c r="H21" s="6">
        <v>15982</v>
      </c>
      <c r="I21" s="6">
        <v>9494</v>
      </c>
      <c r="J21" s="6">
        <v>4574</v>
      </c>
      <c r="K21" s="6">
        <v>2737</v>
      </c>
      <c r="L21" s="6">
        <v>9325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771711</v>
      </c>
      <c r="E22" s="6">
        <v>493359</v>
      </c>
      <c r="F22" s="6">
        <v>180759</v>
      </c>
      <c r="G22" s="6">
        <v>65183</v>
      </c>
      <c r="H22" s="6">
        <v>12300</v>
      </c>
      <c r="I22" s="6">
        <v>7310</v>
      </c>
      <c r="J22" s="6">
        <v>3450</v>
      </c>
      <c r="K22" s="6">
        <v>2122</v>
      </c>
      <c r="L22" s="6">
        <v>7228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529249</v>
      </c>
      <c r="E23" s="6">
        <v>428508</v>
      </c>
      <c r="F23" s="6">
        <v>71476</v>
      </c>
      <c r="G23" s="6">
        <v>19563</v>
      </c>
      <c r="H23" s="6">
        <v>3682</v>
      </c>
      <c r="I23" s="6">
        <v>2184</v>
      </c>
      <c r="J23" s="6">
        <v>1124</v>
      </c>
      <c r="K23" s="6">
        <v>615</v>
      </c>
      <c r="L23" s="6">
        <v>2097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1998862</v>
      </c>
      <c r="E24" s="6">
        <v>1322168</v>
      </c>
      <c r="F24" s="6">
        <v>410248</v>
      </c>
      <c r="G24" s="6">
        <v>170944</v>
      </c>
      <c r="H24" s="6">
        <v>38637</v>
      </c>
      <c r="I24" s="6">
        <v>23417</v>
      </c>
      <c r="J24" s="6">
        <v>10519</v>
      </c>
      <c r="K24" s="6">
        <v>6158</v>
      </c>
      <c r="L24" s="6">
        <v>16771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1102925</v>
      </c>
      <c r="E25" s="6">
        <v>632261</v>
      </c>
      <c r="F25" s="6">
        <v>272218</v>
      </c>
      <c r="G25" s="6">
        <v>125519</v>
      </c>
      <c r="H25" s="6">
        <v>29255</v>
      </c>
      <c r="I25" s="6">
        <v>17866</v>
      </c>
      <c r="J25" s="6">
        <v>8121</v>
      </c>
      <c r="K25" s="6">
        <v>4793</v>
      </c>
      <c r="L25" s="6">
        <v>12892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895937</v>
      </c>
      <c r="E26" s="6">
        <v>689907</v>
      </c>
      <c r="F26" s="6">
        <v>138030</v>
      </c>
      <c r="G26" s="6">
        <v>45425</v>
      </c>
      <c r="H26" s="6">
        <v>9382</v>
      </c>
      <c r="I26" s="6">
        <v>5551</v>
      </c>
      <c r="J26" s="6">
        <v>2398</v>
      </c>
      <c r="K26" s="6">
        <v>1365</v>
      </c>
      <c r="L26" s="6">
        <v>3879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1608615</v>
      </c>
      <c r="E27" s="6">
        <v>970999</v>
      </c>
      <c r="F27" s="6">
        <v>352358</v>
      </c>
      <c r="G27" s="6">
        <v>175724</v>
      </c>
      <c r="H27" s="6">
        <v>46335</v>
      </c>
      <c r="I27" s="6">
        <v>28185</v>
      </c>
      <c r="J27" s="6">
        <v>12374</v>
      </c>
      <c r="K27" s="6">
        <v>6965</v>
      </c>
      <c r="L27" s="6">
        <v>15675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894046</v>
      </c>
      <c r="E28" s="6">
        <v>454362</v>
      </c>
      <c r="F28" s="6">
        <v>228130</v>
      </c>
      <c r="G28" s="6">
        <v>127378</v>
      </c>
      <c r="H28" s="6">
        <v>35073</v>
      </c>
      <c r="I28" s="6">
        <v>21777</v>
      </c>
      <c r="J28" s="6">
        <v>9617</v>
      </c>
      <c r="K28" s="6">
        <v>5489</v>
      </c>
      <c r="L28" s="6">
        <v>12220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714569</v>
      </c>
      <c r="E29" s="6">
        <v>516637</v>
      </c>
      <c r="F29" s="6">
        <v>124228</v>
      </c>
      <c r="G29" s="6">
        <v>48346</v>
      </c>
      <c r="H29" s="6">
        <v>11262</v>
      </c>
      <c r="I29" s="6">
        <v>6408</v>
      </c>
      <c r="J29" s="6">
        <v>2757</v>
      </c>
      <c r="K29" s="6">
        <v>1476</v>
      </c>
      <c r="L29" s="6">
        <v>3455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2173240</v>
      </c>
      <c r="E30" s="6">
        <v>1219350</v>
      </c>
      <c r="F30" s="6">
        <v>490204</v>
      </c>
      <c r="G30" s="6">
        <v>277291</v>
      </c>
      <c r="H30" s="6">
        <v>81499</v>
      </c>
      <c r="I30" s="6">
        <v>50127</v>
      </c>
      <c r="J30" s="6">
        <v>21475</v>
      </c>
      <c r="K30" s="6">
        <v>11066</v>
      </c>
      <c r="L30" s="6">
        <v>22228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1122445</v>
      </c>
      <c r="E31" s="6">
        <v>517645</v>
      </c>
      <c r="F31" s="6">
        <v>284218</v>
      </c>
      <c r="G31" s="6">
        <v>184147</v>
      </c>
      <c r="H31" s="6">
        <v>58164</v>
      </c>
      <c r="I31" s="6">
        <v>37045</v>
      </c>
      <c r="J31" s="6">
        <v>16125</v>
      </c>
      <c r="K31" s="6">
        <v>8357</v>
      </c>
      <c r="L31" s="6">
        <v>16744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1050795</v>
      </c>
      <c r="E32" s="6">
        <v>701705</v>
      </c>
      <c r="F32" s="6">
        <v>205986</v>
      </c>
      <c r="G32" s="6">
        <v>93144</v>
      </c>
      <c r="H32" s="6">
        <v>23335</v>
      </c>
      <c r="I32" s="6">
        <v>13082</v>
      </c>
      <c r="J32" s="6">
        <v>5350</v>
      </c>
      <c r="K32" s="6">
        <v>2709</v>
      </c>
      <c r="L32" s="6">
        <v>5484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1752049</v>
      </c>
      <c r="E33" s="6">
        <v>889679</v>
      </c>
      <c r="F33" s="6">
        <v>413368</v>
      </c>
      <c r="G33" s="6">
        <v>261599</v>
      </c>
      <c r="H33" s="6">
        <v>82919</v>
      </c>
      <c r="I33" s="6">
        <v>51725</v>
      </c>
      <c r="J33" s="6">
        <v>21724</v>
      </c>
      <c r="K33" s="6">
        <v>11045</v>
      </c>
      <c r="L33" s="6">
        <v>19990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882154</v>
      </c>
      <c r="E34" s="6">
        <v>372889</v>
      </c>
      <c r="F34" s="6">
        <v>220541</v>
      </c>
      <c r="G34" s="6">
        <v>159484</v>
      </c>
      <c r="H34" s="6">
        <v>55045</v>
      </c>
      <c r="I34" s="6">
        <v>36091</v>
      </c>
      <c r="J34" s="6">
        <v>15618</v>
      </c>
      <c r="K34" s="6">
        <v>7957</v>
      </c>
      <c r="L34" s="6">
        <v>14529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869895</v>
      </c>
      <c r="E35" s="6">
        <v>516790</v>
      </c>
      <c r="F35" s="6">
        <v>192827</v>
      </c>
      <c r="G35" s="6">
        <v>102115</v>
      </c>
      <c r="H35" s="6">
        <v>27874</v>
      </c>
      <c r="I35" s="6">
        <v>15634</v>
      </c>
      <c r="J35" s="6">
        <v>6106</v>
      </c>
      <c r="K35" s="6">
        <v>3088</v>
      </c>
      <c r="L35" s="6">
        <v>5461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1974548</v>
      </c>
      <c r="E36" s="6">
        <v>952466</v>
      </c>
      <c r="F36" s="6">
        <v>464344</v>
      </c>
      <c r="G36" s="6">
        <v>317676</v>
      </c>
      <c r="H36" s="6">
        <v>109084</v>
      </c>
      <c r="I36" s="6">
        <v>67652</v>
      </c>
      <c r="J36" s="6">
        <v>28168</v>
      </c>
      <c r="K36" s="6">
        <v>13520</v>
      </c>
      <c r="L36" s="6">
        <v>21638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951151</v>
      </c>
      <c r="E37" s="6">
        <v>387215</v>
      </c>
      <c r="F37" s="6">
        <v>228665</v>
      </c>
      <c r="G37" s="6">
        <v>179840</v>
      </c>
      <c r="H37" s="6">
        <v>67640</v>
      </c>
      <c r="I37" s="6">
        <v>44202</v>
      </c>
      <c r="J37" s="6">
        <v>19093</v>
      </c>
      <c r="K37" s="6">
        <v>9365</v>
      </c>
      <c r="L37" s="6">
        <v>15131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1023397</v>
      </c>
      <c r="E38" s="6">
        <v>565251</v>
      </c>
      <c r="F38" s="6">
        <v>235679</v>
      </c>
      <c r="G38" s="6">
        <v>137836</v>
      </c>
      <c r="H38" s="6">
        <v>41444</v>
      </c>
      <c r="I38" s="6">
        <v>23450</v>
      </c>
      <c r="J38" s="6">
        <v>9075</v>
      </c>
      <c r="K38" s="6">
        <v>4155</v>
      </c>
      <c r="L38" s="6">
        <v>6507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1284642</v>
      </c>
      <c r="E39" s="6">
        <v>601351</v>
      </c>
      <c r="F39" s="6">
        <v>298929</v>
      </c>
      <c r="G39" s="6">
        <v>215207</v>
      </c>
      <c r="H39" s="6">
        <v>77685</v>
      </c>
      <c r="I39" s="6">
        <v>48875</v>
      </c>
      <c r="J39" s="6">
        <v>19930</v>
      </c>
      <c r="K39" s="6">
        <v>9179</v>
      </c>
      <c r="L39" s="6">
        <v>13486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626958</v>
      </c>
      <c r="E40" s="6">
        <v>251937</v>
      </c>
      <c r="F40" s="6">
        <v>147257</v>
      </c>
      <c r="G40" s="6">
        <v>120764</v>
      </c>
      <c r="H40" s="6">
        <v>47343</v>
      </c>
      <c r="I40" s="6">
        <v>31322</v>
      </c>
      <c r="J40" s="6">
        <v>13075</v>
      </c>
      <c r="K40" s="6">
        <v>6086</v>
      </c>
      <c r="L40" s="6">
        <v>9174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657684</v>
      </c>
      <c r="E41" s="6">
        <v>349414</v>
      </c>
      <c r="F41" s="6">
        <v>151672</v>
      </c>
      <c r="G41" s="6">
        <v>94443</v>
      </c>
      <c r="H41" s="6">
        <v>30342</v>
      </c>
      <c r="I41" s="6">
        <v>17553</v>
      </c>
      <c r="J41" s="6">
        <v>6855</v>
      </c>
      <c r="K41" s="6">
        <v>3093</v>
      </c>
      <c r="L41" s="6">
        <v>4312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1083958</v>
      </c>
      <c r="E42" s="6">
        <v>484177</v>
      </c>
      <c r="F42" s="6">
        <v>249702</v>
      </c>
      <c r="G42" s="6">
        <v>191160</v>
      </c>
      <c r="H42" s="6">
        <v>73413</v>
      </c>
      <c r="I42" s="6">
        <v>46839</v>
      </c>
      <c r="J42" s="6">
        <v>18735</v>
      </c>
      <c r="K42" s="6">
        <v>8613</v>
      </c>
      <c r="L42" s="6">
        <v>11319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515595</v>
      </c>
      <c r="E43" s="6">
        <v>207225</v>
      </c>
      <c r="F43" s="6">
        <v>118509</v>
      </c>
      <c r="G43" s="6">
        <v>99072</v>
      </c>
      <c r="H43" s="6">
        <v>40755</v>
      </c>
      <c r="I43" s="6">
        <v>27094</v>
      </c>
      <c r="J43" s="6">
        <v>11006</v>
      </c>
      <c r="K43" s="6">
        <v>5100</v>
      </c>
      <c r="L43" s="6">
        <v>6834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568363</v>
      </c>
      <c r="E44" s="6">
        <v>276952</v>
      </c>
      <c r="F44" s="6">
        <v>131193</v>
      </c>
      <c r="G44" s="6">
        <v>92088</v>
      </c>
      <c r="H44" s="6">
        <v>32658</v>
      </c>
      <c r="I44" s="6">
        <v>19745</v>
      </c>
      <c r="J44" s="6">
        <v>7729</v>
      </c>
      <c r="K44" s="6">
        <v>3513</v>
      </c>
      <c r="L44" s="6">
        <v>4485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475563</v>
      </c>
      <c r="E45" s="6">
        <v>207785</v>
      </c>
      <c r="F45" s="6">
        <v>109510</v>
      </c>
      <c r="G45" s="6">
        <v>85883</v>
      </c>
      <c r="H45" s="6">
        <v>33380</v>
      </c>
      <c r="I45" s="6">
        <v>21410</v>
      </c>
      <c r="J45" s="6">
        <v>8683</v>
      </c>
      <c r="K45" s="6">
        <v>3861</v>
      </c>
      <c r="L45" s="6">
        <v>5051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228797</v>
      </c>
      <c r="E46" s="6">
        <v>92911</v>
      </c>
      <c r="F46" s="6">
        <v>52835</v>
      </c>
      <c r="G46" s="6">
        <v>43995</v>
      </c>
      <c r="H46" s="6">
        <v>17841</v>
      </c>
      <c r="I46" s="6">
        <v>11678</v>
      </c>
      <c r="J46" s="6">
        <v>4671</v>
      </c>
      <c r="K46" s="6">
        <v>2098</v>
      </c>
      <c r="L46" s="6">
        <v>2768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246766</v>
      </c>
      <c r="E47" s="6">
        <v>114874</v>
      </c>
      <c r="F47" s="6">
        <v>56675</v>
      </c>
      <c r="G47" s="6">
        <v>41888</v>
      </c>
      <c r="H47" s="6">
        <v>15539</v>
      </c>
      <c r="I47" s="6">
        <v>9732</v>
      </c>
      <c r="J47" s="6">
        <v>4012</v>
      </c>
      <c r="K47" s="6">
        <v>1763</v>
      </c>
      <c r="L47" s="6">
        <v>2283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356865</v>
      </c>
      <c r="E48" s="6">
        <v>154533</v>
      </c>
      <c r="F48" s="6">
        <v>81587</v>
      </c>
      <c r="G48" s="6">
        <v>65106</v>
      </c>
      <c r="H48" s="6">
        <v>25240</v>
      </c>
      <c r="I48" s="6">
        <v>16267</v>
      </c>
      <c r="J48" s="6">
        <v>6775</v>
      </c>
      <c r="K48" s="6">
        <v>3080</v>
      </c>
      <c r="L48" s="6">
        <v>4277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164367</v>
      </c>
      <c r="E49" s="6">
        <v>67611</v>
      </c>
      <c r="F49" s="6">
        <v>37998</v>
      </c>
      <c r="G49" s="6">
        <v>31386</v>
      </c>
      <c r="H49" s="6">
        <v>12336</v>
      </c>
      <c r="I49" s="6">
        <v>8053</v>
      </c>
      <c r="J49" s="6">
        <v>3356</v>
      </c>
      <c r="K49" s="6">
        <v>1526</v>
      </c>
      <c r="L49" s="6">
        <v>2101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192498</v>
      </c>
      <c r="E50" s="6">
        <v>86922</v>
      </c>
      <c r="F50" s="6">
        <v>43589</v>
      </c>
      <c r="G50" s="6">
        <v>33720</v>
      </c>
      <c r="H50" s="6">
        <v>12904</v>
      </c>
      <c r="I50" s="6">
        <v>8214</v>
      </c>
      <c r="J50" s="6">
        <v>3419</v>
      </c>
      <c r="K50" s="6">
        <v>1554</v>
      </c>
      <c r="L50" s="6">
        <v>2176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107821</v>
      </c>
      <c r="E51" s="6">
        <v>49136</v>
      </c>
      <c r="F51" s="6">
        <v>23797</v>
      </c>
      <c r="G51" s="6">
        <v>18592</v>
      </c>
      <c r="H51" s="6">
        <v>7071</v>
      </c>
      <c r="I51" s="6">
        <v>4651</v>
      </c>
      <c r="J51" s="6">
        <v>2016</v>
      </c>
      <c r="K51" s="6">
        <v>1015</v>
      </c>
      <c r="L51" s="6">
        <v>1543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44509</v>
      </c>
      <c r="E52" s="6">
        <v>19476</v>
      </c>
      <c r="F52" s="6">
        <v>10438</v>
      </c>
      <c r="G52" s="6">
        <v>7924</v>
      </c>
      <c r="H52" s="6">
        <v>3005</v>
      </c>
      <c r="I52" s="6">
        <v>1924</v>
      </c>
      <c r="J52" s="6">
        <v>772</v>
      </c>
      <c r="K52" s="6">
        <v>394</v>
      </c>
      <c r="L52" s="6">
        <v>576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63312</v>
      </c>
      <c r="E53" s="6">
        <v>29660</v>
      </c>
      <c r="F53" s="6">
        <v>13359</v>
      </c>
      <c r="G53" s="6">
        <v>10668</v>
      </c>
      <c r="H53" s="6">
        <v>4066</v>
      </c>
      <c r="I53" s="6">
        <v>2727</v>
      </c>
      <c r="J53" s="6">
        <v>1244</v>
      </c>
      <c r="K53" s="6">
        <v>621</v>
      </c>
      <c r="L53" s="6">
        <v>967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9719-A1BB-4F00-ADCE-40B1D622291E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80</v>
      </c>
      <c r="F3" s="5">
        <v>140</v>
      </c>
      <c r="G3" s="5">
        <v>160</v>
      </c>
      <c r="H3" s="5">
        <v>180</v>
      </c>
      <c r="I3" s="5">
        <v>200</v>
      </c>
      <c r="J3" s="5">
        <v>220</v>
      </c>
      <c r="K3" s="5">
        <v>240</v>
      </c>
      <c r="L3" s="5">
        <v>260</v>
      </c>
      <c r="M3" s="5">
        <v>280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140</v>
      </c>
      <c r="F4" s="5">
        <v>160</v>
      </c>
      <c r="G4" s="5">
        <v>180</v>
      </c>
      <c r="H4" s="5">
        <v>200</v>
      </c>
      <c r="I4" s="5">
        <v>220</v>
      </c>
      <c r="J4" s="5">
        <v>240</v>
      </c>
      <c r="K4" s="5">
        <v>260</v>
      </c>
      <c r="L4" s="5">
        <v>280</v>
      </c>
      <c r="M4" s="5">
        <v>400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116</v>
      </c>
      <c r="F5" s="4" t="s">
        <v>111</v>
      </c>
      <c r="G5" s="4" t="s">
        <v>112</v>
      </c>
      <c r="H5" s="4" t="s">
        <v>113</v>
      </c>
      <c r="I5" s="4" t="s">
        <v>117</v>
      </c>
      <c r="J5" s="4" t="s">
        <v>118</v>
      </c>
      <c r="K5" s="4" t="s">
        <v>119</v>
      </c>
      <c r="L5" s="4" t="s">
        <v>120</v>
      </c>
      <c r="M5" s="4" t="s">
        <v>121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6013869</v>
      </c>
      <c r="E6" s="6">
        <v>533471</v>
      </c>
      <c r="F6" s="6">
        <v>654219</v>
      </c>
      <c r="G6" s="6">
        <v>936202</v>
      </c>
      <c r="H6" s="6">
        <v>1108544</v>
      </c>
      <c r="I6" s="6">
        <v>1049046</v>
      </c>
      <c r="J6" s="6">
        <v>796181</v>
      </c>
      <c r="K6" s="6">
        <v>486728</v>
      </c>
      <c r="L6" s="6">
        <v>251997</v>
      </c>
      <c r="M6" s="6">
        <v>197481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3306479</v>
      </c>
      <c r="E7" s="6">
        <v>340496</v>
      </c>
      <c r="F7" s="6">
        <v>367884</v>
      </c>
      <c r="G7" s="6">
        <v>515266</v>
      </c>
      <c r="H7" s="6">
        <v>610684</v>
      </c>
      <c r="I7" s="6">
        <v>572772</v>
      </c>
      <c r="J7" s="6">
        <v>425827</v>
      </c>
      <c r="K7" s="6">
        <v>251959</v>
      </c>
      <c r="L7" s="6">
        <v>126507</v>
      </c>
      <c r="M7" s="6">
        <v>95084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2707390</v>
      </c>
      <c r="E8" s="6">
        <v>192975</v>
      </c>
      <c r="F8" s="6">
        <v>286335</v>
      </c>
      <c r="G8" s="6">
        <v>420936</v>
      </c>
      <c r="H8" s="6">
        <v>497860</v>
      </c>
      <c r="I8" s="6">
        <v>476274</v>
      </c>
      <c r="J8" s="6">
        <v>370354</v>
      </c>
      <c r="K8" s="6">
        <v>234769</v>
      </c>
      <c r="L8" s="6">
        <v>125490</v>
      </c>
      <c r="M8" s="6">
        <v>102397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106555</v>
      </c>
      <c r="E12" s="6">
        <v>7140</v>
      </c>
      <c r="F12" s="6">
        <v>17677</v>
      </c>
      <c r="G12" s="6">
        <v>26334</v>
      </c>
      <c r="H12" s="6">
        <v>24899</v>
      </c>
      <c r="I12" s="6">
        <v>16310</v>
      </c>
      <c r="J12" s="6">
        <v>8340</v>
      </c>
      <c r="K12" s="6">
        <v>3627</v>
      </c>
      <c r="L12" s="6">
        <v>1383</v>
      </c>
      <c r="M12" s="6">
        <v>845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106555</v>
      </c>
      <c r="E13" s="6">
        <v>7140</v>
      </c>
      <c r="F13" s="6">
        <v>17677</v>
      </c>
      <c r="G13" s="6">
        <v>26334</v>
      </c>
      <c r="H13" s="6">
        <v>24899</v>
      </c>
      <c r="I13" s="6">
        <v>16310</v>
      </c>
      <c r="J13" s="6">
        <v>8340</v>
      </c>
      <c r="K13" s="6">
        <v>3627</v>
      </c>
      <c r="L13" s="6">
        <v>1383</v>
      </c>
      <c r="M13" s="6">
        <v>845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196547</v>
      </c>
      <c r="E15" s="6">
        <v>7273</v>
      </c>
      <c r="F15" s="6">
        <v>21161</v>
      </c>
      <c r="G15" s="6">
        <v>40383</v>
      </c>
      <c r="H15" s="6">
        <v>47343</v>
      </c>
      <c r="I15" s="6">
        <v>37739</v>
      </c>
      <c r="J15" s="6">
        <v>23043</v>
      </c>
      <c r="K15" s="6">
        <v>11392</v>
      </c>
      <c r="L15" s="6">
        <v>4966</v>
      </c>
      <c r="M15" s="6">
        <v>3247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196547</v>
      </c>
      <c r="E16" s="6">
        <v>7273</v>
      </c>
      <c r="F16" s="6">
        <v>21161</v>
      </c>
      <c r="G16" s="6">
        <v>40383</v>
      </c>
      <c r="H16" s="6">
        <v>47343</v>
      </c>
      <c r="I16" s="6">
        <v>37739</v>
      </c>
      <c r="J16" s="6">
        <v>23043</v>
      </c>
      <c r="K16" s="6">
        <v>11392</v>
      </c>
      <c r="L16" s="6">
        <v>4966</v>
      </c>
      <c r="M16" s="6">
        <v>3247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233710</v>
      </c>
      <c r="E18" s="6">
        <v>5844</v>
      </c>
      <c r="F18" s="6">
        <v>16932</v>
      </c>
      <c r="G18" s="6">
        <v>37847</v>
      </c>
      <c r="H18" s="6">
        <v>52517</v>
      </c>
      <c r="I18" s="6">
        <v>49582</v>
      </c>
      <c r="J18" s="6">
        <v>35207</v>
      </c>
      <c r="K18" s="6">
        <v>19737</v>
      </c>
      <c r="L18" s="6">
        <v>9399</v>
      </c>
      <c r="M18" s="6">
        <v>6645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233710</v>
      </c>
      <c r="E19" s="6">
        <v>5844</v>
      </c>
      <c r="F19" s="6">
        <v>16932</v>
      </c>
      <c r="G19" s="6">
        <v>37847</v>
      </c>
      <c r="H19" s="6">
        <v>52517</v>
      </c>
      <c r="I19" s="6">
        <v>49582</v>
      </c>
      <c r="J19" s="6">
        <v>35207</v>
      </c>
      <c r="K19" s="6">
        <v>19737</v>
      </c>
      <c r="L19" s="6">
        <v>9399</v>
      </c>
      <c r="M19" s="6">
        <v>6645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213469</v>
      </c>
      <c r="E21" s="6">
        <v>5342</v>
      </c>
      <c r="F21" s="6">
        <v>13042</v>
      </c>
      <c r="G21" s="6">
        <v>28968</v>
      </c>
      <c r="H21" s="6">
        <v>44225</v>
      </c>
      <c r="I21" s="6">
        <v>45470</v>
      </c>
      <c r="J21" s="6">
        <v>35768</v>
      </c>
      <c r="K21" s="6">
        <v>21438</v>
      </c>
      <c r="L21" s="6">
        <v>10795</v>
      </c>
      <c r="M21" s="6">
        <v>8421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213469</v>
      </c>
      <c r="E22" s="6">
        <v>5342</v>
      </c>
      <c r="F22" s="6">
        <v>13042</v>
      </c>
      <c r="G22" s="6">
        <v>28968</v>
      </c>
      <c r="H22" s="6">
        <v>44225</v>
      </c>
      <c r="I22" s="6">
        <v>45470</v>
      </c>
      <c r="J22" s="6">
        <v>35768</v>
      </c>
      <c r="K22" s="6">
        <v>21438</v>
      </c>
      <c r="L22" s="6">
        <v>10795</v>
      </c>
      <c r="M22" s="6">
        <v>8421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1038866</v>
      </c>
      <c r="E24" s="6">
        <v>32375</v>
      </c>
      <c r="F24" s="6">
        <v>69755</v>
      </c>
      <c r="G24" s="6">
        <v>149409</v>
      </c>
      <c r="H24" s="6">
        <v>218084</v>
      </c>
      <c r="I24" s="6">
        <v>219348</v>
      </c>
      <c r="J24" s="6">
        <v>164972</v>
      </c>
      <c r="K24" s="6">
        <v>97804</v>
      </c>
      <c r="L24" s="6">
        <v>49564</v>
      </c>
      <c r="M24" s="6">
        <v>37555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542025</v>
      </c>
      <c r="E25" s="6">
        <v>20422</v>
      </c>
      <c r="F25" s="6">
        <v>33233</v>
      </c>
      <c r="G25" s="6">
        <v>64959</v>
      </c>
      <c r="H25" s="6">
        <v>99627</v>
      </c>
      <c r="I25" s="6">
        <v>110952</v>
      </c>
      <c r="J25" s="6">
        <v>93427</v>
      </c>
      <c r="K25" s="6">
        <v>60360</v>
      </c>
      <c r="L25" s="6">
        <v>32702</v>
      </c>
      <c r="M25" s="6">
        <v>26343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496841</v>
      </c>
      <c r="E26" s="6">
        <v>11953</v>
      </c>
      <c r="F26" s="6">
        <v>36522</v>
      </c>
      <c r="G26" s="6">
        <v>84450</v>
      </c>
      <c r="H26" s="6">
        <v>118457</v>
      </c>
      <c r="I26" s="6">
        <v>108396</v>
      </c>
      <c r="J26" s="6">
        <v>71545</v>
      </c>
      <c r="K26" s="6">
        <v>37444</v>
      </c>
      <c r="L26" s="6">
        <v>16862</v>
      </c>
      <c r="M26" s="6">
        <v>11212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552938</v>
      </c>
      <c r="E27" s="6">
        <v>24009</v>
      </c>
      <c r="F27" s="6">
        <v>39131</v>
      </c>
      <c r="G27" s="6">
        <v>73539</v>
      </c>
      <c r="H27" s="6">
        <v>106994</v>
      </c>
      <c r="I27" s="6">
        <v>113054</v>
      </c>
      <c r="J27" s="6">
        <v>89739</v>
      </c>
      <c r="K27" s="6">
        <v>55455</v>
      </c>
      <c r="L27" s="6">
        <v>28845</v>
      </c>
      <c r="M27" s="6">
        <v>22172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279451</v>
      </c>
      <c r="E28" s="6">
        <v>16502</v>
      </c>
      <c r="F28" s="6">
        <v>21896</v>
      </c>
      <c r="G28" s="6">
        <v>35425</v>
      </c>
      <c r="H28" s="6">
        <v>49112</v>
      </c>
      <c r="I28" s="6">
        <v>53908</v>
      </c>
      <c r="J28" s="6">
        <v>44811</v>
      </c>
      <c r="K28" s="6">
        <v>29213</v>
      </c>
      <c r="L28" s="6">
        <v>15823</v>
      </c>
      <c r="M28" s="6">
        <v>12761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273487</v>
      </c>
      <c r="E29" s="6">
        <v>7507</v>
      </c>
      <c r="F29" s="6">
        <v>17235</v>
      </c>
      <c r="G29" s="6">
        <v>38114</v>
      </c>
      <c r="H29" s="6">
        <v>57882</v>
      </c>
      <c r="I29" s="6">
        <v>59146</v>
      </c>
      <c r="J29" s="6">
        <v>44928</v>
      </c>
      <c r="K29" s="6">
        <v>26242</v>
      </c>
      <c r="L29" s="6">
        <v>13022</v>
      </c>
      <c r="M29" s="6">
        <v>9411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592686</v>
      </c>
      <c r="E30" s="6">
        <v>32438</v>
      </c>
      <c r="F30" s="6">
        <v>45383</v>
      </c>
      <c r="G30" s="6">
        <v>72966</v>
      </c>
      <c r="H30" s="6">
        <v>102207</v>
      </c>
      <c r="I30" s="6">
        <v>113474</v>
      </c>
      <c r="J30" s="6">
        <v>96547</v>
      </c>
      <c r="K30" s="6">
        <v>64738</v>
      </c>
      <c r="L30" s="6">
        <v>35231</v>
      </c>
      <c r="M30" s="6">
        <v>29702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295222</v>
      </c>
      <c r="E31" s="6">
        <v>23032</v>
      </c>
      <c r="F31" s="6">
        <v>27838</v>
      </c>
      <c r="G31" s="6">
        <v>40447</v>
      </c>
      <c r="H31" s="6">
        <v>51970</v>
      </c>
      <c r="I31" s="6">
        <v>54008</v>
      </c>
      <c r="J31" s="6">
        <v>43851</v>
      </c>
      <c r="K31" s="6">
        <v>27832</v>
      </c>
      <c r="L31" s="6">
        <v>14659</v>
      </c>
      <c r="M31" s="6">
        <v>11585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297464</v>
      </c>
      <c r="E32" s="6">
        <v>9406</v>
      </c>
      <c r="F32" s="6">
        <v>17545</v>
      </c>
      <c r="G32" s="6">
        <v>32519</v>
      </c>
      <c r="H32" s="6">
        <v>50237</v>
      </c>
      <c r="I32" s="6">
        <v>59466</v>
      </c>
      <c r="J32" s="6">
        <v>52696</v>
      </c>
      <c r="K32" s="6">
        <v>36906</v>
      </c>
      <c r="L32" s="6">
        <v>20572</v>
      </c>
      <c r="M32" s="6">
        <v>18117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604266</v>
      </c>
      <c r="E33" s="6">
        <v>44296</v>
      </c>
      <c r="F33" s="6">
        <v>55568</v>
      </c>
      <c r="G33" s="6">
        <v>79632</v>
      </c>
      <c r="H33" s="6">
        <v>100499</v>
      </c>
      <c r="I33" s="6">
        <v>106561</v>
      </c>
      <c r="J33" s="6">
        <v>91288</v>
      </c>
      <c r="K33" s="6">
        <v>62189</v>
      </c>
      <c r="L33" s="6">
        <v>34718</v>
      </c>
      <c r="M33" s="6">
        <v>29515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287268</v>
      </c>
      <c r="E34" s="6">
        <v>29245</v>
      </c>
      <c r="F34" s="6">
        <v>31692</v>
      </c>
      <c r="G34" s="6">
        <v>42460</v>
      </c>
      <c r="H34" s="6">
        <v>50996</v>
      </c>
      <c r="I34" s="6">
        <v>49842</v>
      </c>
      <c r="J34" s="6">
        <v>38837</v>
      </c>
      <c r="K34" s="6">
        <v>23636</v>
      </c>
      <c r="L34" s="6">
        <v>11778</v>
      </c>
      <c r="M34" s="6">
        <v>8782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316998</v>
      </c>
      <c r="E35" s="6">
        <v>15051</v>
      </c>
      <c r="F35" s="6">
        <v>23876</v>
      </c>
      <c r="G35" s="6">
        <v>37172</v>
      </c>
      <c r="H35" s="6">
        <v>49503</v>
      </c>
      <c r="I35" s="6">
        <v>56719</v>
      </c>
      <c r="J35" s="6">
        <v>52451</v>
      </c>
      <c r="K35" s="6">
        <v>38553</v>
      </c>
      <c r="L35" s="6">
        <v>22940</v>
      </c>
      <c r="M35" s="6">
        <v>20733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1119541</v>
      </c>
      <c r="E36" s="6">
        <v>121312</v>
      </c>
      <c r="F36" s="6">
        <v>138391</v>
      </c>
      <c r="G36" s="6">
        <v>175642</v>
      </c>
      <c r="H36" s="6">
        <v>189763</v>
      </c>
      <c r="I36" s="6">
        <v>178221</v>
      </c>
      <c r="J36" s="6">
        <v>140495</v>
      </c>
      <c r="K36" s="6">
        <v>89367</v>
      </c>
      <c r="L36" s="6">
        <v>47829</v>
      </c>
      <c r="M36" s="6">
        <v>38521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526188</v>
      </c>
      <c r="E37" s="6">
        <v>76023</v>
      </c>
      <c r="F37" s="6">
        <v>71679</v>
      </c>
      <c r="G37" s="6">
        <v>86607</v>
      </c>
      <c r="H37" s="6">
        <v>91892</v>
      </c>
      <c r="I37" s="6">
        <v>81804</v>
      </c>
      <c r="J37" s="6">
        <v>58460</v>
      </c>
      <c r="K37" s="6">
        <v>33072</v>
      </c>
      <c r="L37" s="6">
        <v>15779</v>
      </c>
      <c r="M37" s="6">
        <v>10872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593353</v>
      </c>
      <c r="E38" s="6">
        <v>45289</v>
      </c>
      <c r="F38" s="6">
        <v>66712</v>
      </c>
      <c r="G38" s="6">
        <v>89035</v>
      </c>
      <c r="H38" s="6">
        <v>97871</v>
      </c>
      <c r="I38" s="6">
        <v>96417</v>
      </c>
      <c r="J38" s="6">
        <v>82035</v>
      </c>
      <c r="K38" s="6">
        <v>56295</v>
      </c>
      <c r="L38" s="6">
        <v>32050</v>
      </c>
      <c r="M38" s="6">
        <v>27649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484643</v>
      </c>
      <c r="E39" s="6">
        <v>73074</v>
      </c>
      <c r="F39" s="6">
        <v>74840</v>
      </c>
      <c r="G39" s="6">
        <v>85156</v>
      </c>
      <c r="H39" s="6">
        <v>82029</v>
      </c>
      <c r="I39" s="6">
        <v>67971</v>
      </c>
      <c r="J39" s="6">
        <v>48252</v>
      </c>
      <c r="K39" s="6">
        <v>28451</v>
      </c>
      <c r="L39" s="6">
        <v>14251</v>
      </c>
      <c r="M39" s="6">
        <v>10619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225708</v>
      </c>
      <c r="E40" s="6">
        <v>44963</v>
      </c>
      <c r="F40" s="6">
        <v>37004</v>
      </c>
      <c r="G40" s="6">
        <v>39291</v>
      </c>
      <c r="H40" s="6">
        <v>37472</v>
      </c>
      <c r="I40" s="6">
        <v>29964</v>
      </c>
      <c r="J40" s="6">
        <v>19477</v>
      </c>
      <c r="K40" s="6">
        <v>10229</v>
      </c>
      <c r="L40" s="6">
        <v>4485</v>
      </c>
      <c r="M40" s="6">
        <v>2823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258935</v>
      </c>
      <c r="E41" s="6">
        <v>28111</v>
      </c>
      <c r="F41" s="6">
        <v>37836</v>
      </c>
      <c r="G41" s="6">
        <v>45865</v>
      </c>
      <c r="H41" s="6">
        <v>44557</v>
      </c>
      <c r="I41" s="6">
        <v>38007</v>
      </c>
      <c r="J41" s="6">
        <v>28775</v>
      </c>
      <c r="K41" s="6">
        <v>18222</v>
      </c>
      <c r="L41" s="6">
        <v>9766</v>
      </c>
      <c r="M41" s="6">
        <v>7796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365025</v>
      </c>
      <c r="E42" s="6">
        <v>67864</v>
      </c>
      <c r="F42" s="6">
        <v>64454</v>
      </c>
      <c r="G42" s="6">
        <v>68494</v>
      </c>
      <c r="H42" s="6">
        <v>60106</v>
      </c>
      <c r="I42" s="6">
        <v>45726</v>
      </c>
      <c r="J42" s="6">
        <v>29387</v>
      </c>
      <c r="K42" s="6">
        <v>16108</v>
      </c>
      <c r="L42" s="6">
        <v>7551</v>
      </c>
      <c r="M42" s="6">
        <v>5335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169745</v>
      </c>
      <c r="E43" s="6">
        <v>40830</v>
      </c>
      <c r="F43" s="6">
        <v>30723</v>
      </c>
      <c r="G43" s="6">
        <v>30566</v>
      </c>
      <c r="H43" s="6">
        <v>26520</v>
      </c>
      <c r="I43" s="6">
        <v>19705</v>
      </c>
      <c r="J43" s="6">
        <v>11771</v>
      </c>
      <c r="K43" s="6">
        <v>5735</v>
      </c>
      <c r="L43" s="6">
        <v>2428</v>
      </c>
      <c r="M43" s="6">
        <v>1467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195280</v>
      </c>
      <c r="E44" s="6">
        <v>27034</v>
      </c>
      <c r="F44" s="6">
        <v>33731</v>
      </c>
      <c r="G44" s="6">
        <v>37928</v>
      </c>
      <c r="H44" s="6">
        <v>33586</v>
      </c>
      <c r="I44" s="6">
        <v>26021</v>
      </c>
      <c r="J44" s="6">
        <v>17616</v>
      </c>
      <c r="K44" s="6">
        <v>10373</v>
      </c>
      <c r="L44" s="6">
        <v>5123</v>
      </c>
      <c r="M44" s="6">
        <v>3868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250009</v>
      </c>
      <c r="E45" s="6">
        <v>52423</v>
      </c>
      <c r="F45" s="6">
        <v>47111</v>
      </c>
      <c r="G45" s="6">
        <v>48257</v>
      </c>
      <c r="H45" s="6">
        <v>40384</v>
      </c>
      <c r="I45" s="6">
        <v>28697</v>
      </c>
      <c r="J45" s="6">
        <v>17514</v>
      </c>
      <c r="K45" s="6">
        <v>8817</v>
      </c>
      <c r="L45" s="6">
        <v>4092</v>
      </c>
      <c r="M45" s="6">
        <v>2714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116557</v>
      </c>
      <c r="E46" s="6">
        <v>30882</v>
      </c>
      <c r="F46" s="6">
        <v>22201</v>
      </c>
      <c r="G46" s="6">
        <v>21163</v>
      </c>
      <c r="H46" s="6">
        <v>17611</v>
      </c>
      <c r="I46" s="6">
        <v>12488</v>
      </c>
      <c r="J46" s="6">
        <v>7005</v>
      </c>
      <c r="K46" s="6">
        <v>3169</v>
      </c>
      <c r="L46" s="6">
        <v>1301</v>
      </c>
      <c r="M46" s="6">
        <v>737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133452</v>
      </c>
      <c r="E47" s="6">
        <v>21541</v>
      </c>
      <c r="F47" s="6">
        <v>24910</v>
      </c>
      <c r="G47" s="6">
        <v>27094</v>
      </c>
      <c r="H47" s="6">
        <v>22773</v>
      </c>
      <c r="I47" s="6">
        <v>16209</v>
      </c>
      <c r="J47" s="6">
        <v>10509</v>
      </c>
      <c r="K47" s="6">
        <v>5648</v>
      </c>
      <c r="L47" s="6">
        <v>2791</v>
      </c>
      <c r="M47" s="6">
        <v>1977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214612</v>
      </c>
      <c r="E48" s="6">
        <v>49876</v>
      </c>
      <c r="F48" s="6">
        <v>42503</v>
      </c>
      <c r="G48" s="6">
        <v>41653</v>
      </c>
      <c r="H48" s="6">
        <v>33249</v>
      </c>
      <c r="I48" s="6">
        <v>22766</v>
      </c>
      <c r="J48" s="6">
        <v>13341</v>
      </c>
      <c r="K48" s="6">
        <v>6469</v>
      </c>
      <c r="L48" s="6">
        <v>2877</v>
      </c>
      <c r="M48" s="6">
        <v>1878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97950</v>
      </c>
      <c r="E49" s="6">
        <v>28193</v>
      </c>
      <c r="F49" s="6">
        <v>19466</v>
      </c>
      <c r="G49" s="6">
        <v>17809</v>
      </c>
      <c r="H49" s="6">
        <v>14166</v>
      </c>
      <c r="I49" s="6">
        <v>9559</v>
      </c>
      <c r="J49" s="6">
        <v>5154</v>
      </c>
      <c r="K49" s="6">
        <v>2211</v>
      </c>
      <c r="L49" s="6">
        <v>902</v>
      </c>
      <c r="M49" s="6">
        <v>490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116662</v>
      </c>
      <c r="E50" s="6">
        <v>21683</v>
      </c>
      <c r="F50" s="6">
        <v>23037</v>
      </c>
      <c r="G50" s="6">
        <v>23844</v>
      </c>
      <c r="H50" s="6">
        <v>19083</v>
      </c>
      <c r="I50" s="6">
        <v>13207</v>
      </c>
      <c r="J50" s="6">
        <v>8187</v>
      </c>
      <c r="K50" s="6">
        <v>4258</v>
      </c>
      <c r="L50" s="6">
        <v>1975</v>
      </c>
      <c r="M50" s="6">
        <v>1388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41002</v>
      </c>
      <c r="E51" s="6">
        <v>10205</v>
      </c>
      <c r="F51" s="6">
        <v>8271</v>
      </c>
      <c r="G51" s="6">
        <v>7922</v>
      </c>
      <c r="H51" s="6">
        <v>6245</v>
      </c>
      <c r="I51" s="6">
        <v>4127</v>
      </c>
      <c r="J51" s="6">
        <v>2288</v>
      </c>
      <c r="K51" s="6">
        <v>1136</v>
      </c>
      <c r="L51" s="6">
        <v>496</v>
      </c>
      <c r="M51" s="6">
        <v>312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16084</v>
      </c>
      <c r="E52" s="6">
        <v>4805</v>
      </c>
      <c r="F52" s="6">
        <v>3340</v>
      </c>
      <c r="G52" s="6">
        <v>3007</v>
      </c>
      <c r="H52" s="6">
        <v>2334</v>
      </c>
      <c r="I52" s="6">
        <v>1441</v>
      </c>
      <c r="J52" s="6">
        <v>676</v>
      </c>
      <c r="K52" s="6">
        <v>308</v>
      </c>
      <c r="L52" s="6">
        <v>107</v>
      </c>
      <c r="M52" s="6">
        <v>66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24918</v>
      </c>
      <c r="E53" s="6">
        <v>5400</v>
      </c>
      <c r="F53" s="6">
        <v>4931</v>
      </c>
      <c r="G53" s="6">
        <v>4915</v>
      </c>
      <c r="H53" s="6">
        <v>3911</v>
      </c>
      <c r="I53" s="6">
        <v>2686</v>
      </c>
      <c r="J53" s="6">
        <v>1612</v>
      </c>
      <c r="K53" s="6">
        <v>828</v>
      </c>
      <c r="L53" s="6">
        <v>389</v>
      </c>
      <c r="M53" s="6">
        <v>246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E28E-5320-4705-A2EF-303CE39F1D5D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15</v>
      </c>
      <c r="F3" s="5">
        <v>30</v>
      </c>
      <c r="G3" s="5">
        <v>40</v>
      </c>
      <c r="H3" s="5">
        <v>50</v>
      </c>
      <c r="I3" s="5">
        <v>60</v>
      </c>
      <c r="J3" s="5">
        <v>70</v>
      </c>
      <c r="K3" s="5">
        <v>80</v>
      </c>
      <c r="L3" s="5">
        <v>90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30</v>
      </c>
      <c r="F4" s="5">
        <v>40</v>
      </c>
      <c r="G4" s="5">
        <v>50</v>
      </c>
      <c r="H4" s="5">
        <v>60</v>
      </c>
      <c r="I4" s="5">
        <v>70</v>
      </c>
      <c r="J4" s="5">
        <v>80</v>
      </c>
      <c r="K4" s="5">
        <v>90</v>
      </c>
      <c r="L4" s="5">
        <v>130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123</v>
      </c>
      <c r="F5" s="4" t="s">
        <v>124</v>
      </c>
      <c r="G5" s="4" t="s">
        <v>125</v>
      </c>
      <c r="H5" s="4" t="s">
        <v>126</v>
      </c>
      <c r="I5" s="4" t="s">
        <v>127</v>
      </c>
      <c r="J5" s="4" t="s">
        <v>102</v>
      </c>
      <c r="K5" s="4" t="s">
        <v>103</v>
      </c>
      <c r="L5" s="4" t="s">
        <v>128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6013854</v>
      </c>
      <c r="E6" s="6">
        <v>39495</v>
      </c>
      <c r="F6" s="6">
        <v>528148</v>
      </c>
      <c r="G6" s="6">
        <v>1477568</v>
      </c>
      <c r="H6" s="6">
        <v>1652725</v>
      </c>
      <c r="I6" s="6">
        <v>1184921</v>
      </c>
      <c r="J6" s="6">
        <v>652947</v>
      </c>
      <c r="K6" s="6">
        <v>297093</v>
      </c>
      <c r="L6" s="6">
        <v>180957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3306467</v>
      </c>
      <c r="E7" s="6">
        <v>31646</v>
      </c>
      <c r="F7" s="6">
        <v>418707</v>
      </c>
      <c r="G7" s="6">
        <v>1043321</v>
      </c>
      <c r="H7" s="6">
        <v>947482</v>
      </c>
      <c r="I7" s="6">
        <v>523303</v>
      </c>
      <c r="J7" s="6">
        <v>220695</v>
      </c>
      <c r="K7" s="6">
        <v>80344</v>
      </c>
      <c r="L7" s="6">
        <v>40969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2707387</v>
      </c>
      <c r="E8" s="6">
        <v>7849</v>
      </c>
      <c r="F8" s="6">
        <v>109441</v>
      </c>
      <c r="G8" s="6">
        <v>434247</v>
      </c>
      <c r="H8" s="6">
        <v>705243</v>
      </c>
      <c r="I8" s="6">
        <v>661618</v>
      </c>
      <c r="J8" s="6">
        <v>432252</v>
      </c>
      <c r="K8" s="6">
        <v>216749</v>
      </c>
      <c r="L8" s="6">
        <v>139988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106554</v>
      </c>
      <c r="E12" s="6">
        <v>509</v>
      </c>
      <c r="F12" s="6">
        <v>9161</v>
      </c>
      <c r="G12" s="6">
        <v>30249</v>
      </c>
      <c r="H12" s="6">
        <v>34453</v>
      </c>
      <c r="I12" s="6">
        <v>20460</v>
      </c>
      <c r="J12" s="6">
        <v>8174</v>
      </c>
      <c r="K12" s="6">
        <v>2557</v>
      </c>
      <c r="L12" s="6">
        <v>991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106554</v>
      </c>
      <c r="E13" s="6">
        <v>509</v>
      </c>
      <c r="F13" s="6">
        <v>9161</v>
      </c>
      <c r="G13" s="6">
        <v>30249</v>
      </c>
      <c r="H13" s="6">
        <v>34453</v>
      </c>
      <c r="I13" s="6">
        <v>20460</v>
      </c>
      <c r="J13" s="6">
        <v>8174</v>
      </c>
      <c r="K13" s="6">
        <v>2557</v>
      </c>
      <c r="L13" s="6">
        <v>991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196541</v>
      </c>
      <c r="E15" s="6">
        <v>1156</v>
      </c>
      <c r="F15" s="6">
        <v>18390</v>
      </c>
      <c r="G15" s="6">
        <v>56178</v>
      </c>
      <c r="H15" s="6">
        <v>60792</v>
      </c>
      <c r="I15" s="6">
        <v>36847</v>
      </c>
      <c r="J15" s="6">
        <v>15580</v>
      </c>
      <c r="K15" s="6">
        <v>5277</v>
      </c>
      <c r="L15" s="6">
        <v>2321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196541</v>
      </c>
      <c r="E16" s="6">
        <v>1156</v>
      </c>
      <c r="F16" s="6">
        <v>18390</v>
      </c>
      <c r="G16" s="6">
        <v>56178</v>
      </c>
      <c r="H16" s="6">
        <v>60792</v>
      </c>
      <c r="I16" s="6">
        <v>36847</v>
      </c>
      <c r="J16" s="6">
        <v>15580</v>
      </c>
      <c r="K16" s="6">
        <v>5277</v>
      </c>
      <c r="L16" s="6">
        <v>2321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233708</v>
      </c>
      <c r="E18" s="6">
        <v>1596</v>
      </c>
      <c r="F18" s="6">
        <v>25261</v>
      </c>
      <c r="G18" s="6">
        <v>71249</v>
      </c>
      <c r="H18" s="6">
        <v>69728</v>
      </c>
      <c r="I18" s="6">
        <v>40302</v>
      </c>
      <c r="J18" s="6">
        <v>16934</v>
      </c>
      <c r="K18" s="6">
        <v>5946</v>
      </c>
      <c r="L18" s="6">
        <v>2692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233708</v>
      </c>
      <c r="E19" s="6">
        <v>1596</v>
      </c>
      <c r="F19" s="6">
        <v>25261</v>
      </c>
      <c r="G19" s="6">
        <v>71249</v>
      </c>
      <c r="H19" s="6">
        <v>69728</v>
      </c>
      <c r="I19" s="6">
        <v>40302</v>
      </c>
      <c r="J19" s="6">
        <v>16934</v>
      </c>
      <c r="K19" s="6">
        <v>5946</v>
      </c>
      <c r="L19" s="6">
        <v>2692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213470</v>
      </c>
      <c r="E21" s="6">
        <v>1769</v>
      </c>
      <c r="F21" s="6">
        <v>27083</v>
      </c>
      <c r="G21" s="6">
        <v>69520</v>
      </c>
      <c r="H21" s="6">
        <v>61902</v>
      </c>
      <c r="I21" s="6">
        <v>32928</v>
      </c>
      <c r="J21" s="6">
        <v>13367</v>
      </c>
      <c r="K21" s="6">
        <v>4627</v>
      </c>
      <c r="L21" s="6">
        <v>2274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213470</v>
      </c>
      <c r="E22" s="6">
        <v>1769</v>
      </c>
      <c r="F22" s="6">
        <v>27083</v>
      </c>
      <c r="G22" s="6">
        <v>69520</v>
      </c>
      <c r="H22" s="6">
        <v>61902</v>
      </c>
      <c r="I22" s="6">
        <v>32928</v>
      </c>
      <c r="J22" s="6">
        <v>13367</v>
      </c>
      <c r="K22" s="6">
        <v>4627</v>
      </c>
      <c r="L22" s="6">
        <v>2274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1038866</v>
      </c>
      <c r="E24" s="6">
        <v>4982</v>
      </c>
      <c r="F24" s="6">
        <v>83411</v>
      </c>
      <c r="G24" s="6">
        <v>238686</v>
      </c>
      <c r="H24" s="6">
        <v>270019</v>
      </c>
      <c r="I24" s="6">
        <v>211044</v>
      </c>
      <c r="J24" s="6">
        <v>129216</v>
      </c>
      <c r="K24" s="6">
        <v>62542</v>
      </c>
      <c r="L24" s="6">
        <v>38966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542025</v>
      </c>
      <c r="E25" s="6">
        <v>4335</v>
      </c>
      <c r="F25" s="6">
        <v>70502</v>
      </c>
      <c r="G25" s="6">
        <v>178013</v>
      </c>
      <c r="H25" s="6">
        <v>154381</v>
      </c>
      <c r="I25" s="6">
        <v>81625</v>
      </c>
      <c r="J25" s="6">
        <v>34125</v>
      </c>
      <c r="K25" s="6">
        <v>12476</v>
      </c>
      <c r="L25" s="6">
        <v>6568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496841</v>
      </c>
      <c r="E26" s="6">
        <v>647</v>
      </c>
      <c r="F26" s="6">
        <v>12909</v>
      </c>
      <c r="G26" s="6">
        <v>60673</v>
      </c>
      <c r="H26" s="6">
        <v>115638</v>
      </c>
      <c r="I26" s="6">
        <v>129419</v>
      </c>
      <c r="J26" s="6">
        <v>95091</v>
      </c>
      <c r="K26" s="6">
        <v>50066</v>
      </c>
      <c r="L26" s="6">
        <v>32398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552938</v>
      </c>
      <c r="E27" s="6">
        <v>2622</v>
      </c>
      <c r="F27" s="6">
        <v>42403</v>
      </c>
      <c r="G27" s="6">
        <v>125422</v>
      </c>
      <c r="H27" s="6">
        <v>143885</v>
      </c>
      <c r="I27" s="6">
        <v>111823</v>
      </c>
      <c r="J27" s="6">
        <v>69025</v>
      </c>
      <c r="K27" s="6">
        <v>34871</v>
      </c>
      <c r="L27" s="6">
        <v>22887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279451</v>
      </c>
      <c r="E28" s="6">
        <v>2248</v>
      </c>
      <c r="F28" s="6">
        <v>35431</v>
      </c>
      <c r="G28" s="6">
        <v>91211</v>
      </c>
      <c r="H28" s="6">
        <v>79812</v>
      </c>
      <c r="I28" s="6">
        <v>42392</v>
      </c>
      <c r="J28" s="6">
        <v>18027</v>
      </c>
      <c r="K28" s="6">
        <v>6719</v>
      </c>
      <c r="L28" s="6">
        <v>3611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273487</v>
      </c>
      <c r="E29" s="6">
        <v>374</v>
      </c>
      <c r="F29" s="6">
        <v>6972</v>
      </c>
      <c r="G29" s="6">
        <v>34211</v>
      </c>
      <c r="H29" s="6">
        <v>64073</v>
      </c>
      <c r="I29" s="6">
        <v>69431</v>
      </c>
      <c r="J29" s="6">
        <v>50998</v>
      </c>
      <c r="K29" s="6">
        <v>28152</v>
      </c>
      <c r="L29" s="6">
        <v>19276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592687</v>
      </c>
      <c r="E30" s="6">
        <v>2814</v>
      </c>
      <c r="F30" s="6">
        <v>43739</v>
      </c>
      <c r="G30" s="6">
        <v>131337</v>
      </c>
      <c r="H30" s="6">
        <v>155056</v>
      </c>
      <c r="I30" s="6">
        <v>120626</v>
      </c>
      <c r="J30" s="6">
        <v>74524</v>
      </c>
      <c r="K30" s="6">
        <v>37844</v>
      </c>
      <c r="L30" s="6">
        <v>26747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295223</v>
      </c>
      <c r="E31" s="6">
        <v>2397</v>
      </c>
      <c r="F31" s="6">
        <v>36256</v>
      </c>
      <c r="G31" s="6">
        <v>94797</v>
      </c>
      <c r="H31" s="6">
        <v>85103</v>
      </c>
      <c r="I31" s="6">
        <v>46060</v>
      </c>
      <c r="J31" s="6">
        <v>19335</v>
      </c>
      <c r="K31" s="6">
        <v>7286</v>
      </c>
      <c r="L31" s="6">
        <v>3989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297464</v>
      </c>
      <c r="E32" s="6">
        <v>417</v>
      </c>
      <c r="F32" s="6">
        <v>7483</v>
      </c>
      <c r="G32" s="6">
        <v>36540</v>
      </c>
      <c r="H32" s="6">
        <v>69953</v>
      </c>
      <c r="I32" s="6">
        <v>74566</v>
      </c>
      <c r="J32" s="6">
        <v>55189</v>
      </c>
      <c r="K32" s="6">
        <v>30558</v>
      </c>
      <c r="L32" s="6">
        <v>22758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604266</v>
      </c>
      <c r="E33" s="6">
        <v>3032</v>
      </c>
      <c r="F33" s="6">
        <v>45545</v>
      </c>
      <c r="G33" s="6">
        <v>138891</v>
      </c>
      <c r="H33" s="6">
        <v>163799</v>
      </c>
      <c r="I33" s="6">
        <v>124374</v>
      </c>
      <c r="J33" s="6">
        <v>71955</v>
      </c>
      <c r="K33" s="6">
        <v>34418</v>
      </c>
      <c r="L33" s="6">
        <v>22252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287268</v>
      </c>
      <c r="E34" s="6">
        <v>2462</v>
      </c>
      <c r="F34" s="6">
        <v>35500</v>
      </c>
      <c r="G34" s="6">
        <v>92367</v>
      </c>
      <c r="H34" s="6">
        <v>82318</v>
      </c>
      <c r="I34" s="6">
        <v>44789</v>
      </c>
      <c r="J34" s="6">
        <v>19078</v>
      </c>
      <c r="K34" s="6">
        <v>7001</v>
      </c>
      <c r="L34" s="6">
        <v>3753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316998</v>
      </c>
      <c r="E35" s="6">
        <v>570</v>
      </c>
      <c r="F35" s="6">
        <v>10045</v>
      </c>
      <c r="G35" s="6">
        <v>46524</v>
      </c>
      <c r="H35" s="6">
        <v>81481</v>
      </c>
      <c r="I35" s="6">
        <v>79585</v>
      </c>
      <c r="J35" s="6">
        <v>52877</v>
      </c>
      <c r="K35" s="6">
        <v>27417</v>
      </c>
      <c r="L35" s="6">
        <v>18499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1119537</v>
      </c>
      <c r="E36" s="6">
        <v>6351</v>
      </c>
      <c r="F36" s="6">
        <v>90716</v>
      </c>
      <c r="G36" s="6">
        <v>266164</v>
      </c>
      <c r="H36" s="6">
        <v>313643</v>
      </c>
      <c r="I36" s="6">
        <v>228526</v>
      </c>
      <c r="J36" s="6">
        <v>125042</v>
      </c>
      <c r="K36" s="6">
        <v>55642</v>
      </c>
      <c r="L36" s="6">
        <v>33453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526185</v>
      </c>
      <c r="E37" s="6">
        <v>4915</v>
      </c>
      <c r="F37" s="6">
        <v>66722</v>
      </c>
      <c r="G37" s="6">
        <v>164775</v>
      </c>
      <c r="H37" s="6">
        <v>149832</v>
      </c>
      <c r="I37" s="6">
        <v>83344</v>
      </c>
      <c r="J37" s="6">
        <v>36011</v>
      </c>
      <c r="K37" s="6">
        <v>13332</v>
      </c>
      <c r="L37" s="6">
        <v>7254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593352</v>
      </c>
      <c r="E38" s="6">
        <v>1436</v>
      </c>
      <c r="F38" s="6">
        <v>23994</v>
      </c>
      <c r="G38" s="6">
        <v>101389</v>
      </c>
      <c r="H38" s="6">
        <v>163811</v>
      </c>
      <c r="I38" s="6">
        <v>145182</v>
      </c>
      <c r="J38" s="6">
        <v>89031</v>
      </c>
      <c r="K38" s="6">
        <v>42310</v>
      </c>
      <c r="L38" s="6">
        <v>26199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484641</v>
      </c>
      <c r="E39" s="6">
        <v>3810</v>
      </c>
      <c r="F39" s="6">
        <v>44142</v>
      </c>
      <c r="G39" s="6">
        <v>119513</v>
      </c>
      <c r="H39" s="6">
        <v>136467</v>
      </c>
      <c r="I39" s="6">
        <v>96831</v>
      </c>
      <c r="J39" s="6">
        <v>50399</v>
      </c>
      <c r="K39" s="6">
        <v>21491</v>
      </c>
      <c r="L39" s="6">
        <v>11988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225707</v>
      </c>
      <c r="E40" s="6">
        <v>2903</v>
      </c>
      <c r="F40" s="6">
        <v>31308</v>
      </c>
      <c r="G40" s="6">
        <v>70269</v>
      </c>
      <c r="H40" s="6">
        <v>62316</v>
      </c>
      <c r="I40" s="6">
        <v>35329</v>
      </c>
      <c r="J40" s="6">
        <v>14988</v>
      </c>
      <c r="K40" s="6">
        <v>5659</v>
      </c>
      <c r="L40" s="6">
        <v>2935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258934</v>
      </c>
      <c r="E41" s="6">
        <v>907</v>
      </c>
      <c r="F41" s="6">
        <v>12834</v>
      </c>
      <c r="G41" s="6">
        <v>49244</v>
      </c>
      <c r="H41" s="6">
        <v>74151</v>
      </c>
      <c r="I41" s="6">
        <v>61502</v>
      </c>
      <c r="J41" s="6">
        <v>35411</v>
      </c>
      <c r="K41" s="6">
        <v>15832</v>
      </c>
      <c r="L41" s="6">
        <v>9053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365024</v>
      </c>
      <c r="E42" s="6">
        <v>3368</v>
      </c>
      <c r="F42" s="6">
        <v>36632</v>
      </c>
      <c r="G42" s="6">
        <v>93613</v>
      </c>
      <c r="H42" s="6">
        <v>103432</v>
      </c>
      <c r="I42" s="6">
        <v>70246</v>
      </c>
      <c r="J42" s="6">
        <v>35374</v>
      </c>
      <c r="K42" s="6">
        <v>14599</v>
      </c>
      <c r="L42" s="6">
        <v>7760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169745</v>
      </c>
      <c r="E43" s="6">
        <v>2520</v>
      </c>
      <c r="F43" s="6">
        <v>25120</v>
      </c>
      <c r="G43" s="6">
        <v>53003</v>
      </c>
      <c r="H43" s="6">
        <v>46498</v>
      </c>
      <c r="I43" s="6">
        <v>25584</v>
      </c>
      <c r="J43" s="6">
        <v>10843</v>
      </c>
      <c r="K43" s="6">
        <v>4119</v>
      </c>
      <c r="L43" s="6">
        <v>2058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195279</v>
      </c>
      <c r="E44" s="6">
        <v>848</v>
      </c>
      <c r="F44" s="6">
        <v>11512</v>
      </c>
      <c r="G44" s="6">
        <v>40610</v>
      </c>
      <c r="H44" s="6">
        <v>56934</v>
      </c>
      <c r="I44" s="6">
        <v>44662</v>
      </c>
      <c r="J44" s="6">
        <v>24531</v>
      </c>
      <c r="K44" s="6">
        <v>10480</v>
      </c>
      <c r="L44" s="6">
        <v>5702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250009</v>
      </c>
      <c r="E45" s="6">
        <v>2889</v>
      </c>
      <c r="F45" s="6">
        <v>27942</v>
      </c>
      <c r="G45" s="6">
        <v>65856</v>
      </c>
      <c r="H45" s="6">
        <v>70002</v>
      </c>
      <c r="I45" s="6">
        <v>46548</v>
      </c>
      <c r="J45" s="6">
        <v>22767</v>
      </c>
      <c r="K45" s="6">
        <v>9360</v>
      </c>
      <c r="L45" s="6">
        <v>4645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116557</v>
      </c>
      <c r="E46" s="6">
        <v>2110</v>
      </c>
      <c r="F46" s="6">
        <v>18443</v>
      </c>
      <c r="G46" s="6">
        <v>36259</v>
      </c>
      <c r="H46" s="6">
        <v>31147</v>
      </c>
      <c r="I46" s="6">
        <v>17207</v>
      </c>
      <c r="J46" s="6">
        <v>7269</v>
      </c>
      <c r="K46" s="6">
        <v>2789</v>
      </c>
      <c r="L46" s="6">
        <v>1333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133452</v>
      </c>
      <c r="E47" s="6">
        <v>779</v>
      </c>
      <c r="F47" s="6">
        <v>9499</v>
      </c>
      <c r="G47" s="6">
        <v>29597</v>
      </c>
      <c r="H47" s="6">
        <v>38855</v>
      </c>
      <c r="I47" s="6">
        <v>29341</v>
      </c>
      <c r="J47" s="6">
        <v>15498</v>
      </c>
      <c r="K47" s="6">
        <v>6571</v>
      </c>
      <c r="L47" s="6">
        <v>3312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214612</v>
      </c>
      <c r="E48" s="6">
        <v>3374</v>
      </c>
      <c r="F48" s="6">
        <v>27101</v>
      </c>
      <c r="G48" s="6">
        <v>59058</v>
      </c>
      <c r="H48" s="6">
        <v>59012</v>
      </c>
      <c r="I48" s="6">
        <v>37999</v>
      </c>
      <c r="J48" s="6">
        <v>17689</v>
      </c>
      <c r="K48" s="6">
        <v>6876</v>
      </c>
      <c r="L48" s="6">
        <v>3503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97950</v>
      </c>
      <c r="E49" s="6">
        <v>2198</v>
      </c>
      <c r="F49" s="6">
        <v>16633</v>
      </c>
      <c r="G49" s="6">
        <v>30476</v>
      </c>
      <c r="H49" s="6">
        <v>25225</v>
      </c>
      <c r="I49" s="6">
        <v>14169</v>
      </c>
      <c r="J49" s="6">
        <v>5991</v>
      </c>
      <c r="K49" s="6">
        <v>2230</v>
      </c>
      <c r="L49" s="6">
        <v>1028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116662</v>
      </c>
      <c r="E50" s="6">
        <v>1176</v>
      </c>
      <c r="F50" s="6">
        <v>10468</v>
      </c>
      <c r="G50" s="6">
        <v>28582</v>
      </c>
      <c r="H50" s="6">
        <v>33787</v>
      </c>
      <c r="I50" s="6">
        <v>23830</v>
      </c>
      <c r="J50" s="6">
        <v>11698</v>
      </c>
      <c r="K50" s="6">
        <v>4646</v>
      </c>
      <c r="L50" s="6">
        <v>2475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41001</v>
      </c>
      <c r="E51" s="6">
        <v>1223</v>
      </c>
      <c r="F51" s="6">
        <v>6622</v>
      </c>
      <c r="G51" s="6">
        <v>11832</v>
      </c>
      <c r="H51" s="6">
        <v>10535</v>
      </c>
      <c r="I51" s="6">
        <v>6367</v>
      </c>
      <c r="J51" s="6">
        <v>2901</v>
      </c>
      <c r="K51" s="6">
        <v>1043</v>
      </c>
      <c r="L51" s="6">
        <v>478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16083</v>
      </c>
      <c r="E52" s="6">
        <v>528</v>
      </c>
      <c r="F52" s="6">
        <v>2897</v>
      </c>
      <c r="G52" s="6">
        <v>4955</v>
      </c>
      <c r="H52" s="6">
        <v>3975</v>
      </c>
      <c r="I52" s="6">
        <v>2267</v>
      </c>
      <c r="J52" s="6">
        <v>973</v>
      </c>
      <c r="K52" s="6">
        <v>326</v>
      </c>
      <c r="L52" s="6">
        <v>162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24918</v>
      </c>
      <c r="E53" s="6">
        <v>695</v>
      </c>
      <c r="F53" s="6">
        <v>3725</v>
      </c>
      <c r="G53" s="6">
        <v>6877</v>
      </c>
      <c r="H53" s="6">
        <v>6560</v>
      </c>
      <c r="I53" s="6">
        <v>4100</v>
      </c>
      <c r="J53" s="6">
        <v>1928</v>
      </c>
      <c r="K53" s="6">
        <v>717</v>
      </c>
      <c r="L53" s="6">
        <v>316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467C6-7CFC-4613-A294-CC2A2A76DC38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20</v>
      </c>
      <c r="F3" s="5">
        <v>50</v>
      </c>
      <c r="G3" s="5">
        <v>100</v>
      </c>
      <c r="H3" s="5">
        <v>150</v>
      </c>
      <c r="I3" s="5">
        <v>200</v>
      </c>
      <c r="J3" s="5">
        <v>300</v>
      </c>
      <c r="K3" s="5">
        <v>400</v>
      </c>
      <c r="L3" s="5">
        <v>500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50</v>
      </c>
      <c r="F4" s="5">
        <v>100</v>
      </c>
      <c r="G4" s="5">
        <v>150</v>
      </c>
      <c r="H4" s="5">
        <v>200</v>
      </c>
      <c r="I4" s="5">
        <v>300</v>
      </c>
      <c r="J4" s="5">
        <v>400</v>
      </c>
      <c r="K4" s="5">
        <v>500</v>
      </c>
      <c r="L4" s="5">
        <v>1000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130</v>
      </c>
      <c r="F5" s="4" t="s">
        <v>131</v>
      </c>
      <c r="G5" s="4" t="s">
        <v>132</v>
      </c>
      <c r="H5" s="4" t="s">
        <v>133</v>
      </c>
      <c r="I5" s="4" t="s">
        <v>134</v>
      </c>
      <c r="J5" s="4" t="s">
        <v>135</v>
      </c>
      <c r="K5" s="4" t="s">
        <v>136</v>
      </c>
      <c r="L5" s="4" t="s">
        <v>137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6013843</v>
      </c>
      <c r="E6" s="6">
        <v>394970</v>
      </c>
      <c r="F6" s="6">
        <v>2364528</v>
      </c>
      <c r="G6" s="6">
        <v>1650523</v>
      </c>
      <c r="H6" s="6">
        <v>791860</v>
      </c>
      <c r="I6" s="6">
        <v>555064</v>
      </c>
      <c r="J6" s="6">
        <v>152057</v>
      </c>
      <c r="K6" s="6">
        <v>50957</v>
      </c>
      <c r="L6" s="6">
        <v>53884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3306460</v>
      </c>
      <c r="E7" s="6">
        <v>163829</v>
      </c>
      <c r="F7" s="6">
        <v>1105848</v>
      </c>
      <c r="G7" s="6">
        <v>921943</v>
      </c>
      <c r="H7" s="6">
        <v>506900</v>
      </c>
      <c r="I7" s="6">
        <v>398479</v>
      </c>
      <c r="J7" s="6">
        <v>120289</v>
      </c>
      <c r="K7" s="6">
        <v>42388</v>
      </c>
      <c r="L7" s="6">
        <v>46784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2707383</v>
      </c>
      <c r="E8" s="6">
        <v>231141</v>
      </c>
      <c r="F8" s="6">
        <v>1258680</v>
      </c>
      <c r="G8" s="6">
        <v>728580</v>
      </c>
      <c r="H8" s="6">
        <v>284960</v>
      </c>
      <c r="I8" s="6">
        <v>156585</v>
      </c>
      <c r="J8" s="6">
        <v>31768</v>
      </c>
      <c r="K8" s="6">
        <v>8569</v>
      </c>
      <c r="L8" s="6">
        <v>7100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106554</v>
      </c>
      <c r="E12" s="6">
        <v>12448</v>
      </c>
      <c r="F12" s="6">
        <v>50535</v>
      </c>
      <c r="G12" s="6">
        <v>24677</v>
      </c>
      <c r="H12" s="6">
        <v>9862</v>
      </c>
      <c r="I12" s="6">
        <v>6414</v>
      </c>
      <c r="J12" s="6">
        <v>1573</v>
      </c>
      <c r="K12" s="6">
        <v>478</v>
      </c>
      <c r="L12" s="6">
        <v>567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106554</v>
      </c>
      <c r="E13" s="6">
        <v>12448</v>
      </c>
      <c r="F13" s="6">
        <v>50535</v>
      </c>
      <c r="G13" s="6">
        <v>24677</v>
      </c>
      <c r="H13" s="6">
        <v>9862</v>
      </c>
      <c r="I13" s="6">
        <v>6414</v>
      </c>
      <c r="J13" s="6">
        <v>1573</v>
      </c>
      <c r="K13" s="6">
        <v>478</v>
      </c>
      <c r="L13" s="6">
        <v>567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196542</v>
      </c>
      <c r="E15" s="6">
        <v>17037</v>
      </c>
      <c r="F15" s="6">
        <v>83550</v>
      </c>
      <c r="G15" s="6">
        <v>48981</v>
      </c>
      <c r="H15" s="6">
        <v>22341</v>
      </c>
      <c r="I15" s="6">
        <v>16286</v>
      </c>
      <c r="J15" s="6">
        <v>4676</v>
      </c>
      <c r="K15" s="6">
        <v>1622</v>
      </c>
      <c r="L15" s="6">
        <v>2049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196542</v>
      </c>
      <c r="E16" s="6">
        <v>17037</v>
      </c>
      <c r="F16" s="6">
        <v>83550</v>
      </c>
      <c r="G16" s="6">
        <v>48981</v>
      </c>
      <c r="H16" s="6">
        <v>22341</v>
      </c>
      <c r="I16" s="6">
        <v>16286</v>
      </c>
      <c r="J16" s="6">
        <v>4676</v>
      </c>
      <c r="K16" s="6">
        <v>1622</v>
      </c>
      <c r="L16" s="6">
        <v>2049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233705</v>
      </c>
      <c r="E18" s="6">
        <v>14983</v>
      </c>
      <c r="F18" s="6">
        <v>86280</v>
      </c>
      <c r="G18" s="6">
        <v>60549</v>
      </c>
      <c r="H18" s="6">
        <v>32007</v>
      </c>
      <c r="I18" s="6">
        <v>25287</v>
      </c>
      <c r="J18" s="6">
        <v>7884</v>
      </c>
      <c r="K18" s="6">
        <v>2904</v>
      </c>
      <c r="L18" s="6">
        <v>3811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233705</v>
      </c>
      <c r="E19" s="6">
        <v>14983</v>
      </c>
      <c r="F19" s="6">
        <v>86280</v>
      </c>
      <c r="G19" s="6">
        <v>60549</v>
      </c>
      <c r="H19" s="6">
        <v>32007</v>
      </c>
      <c r="I19" s="6">
        <v>25287</v>
      </c>
      <c r="J19" s="6">
        <v>7884</v>
      </c>
      <c r="K19" s="6">
        <v>2904</v>
      </c>
      <c r="L19" s="6">
        <v>3811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213470</v>
      </c>
      <c r="E21" s="6">
        <v>9798</v>
      </c>
      <c r="F21" s="6">
        <v>67686</v>
      </c>
      <c r="G21" s="6">
        <v>56584</v>
      </c>
      <c r="H21" s="6">
        <v>33048</v>
      </c>
      <c r="I21" s="6">
        <v>28469</v>
      </c>
      <c r="J21" s="6">
        <v>9642</v>
      </c>
      <c r="K21" s="6">
        <v>3636</v>
      </c>
      <c r="L21" s="6">
        <v>4607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213470</v>
      </c>
      <c r="E22" s="6">
        <v>9798</v>
      </c>
      <c r="F22" s="6">
        <v>67686</v>
      </c>
      <c r="G22" s="6">
        <v>56584</v>
      </c>
      <c r="H22" s="6">
        <v>33048</v>
      </c>
      <c r="I22" s="6">
        <v>28469</v>
      </c>
      <c r="J22" s="6">
        <v>9642</v>
      </c>
      <c r="K22" s="6">
        <v>3636</v>
      </c>
      <c r="L22" s="6">
        <v>4607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1038866</v>
      </c>
      <c r="E24" s="6">
        <v>83381</v>
      </c>
      <c r="F24" s="6">
        <v>411724</v>
      </c>
      <c r="G24" s="6">
        <v>249037</v>
      </c>
      <c r="H24" s="6">
        <v>128752</v>
      </c>
      <c r="I24" s="6">
        <v>105153</v>
      </c>
      <c r="J24" s="6">
        <v>33576</v>
      </c>
      <c r="K24" s="6">
        <v>12660</v>
      </c>
      <c r="L24" s="6">
        <v>14583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542025</v>
      </c>
      <c r="E25" s="6">
        <v>19557</v>
      </c>
      <c r="F25" s="6">
        <v>146888</v>
      </c>
      <c r="G25" s="6">
        <v>145534</v>
      </c>
      <c r="H25" s="6">
        <v>92787</v>
      </c>
      <c r="I25" s="6">
        <v>84411</v>
      </c>
      <c r="J25" s="6">
        <v>28699</v>
      </c>
      <c r="K25" s="6">
        <v>11154</v>
      </c>
      <c r="L25" s="6">
        <v>12995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496841</v>
      </c>
      <c r="E26" s="6">
        <v>63824</v>
      </c>
      <c r="F26" s="6">
        <v>264836</v>
      </c>
      <c r="G26" s="6">
        <v>103503</v>
      </c>
      <c r="H26" s="6">
        <v>35965</v>
      </c>
      <c r="I26" s="6">
        <v>20742</v>
      </c>
      <c r="J26" s="6">
        <v>4877</v>
      </c>
      <c r="K26" s="6">
        <v>1506</v>
      </c>
      <c r="L26" s="6">
        <v>1588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552937</v>
      </c>
      <c r="E27" s="6">
        <v>37007</v>
      </c>
      <c r="F27" s="6">
        <v>209936</v>
      </c>
      <c r="G27" s="6">
        <v>140680</v>
      </c>
      <c r="H27" s="6">
        <v>74097</v>
      </c>
      <c r="I27" s="6">
        <v>58909</v>
      </c>
      <c r="J27" s="6">
        <v>18436</v>
      </c>
      <c r="K27" s="6">
        <v>6622</v>
      </c>
      <c r="L27" s="6">
        <v>7250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279450</v>
      </c>
      <c r="E28" s="6">
        <v>8409</v>
      </c>
      <c r="F28" s="6">
        <v>71819</v>
      </c>
      <c r="G28" s="6">
        <v>76417</v>
      </c>
      <c r="H28" s="6">
        <v>50252</v>
      </c>
      <c r="I28" s="6">
        <v>45234</v>
      </c>
      <c r="J28" s="6">
        <v>15362</v>
      </c>
      <c r="K28" s="6">
        <v>5642</v>
      </c>
      <c r="L28" s="6">
        <v>6315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273487</v>
      </c>
      <c r="E29" s="6">
        <v>28598</v>
      </c>
      <c r="F29" s="6">
        <v>138117</v>
      </c>
      <c r="G29" s="6">
        <v>64263</v>
      </c>
      <c r="H29" s="6">
        <v>23845</v>
      </c>
      <c r="I29" s="6">
        <v>13675</v>
      </c>
      <c r="J29" s="6">
        <v>3074</v>
      </c>
      <c r="K29" s="6">
        <v>980</v>
      </c>
      <c r="L29" s="6">
        <v>935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592682</v>
      </c>
      <c r="E30" s="6">
        <v>37652</v>
      </c>
      <c r="F30" s="6">
        <v>221518</v>
      </c>
      <c r="G30" s="6">
        <v>158961</v>
      </c>
      <c r="H30" s="6">
        <v>81781</v>
      </c>
      <c r="I30" s="6">
        <v>62067</v>
      </c>
      <c r="J30" s="6">
        <v>18170</v>
      </c>
      <c r="K30" s="6">
        <v>6120</v>
      </c>
      <c r="L30" s="6">
        <v>6413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295219</v>
      </c>
      <c r="E31" s="6">
        <v>9712</v>
      </c>
      <c r="F31" s="6">
        <v>79691</v>
      </c>
      <c r="G31" s="6">
        <v>83421</v>
      </c>
      <c r="H31" s="6">
        <v>52446</v>
      </c>
      <c r="I31" s="6">
        <v>45018</v>
      </c>
      <c r="J31" s="6">
        <v>14386</v>
      </c>
      <c r="K31" s="6">
        <v>5062</v>
      </c>
      <c r="L31" s="6">
        <v>5483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297463</v>
      </c>
      <c r="E32" s="6">
        <v>27940</v>
      </c>
      <c r="F32" s="6">
        <v>141827</v>
      </c>
      <c r="G32" s="6">
        <v>75540</v>
      </c>
      <c r="H32" s="6">
        <v>29335</v>
      </c>
      <c r="I32" s="6">
        <v>17049</v>
      </c>
      <c r="J32" s="6">
        <v>3784</v>
      </c>
      <c r="K32" s="6">
        <v>1058</v>
      </c>
      <c r="L32" s="6">
        <v>930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604265</v>
      </c>
      <c r="E33" s="6">
        <v>37372</v>
      </c>
      <c r="F33" s="6">
        <v>228045</v>
      </c>
      <c r="G33" s="6">
        <v>168398</v>
      </c>
      <c r="H33" s="6">
        <v>83840</v>
      </c>
      <c r="I33" s="6">
        <v>59770</v>
      </c>
      <c r="J33" s="6">
        <v>16278</v>
      </c>
      <c r="K33" s="6">
        <v>5287</v>
      </c>
      <c r="L33" s="6">
        <v>5275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287267</v>
      </c>
      <c r="E34" s="6">
        <v>10507</v>
      </c>
      <c r="F34" s="6">
        <v>84838</v>
      </c>
      <c r="G34" s="6">
        <v>82711</v>
      </c>
      <c r="H34" s="6">
        <v>49043</v>
      </c>
      <c r="I34" s="6">
        <v>39744</v>
      </c>
      <c r="J34" s="6">
        <v>12005</v>
      </c>
      <c r="K34" s="6">
        <v>4157</v>
      </c>
      <c r="L34" s="6">
        <v>4262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316998</v>
      </c>
      <c r="E35" s="6">
        <v>26865</v>
      </c>
      <c r="F35" s="6">
        <v>143207</v>
      </c>
      <c r="G35" s="6">
        <v>85687</v>
      </c>
      <c r="H35" s="6">
        <v>34797</v>
      </c>
      <c r="I35" s="6">
        <v>20026</v>
      </c>
      <c r="J35" s="6">
        <v>4273</v>
      </c>
      <c r="K35" s="6">
        <v>1130</v>
      </c>
      <c r="L35" s="6">
        <v>1013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1119537</v>
      </c>
      <c r="E36" s="6">
        <v>70161</v>
      </c>
      <c r="F36" s="6">
        <v>440859</v>
      </c>
      <c r="G36" s="6">
        <v>323490</v>
      </c>
      <c r="H36" s="6">
        <v>150872</v>
      </c>
      <c r="I36" s="6">
        <v>97253</v>
      </c>
      <c r="J36" s="6">
        <v>23606</v>
      </c>
      <c r="K36" s="6">
        <v>7120</v>
      </c>
      <c r="L36" s="6">
        <v>6176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526186</v>
      </c>
      <c r="E37" s="6">
        <v>24934</v>
      </c>
      <c r="F37" s="6">
        <v>178017</v>
      </c>
      <c r="G37" s="6">
        <v>155054</v>
      </c>
      <c r="H37" s="6">
        <v>82670</v>
      </c>
      <c r="I37" s="6">
        <v>59624</v>
      </c>
      <c r="J37" s="6">
        <v>16033</v>
      </c>
      <c r="K37" s="6">
        <v>5129</v>
      </c>
      <c r="L37" s="6">
        <v>4725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593351</v>
      </c>
      <c r="E38" s="6">
        <v>45227</v>
      </c>
      <c r="F38" s="6">
        <v>262842</v>
      </c>
      <c r="G38" s="6">
        <v>168436</v>
      </c>
      <c r="H38" s="6">
        <v>68202</v>
      </c>
      <c r="I38" s="6">
        <v>37629</v>
      </c>
      <c r="J38" s="6">
        <v>7573</v>
      </c>
      <c r="K38" s="6">
        <v>1991</v>
      </c>
      <c r="L38" s="6">
        <v>1451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484641</v>
      </c>
      <c r="E39" s="6">
        <v>29665</v>
      </c>
      <c r="F39" s="6">
        <v>199069</v>
      </c>
      <c r="G39" s="6">
        <v>145189</v>
      </c>
      <c r="H39" s="6">
        <v>62861</v>
      </c>
      <c r="I39" s="6">
        <v>36638</v>
      </c>
      <c r="J39" s="6">
        <v>7634</v>
      </c>
      <c r="K39" s="6">
        <v>2050</v>
      </c>
      <c r="L39" s="6">
        <v>1535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225707</v>
      </c>
      <c r="E40" s="6">
        <v>12803</v>
      </c>
      <c r="F40" s="6">
        <v>86000</v>
      </c>
      <c r="G40" s="6">
        <v>67429</v>
      </c>
      <c r="H40" s="6">
        <v>32047</v>
      </c>
      <c r="I40" s="6">
        <v>20322</v>
      </c>
      <c r="J40" s="6">
        <v>4680</v>
      </c>
      <c r="K40" s="6">
        <v>1336</v>
      </c>
      <c r="L40" s="6">
        <v>1090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258934</v>
      </c>
      <c r="E41" s="6">
        <v>16862</v>
      </c>
      <c r="F41" s="6">
        <v>113069</v>
      </c>
      <c r="G41" s="6">
        <v>77760</v>
      </c>
      <c r="H41" s="6">
        <v>30814</v>
      </c>
      <c r="I41" s="6">
        <v>16316</v>
      </c>
      <c r="J41" s="6">
        <v>2954</v>
      </c>
      <c r="K41" s="6">
        <v>714</v>
      </c>
      <c r="L41" s="6">
        <v>445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365024</v>
      </c>
      <c r="E42" s="6">
        <v>21110</v>
      </c>
      <c r="F42" s="6">
        <v>152140</v>
      </c>
      <c r="G42" s="6">
        <v>112140</v>
      </c>
      <c r="H42" s="6">
        <v>47139</v>
      </c>
      <c r="I42" s="6">
        <v>25740</v>
      </c>
      <c r="J42" s="6">
        <v>4816</v>
      </c>
      <c r="K42" s="6">
        <v>1127</v>
      </c>
      <c r="L42" s="6">
        <v>812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169745</v>
      </c>
      <c r="E43" s="6">
        <v>10115</v>
      </c>
      <c r="F43" s="6">
        <v>69006</v>
      </c>
      <c r="G43" s="6">
        <v>50884</v>
      </c>
      <c r="H43" s="6">
        <v>22630</v>
      </c>
      <c r="I43" s="6">
        <v>13228</v>
      </c>
      <c r="J43" s="6">
        <v>2722</v>
      </c>
      <c r="K43" s="6">
        <v>656</v>
      </c>
      <c r="L43" s="6">
        <v>504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195279</v>
      </c>
      <c r="E44" s="6">
        <v>10995</v>
      </c>
      <c r="F44" s="6">
        <v>83134</v>
      </c>
      <c r="G44" s="6">
        <v>61256</v>
      </c>
      <c r="H44" s="6">
        <v>24509</v>
      </c>
      <c r="I44" s="6">
        <v>12512</v>
      </c>
      <c r="J44" s="6">
        <v>2094</v>
      </c>
      <c r="K44" s="6">
        <v>471</v>
      </c>
      <c r="L44" s="6">
        <v>308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250009</v>
      </c>
      <c r="E45" s="6">
        <v>13425</v>
      </c>
      <c r="F45" s="6">
        <v>106163</v>
      </c>
      <c r="G45" s="6">
        <v>78277</v>
      </c>
      <c r="H45" s="6">
        <v>31690</v>
      </c>
      <c r="I45" s="6">
        <v>16393</v>
      </c>
      <c r="J45" s="6">
        <v>2961</v>
      </c>
      <c r="K45" s="6">
        <v>690</v>
      </c>
      <c r="L45" s="6">
        <v>410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116557</v>
      </c>
      <c r="E46" s="6">
        <v>7081</v>
      </c>
      <c r="F46" s="6">
        <v>49939</v>
      </c>
      <c r="G46" s="6">
        <v>35256</v>
      </c>
      <c r="H46" s="6">
        <v>14408</v>
      </c>
      <c r="I46" s="6">
        <v>7791</v>
      </c>
      <c r="J46" s="6">
        <v>1497</v>
      </c>
      <c r="K46" s="6">
        <v>364</v>
      </c>
      <c r="L46" s="6">
        <v>221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133452</v>
      </c>
      <c r="E47" s="6">
        <v>6344</v>
      </c>
      <c r="F47" s="6">
        <v>56224</v>
      </c>
      <c r="G47" s="6">
        <v>43021</v>
      </c>
      <c r="H47" s="6">
        <v>17282</v>
      </c>
      <c r="I47" s="6">
        <v>8602</v>
      </c>
      <c r="J47" s="6">
        <v>1464</v>
      </c>
      <c r="K47" s="6">
        <v>326</v>
      </c>
      <c r="L47" s="6">
        <v>189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214611</v>
      </c>
      <c r="E48" s="6">
        <v>9520</v>
      </c>
      <c r="F48" s="6">
        <v>90190</v>
      </c>
      <c r="G48" s="6">
        <v>69555</v>
      </c>
      <c r="H48" s="6">
        <v>28024</v>
      </c>
      <c r="I48" s="6">
        <v>14063</v>
      </c>
      <c r="J48" s="6">
        <v>2381</v>
      </c>
      <c r="K48" s="6">
        <v>552</v>
      </c>
      <c r="L48" s="6">
        <v>326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97950</v>
      </c>
      <c r="E49" s="6">
        <v>5608</v>
      </c>
      <c r="F49" s="6">
        <v>44032</v>
      </c>
      <c r="G49" s="6">
        <v>29496</v>
      </c>
      <c r="H49" s="6">
        <v>11594</v>
      </c>
      <c r="I49" s="6">
        <v>5850</v>
      </c>
      <c r="J49" s="6">
        <v>1001</v>
      </c>
      <c r="K49" s="6">
        <v>229</v>
      </c>
      <c r="L49" s="6">
        <v>140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116661</v>
      </c>
      <c r="E50" s="6">
        <v>3912</v>
      </c>
      <c r="F50" s="6">
        <v>46158</v>
      </c>
      <c r="G50" s="6">
        <v>40059</v>
      </c>
      <c r="H50" s="6">
        <v>16430</v>
      </c>
      <c r="I50" s="6">
        <v>8213</v>
      </c>
      <c r="J50" s="6">
        <v>1380</v>
      </c>
      <c r="K50" s="6">
        <v>323</v>
      </c>
      <c r="L50" s="6">
        <v>186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41000</v>
      </c>
      <c r="E51" s="6">
        <v>1411</v>
      </c>
      <c r="F51" s="6">
        <v>16833</v>
      </c>
      <c r="G51" s="6">
        <v>14005</v>
      </c>
      <c r="H51" s="6">
        <v>5546</v>
      </c>
      <c r="I51" s="6">
        <v>2622</v>
      </c>
      <c r="J51" s="6">
        <v>424</v>
      </c>
      <c r="K51" s="6">
        <v>89</v>
      </c>
      <c r="L51" s="6">
        <v>70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16083</v>
      </c>
      <c r="E52" s="6">
        <v>837</v>
      </c>
      <c r="F52" s="6">
        <v>7567</v>
      </c>
      <c r="G52" s="6">
        <v>4950</v>
      </c>
      <c r="H52" s="6">
        <v>1765</v>
      </c>
      <c r="I52" s="6">
        <v>801</v>
      </c>
      <c r="J52" s="6">
        <v>129</v>
      </c>
      <c r="K52" s="6">
        <v>19</v>
      </c>
      <c r="L52" s="6">
        <v>15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24917</v>
      </c>
      <c r="E53" s="6">
        <v>574</v>
      </c>
      <c r="F53" s="6">
        <v>9266</v>
      </c>
      <c r="G53" s="6">
        <v>9055</v>
      </c>
      <c r="H53" s="6">
        <v>3781</v>
      </c>
      <c r="I53" s="6">
        <v>1821</v>
      </c>
      <c r="J53" s="6">
        <v>295</v>
      </c>
      <c r="K53" s="6">
        <v>70</v>
      </c>
      <c r="L53" s="6">
        <v>55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9F35-4B24-4F6E-B428-68F1967E73EE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20</v>
      </c>
      <c r="F3" s="5">
        <v>70</v>
      </c>
      <c r="G3" s="5">
        <v>100</v>
      </c>
      <c r="H3" s="5">
        <v>130</v>
      </c>
      <c r="I3" s="5">
        <v>160</v>
      </c>
      <c r="J3" s="5">
        <v>190</v>
      </c>
      <c r="K3" s="5">
        <v>1000000000</v>
      </c>
      <c r="L3" s="5">
        <v>1000000000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70</v>
      </c>
      <c r="F4" s="5">
        <v>100</v>
      </c>
      <c r="G4" s="5">
        <v>130</v>
      </c>
      <c r="H4" s="5">
        <v>160</v>
      </c>
      <c r="I4" s="5">
        <v>190</v>
      </c>
      <c r="J4" s="5">
        <v>300</v>
      </c>
      <c r="K4" s="5">
        <v>2000000000</v>
      </c>
      <c r="L4" s="5">
        <v>2000000000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101</v>
      </c>
      <c r="F5" s="4" t="s">
        <v>139</v>
      </c>
      <c r="G5" s="4" t="s">
        <v>140</v>
      </c>
      <c r="H5" s="4" t="s">
        <v>141</v>
      </c>
      <c r="I5" s="4" t="s">
        <v>142</v>
      </c>
      <c r="J5" s="4" t="s">
        <v>143</v>
      </c>
      <c r="K5" s="4" t="s">
        <v>13</v>
      </c>
      <c r="L5" s="4" t="s">
        <v>13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5899487</v>
      </c>
      <c r="E6" s="6">
        <v>740160</v>
      </c>
      <c r="F6" s="6">
        <v>1414837</v>
      </c>
      <c r="G6" s="6">
        <v>1752478</v>
      </c>
      <c r="H6" s="6">
        <v>1276011</v>
      </c>
      <c r="I6" s="6">
        <v>532762</v>
      </c>
      <c r="J6" s="6">
        <v>183239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3212354</v>
      </c>
      <c r="E7" s="6">
        <v>432039</v>
      </c>
      <c r="F7" s="6">
        <v>744892</v>
      </c>
      <c r="G7" s="6">
        <v>958782</v>
      </c>
      <c r="H7" s="6">
        <v>702280</v>
      </c>
      <c r="I7" s="6">
        <v>284203</v>
      </c>
      <c r="J7" s="6">
        <v>90158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2687133</v>
      </c>
      <c r="E8" s="6">
        <v>308121</v>
      </c>
      <c r="F8" s="6">
        <v>669945</v>
      </c>
      <c r="G8" s="6">
        <v>793696</v>
      </c>
      <c r="H8" s="6">
        <v>573731</v>
      </c>
      <c r="I8" s="6">
        <v>248559</v>
      </c>
      <c r="J8" s="6">
        <v>93081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105453</v>
      </c>
      <c r="E12" s="6">
        <v>8013</v>
      </c>
      <c r="F12" s="6">
        <v>35538</v>
      </c>
      <c r="G12" s="6">
        <v>39225</v>
      </c>
      <c r="H12" s="6">
        <v>17328</v>
      </c>
      <c r="I12" s="6">
        <v>4387</v>
      </c>
      <c r="J12" s="6">
        <v>962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105453</v>
      </c>
      <c r="E13" s="6">
        <v>8013</v>
      </c>
      <c r="F13" s="6">
        <v>35538</v>
      </c>
      <c r="G13" s="6">
        <v>39225</v>
      </c>
      <c r="H13" s="6">
        <v>17328</v>
      </c>
      <c r="I13" s="6">
        <v>4387</v>
      </c>
      <c r="J13" s="6">
        <v>962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192693</v>
      </c>
      <c r="E15" s="6">
        <v>9684</v>
      </c>
      <c r="F15" s="6">
        <v>49638</v>
      </c>
      <c r="G15" s="6">
        <v>74119</v>
      </c>
      <c r="H15" s="6">
        <v>42625</v>
      </c>
      <c r="I15" s="6">
        <v>13221</v>
      </c>
      <c r="J15" s="6">
        <v>3406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192693</v>
      </c>
      <c r="E16" s="6">
        <v>9684</v>
      </c>
      <c r="F16" s="6">
        <v>49638</v>
      </c>
      <c r="G16" s="6">
        <v>74119</v>
      </c>
      <c r="H16" s="6">
        <v>42625</v>
      </c>
      <c r="I16" s="6">
        <v>13221</v>
      </c>
      <c r="J16" s="6">
        <v>3406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226640</v>
      </c>
      <c r="E18" s="6">
        <v>8589</v>
      </c>
      <c r="F18" s="6">
        <v>44726</v>
      </c>
      <c r="G18" s="6">
        <v>83251</v>
      </c>
      <c r="H18" s="6">
        <v>60709</v>
      </c>
      <c r="I18" s="6">
        <v>22712</v>
      </c>
      <c r="J18" s="6">
        <v>6653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226640</v>
      </c>
      <c r="E19" s="6">
        <v>8589</v>
      </c>
      <c r="F19" s="6">
        <v>44726</v>
      </c>
      <c r="G19" s="6">
        <v>83251</v>
      </c>
      <c r="H19" s="6">
        <v>60709</v>
      </c>
      <c r="I19" s="6">
        <v>22712</v>
      </c>
      <c r="J19" s="6">
        <v>6653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204818</v>
      </c>
      <c r="E21" s="6">
        <v>8095</v>
      </c>
      <c r="F21" s="6">
        <v>35064</v>
      </c>
      <c r="G21" s="6">
        <v>70678</v>
      </c>
      <c r="H21" s="6">
        <v>58693</v>
      </c>
      <c r="I21" s="6">
        <v>24472</v>
      </c>
      <c r="J21" s="6">
        <v>7816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204818</v>
      </c>
      <c r="E22" s="6">
        <v>8095</v>
      </c>
      <c r="F22" s="6">
        <v>35064</v>
      </c>
      <c r="G22" s="6">
        <v>70678</v>
      </c>
      <c r="H22" s="6">
        <v>58693</v>
      </c>
      <c r="I22" s="6">
        <v>24472</v>
      </c>
      <c r="J22" s="6">
        <v>7816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1009883</v>
      </c>
      <c r="E24" s="6">
        <v>57097</v>
      </c>
      <c r="F24" s="6">
        <v>209139</v>
      </c>
      <c r="G24" s="6">
        <v>350287</v>
      </c>
      <c r="H24" s="6">
        <v>256932</v>
      </c>
      <c r="I24" s="6">
        <v>102949</v>
      </c>
      <c r="J24" s="6">
        <v>33479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516688</v>
      </c>
      <c r="E25" s="6">
        <v>31590</v>
      </c>
      <c r="F25" s="6">
        <v>86972</v>
      </c>
      <c r="G25" s="6">
        <v>161168</v>
      </c>
      <c r="H25" s="6">
        <v>145644</v>
      </c>
      <c r="I25" s="6">
        <v>67447</v>
      </c>
      <c r="J25" s="6">
        <v>23867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493195</v>
      </c>
      <c r="E26" s="6">
        <v>25507</v>
      </c>
      <c r="F26" s="6">
        <v>122167</v>
      </c>
      <c r="G26" s="6">
        <v>189119</v>
      </c>
      <c r="H26" s="6">
        <v>111288</v>
      </c>
      <c r="I26" s="6">
        <v>35502</v>
      </c>
      <c r="J26" s="6">
        <v>9612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538095</v>
      </c>
      <c r="E27" s="6">
        <v>40204</v>
      </c>
      <c r="F27" s="6">
        <v>108916</v>
      </c>
      <c r="G27" s="6">
        <v>176169</v>
      </c>
      <c r="H27" s="6">
        <v>136831</v>
      </c>
      <c r="I27" s="6">
        <v>57087</v>
      </c>
      <c r="J27" s="6">
        <v>18888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266916</v>
      </c>
      <c r="E28" s="6">
        <v>25418</v>
      </c>
      <c r="F28" s="6">
        <v>51009</v>
      </c>
      <c r="G28" s="6">
        <v>78859</v>
      </c>
      <c r="H28" s="6">
        <v>68955</v>
      </c>
      <c r="I28" s="6">
        <v>31606</v>
      </c>
      <c r="J28" s="6">
        <v>11069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271179</v>
      </c>
      <c r="E29" s="6">
        <v>14786</v>
      </c>
      <c r="F29" s="6">
        <v>57907</v>
      </c>
      <c r="G29" s="6">
        <v>97310</v>
      </c>
      <c r="H29" s="6">
        <v>67876</v>
      </c>
      <c r="I29" s="6">
        <v>25481</v>
      </c>
      <c r="J29" s="6">
        <v>7819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578913</v>
      </c>
      <c r="E30" s="6">
        <v>51783</v>
      </c>
      <c r="F30" s="6">
        <v>111961</v>
      </c>
      <c r="G30" s="6">
        <v>172854</v>
      </c>
      <c r="H30" s="6">
        <v>148024</v>
      </c>
      <c r="I30" s="6">
        <v>68340</v>
      </c>
      <c r="J30" s="6">
        <v>25951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284159</v>
      </c>
      <c r="E31" s="6">
        <v>34296</v>
      </c>
      <c r="F31" s="6">
        <v>59624</v>
      </c>
      <c r="G31" s="6">
        <v>81723</v>
      </c>
      <c r="H31" s="6">
        <v>67667</v>
      </c>
      <c r="I31" s="6">
        <v>30406</v>
      </c>
      <c r="J31" s="6">
        <v>10443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294754</v>
      </c>
      <c r="E32" s="6">
        <v>17487</v>
      </c>
      <c r="F32" s="6">
        <v>52337</v>
      </c>
      <c r="G32" s="6">
        <v>91131</v>
      </c>
      <c r="H32" s="6">
        <v>80357</v>
      </c>
      <c r="I32" s="6">
        <v>37934</v>
      </c>
      <c r="J32" s="6">
        <v>15508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592359</v>
      </c>
      <c r="E33" s="6">
        <v>66225</v>
      </c>
      <c r="F33" s="6">
        <v>122528</v>
      </c>
      <c r="G33" s="6">
        <v>164482</v>
      </c>
      <c r="H33" s="6">
        <v>142560</v>
      </c>
      <c r="I33" s="6">
        <v>69371</v>
      </c>
      <c r="J33" s="6">
        <v>27193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278397</v>
      </c>
      <c r="E34" s="6">
        <v>40496</v>
      </c>
      <c r="F34" s="6">
        <v>63516</v>
      </c>
      <c r="G34" s="6">
        <v>78792</v>
      </c>
      <c r="H34" s="6">
        <v>61153</v>
      </c>
      <c r="I34" s="6">
        <v>26095</v>
      </c>
      <c r="J34" s="6">
        <v>8345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313962</v>
      </c>
      <c r="E35" s="6">
        <v>25729</v>
      </c>
      <c r="F35" s="6">
        <v>59012</v>
      </c>
      <c r="G35" s="6">
        <v>85690</v>
      </c>
      <c r="H35" s="6">
        <v>81407</v>
      </c>
      <c r="I35" s="6">
        <v>43276</v>
      </c>
      <c r="J35" s="6">
        <v>18848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1104318</v>
      </c>
      <c r="E36" s="6">
        <v>170112</v>
      </c>
      <c r="F36" s="6">
        <v>277196</v>
      </c>
      <c r="G36" s="6">
        <v>293773</v>
      </c>
      <c r="H36" s="6">
        <v>224190</v>
      </c>
      <c r="I36" s="6">
        <v>101539</v>
      </c>
      <c r="J36" s="6">
        <v>37508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515636</v>
      </c>
      <c r="E37" s="6">
        <v>97137</v>
      </c>
      <c r="F37" s="6">
        <v>132648</v>
      </c>
      <c r="G37" s="6">
        <v>139712</v>
      </c>
      <c r="H37" s="6">
        <v>97106</v>
      </c>
      <c r="I37" s="6">
        <v>37858</v>
      </c>
      <c r="J37" s="6">
        <v>11175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588682</v>
      </c>
      <c r="E38" s="6">
        <v>72975</v>
      </c>
      <c r="F38" s="6">
        <v>144548</v>
      </c>
      <c r="G38" s="6">
        <v>154061</v>
      </c>
      <c r="H38" s="6">
        <v>127084</v>
      </c>
      <c r="I38" s="6">
        <v>63681</v>
      </c>
      <c r="J38" s="6">
        <v>26333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480464</v>
      </c>
      <c r="E39" s="6">
        <v>96562</v>
      </c>
      <c r="F39" s="6">
        <v>139044</v>
      </c>
      <c r="G39" s="6">
        <v>122178</v>
      </c>
      <c r="H39" s="6">
        <v>79679</v>
      </c>
      <c r="I39" s="6">
        <v>32228</v>
      </c>
      <c r="J39" s="6">
        <v>10773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223073</v>
      </c>
      <c r="E40" s="6">
        <v>53343</v>
      </c>
      <c r="F40" s="6">
        <v>63050</v>
      </c>
      <c r="G40" s="6">
        <v>56857</v>
      </c>
      <c r="H40" s="6">
        <v>34580</v>
      </c>
      <c r="I40" s="6">
        <v>12101</v>
      </c>
      <c r="J40" s="6">
        <v>3142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257391</v>
      </c>
      <c r="E41" s="6">
        <v>43219</v>
      </c>
      <c r="F41" s="6">
        <v>75994</v>
      </c>
      <c r="G41" s="6">
        <v>65321</v>
      </c>
      <c r="H41" s="6">
        <v>45099</v>
      </c>
      <c r="I41" s="6">
        <v>20127</v>
      </c>
      <c r="J41" s="6">
        <v>7631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362736</v>
      </c>
      <c r="E42" s="6">
        <v>87077</v>
      </c>
      <c r="F42" s="6">
        <v>113991</v>
      </c>
      <c r="G42" s="6">
        <v>88336</v>
      </c>
      <c r="H42" s="6">
        <v>49892</v>
      </c>
      <c r="I42" s="6">
        <v>17964</v>
      </c>
      <c r="J42" s="6">
        <v>5476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168438</v>
      </c>
      <c r="E43" s="6">
        <v>46452</v>
      </c>
      <c r="F43" s="6">
        <v>50455</v>
      </c>
      <c r="G43" s="6">
        <v>40913</v>
      </c>
      <c r="H43" s="6">
        <v>22038</v>
      </c>
      <c r="I43" s="6">
        <v>6871</v>
      </c>
      <c r="J43" s="6">
        <v>1709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194298</v>
      </c>
      <c r="E44" s="6">
        <v>40625</v>
      </c>
      <c r="F44" s="6">
        <v>63536</v>
      </c>
      <c r="G44" s="6">
        <v>47423</v>
      </c>
      <c r="H44" s="6">
        <v>27854</v>
      </c>
      <c r="I44" s="6">
        <v>11093</v>
      </c>
      <c r="J44" s="6">
        <v>3767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248708</v>
      </c>
      <c r="E45" s="6">
        <v>64986</v>
      </c>
      <c r="F45" s="6">
        <v>81830</v>
      </c>
      <c r="G45" s="6">
        <v>58640</v>
      </c>
      <c r="H45" s="6">
        <v>30451</v>
      </c>
      <c r="I45" s="6">
        <v>9939</v>
      </c>
      <c r="J45" s="6">
        <v>2862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115883</v>
      </c>
      <c r="E46" s="6">
        <v>33957</v>
      </c>
      <c r="F46" s="6">
        <v>36072</v>
      </c>
      <c r="G46" s="6">
        <v>27263</v>
      </c>
      <c r="H46" s="6">
        <v>13810</v>
      </c>
      <c r="I46" s="6">
        <v>3881</v>
      </c>
      <c r="J46" s="6">
        <v>900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132825</v>
      </c>
      <c r="E47" s="6">
        <v>31029</v>
      </c>
      <c r="F47" s="6">
        <v>45758</v>
      </c>
      <c r="G47" s="6">
        <v>31377</v>
      </c>
      <c r="H47" s="6">
        <v>16641</v>
      </c>
      <c r="I47" s="6">
        <v>6058</v>
      </c>
      <c r="J47" s="6">
        <v>1962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213594</v>
      </c>
      <c r="E48" s="6">
        <v>60286</v>
      </c>
      <c r="F48" s="6">
        <v>71504</v>
      </c>
      <c r="G48" s="6">
        <v>48808</v>
      </c>
      <c r="H48" s="6">
        <v>23766</v>
      </c>
      <c r="I48" s="6">
        <v>7281</v>
      </c>
      <c r="J48" s="6">
        <v>1949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97519</v>
      </c>
      <c r="E49" s="6">
        <v>30061</v>
      </c>
      <c r="F49" s="6">
        <v>31174</v>
      </c>
      <c r="G49" s="6">
        <v>22430</v>
      </c>
      <c r="H49" s="6">
        <v>10477</v>
      </c>
      <c r="I49" s="6">
        <v>2784</v>
      </c>
      <c r="J49" s="6">
        <v>593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116075</v>
      </c>
      <c r="E50" s="6">
        <v>30225</v>
      </c>
      <c r="F50" s="6">
        <v>40330</v>
      </c>
      <c r="G50" s="6">
        <v>26378</v>
      </c>
      <c r="H50" s="6">
        <v>13289</v>
      </c>
      <c r="I50" s="6">
        <v>4497</v>
      </c>
      <c r="J50" s="6">
        <v>1356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40813</v>
      </c>
      <c r="E51" s="6">
        <v>11447</v>
      </c>
      <c r="F51" s="6">
        <v>13762</v>
      </c>
      <c r="G51" s="6">
        <v>9678</v>
      </c>
      <c r="H51" s="6">
        <v>4331</v>
      </c>
      <c r="I51" s="6">
        <v>1272</v>
      </c>
      <c r="J51" s="6">
        <v>323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16041</v>
      </c>
      <c r="E52" s="6">
        <v>4908</v>
      </c>
      <c r="F52" s="6">
        <v>5406</v>
      </c>
      <c r="G52" s="6">
        <v>3792</v>
      </c>
      <c r="H52" s="6">
        <v>1495</v>
      </c>
      <c r="I52" s="6">
        <v>362</v>
      </c>
      <c r="J52" s="6">
        <v>78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24772</v>
      </c>
      <c r="E53" s="6">
        <v>6539</v>
      </c>
      <c r="F53" s="6">
        <v>8356</v>
      </c>
      <c r="G53" s="6">
        <v>5886</v>
      </c>
      <c r="H53" s="6">
        <v>2836</v>
      </c>
      <c r="I53" s="6">
        <v>910</v>
      </c>
      <c r="J53" s="6">
        <v>245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3647-2CC8-4BBD-AECB-642DDDACA545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6</v>
      </c>
      <c r="F3" s="5">
        <v>10</v>
      </c>
      <c r="G3" s="5">
        <v>11</v>
      </c>
      <c r="H3" s="5">
        <v>12</v>
      </c>
      <c r="I3" s="5">
        <v>13</v>
      </c>
      <c r="J3" s="5">
        <v>14</v>
      </c>
      <c r="K3" s="5">
        <v>15</v>
      </c>
      <c r="L3" s="5">
        <v>15.6</v>
      </c>
      <c r="M3" s="5">
        <v>16</v>
      </c>
      <c r="N3" s="5">
        <v>16.600000000000001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10</v>
      </c>
      <c r="F4" s="5">
        <v>11</v>
      </c>
      <c r="G4" s="5">
        <v>12</v>
      </c>
      <c r="H4" s="5">
        <v>13</v>
      </c>
      <c r="I4" s="5">
        <v>14</v>
      </c>
      <c r="J4" s="5">
        <v>15</v>
      </c>
      <c r="K4" s="5">
        <v>15.6</v>
      </c>
      <c r="L4" s="5">
        <v>16</v>
      </c>
      <c r="M4" s="5">
        <v>16.600000000000001</v>
      </c>
      <c r="N4" s="5">
        <v>20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145</v>
      </c>
      <c r="F5" s="4" t="s">
        <v>146</v>
      </c>
      <c r="G5" s="4" t="s">
        <v>147</v>
      </c>
      <c r="H5" s="4" t="s">
        <v>148</v>
      </c>
      <c r="I5" s="4" t="s">
        <v>149</v>
      </c>
      <c r="J5" s="4" t="s">
        <v>150</v>
      </c>
      <c r="K5" s="4" t="s">
        <v>151</v>
      </c>
      <c r="L5" s="4" t="s">
        <v>152</v>
      </c>
      <c r="M5" s="4" t="s">
        <v>153</v>
      </c>
      <c r="N5" s="4" t="s">
        <v>154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17516433</v>
      </c>
      <c r="E6" s="6">
        <v>137924</v>
      </c>
      <c r="F6" s="6">
        <v>202748</v>
      </c>
      <c r="G6" s="6">
        <v>678933</v>
      </c>
      <c r="H6" s="6">
        <v>2433849</v>
      </c>
      <c r="I6" s="6">
        <v>4142681</v>
      </c>
      <c r="J6" s="6">
        <v>4100121</v>
      </c>
      <c r="K6" s="6">
        <v>2295965</v>
      </c>
      <c r="L6" s="6">
        <v>1261904</v>
      </c>
      <c r="M6" s="6">
        <v>1289359</v>
      </c>
      <c r="N6" s="6">
        <v>972949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9092941</v>
      </c>
      <c r="E7" s="6">
        <v>18853</v>
      </c>
      <c r="F7" s="6">
        <v>25806</v>
      </c>
      <c r="G7" s="6">
        <v>65987</v>
      </c>
      <c r="H7" s="6">
        <v>213197</v>
      </c>
      <c r="I7" s="6">
        <v>861427</v>
      </c>
      <c r="J7" s="6">
        <v>2467611</v>
      </c>
      <c r="K7" s="6">
        <v>2025227</v>
      </c>
      <c r="L7" s="6">
        <v>1198214</v>
      </c>
      <c r="M7" s="6">
        <v>1255478</v>
      </c>
      <c r="N7" s="6">
        <v>961141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8423492</v>
      </c>
      <c r="E8" s="6">
        <v>119071</v>
      </c>
      <c r="F8" s="6">
        <v>176942</v>
      </c>
      <c r="G8" s="6">
        <v>612946</v>
      </c>
      <c r="H8" s="6">
        <v>2220652</v>
      </c>
      <c r="I8" s="6">
        <v>3281254</v>
      </c>
      <c r="J8" s="6">
        <v>1632510</v>
      </c>
      <c r="K8" s="6">
        <v>270738</v>
      </c>
      <c r="L8" s="6">
        <v>63690</v>
      </c>
      <c r="M8" s="6">
        <v>33881</v>
      </c>
      <c r="N8" s="6">
        <v>11808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8654</v>
      </c>
      <c r="E9" s="6">
        <v>29</v>
      </c>
      <c r="F9" s="6">
        <v>65</v>
      </c>
      <c r="G9" s="6">
        <v>285</v>
      </c>
      <c r="H9" s="6">
        <v>878</v>
      </c>
      <c r="I9" s="6">
        <v>1465</v>
      </c>
      <c r="J9" s="6">
        <v>1839</v>
      </c>
      <c r="K9" s="6">
        <v>1572</v>
      </c>
      <c r="L9" s="6">
        <v>958</v>
      </c>
      <c r="M9" s="6">
        <v>990</v>
      </c>
      <c r="N9" s="6">
        <v>573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5724</v>
      </c>
      <c r="E10" s="6">
        <v>0</v>
      </c>
      <c r="F10" s="6">
        <v>0</v>
      </c>
      <c r="G10" s="6">
        <v>12</v>
      </c>
      <c r="H10" s="6">
        <v>20</v>
      </c>
      <c r="I10" s="6">
        <v>266</v>
      </c>
      <c r="J10" s="6">
        <v>1388</v>
      </c>
      <c r="K10" s="6">
        <v>1531</v>
      </c>
      <c r="L10" s="6">
        <v>950</v>
      </c>
      <c r="M10" s="6">
        <v>984</v>
      </c>
      <c r="N10" s="6">
        <v>573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29</v>
      </c>
      <c r="F11" s="6">
        <v>65</v>
      </c>
      <c r="G11" s="6">
        <v>273</v>
      </c>
      <c r="H11" s="6">
        <v>858</v>
      </c>
      <c r="I11" s="6">
        <v>1199</v>
      </c>
      <c r="J11" s="6">
        <v>451</v>
      </c>
      <c r="K11" s="6">
        <v>41</v>
      </c>
      <c r="L11" s="6">
        <v>8</v>
      </c>
      <c r="M11" s="6">
        <v>6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544696</v>
      </c>
      <c r="E12" s="6">
        <v>2757</v>
      </c>
      <c r="F12" s="6">
        <v>5237</v>
      </c>
      <c r="G12" s="6">
        <v>22137</v>
      </c>
      <c r="H12" s="6">
        <v>90036</v>
      </c>
      <c r="I12" s="6">
        <v>141608</v>
      </c>
      <c r="J12" s="6">
        <v>105095</v>
      </c>
      <c r="K12" s="6">
        <v>64224</v>
      </c>
      <c r="L12" s="6">
        <v>40266</v>
      </c>
      <c r="M12" s="6">
        <v>44019</v>
      </c>
      <c r="N12" s="6">
        <v>29317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232346</v>
      </c>
      <c r="E13" s="6">
        <v>76</v>
      </c>
      <c r="F13" s="6">
        <v>83</v>
      </c>
      <c r="G13" s="6">
        <v>243</v>
      </c>
      <c r="H13" s="6">
        <v>1159</v>
      </c>
      <c r="I13" s="6">
        <v>9347</v>
      </c>
      <c r="J13" s="6">
        <v>51011</v>
      </c>
      <c r="K13" s="6">
        <v>58306</v>
      </c>
      <c r="L13" s="6">
        <v>39316</v>
      </c>
      <c r="M13" s="6">
        <v>43590</v>
      </c>
      <c r="N13" s="6">
        <v>29215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312350</v>
      </c>
      <c r="E14" s="6">
        <v>2681</v>
      </c>
      <c r="F14" s="6">
        <v>5154</v>
      </c>
      <c r="G14" s="6">
        <v>21894</v>
      </c>
      <c r="H14" s="6">
        <v>88877</v>
      </c>
      <c r="I14" s="6">
        <v>132261</v>
      </c>
      <c r="J14" s="6">
        <v>54084</v>
      </c>
      <c r="K14" s="6">
        <v>5918</v>
      </c>
      <c r="L14" s="6">
        <v>950</v>
      </c>
      <c r="M14" s="6">
        <v>429</v>
      </c>
      <c r="N14" s="6">
        <v>102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1205367</v>
      </c>
      <c r="E15" s="6">
        <v>4447</v>
      </c>
      <c r="F15" s="6">
        <v>8362</v>
      </c>
      <c r="G15" s="6">
        <v>34729</v>
      </c>
      <c r="H15" s="6">
        <v>161620</v>
      </c>
      <c r="I15" s="6">
        <v>277118</v>
      </c>
      <c r="J15" s="6">
        <v>253028</v>
      </c>
      <c r="K15" s="6">
        <v>173324</v>
      </c>
      <c r="L15" s="6">
        <v>107111</v>
      </c>
      <c r="M15" s="6">
        <v>112178</v>
      </c>
      <c r="N15" s="6">
        <v>73450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626975</v>
      </c>
      <c r="E16" s="6">
        <v>236</v>
      </c>
      <c r="F16" s="6">
        <v>196</v>
      </c>
      <c r="G16" s="6">
        <v>571</v>
      </c>
      <c r="H16" s="6">
        <v>2746</v>
      </c>
      <c r="I16" s="6">
        <v>26144</v>
      </c>
      <c r="J16" s="6">
        <v>146673</v>
      </c>
      <c r="K16" s="6">
        <v>160915</v>
      </c>
      <c r="L16" s="6">
        <v>104934</v>
      </c>
      <c r="M16" s="6">
        <v>111358</v>
      </c>
      <c r="N16" s="6">
        <v>73202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578392</v>
      </c>
      <c r="E17" s="6">
        <v>4211</v>
      </c>
      <c r="F17" s="6">
        <v>8166</v>
      </c>
      <c r="G17" s="6">
        <v>34158</v>
      </c>
      <c r="H17" s="6">
        <v>158874</v>
      </c>
      <c r="I17" s="6">
        <v>250974</v>
      </c>
      <c r="J17" s="6">
        <v>106355</v>
      </c>
      <c r="K17" s="6">
        <v>12409</v>
      </c>
      <c r="L17" s="6">
        <v>2177</v>
      </c>
      <c r="M17" s="6">
        <v>820</v>
      </c>
      <c r="N17" s="6">
        <v>248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1640802</v>
      </c>
      <c r="E18" s="6">
        <v>7367</v>
      </c>
      <c r="F18" s="6">
        <v>13045</v>
      </c>
      <c r="G18" s="6">
        <v>48227</v>
      </c>
      <c r="H18" s="6">
        <v>197454</v>
      </c>
      <c r="I18" s="6">
        <v>342099</v>
      </c>
      <c r="J18" s="6">
        <v>358557</v>
      </c>
      <c r="K18" s="6">
        <v>252394</v>
      </c>
      <c r="L18" s="6">
        <v>152801</v>
      </c>
      <c r="M18" s="6">
        <v>159734</v>
      </c>
      <c r="N18" s="6">
        <v>109124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923357</v>
      </c>
      <c r="E19" s="6">
        <v>492</v>
      </c>
      <c r="F19" s="6">
        <v>418</v>
      </c>
      <c r="G19" s="6">
        <v>978</v>
      </c>
      <c r="H19" s="6">
        <v>4225</v>
      </c>
      <c r="I19" s="6">
        <v>41834</v>
      </c>
      <c r="J19" s="6">
        <v>223909</v>
      </c>
      <c r="K19" s="6">
        <v>235108</v>
      </c>
      <c r="L19" s="6">
        <v>149475</v>
      </c>
      <c r="M19" s="6">
        <v>158209</v>
      </c>
      <c r="N19" s="6">
        <v>108709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717445</v>
      </c>
      <c r="E20" s="6">
        <v>6875</v>
      </c>
      <c r="F20" s="6">
        <v>12627</v>
      </c>
      <c r="G20" s="6">
        <v>47249</v>
      </c>
      <c r="H20" s="6">
        <v>193229</v>
      </c>
      <c r="I20" s="6">
        <v>300265</v>
      </c>
      <c r="J20" s="6">
        <v>134648</v>
      </c>
      <c r="K20" s="6">
        <v>17286</v>
      </c>
      <c r="L20" s="6">
        <v>3326</v>
      </c>
      <c r="M20" s="6">
        <v>1525</v>
      </c>
      <c r="N20" s="6">
        <v>415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1300943</v>
      </c>
      <c r="E21" s="6">
        <v>10530</v>
      </c>
      <c r="F21" s="6">
        <v>14691</v>
      </c>
      <c r="G21" s="6">
        <v>43421</v>
      </c>
      <c r="H21" s="6">
        <v>149240</v>
      </c>
      <c r="I21" s="6">
        <v>247655</v>
      </c>
      <c r="J21" s="6">
        <v>286207</v>
      </c>
      <c r="K21" s="6">
        <v>205284</v>
      </c>
      <c r="L21" s="6">
        <v>122939</v>
      </c>
      <c r="M21" s="6">
        <v>128838</v>
      </c>
      <c r="N21" s="6">
        <v>92138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771704</v>
      </c>
      <c r="E22" s="6">
        <v>620</v>
      </c>
      <c r="F22" s="6">
        <v>492</v>
      </c>
      <c r="G22" s="6">
        <v>958</v>
      </c>
      <c r="H22" s="6">
        <v>4326</v>
      </c>
      <c r="I22" s="6">
        <v>39648</v>
      </c>
      <c r="J22" s="6">
        <v>193637</v>
      </c>
      <c r="K22" s="6">
        <v>192418</v>
      </c>
      <c r="L22" s="6">
        <v>120244</v>
      </c>
      <c r="M22" s="6">
        <v>127586</v>
      </c>
      <c r="N22" s="6">
        <v>91775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529239</v>
      </c>
      <c r="E23" s="6">
        <v>9910</v>
      </c>
      <c r="F23" s="6">
        <v>14199</v>
      </c>
      <c r="G23" s="6">
        <v>42463</v>
      </c>
      <c r="H23" s="6">
        <v>144914</v>
      </c>
      <c r="I23" s="6">
        <v>208007</v>
      </c>
      <c r="J23" s="6">
        <v>92570</v>
      </c>
      <c r="K23" s="6">
        <v>12866</v>
      </c>
      <c r="L23" s="6">
        <v>2695</v>
      </c>
      <c r="M23" s="6">
        <v>1252</v>
      </c>
      <c r="N23" s="6">
        <v>363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1998831</v>
      </c>
      <c r="E24" s="6">
        <v>30125</v>
      </c>
      <c r="F24" s="6">
        <v>34509</v>
      </c>
      <c r="G24" s="6">
        <v>82841</v>
      </c>
      <c r="H24" s="6">
        <v>247244</v>
      </c>
      <c r="I24" s="6">
        <v>390423</v>
      </c>
      <c r="J24" s="6">
        <v>427854</v>
      </c>
      <c r="K24" s="6">
        <v>286326</v>
      </c>
      <c r="L24" s="6">
        <v>168907</v>
      </c>
      <c r="M24" s="6">
        <v>181714</v>
      </c>
      <c r="N24" s="6">
        <v>148888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1102905</v>
      </c>
      <c r="E25" s="6">
        <v>1020</v>
      </c>
      <c r="F25" s="6">
        <v>930</v>
      </c>
      <c r="G25" s="6">
        <v>1904</v>
      </c>
      <c r="H25" s="6">
        <v>7858</v>
      </c>
      <c r="I25" s="6">
        <v>64107</v>
      </c>
      <c r="J25" s="6">
        <v>274970</v>
      </c>
      <c r="K25" s="6">
        <v>261917</v>
      </c>
      <c r="L25" s="6">
        <v>163349</v>
      </c>
      <c r="M25" s="6">
        <v>178916</v>
      </c>
      <c r="N25" s="6">
        <v>147934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895926</v>
      </c>
      <c r="E26" s="6">
        <v>29105</v>
      </c>
      <c r="F26" s="6">
        <v>33579</v>
      </c>
      <c r="G26" s="6">
        <v>80937</v>
      </c>
      <c r="H26" s="6">
        <v>239386</v>
      </c>
      <c r="I26" s="6">
        <v>326316</v>
      </c>
      <c r="J26" s="6">
        <v>152884</v>
      </c>
      <c r="K26" s="6">
        <v>24409</v>
      </c>
      <c r="L26" s="6">
        <v>5558</v>
      </c>
      <c r="M26" s="6">
        <v>2798</v>
      </c>
      <c r="N26" s="6">
        <v>954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1608588</v>
      </c>
      <c r="E27" s="6">
        <v>27878</v>
      </c>
      <c r="F27" s="6">
        <v>29043</v>
      </c>
      <c r="G27" s="6">
        <v>67413</v>
      </c>
      <c r="H27" s="6">
        <v>195147</v>
      </c>
      <c r="I27" s="6">
        <v>318466</v>
      </c>
      <c r="J27" s="6">
        <v>361935</v>
      </c>
      <c r="K27" s="6">
        <v>229622</v>
      </c>
      <c r="L27" s="6">
        <v>130408</v>
      </c>
      <c r="M27" s="6">
        <v>136981</v>
      </c>
      <c r="N27" s="6">
        <v>111695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894030</v>
      </c>
      <c r="E28" s="6">
        <v>1035</v>
      </c>
      <c r="F28" s="6">
        <v>921</v>
      </c>
      <c r="G28" s="6">
        <v>2083</v>
      </c>
      <c r="H28" s="6">
        <v>8798</v>
      </c>
      <c r="I28" s="6">
        <v>64047</v>
      </c>
      <c r="J28" s="6">
        <v>237638</v>
      </c>
      <c r="K28" s="6">
        <v>208795</v>
      </c>
      <c r="L28" s="6">
        <v>125531</v>
      </c>
      <c r="M28" s="6">
        <v>134377</v>
      </c>
      <c r="N28" s="6">
        <v>110805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714558</v>
      </c>
      <c r="E29" s="6">
        <v>26843</v>
      </c>
      <c r="F29" s="6">
        <v>28122</v>
      </c>
      <c r="G29" s="6">
        <v>65330</v>
      </c>
      <c r="H29" s="6">
        <v>186349</v>
      </c>
      <c r="I29" s="6">
        <v>254419</v>
      </c>
      <c r="J29" s="6">
        <v>124297</v>
      </c>
      <c r="K29" s="6">
        <v>20827</v>
      </c>
      <c r="L29" s="6">
        <v>4877</v>
      </c>
      <c r="M29" s="6">
        <v>2604</v>
      </c>
      <c r="N29" s="6">
        <v>890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2173209</v>
      </c>
      <c r="E30" s="6">
        <v>18354</v>
      </c>
      <c r="F30" s="6">
        <v>20375</v>
      </c>
      <c r="G30" s="6">
        <v>65170</v>
      </c>
      <c r="H30" s="6">
        <v>268598</v>
      </c>
      <c r="I30" s="6">
        <v>505390</v>
      </c>
      <c r="J30" s="6">
        <v>536991</v>
      </c>
      <c r="K30" s="6">
        <v>295865</v>
      </c>
      <c r="L30" s="6">
        <v>160879</v>
      </c>
      <c r="M30" s="6">
        <v>165361</v>
      </c>
      <c r="N30" s="6">
        <v>136226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1122428</v>
      </c>
      <c r="E31" s="6">
        <v>1416</v>
      </c>
      <c r="F31" s="6">
        <v>1482</v>
      </c>
      <c r="G31" s="6">
        <v>3417</v>
      </c>
      <c r="H31" s="6">
        <v>15175</v>
      </c>
      <c r="I31" s="6">
        <v>94649</v>
      </c>
      <c r="J31" s="6">
        <v>308814</v>
      </c>
      <c r="K31" s="6">
        <v>253435</v>
      </c>
      <c r="L31" s="6">
        <v>150323</v>
      </c>
      <c r="M31" s="6">
        <v>159522</v>
      </c>
      <c r="N31" s="6">
        <v>134195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1050781</v>
      </c>
      <c r="E32" s="6">
        <v>16938</v>
      </c>
      <c r="F32" s="6">
        <v>18893</v>
      </c>
      <c r="G32" s="6">
        <v>61753</v>
      </c>
      <c r="H32" s="6">
        <v>253423</v>
      </c>
      <c r="I32" s="6">
        <v>410741</v>
      </c>
      <c r="J32" s="6">
        <v>228177</v>
      </c>
      <c r="K32" s="6">
        <v>42430</v>
      </c>
      <c r="L32" s="6">
        <v>10556</v>
      </c>
      <c r="M32" s="6">
        <v>5839</v>
      </c>
      <c r="N32" s="6">
        <v>2031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1752025</v>
      </c>
      <c r="E33" s="6">
        <v>3347</v>
      </c>
      <c r="F33" s="6">
        <v>5898</v>
      </c>
      <c r="G33" s="6">
        <v>40893</v>
      </c>
      <c r="H33" s="6">
        <v>226171</v>
      </c>
      <c r="I33" s="6">
        <v>453751</v>
      </c>
      <c r="J33" s="6">
        <v>462812</v>
      </c>
      <c r="K33" s="6">
        <v>231684</v>
      </c>
      <c r="L33" s="6">
        <v>118522</v>
      </c>
      <c r="M33" s="6">
        <v>118064</v>
      </c>
      <c r="N33" s="6">
        <v>90883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882138</v>
      </c>
      <c r="E34" s="6">
        <v>1370</v>
      </c>
      <c r="F34" s="6">
        <v>1566</v>
      </c>
      <c r="G34" s="6">
        <v>4007</v>
      </c>
      <c r="H34" s="6">
        <v>17197</v>
      </c>
      <c r="I34" s="6">
        <v>91812</v>
      </c>
      <c r="J34" s="6">
        <v>260479</v>
      </c>
      <c r="K34" s="6">
        <v>194417</v>
      </c>
      <c r="L34" s="6">
        <v>109103</v>
      </c>
      <c r="M34" s="6">
        <v>113005</v>
      </c>
      <c r="N34" s="6">
        <v>89182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869887</v>
      </c>
      <c r="E35" s="6">
        <v>1977</v>
      </c>
      <c r="F35" s="6">
        <v>4332</v>
      </c>
      <c r="G35" s="6">
        <v>36886</v>
      </c>
      <c r="H35" s="6">
        <v>208974</v>
      </c>
      <c r="I35" s="6">
        <v>361939</v>
      </c>
      <c r="J35" s="6">
        <v>202333</v>
      </c>
      <c r="K35" s="6">
        <v>37267</v>
      </c>
      <c r="L35" s="6">
        <v>9419</v>
      </c>
      <c r="M35" s="6">
        <v>5059</v>
      </c>
      <c r="N35" s="6">
        <v>1701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1974511</v>
      </c>
      <c r="E36" s="6">
        <v>4182</v>
      </c>
      <c r="F36" s="6">
        <v>8973</v>
      </c>
      <c r="G36" s="6">
        <v>57043</v>
      </c>
      <c r="H36" s="6">
        <v>280874</v>
      </c>
      <c r="I36" s="6">
        <v>538602</v>
      </c>
      <c r="J36" s="6">
        <v>521214</v>
      </c>
      <c r="K36" s="6">
        <v>241775</v>
      </c>
      <c r="L36" s="6">
        <v>118839</v>
      </c>
      <c r="M36" s="6">
        <v>114585</v>
      </c>
      <c r="N36" s="6">
        <v>88424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951132</v>
      </c>
      <c r="E37" s="6">
        <v>1920</v>
      </c>
      <c r="F37" s="6">
        <v>2558</v>
      </c>
      <c r="G37" s="6">
        <v>6810</v>
      </c>
      <c r="H37" s="6">
        <v>27465</v>
      </c>
      <c r="I37" s="6">
        <v>120898</v>
      </c>
      <c r="J37" s="6">
        <v>289402</v>
      </c>
      <c r="K37" s="6">
        <v>198937</v>
      </c>
      <c r="L37" s="6">
        <v>108204</v>
      </c>
      <c r="M37" s="6">
        <v>108675</v>
      </c>
      <c r="N37" s="6">
        <v>86263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1023379</v>
      </c>
      <c r="E38" s="6">
        <v>2262</v>
      </c>
      <c r="F38" s="6">
        <v>6415</v>
      </c>
      <c r="G38" s="6">
        <v>50233</v>
      </c>
      <c r="H38" s="6">
        <v>253409</v>
      </c>
      <c r="I38" s="6">
        <v>417704</v>
      </c>
      <c r="J38" s="6">
        <v>231812</v>
      </c>
      <c r="K38" s="6">
        <v>42838</v>
      </c>
      <c r="L38" s="6">
        <v>10635</v>
      </c>
      <c r="M38" s="6">
        <v>5910</v>
      </c>
      <c r="N38" s="6">
        <v>2161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1284633</v>
      </c>
      <c r="E39" s="6">
        <v>4219</v>
      </c>
      <c r="F39" s="6">
        <v>9661</v>
      </c>
      <c r="G39" s="6">
        <v>51350</v>
      </c>
      <c r="H39" s="6">
        <v>206780</v>
      </c>
      <c r="I39" s="6">
        <v>359782</v>
      </c>
      <c r="J39" s="6">
        <v>331071</v>
      </c>
      <c r="K39" s="6">
        <v>144440</v>
      </c>
      <c r="L39" s="6">
        <v>67356</v>
      </c>
      <c r="M39" s="6">
        <v>62929</v>
      </c>
      <c r="N39" s="6">
        <v>47045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626952</v>
      </c>
      <c r="E40" s="6">
        <v>1943</v>
      </c>
      <c r="F40" s="6">
        <v>2751</v>
      </c>
      <c r="G40" s="6">
        <v>7708</v>
      </c>
      <c r="H40" s="6">
        <v>28509</v>
      </c>
      <c r="I40" s="6">
        <v>101124</v>
      </c>
      <c r="J40" s="6">
        <v>197712</v>
      </c>
      <c r="K40" s="6">
        <v>120442</v>
      </c>
      <c r="L40" s="6">
        <v>61344</v>
      </c>
      <c r="M40" s="6">
        <v>59590</v>
      </c>
      <c r="N40" s="6">
        <v>45829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657681</v>
      </c>
      <c r="E41" s="6">
        <v>2276</v>
      </c>
      <c r="F41" s="6">
        <v>6910</v>
      </c>
      <c r="G41" s="6">
        <v>43642</v>
      </c>
      <c r="H41" s="6">
        <v>178271</v>
      </c>
      <c r="I41" s="6">
        <v>258658</v>
      </c>
      <c r="J41" s="6">
        <v>133359</v>
      </c>
      <c r="K41" s="6">
        <v>23998</v>
      </c>
      <c r="L41" s="6">
        <v>6012</v>
      </c>
      <c r="M41" s="6">
        <v>3339</v>
      </c>
      <c r="N41" s="6">
        <v>1216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1083945</v>
      </c>
      <c r="E42" s="6">
        <v>6347</v>
      </c>
      <c r="F42" s="6">
        <v>14925</v>
      </c>
      <c r="G42" s="6">
        <v>61740</v>
      </c>
      <c r="H42" s="6">
        <v>196636</v>
      </c>
      <c r="I42" s="6">
        <v>309633</v>
      </c>
      <c r="J42" s="6">
        <v>267086</v>
      </c>
      <c r="K42" s="6">
        <v>106579</v>
      </c>
      <c r="L42" s="6">
        <v>47433</v>
      </c>
      <c r="M42" s="6">
        <v>42508</v>
      </c>
      <c r="N42" s="6">
        <v>31058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515586</v>
      </c>
      <c r="E43" s="6">
        <v>2680</v>
      </c>
      <c r="F43" s="6">
        <v>4133</v>
      </c>
      <c r="G43" s="6">
        <v>11485</v>
      </c>
      <c r="H43" s="6">
        <v>36105</v>
      </c>
      <c r="I43" s="6">
        <v>100054</v>
      </c>
      <c r="J43" s="6">
        <v>161283</v>
      </c>
      <c r="K43" s="6">
        <v>87446</v>
      </c>
      <c r="L43" s="6">
        <v>42673</v>
      </c>
      <c r="M43" s="6">
        <v>39752</v>
      </c>
      <c r="N43" s="6">
        <v>29975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568359</v>
      </c>
      <c r="E44" s="6">
        <v>3667</v>
      </c>
      <c r="F44" s="6">
        <v>10792</v>
      </c>
      <c r="G44" s="6">
        <v>50255</v>
      </c>
      <c r="H44" s="6">
        <v>160531</v>
      </c>
      <c r="I44" s="6">
        <v>209579</v>
      </c>
      <c r="J44" s="6">
        <v>105803</v>
      </c>
      <c r="K44" s="6">
        <v>19133</v>
      </c>
      <c r="L44" s="6">
        <v>4760</v>
      </c>
      <c r="M44" s="6">
        <v>2756</v>
      </c>
      <c r="N44" s="6">
        <v>1083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475556</v>
      </c>
      <c r="E45" s="6">
        <v>4851</v>
      </c>
      <c r="F45" s="6">
        <v>11694</v>
      </c>
      <c r="G45" s="6">
        <v>39948</v>
      </c>
      <c r="H45" s="6">
        <v>99970</v>
      </c>
      <c r="I45" s="6">
        <v>135978</v>
      </c>
      <c r="J45" s="6">
        <v>106548</v>
      </c>
      <c r="K45" s="6">
        <v>37865</v>
      </c>
      <c r="L45" s="6">
        <v>15832</v>
      </c>
      <c r="M45" s="6">
        <v>13644</v>
      </c>
      <c r="N45" s="6">
        <v>9226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228793</v>
      </c>
      <c r="E46" s="6">
        <v>1945</v>
      </c>
      <c r="F46" s="6">
        <v>3308</v>
      </c>
      <c r="G46" s="6">
        <v>9090</v>
      </c>
      <c r="H46" s="6">
        <v>24877</v>
      </c>
      <c r="I46" s="6">
        <v>53758</v>
      </c>
      <c r="J46" s="6">
        <v>68651</v>
      </c>
      <c r="K46" s="6">
        <v>31326</v>
      </c>
      <c r="L46" s="6">
        <v>14231</v>
      </c>
      <c r="M46" s="6">
        <v>12741</v>
      </c>
      <c r="N46" s="6">
        <v>8866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246763</v>
      </c>
      <c r="E47" s="6">
        <v>2906</v>
      </c>
      <c r="F47" s="6">
        <v>8386</v>
      </c>
      <c r="G47" s="6">
        <v>30858</v>
      </c>
      <c r="H47" s="6">
        <v>75093</v>
      </c>
      <c r="I47" s="6">
        <v>82220</v>
      </c>
      <c r="J47" s="6">
        <v>37897</v>
      </c>
      <c r="K47" s="6">
        <v>6539</v>
      </c>
      <c r="L47" s="6">
        <v>1601</v>
      </c>
      <c r="M47" s="6">
        <v>903</v>
      </c>
      <c r="N47" s="6">
        <v>360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356857</v>
      </c>
      <c r="E48" s="6">
        <v>7393</v>
      </c>
      <c r="F48" s="6">
        <v>16531</v>
      </c>
      <c r="G48" s="6">
        <v>44420</v>
      </c>
      <c r="H48" s="6">
        <v>85828</v>
      </c>
      <c r="I48" s="6">
        <v>96294</v>
      </c>
      <c r="J48" s="6">
        <v>65930</v>
      </c>
      <c r="K48" s="6">
        <v>21100</v>
      </c>
      <c r="L48" s="6">
        <v>8362</v>
      </c>
      <c r="M48" s="6">
        <v>6737</v>
      </c>
      <c r="N48" s="6">
        <v>4262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164363</v>
      </c>
      <c r="E49" s="6">
        <v>2607</v>
      </c>
      <c r="F49" s="6">
        <v>4526</v>
      </c>
      <c r="G49" s="6">
        <v>11412</v>
      </c>
      <c r="H49" s="6">
        <v>25538</v>
      </c>
      <c r="I49" s="6">
        <v>42270</v>
      </c>
      <c r="J49" s="6">
        <v>43099</v>
      </c>
      <c r="K49" s="6">
        <v>17215</v>
      </c>
      <c r="L49" s="6">
        <v>7440</v>
      </c>
      <c r="M49" s="6">
        <v>6217</v>
      </c>
      <c r="N49" s="6">
        <v>4039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192494</v>
      </c>
      <c r="E50" s="6">
        <v>4786</v>
      </c>
      <c r="F50" s="6">
        <v>12005</v>
      </c>
      <c r="G50" s="6">
        <v>33008</v>
      </c>
      <c r="H50" s="6">
        <v>60290</v>
      </c>
      <c r="I50" s="6">
        <v>54024</v>
      </c>
      <c r="J50" s="6">
        <v>22831</v>
      </c>
      <c r="K50" s="6">
        <v>3885</v>
      </c>
      <c r="L50" s="6">
        <v>922</v>
      </c>
      <c r="M50" s="6">
        <v>520</v>
      </c>
      <c r="N50" s="6">
        <v>223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107816</v>
      </c>
      <c r="E51" s="6">
        <v>6098</v>
      </c>
      <c r="F51" s="6">
        <v>9739</v>
      </c>
      <c r="G51" s="6">
        <v>19316</v>
      </c>
      <c r="H51" s="6">
        <v>27373</v>
      </c>
      <c r="I51" s="6">
        <v>24417</v>
      </c>
      <c r="J51" s="6">
        <v>13954</v>
      </c>
      <c r="K51" s="6">
        <v>3911</v>
      </c>
      <c r="L51" s="6">
        <v>1291</v>
      </c>
      <c r="M51" s="6">
        <v>1077</v>
      </c>
      <c r="N51" s="6">
        <v>640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44508</v>
      </c>
      <c r="E52" s="6">
        <v>1493</v>
      </c>
      <c r="F52" s="6">
        <v>2442</v>
      </c>
      <c r="G52" s="6">
        <v>5309</v>
      </c>
      <c r="H52" s="6">
        <v>9199</v>
      </c>
      <c r="I52" s="6">
        <v>11469</v>
      </c>
      <c r="J52" s="6">
        <v>8945</v>
      </c>
      <c r="K52" s="6">
        <v>3019</v>
      </c>
      <c r="L52" s="6">
        <v>1097</v>
      </c>
      <c r="M52" s="6">
        <v>956</v>
      </c>
      <c r="N52" s="6">
        <v>579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63308</v>
      </c>
      <c r="E53" s="6">
        <v>4605</v>
      </c>
      <c r="F53" s="6">
        <v>7297</v>
      </c>
      <c r="G53" s="6">
        <v>14007</v>
      </c>
      <c r="H53" s="6">
        <v>18174</v>
      </c>
      <c r="I53" s="6">
        <v>12948</v>
      </c>
      <c r="J53" s="6">
        <v>5009</v>
      </c>
      <c r="K53" s="6">
        <v>892</v>
      </c>
      <c r="L53" s="6">
        <v>194</v>
      </c>
      <c r="M53" s="6">
        <v>121</v>
      </c>
      <c r="N53" s="6">
        <v>61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7DD5-BACC-469B-A212-C2D582078FBE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0.3</v>
      </c>
      <c r="F3" s="5">
        <v>0.9</v>
      </c>
      <c r="G3" s="5">
        <v>1.1000000000000001</v>
      </c>
      <c r="H3" s="5">
        <v>1.3</v>
      </c>
      <c r="I3" s="5">
        <v>1.5</v>
      </c>
      <c r="J3" s="5">
        <v>1.7</v>
      </c>
      <c r="K3" s="5">
        <v>1.9</v>
      </c>
      <c r="L3" s="5">
        <v>2.1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0.9</v>
      </c>
      <c r="F4" s="5">
        <v>1.1000000000000001</v>
      </c>
      <c r="G4" s="5">
        <v>1.3</v>
      </c>
      <c r="H4" s="5">
        <v>1.5</v>
      </c>
      <c r="I4" s="5">
        <v>1.7</v>
      </c>
      <c r="J4" s="5">
        <v>1.9</v>
      </c>
      <c r="K4" s="5">
        <v>2.1</v>
      </c>
      <c r="L4" s="5">
        <v>5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156</v>
      </c>
      <c r="F5" s="4" t="s">
        <v>157</v>
      </c>
      <c r="G5" s="4" t="s">
        <v>158</v>
      </c>
      <c r="H5" s="4" t="s">
        <v>159</v>
      </c>
      <c r="I5" s="4" t="s">
        <v>160</v>
      </c>
      <c r="J5" s="4" t="s">
        <v>161</v>
      </c>
      <c r="K5" s="4" t="s">
        <v>162</v>
      </c>
      <c r="L5" s="4" t="s">
        <v>163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17516863</v>
      </c>
      <c r="E6" s="6">
        <v>9759710</v>
      </c>
      <c r="F6" s="6">
        <v>5289296</v>
      </c>
      <c r="G6" s="6">
        <v>1966209</v>
      </c>
      <c r="H6" s="6">
        <v>356942</v>
      </c>
      <c r="I6" s="6">
        <v>68286</v>
      </c>
      <c r="J6" s="6">
        <v>24492</v>
      </c>
      <c r="K6" s="6">
        <v>12116</v>
      </c>
      <c r="L6" s="6">
        <v>39812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9093256</v>
      </c>
      <c r="E7" s="6">
        <v>2570349</v>
      </c>
      <c r="F7" s="6">
        <v>4219131</v>
      </c>
      <c r="G7" s="6">
        <v>1852322</v>
      </c>
      <c r="H7" s="6">
        <v>333912</v>
      </c>
      <c r="I7" s="6">
        <v>59491</v>
      </c>
      <c r="J7" s="6">
        <v>20277</v>
      </c>
      <c r="K7" s="6">
        <v>9677</v>
      </c>
      <c r="L7" s="6">
        <v>28097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8423607</v>
      </c>
      <c r="E8" s="6">
        <v>7189361</v>
      </c>
      <c r="F8" s="6">
        <v>1070165</v>
      </c>
      <c r="G8" s="6">
        <v>113887</v>
      </c>
      <c r="H8" s="6">
        <v>23030</v>
      </c>
      <c r="I8" s="6">
        <v>8795</v>
      </c>
      <c r="J8" s="6">
        <v>4215</v>
      </c>
      <c r="K8" s="6">
        <v>2439</v>
      </c>
      <c r="L8" s="6">
        <v>11715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8654</v>
      </c>
      <c r="E9" s="6">
        <v>4716</v>
      </c>
      <c r="F9" s="6">
        <v>3121</v>
      </c>
      <c r="G9" s="6">
        <v>767</v>
      </c>
      <c r="H9" s="6">
        <v>47</v>
      </c>
      <c r="I9" s="6">
        <v>3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5724</v>
      </c>
      <c r="E10" s="6">
        <v>2139</v>
      </c>
      <c r="F10" s="6">
        <v>2776</v>
      </c>
      <c r="G10" s="6">
        <v>759</v>
      </c>
      <c r="H10" s="6">
        <v>47</v>
      </c>
      <c r="I10" s="6">
        <v>3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2577</v>
      </c>
      <c r="F11" s="6">
        <v>345</v>
      </c>
      <c r="G11" s="6">
        <v>8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544704</v>
      </c>
      <c r="E12" s="6">
        <v>338899</v>
      </c>
      <c r="F12" s="6">
        <v>149571</v>
      </c>
      <c r="G12" s="6">
        <v>49628</v>
      </c>
      <c r="H12" s="6">
        <v>6016</v>
      </c>
      <c r="I12" s="6">
        <v>353</v>
      </c>
      <c r="J12" s="6">
        <v>45</v>
      </c>
      <c r="K12" s="6">
        <v>15</v>
      </c>
      <c r="L12" s="6">
        <v>177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232355</v>
      </c>
      <c r="E13" s="6">
        <v>62052</v>
      </c>
      <c r="F13" s="6">
        <v>115828</v>
      </c>
      <c r="G13" s="6">
        <v>48073</v>
      </c>
      <c r="H13" s="6">
        <v>5941</v>
      </c>
      <c r="I13" s="6">
        <v>340</v>
      </c>
      <c r="J13" s="6">
        <v>37</v>
      </c>
      <c r="K13" s="6">
        <v>10</v>
      </c>
      <c r="L13" s="6">
        <v>74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312349</v>
      </c>
      <c r="E14" s="6">
        <v>276847</v>
      </c>
      <c r="F14" s="6">
        <v>33743</v>
      </c>
      <c r="G14" s="6">
        <v>1555</v>
      </c>
      <c r="H14" s="6">
        <v>75</v>
      </c>
      <c r="I14" s="6">
        <v>13</v>
      </c>
      <c r="J14" s="6">
        <v>8</v>
      </c>
      <c r="K14" s="6">
        <v>5</v>
      </c>
      <c r="L14" s="6">
        <v>103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1205383</v>
      </c>
      <c r="E15" s="6">
        <v>672677</v>
      </c>
      <c r="F15" s="6">
        <v>377772</v>
      </c>
      <c r="G15" s="6">
        <v>136420</v>
      </c>
      <c r="H15" s="6">
        <v>16975</v>
      </c>
      <c r="I15" s="6">
        <v>993</v>
      </c>
      <c r="J15" s="6">
        <v>109</v>
      </c>
      <c r="K15" s="6">
        <v>40</v>
      </c>
      <c r="L15" s="6">
        <v>397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626988</v>
      </c>
      <c r="E16" s="6">
        <v>160188</v>
      </c>
      <c r="F16" s="6">
        <v>315307</v>
      </c>
      <c r="G16" s="6">
        <v>133348</v>
      </c>
      <c r="H16" s="6">
        <v>16854</v>
      </c>
      <c r="I16" s="6">
        <v>956</v>
      </c>
      <c r="J16" s="6">
        <v>88</v>
      </c>
      <c r="K16" s="6">
        <v>28</v>
      </c>
      <c r="L16" s="6">
        <v>219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578395</v>
      </c>
      <c r="E17" s="6">
        <v>512489</v>
      </c>
      <c r="F17" s="6">
        <v>62465</v>
      </c>
      <c r="G17" s="6">
        <v>3072</v>
      </c>
      <c r="H17" s="6">
        <v>121</v>
      </c>
      <c r="I17" s="6">
        <v>37</v>
      </c>
      <c r="J17" s="6">
        <v>21</v>
      </c>
      <c r="K17" s="6">
        <v>12</v>
      </c>
      <c r="L17" s="6">
        <v>178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1640824</v>
      </c>
      <c r="E18" s="6">
        <v>867161</v>
      </c>
      <c r="F18" s="6">
        <v>538552</v>
      </c>
      <c r="G18" s="6">
        <v>205502</v>
      </c>
      <c r="H18" s="6">
        <v>26838</v>
      </c>
      <c r="I18" s="6">
        <v>1666</v>
      </c>
      <c r="J18" s="6">
        <v>266</v>
      </c>
      <c r="K18" s="6">
        <v>124</v>
      </c>
      <c r="L18" s="6">
        <v>715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923376</v>
      </c>
      <c r="E19" s="6">
        <v>233719</v>
      </c>
      <c r="F19" s="6">
        <v>459057</v>
      </c>
      <c r="G19" s="6">
        <v>201610</v>
      </c>
      <c r="H19" s="6">
        <v>26619</v>
      </c>
      <c r="I19" s="6">
        <v>1606</v>
      </c>
      <c r="J19" s="6">
        <v>230</v>
      </c>
      <c r="K19" s="6">
        <v>93</v>
      </c>
      <c r="L19" s="6">
        <v>442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717448</v>
      </c>
      <c r="E20" s="6">
        <v>633442</v>
      </c>
      <c r="F20" s="6">
        <v>79495</v>
      </c>
      <c r="G20" s="6">
        <v>3892</v>
      </c>
      <c r="H20" s="6">
        <v>219</v>
      </c>
      <c r="I20" s="6">
        <v>60</v>
      </c>
      <c r="J20" s="6">
        <v>36</v>
      </c>
      <c r="K20" s="6">
        <v>31</v>
      </c>
      <c r="L20" s="6">
        <v>273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1300964</v>
      </c>
      <c r="E21" s="6">
        <v>673650</v>
      </c>
      <c r="F21" s="6">
        <v>438538</v>
      </c>
      <c r="G21" s="6">
        <v>164183</v>
      </c>
      <c r="H21" s="6">
        <v>21501</v>
      </c>
      <c r="I21" s="6">
        <v>1624</v>
      </c>
      <c r="J21" s="6">
        <v>339</v>
      </c>
      <c r="K21" s="6">
        <v>170</v>
      </c>
      <c r="L21" s="6">
        <v>959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771716</v>
      </c>
      <c r="E22" s="6">
        <v>203450</v>
      </c>
      <c r="F22" s="6">
        <v>383114</v>
      </c>
      <c r="G22" s="6">
        <v>161253</v>
      </c>
      <c r="H22" s="6">
        <v>21270</v>
      </c>
      <c r="I22" s="6">
        <v>1553</v>
      </c>
      <c r="J22" s="6">
        <v>307</v>
      </c>
      <c r="K22" s="6">
        <v>142</v>
      </c>
      <c r="L22" s="6">
        <v>627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529248</v>
      </c>
      <c r="E23" s="6">
        <v>470200</v>
      </c>
      <c r="F23" s="6">
        <v>55424</v>
      </c>
      <c r="G23" s="6">
        <v>2930</v>
      </c>
      <c r="H23" s="6">
        <v>231</v>
      </c>
      <c r="I23" s="6">
        <v>71</v>
      </c>
      <c r="J23" s="6">
        <v>32</v>
      </c>
      <c r="K23" s="6">
        <v>28</v>
      </c>
      <c r="L23" s="6">
        <v>332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1998901</v>
      </c>
      <c r="E24" s="6">
        <v>1088687</v>
      </c>
      <c r="F24" s="6">
        <v>636909</v>
      </c>
      <c r="G24" s="6">
        <v>234111</v>
      </c>
      <c r="H24" s="6">
        <v>32783</v>
      </c>
      <c r="I24" s="6">
        <v>3109</v>
      </c>
      <c r="J24" s="6">
        <v>777</v>
      </c>
      <c r="K24" s="6">
        <v>405</v>
      </c>
      <c r="L24" s="6">
        <v>2120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1102956</v>
      </c>
      <c r="E25" s="6">
        <v>297236</v>
      </c>
      <c r="F25" s="6">
        <v>539537</v>
      </c>
      <c r="G25" s="6">
        <v>228548</v>
      </c>
      <c r="H25" s="6">
        <v>32284</v>
      </c>
      <c r="I25" s="6">
        <v>2905</v>
      </c>
      <c r="J25" s="6">
        <v>659</v>
      </c>
      <c r="K25" s="6">
        <v>344</v>
      </c>
      <c r="L25" s="6">
        <v>1443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895945</v>
      </c>
      <c r="E26" s="6">
        <v>791451</v>
      </c>
      <c r="F26" s="6">
        <v>97372</v>
      </c>
      <c r="G26" s="6">
        <v>5563</v>
      </c>
      <c r="H26" s="6">
        <v>499</v>
      </c>
      <c r="I26" s="6">
        <v>204</v>
      </c>
      <c r="J26" s="6">
        <v>118</v>
      </c>
      <c r="K26" s="6">
        <v>61</v>
      </c>
      <c r="L26" s="6">
        <v>677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1608639</v>
      </c>
      <c r="E27" s="6">
        <v>880477</v>
      </c>
      <c r="F27" s="6">
        <v>509246</v>
      </c>
      <c r="G27" s="6">
        <v>184571</v>
      </c>
      <c r="H27" s="6">
        <v>27726</v>
      </c>
      <c r="I27" s="6">
        <v>3188</v>
      </c>
      <c r="J27" s="6">
        <v>788</v>
      </c>
      <c r="K27" s="6">
        <v>441</v>
      </c>
      <c r="L27" s="6">
        <v>2202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894068</v>
      </c>
      <c r="E28" s="6">
        <v>252685</v>
      </c>
      <c r="F28" s="6">
        <v>429149</v>
      </c>
      <c r="G28" s="6">
        <v>179408</v>
      </c>
      <c r="H28" s="6">
        <v>27209</v>
      </c>
      <c r="I28" s="6">
        <v>2978</v>
      </c>
      <c r="J28" s="6">
        <v>686</v>
      </c>
      <c r="K28" s="6">
        <v>371</v>
      </c>
      <c r="L28" s="6">
        <v>1582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714571</v>
      </c>
      <c r="E29" s="6">
        <v>627792</v>
      </c>
      <c r="F29" s="6">
        <v>80097</v>
      </c>
      <c r="G29" s="6">
        <v>5163</v>
      </c>
      <c r="H29" s="6">
        <v>517</v>
      </c>
      <c r="I29" s="6">
        <v>210</v>
      </c>
      <c r="J29" s="6">
        <v>102</v>
      </c>
      <c r="K29" s="6">
        <v>70</v>
      </c>
      <c r="L29" s="6">
        <v>620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2173256</v>
      </c>
      <c r="E30" s="6">
        <v>1231315</v>
      </c>
      <c r="F30" s="6">
        <v>655950</v>
      </c>
      <c r="G30" s="6">
        <v>235888</v>
      </c>
      <c r="H30" s="6">
        <v>38759</v>
      </c>
      <c r="I30" s="6">
        <v>5371</v>
      </c>
      <c r="J30" s="6">
        <v>1537</v>
      </c>
      <c r="K30" s="6">
        <v>732</v>
      </c>
      <c r="L30" s="6">
        <v>3704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1122458</v>
      </c>
      <c r="E31" s="6">
        <v>323591</v>
      </c>
      <c r="F31" s="6">
        <v>525614</v>
      </c>
      <c r="G31" s="6">
        <v>226171</v>
      </c>
      <c r="H31" s="6">
        <v>37610</v>
      </c>
      <c r="I31" s="6">
        <v>4977</v>
      </c>
      <c r="J31" s="6">
        <v>1306</v>
      </c>
      <c r="K31" s="6">
        <v>614</v>
      </c>
      <c r="L31" s="6">
        <v>2575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1050798</v>
      </c>
      <c r="E32" s="6">
        <v>907724</v>
      </c>
      <c r="F32" s="6">
        <v>130336</v>
      </c>
      <c r="G32" s="6">
        <v>9717</v>
      </c>
      <c r="H32" s="6">
        <v>1149</v>
      </c>
      <c r="I32" s="6">
        <v>394</v>
      </c>
      <c r="J32" s="6">
        <v>231</v>
      </c>
      <c r="K32" s="6">
        <v>118</v>
      </c>
      <c r="L32" s="6">
        <v>1129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1752073</v>
      </c>
      <c r="E33" s="6">
        <v>1024042</v>
      </c>
      <c r="F33" s="6">
        <v>508457</v>
      </c>
      <c r="G33" s="6">
        <v>176836</v>
      </c>
      <c r="H33" s="6">
        <v>31355</v>
      </c>
      <c r="I33" s="6">
        <v>5425</v>
      </c>
      <c r="J33" s="6">
        <v>1617</v>
      </c>
      <c r="K33" s="6">
        <v>796</v>
      </c>
      <c r="L33" s="6">
        <v>3545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882179</v>
      </c>
      <c r="E34" s="6">
        <v>274148</v>
      </c>
      <c r="F34" s="6">
        <v>400363</v>
      </c>
      <c r="G34" s="6">
        <v>167973</v>
      </c>
      <c r="H34" s="6">
        <v>30130</v>
      </c>
      <c r="I34" s="6">
        <v>4974</v>
      </c>
      <c r="J34" s="6">
        <v>1387</v>
      </c>
      <c r="K34" s="6">
        <v>674</v>
      </c>
      <c r="L34" s="6">
        <v>2530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869894</v>
      </c>
      <c r="E35" s="6">
        <v>749894</v>
      </c>
      <c r="F35" s="6">
        <v>108094</v>
      </c>
      <c r="G35" s="6">
        <v>8863</v>
      </c>
      <c r="H35" s="6">
        <v>1225</v>
      </c>
      <c r="I35" s="6">
        <v>451</v>
      </c>
      <c r="J35" s="6">
        <v>230</v>
      </c>
      <c r="K35" s="6">
        <v>122</v>
      </c>
      <c r="L35" s="6">
        <v>1015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1974576</v>
      </c>
      <c r="E36" s="6">
        <v>1174736</v>
      </c>
      <c r="F36" s="6">
        <v>549975</v>
      </c>
      <c r="G36" s="6">
        <v>193217</v>
      </c>
      <c r="H36" s="6">
        <v>39080</v>
      </c>
      <c r="I36" s="6">
        <v>8116</v>
      </c>
      <c r="J36" s="6">
        <v>2811</v>
      </c>
      <c r="K36" s="6">
        <v>1364</v>
      </c>
      <c r="L36" s="6">
        <v>5277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951175</v>
      </c>
      <c r="E37" s="6">
        <v>304075</v>
      </c>
      <c r="F37" s="6">
        <v>415828</v>
      </c>
      <c r="G37" s="6">
        <v>179799</v>
      </c>
      <c r="H37" s="6">
        <v>36949</v>
      </c>
      <c r="I37" s="6">
        <v>7349</v>
      </c>
      <c r="J37" s="6">
        <v>2411</v>
      </c>
      <c r="K37" s="6">
        <v>1098</v>
      </c>
      <c r="L37" s="6">
        <v>3666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1023401</v>
      </c>
      <c r="E38" s="6">
        <v>870661</v>
      </c>
      <c r="F38" s="6">
        <v>134147</v>
      </c>
      <c r="G38" s="6">
        <v>13418</v>
      </c>
      <c r="H38" s="6">
        <v>2131</v>
      </c>
      <c r="I38" s="6">
        <v>767</v>
      </c>
      <c r="J38" s="6">
        <v>400</v>
      </c>
      <c r="K38" s="6">
        <v>266</v>
      </c>
      <c r="L38" s="6">
        <v>1611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1284661</v>
      </c>
      <c r="E39" s="6">
        <v>745476</v>
      </c>
      <c r="F39" s="6">
        <v>356435</v>
      </c>
      <c r="G39" s="6">
        <v>133426</v>
      </c>
      <c r="H39" s="6">
        <v>31756</v>
      </c>
      <c r="I39" s="6">
        <v>8070</v>
      </c>
      <c r="J39" s="6">
        <v>3120</v>
      </c>
      <c r="K39" s="6">
        <v>1434</v>
      </c>
      <c r="L39" s="6">
        <v>4944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626975</v>
      </c>
      <c r="E40" s="6">
        <v>196943</v>
      </c>
      <c r="F40" s="6">
        <v>264352</v>
      </c>
      <c r="G40" s="6">
        <v>121488</v>
      </c>
      <c r="H40" s="6">
        <v>29459</v>
      </c>
      <c r="I40" s="6">
        <v>7303</v>
      </c>
      <c r="J40" s="6">
        <v>2702</v>
      </c>
      <c r="K40" s="6">
        <v>1171</v>
      </c>
      <c r="L40" s="6">
        <v>3557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657686</v>
      </c>
      <c r="E41" s="6">
        <v>548533</v>
      </c>
      <c r="F41" s="6">
        <v>92083</v>
      </c>
      <c r="G41" s="6">
        <v>11938</v>
      </c>
      <c r="H41" s="6">
        <v>2297</v>
      </c>
      <c r="I41" s="6">
        <v>767</v>
      </c>
      <c r="J41" s="6">
        <v>418</v>
      </c>
      <c r="K41" s="6">
        <v>263</v>
      </c>
      <c r="L41" s="6">
        <v>1387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1083975</v>
      </c>
      <c r="E42" s="6">
        <v>603028</v>
      </c>
      <c r="F42" s="6">
        <v>300132</v>
      </c>
      <c r="G42" s="6">
        <v>122145</v>
      </c>
      <c r="H42" s="6">
        <v>35127</v>
      </c>
      <c r="I42" s="6">
        <v>10896</v>
      </c>
      <c r="J42" s="6">
        <v>4405</v>
      </c>
      <c r="K42" s="6">
        <v>2097</v>
      </c>
      <c r="L42" s="6">
        <v>6145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515608</v>
      </c>
      <c r="E43" s="6">
        <v>151169</v>
      </c>
      <c r="F43" s="6">
        <v>208199</v>
      </c>
      <c r="G43" s="6">
        <v>105765</v>
      </c>
      <c r="H43" s="6">
        <v>31178</v>
      </c>
      <c r="I43" s="6">
        <v>9390</v>
      </c>
      <c r="J43" s="6">
        <v>3746</v>
      </c>
      <c r="K43" s="6">
        <v>1722</v>
      </c>
      <c r="L43" s="6">
        <v>4439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568367</v>
      </c>
      <c r="E44" s="6">
        <v>451859</v>
      </c>
      <c r="F44" s="6">
        <v>91933</v>
      </c>
      <c r="G44" s="6">
        <v>16380</v>
      </c>
      <c r="H44" s="6">
        <v>3949</v>
      </c>
      <c r="I44" s="6">
        <v>1506</v>
      </c>
      <c r="J44" s="6">
        <v>659</v>
      </c>
      <c r="K44" s="6">
        <v>375</v>
      </c>
      <c r="L44" s="6">
        <v>1706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475565</v>
      </c>
      <c r="E45" s="6">
        <v>244117</v>
      </c>
      <c r="F45" s="6">
        <v>133930</v>
      </c>
      <c r="G45" s="6">
        <v>60989</v>
      </c>
      <c r="H45" s="6">
        <v>20522</v>
      </c>
      <c r="I45" s="6">
        <v>7382</v>
      </c>
      <c r="J45" s="6">
        <v>3125</v>
      </c>
      <c r="K45" s="6">
        <v>1606</v>
      </c>
      <c r="L45" s="6">
        <v>3894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228800</v>
      </c>
      <c r="E46" s="6">
        <v>61275</v>
      </c>
      <c r="F46" s="6">
        <v>87653</v>
      </c>
      <c r="G46" s="6">
        <v>49769</v>
      </c>
      <c r="H46" s="6">
        <v>17206</v>
      </c>
      <c r="I46" s="6">
        <v>6140</v>
      </c>
      <c r="J46" s="6">
        <v>2593</v>
      </c>
      <c r="K46" s="6">
        <v>1291</v>
      </c>
      <c r="L46" s="6">
        <v>2873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246765</v>
      </c>
      <c r="E47" s="6">
        <v>182842</v>
      </c>
      <c r="F47" s="6">
        <v>46277</v>
      </c>
      <c r="G47" s="6">
        <v>11220</v>
      </c>
      <c r="H47" s="6">
        <v>3316</v>
      </c>
      <c r="I47" s="6">
        <v>1242</v>
      </c>
      <c r="J47" s="6">
        <v>532</v>
      </c>
      <c r="K47" s="6">
        <v>315</v>
      </c>
      <c r="L47" s="6">
        <v>1021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356867</v>
      </c>
      <c r="E48" s="6">
        <v>165571</v>
      </c>
      <c r="F48" s="6">
        <v>101035</v>
      </c>
      <c r="G48" s="6">
        <v>51530</v>
      </c>
      <c r="H48" s="6">
        <v>20625</v>
      </c>
      <c r="I48" s="6">
        <v>8400</v>
      </c>
      <c r="J48" s="6">
        <v>3758</v>
      </c>
      <c r="K48" s="6">
        <v>1925</v>
      </c>
      <c r="L48" s="6">
        <v>4023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164369</v>
      </c>
      <c r="E49" s="6">
        <v>38743</v>
      </c>
      <c r="F49" s="6">
        <v>58119</v>
      </c>
      <c r="G49" s="6">
        <v>37714</v>
      </c>
      <c r="H49" s="6">
        <v>15965</v>
      </c>
      <c r="I49" s="6">
        <v>6500</v>
      </c>
      <c r="J49" s="6">
        <v>2921</v>
      </c>
      <c r="K49" s="6">
        <v>1473</v>
      </c>
      <c r="L49" s="6">
        <v>2934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192498</v>
      </c>
      <c r="E50" s="6">
        <v>126828</v>
      </c>
      <c r="F50" s="6">
        <v>42916</v>
      </c>
      <c r="G50" s="6">
        <v>13816</v>
      </c>
      <c r="H50" s="6">
        <v>4660</v>
      </c>
      <c r="I50" s="6">
        <v>1900</v>
      </c>
      <c r="J50" s="6">
        <v>837</v>
      </c>
      <c r="K50" s="6">
        <v>452</v>
      </c>
      <c r="L50" s="6">
        <v>1089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107821</v>
      </c>
      <c r="E51" s="6">
        <v>45158</v>
      </c>
      <c r="F51" s="6">
        <v>29673</v>
      </c>
      <c r="G51" s="6">
        <v>16996</v>
      </c>
      <c r="H51" s="6">
        <v>7832</v>
      </c>
      <c r="I51" s="6">
        <v>3690</v>
      </c>
      <c r="J51" s="6">
        <v>1795</v>
      </c>
      <c r="K51" s="6">
        <v>967</v>
      </c>
      <c r="L51" s="6">
        <v>1710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44509</v>
      </c>
      <c r="E52" s="6">
        <v>8936</v>
      </c>
      <c r="F52" s="6">
        <v>14235</v>
      </c>
      <c r="G52" s="6">
        <v>10644</v>
      </c>
      <c r="H52" s="6">
        <v>5191</v>
      </c>
      <c r="I52" s="6">
        <v>2517</v>
      </c>
      <c r="J52" s="6">
        <v>1204</v>
      </c>
      <c r="K52" s="6">
        <v>646</v>
      </c>
      <c r="L52" s="6">
        <v>1136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63312</v>
      </c>
      <c r="E53" s="6">
        <v>36222</v>
      </c>
      <c r="F53" s="6">
        <v>15438</v>
      </c>
      <c r="G53" s="6">
        <v>6352</v>
      </c>
      <c r="H53" s="6">
        <v>2641</v>
      </c>
      <c r="I53" s="6">
        <v>1173</v>
      </c>
      <c r="J53" s="6">
        <v>591</v>
      </c>
      <c r="K53" s="6">
        <v>321</v>
      </c>
      <c r="L53" s="6">
        <v>574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3CD2F-7B0C-4288-8B6C-06778A2AAA00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5</v>
      </c>
      <c r="F3" s="5">
        <v>30</v>
      </c>
      <c r="G3" s="5">
        <v>40</v>
      </c>
      <c r="H3" s="5">
        <v>50</v>
      </c>
      <c r="I3" s="5">
        <v>60</v>
      </c>
      <c r="J3" s="5">
        <v>80</v>
      </c>
      <c r="K3" s="5">
        <v>100</v>
      </c>
      <c r="L3" s="5">
        <v>150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30</v>
      </c>
      <c r="F4" s="5">
        <v>40</v>
      </c>
      <c r="G4" s="5">
        <v>50</v>
      </c>
      <c r="H4" s="5">
        <v>60</v>
      </c>
      <c r="I4" s="5">
        <v>80</v>
      </c>
      <c r="J4" s="5">
        <v>100</v>
      </c>
      <c r="K4" s="5">
        <v>150</v>
      </c>
      <c r="L4" s="5">
        <v>200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123</v>
      </c>
      <c r="F5" s="4" t="s">
        <v>124</v>
      </c>
      <c r="G5" s="4" t="s">
        <v>125</v>
      </c>
      <c r="H5" s="4" t="s">
        <v>126</v>
      </c>
      <c r="I5" s="4" t="s">
        <v>165</v>
      </c>
      <c r="J5" s="4" t="s">
        <v>166</v>
      </c>
      <c r="K5" s="4" t="s">
        <v>132</v>
      </c>
      <c r="L5" s="4" t="s">
        <v>167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17507116</v>
      </c>
      <c r="E6" s="6">
        <v>40111</v>
      </c>
      <c r="F6" s="6">
        <v>49193</v>
      </c>
      <c r="G6" s="6">
        <v>130114</v>
      </c>
      <c r="H6" s="6">
        <v>381707</v>
      </c>
      <c r="I6" s="6">
        <v>2997974</v>
      </c>
      <c r="J6" s="6">
        <v>6983354</v>
      </c>
      <c r="K6" s="6">
        <v>6908962</v>
      </c>
      <c r="L6" s="6">
        <v>15701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9088489</v>
      </c>
      <c r="E7" s="6">
        <v>23630</v>
      </c>
      <c r="F7" s="6">
        <v>26814</v>
      </c>
      <c r="G7" s="6">
        <v>71990</v>
      </c>
      <c r="H7" s="6">
        <v>207235</v>
      </c>
      <c r="I7" s="6">
        <v>1717900</v>
      </c>
      <c r="J7" s="6">
        <v>3862470</v>
      </c>
      <c r="K7" s="6">
        <v>3171933</v>
      </c>
      <c r="L7" s="6">
        <v>6517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8418627</v>
      </c>
      <c r="E8" s="6">
        <v>16481</v>
      </c>
      <c r="F8" s="6">
        <v>22379</v>
      </c>
      <c r="G8" s="6">
        <v>58124</v>
      </c>
      <c r="H8" s="6">
        <v>174472</v>
      </c>
      <c r="I8" s="6">
        <v>1280074</v>
      </c>
      <c r="J8" s="6">
        <v>3120884</v>
      </c>
      <c r="K8" s="6">
        <v>3737029</v>
      </c>
      <c r="L8" s="6">
        <v>9184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8650</v>
      </c>
      <c r="E9" s="6">
        <v>0</v>
      </c>
      <c r="F9" s="6">
        <v>0</v>
      </c>
      <c r="G9" s="6">
        <v>1</v>
      </c>
      <c r="H9" s="6">
        <v>1</v>
      </c>
      <c r="I9" s="6">
        <v>57</v>
      </c>
      <c r="J9" s="6">
        <v>1114</v>
      </c>
      <c r="K9" s="6">
        <v>7364</v>
      </c>
      <c r="L9" s="6">
        <v>113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5720</v>
      </c>
      <c r="E10" s="6">
        <v>0</v>
      </c>
      <c r="F10" s="6">
        <v>0</v>
      </c>
      <c r="G10" s="6">
        <v>1</v>
      </c>
      <c r="H10" s="6">
        <v>1</v>
      </c>
      <c r="I10" s="6">
        <v>47</v>
      </c>
      <c r="J10" s="6">
        <v>755</v>
      </c>
      <c r="K10" s="6">
        <v>4857</v>
      </c>
      <c r="L10" s="6">
        <v>59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0</v>
      </c>
      <c r="F11" s="6">
        <v>0</v>
      </c>
      <c r="G11" s="6">
        <v>0</v>
      </c>
      <c r="H11" s="6">
        <v>0</v>
      </c>
      <c r="I11" s="6">
        <v>10</v>
      </c>
      <c r="J11" s="6">
        <v>359</v>
      </c>
      <c r="K11" s="6">
        <v>2507</v>
      </c>
      <c r="L11" s="6">
        <v>54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544353</v>
      </c>
      <c r="E12" s="6">
        <v>58</v>
      </c>
      <c r="F12" s="6">
        <v>15</v>
      </c>
      <c r="G12" s="6">
        <v>45</v>
      </c>
      <c r="H12" s="6">
        <v>193</v>
      </c>
      <c r="I12" s="6">
        <v>11744</v>
      </c>
      <c r="J12" s="6">
        <v>81632</v>
      </c>
      <c r="K12" s="6">
        <v>448401</v>
      </c>
      <c r="L12" s="6">
        <v>2265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232174</v>
      </c>
      <c r="E13" s="6">
        <v>32</v>
      </c>
      <c r="F13" s="6">
        <v>7</v>
      </c>
      <c r="G13" s="6">
        <v>22</v>
      </c>
      <c r="H13" s="6">
        <v>94</v>
      </c>
      <c r="I13" s="6">
        <v>6421</v>
      </c>
      <c r="J13" s="6">
        <v>49389</v>
      </c>
      <c r="K13" s="6">
        <v>175511</v>
      </c>
      <c r="L13" s="6">
        <v>698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312179</v>
      </c>
      <c r="E14" s="6">
        <v>26</v>
      </c>
      <c r="F14" s="6">
        <v>8</v>
      </c>
      <c r="G14" s="6">
        <v>23</v>
      </c>
      <c r="H14" s="6">
        <v>99</v>
      </c>
      <c r="I14" s="6">
        <v>5323</v>
      </c>
      <c r="J14" s="6">
        <v>32243</v>
      </c>
      <c r="K14" s="6">
        <v>272890</v>
      </c>
      <c r="L14" s="6">
        <v>1567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1204762</v>
      </c>
      <c r="E15" s="6">
        <v>169</v>
      </c>
      <c r="F15" s="6">
        <v>72</v>
      </c>
      <c r="G15" s="6">
        <v>100</v>
      </c>
      <c r="H15" s="6">
        <v>452</v>
      </c>
      <c r="I15" s="6">
        <v>36850</v>
      </c>
      <c r="J15" s="6">
        <v>211978</v>
      </c>
      <c r="K15" s="6">
        <v>953120</v>
      </c>
      <c r="L15" s="6">
        <v>2021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626686</v>
      </c>
      <c r="E16" s="6">
        <v>93</v>
      </c>
      <c r="F16" s="6">
        <v>42</v>
      </c>
      <c r="G16" s="6">
        <v>52</v>
      </c>
      <c r="H16" s="6">
        <v>317</v>
      </c>
      <c r="I16" s="6">
        <v>20172</v>
      </c>
      <c r="J16" s="6">
        <v>143435</v>
      </c>
      <c r="K16" s="6">
        <v>462056</v>
      </c>
      <c r="L16" s="6">
        <v>519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578076</v>
      </c>
      <c r="E17" s="6">
        <v>76</v>
      </c>
      <c r="F17" s="6">
        <v>30</v>
      </c>
      <c r="G17" s="6">
        <v>48</v>
      </c>
      <c r="H17" s="6">
        <v>135</v>
      </c>
      <c r="I17" s="6">
        <v>16678</v>
      </c>
      <c r="J17" s="6">
        <v>68543</v>
      </c>
      <c r="K17" s="6">
        <v>491064</v>
      </c>
      <c r="L17" s="6">
        <v>1502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1640094</v>
      </c>
      <c r="E18" s="6">
        <v>356</v>
      </c>
      <c r="F18" s="6">
        <v>161</v>
      </c>
      <c r="G18" s="6">
        <v>287</v>
      </c>
      <c r="H18" s="6">
        <v>1429</v>
      </c>
      <c r="I18" s="6">
        <v>87829</v>
      </c>
      <c r="J18" s="6">
        <v>519128</v>
      </c>
      <c r="K18" s="6">
        <v>1028502</v>
      </c>
      <c r="L18" s="6">
        <v>2402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923029</v>
      </c>
      <c r="E19" s="6">
        <v>206</v>
      </c>
      <c r="F19" s="6">
        <v>92</v>
      </c>
      <c r="G19" s="6">
        <v>185</v>
      </c>
      <c r="H19" s="6">
        <v>884</v>
      </c>
      <c r="I19" s="6">
        <v>65693</v>
      </c>
      <c r="J19" s="6">
        <v>325602</v>
      </c>
      <c r="K19" s="6">
        <v>529756</v>
      </c>
      <c r="L19" s="6">
        <v>611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717065</v>
      </c>
      <c r="E20" s="6">
        <v>150</v>
      </c>
      <c r="F20" s="6">
        <v>69</v>
      </c>
      <c r="G20" s="6">
        <v>102</v>
      </c>
      <c r="H20" s="6">
        <v>545</v>
      </c>
      <c r="I20" s="6">
        <v>22136</v>
      </c>
      <c r="J20" s="6">
        <v>193526</v>
      </c>
      <c r="K20" s="6">
        <v>498746</v>
      </c>
      <c r="L20" s="6">
        <v>1791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1300405</v>
      </c>
      <c r="E21" s="6">
        <v>551</v>
      </c>
      <c r="F21" s="6">
        <v>227</v>
      </c>
      <c r="G21" s="6">
        <v>431</v>
      </c>
      <c r="H21" s="6">
        <v>2312</v>
      </c>
      <c r="I21" s="6">
        <v>89628</v>
      </c>
      <c r="J21" s="6">
        <v>432504</v>
      </c>
      <c r="K21" s="6">
        <v>773953</v>
      </c>
      <c r="L21" s="6">
        <v>799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771450</v>
      </c>
      <c r="E22" s="6">
        <v>335</v>
      </c>
      <c r="F22" s="6">
        <v>164</v>
      </c>
      <c r="G22" s="6">
        <v>277</v>
      </c>
      <c r="H22" s="6">
        <v>1715</v>
      </c>
      <c r="I22" s="6">
        <v>72792</v>
      </c>
      <c r="J22" s="6">
        <v>291001</v>
      </c>
      <c r="K22" s="6">
        <v>404666</v>
      </c>
      <c r="L22" s="6">
        <v>500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528955</v>
      </c>
      <c r="E23" s="6">
        <v>216</v>
      </c>
      <c r="F23" s="6">
        <v>63</v>
      </c>
      <c r="G23" s="6">
        <v>154</v>
      </c>
      <c r="H23" s="6">
        <v>597</v>
      </c>
      <c r="I23" s="6">
        <v>16836</v>
      </c>
      <c r="J23" s="6">
        <v>141503</v>
      </c>
      <c r="K23" s="6">
        <v>369287</v>
      </c>
      <c r="L23" s="6">
        <v>299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1998131</v>
      </c>
      <c r="E24" s="6">
        <v>1347</v>
      </c>
      <c r="F24" s="6">
        <v>678</v>
      </c>
      <c r="G24" s="6">
        <v>1218</v>
      </c>
      <c r="H24" s="6">
        <v>4698</v>
      </c>
      <c r="I24" s="6">
        <v>194479</v>
      </c>
      <c r="J24" s="6">
        <v>620377</v>
      </c>
      <c r="K24" s="6">
        <v>1174328</v>
      </c>
      <c r="L24" s="6">
        <v>1006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1102541</v>
      </c>
      <c r="E25" s="6">
        <v>882</v>
      </c>
      <c r="F25" s="6">
        <v>440</v>
      </c>
      <c r="G25" s="6">
        <v>899</v>
      </c>
      <c r="H25" s="6">
        <v>3224</v>
      </c>
      <c r="I25" s="6">
        <v>113634</v>
      </c>
      <c r="J25" s="6">
        <v>417662</v>
      </c>
      <c r="K25" s="6">
        <v>565174</v>
      </c>
      <c r="L25" s="6">
        <v>626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895590</v>
      </c>
      <c r="E26" s="6">
        <v>465</v>
      </c>
      <c r="F26" s="6">
        <v>238</v>
      </c>
      <c r="G26" s="6">
        <v>319</v>
      </c>
      <c r="H26" s="6">
        <v>1474</v>
      </c>
      <c r="I26" s="6">
        <v>80845</v>
      </c>
      <c r="J26" s="6">
        <v>202715</v>
      </c>
      <c r="K26" s="6">
        <v>609154</v>
      </c>
      <c r="L26" s="6">
        <v>380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1607951</v>
      </c>
      <c r="E27" s="6">
        <v>1597</v>
      </c>
      <c r="F27" s="6">
        <v>736</v>
      </c>
      <c r="G27" s="6">
        <v>1673</v>
      </c>
      <c r="H27" s="6">
        <v>11385</v>
      </c>
      <c r="I27" s="6">
        <v>227943</v>
      </c>
      <c r="J27" s="6">
        <v>451189</v>
      </c>
      <c r="K27" s="6">
        <v>912604</v>
      </c>
      <c r="L27" s="6">
        <v>824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893722</v>
      </c>
      <c r="E28" s="6">
        <v>1087</v>
      </c>
      <c r="F28" s="6">
        <v>495</v>
      </c>
      <c r="G28" s="6">
        <v>1052</v>
      </c>
      <c r="H28" s="6">
        <v>8141</v>
      </c>
      <c r="I28" s="6">
        <v>146898</v>
      </c>
      <c r="J28" s="6">
        <v>298856</v>
      </c>
      <c r="K28" s="6">
        <v>436709</v>
      </c>
      <c r="L28" s="6">
        <v>484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714229</v>
      </c>
      <c r="E29" s="6">
        <v>510</v>
      </c>
      <c r="F29" s="6">
        <v>241</v>
      </c>
      <c r="G29" s="6">
        <v>621</v>
      </c>
      <c r="H29" s="6">
        <v>3244</v>
      </c>
      <c r="I29" s="6">
        <v>81045</v>
      </c>
      <c r="J29" s="6">
        <v>152333</v>
      </c>
      <c r="K29" s="6">
        <v>475895</v>
      </c>
      <c r="L29" s="6">
        <v>340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2172197</v>
      </c>
      <c r="E30" s="6">
        <v>2943</v>
      </c>
      <c r="F30" s="6">
        <v>1572</v>
      </c>
      <c r="G30" s="6">
        <v>4129</v>
      </c>
      <c r="H30" s="6">
        <v>22935</v>
      </c>
      <c r="I30" s="6">
        <v>386932</v>
      </c>
      <c r="J30" s="6">
        <v>928592</v>
      </c>
      <c r="K30" s="6">
        <v>823996</v>
      </c>
      <c r="L30" s="6">
        <v>1098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1121961</v>
      </c>
      <c r="E31" s="6">
        <v>1881</v>
      </c>
      <c r="F31" s="6">
        <v>1002</v>
      </c>
      <c r="G31" s="6">
        <v>2876</v>
      </c>
      <c r="H31" s="6">
        <v>13409</v>
      </c>
      <c r="I31" s="6">
        <v>252840</v>
      </c>
      <c r="J31" s="6">
        <v>526898</v>
      </c>
      <c r="K31" s="6">
        <v>322444</v>
      </c>
      <c r="L31" s="6">
        <v>611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1050236</v>
      </c>
      <c r="E32" s="6">
        <v>1062</v>
      </c>
      <c r="F32" s="6">
        <v>570</v>
      </c>
      <c r="G32" s="6">
        <v>1253</v>
      </c>
      <c r="H32" s="6">
        <v>9526</v>
      </c>
      <c r="I32" s="6">
        <v>134092</v>
      </c>
      <c r="J32" s="6">
        <v>401694</v>
      </c>
      <c r="K32" s="6">
        <v>501552</v>
      </c>
      <c r="L32" s="6">
        <v>487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1751078</v>
      </c>
      <c r="E33" s="6">
        <v>3019</v>
      </c>
      <c r="F33" s="6">
        <v>1844</v>
      </c>
      <c r="G33" s="6">
        <v>5090</v>
      </c>
      <c r="H33" s="6">
        <v>22878</v>
      </c>
      <c r="I33" s="6">
        <v>308807</v>
      </c>
      <c r="J33" s="6">
        <v>955584</v>
      </c>
      <c r="K33" s="6">
        <v>453008</v>
      </c>
      <c r="L33" s="6">
        <v>848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881718</v>
      </c>
      <c r="E34" s="6">
        <v>1968</v>
      </c>
      <c r="F34" s="6">
        <v>1164</v>
      </c>
      <c r="G34" s="6">
        <v>3066</v>
      </c>
      <c r="H34" s="6">
        <v>14525</v>
      </c>
      <c r="I34" s="6">
        <v>192956</v>
      </c>
      <c r="J34" s="6">
        <v>530513</v>
      </c>
      <c r="K34" s="6">
        <v>137069</v>
      </c>
      <c r="L34" s="6">
        <v>457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869360</v>
      </c>
      <c r="E35" s="6">
        <v>1051</v>
      </c>
      <c r="F35" s="6">
        <v>680</v>
      </c>
      <c r="G35" s="6">
        <v>2024</v>
      </c>
      <c r="H35" s="6">
        <v>8353</v>
      </c>
      <c r="I35" s="6">
        <v>115851</v>
      </c>
      <c r="J35" s="6">
        <v>425071</v>
      </c>
      <c r="K35" s="6">
        <v>315939</v>
      </c>
      <c r="L35" s="6">
        <v>391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1973236</v>
      </c>
      <c r="E36" s="6">
        <v>4885</v>
      </c>
      <c r="F36" s="6">
        <v>3739</v>
      </c>
      <c r="G36" s="6">
        <v>13880</v>
      </c>
      <c r="H36" s="6">
        <v>56965</v>
      </c>
      <c r="I36" s="6">
        <v>521265</v>
      </c>
      <c r="J36" s="6">
        <v>1145661</v>
      </c>
      <c r="K36" s="6">
        <v>225711</v>
      </c>
      <c r="L36" s="6">
        <v>1130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950550</v>
      </c>
      <c r="E37" s="6">
        <v>2977</v>
      </c>
      <c r="F37" s="6">
        <v>2431</v>
      </c>
      <c r="G37" s="6">
        <v>8686</v>
      </c>
      <c r="H37" s="6">
        <v>36485</v>
      </c>
      <c r="I37" s="6">
        <v>252055</v>
      </c>
      <c r="J37" s="6">
        <v>550804</v>
      </c>
      <c r="K37" s="6">
        <v>96578</v>
      </c>
      <c r="L37" s="6">
        <v>534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1022686</v>
      </c>
      <c r="E38" s="6">
        <v>1908</v>
      </c>
      <c r="F38" s="6">
        <v>1308</v>
      </c>
      <c r="G38" s="6">
        <v>5194</v>
      </c>
      <c r="H38" s="6">
        <v>20480</v>
      </c>
      <c r="I38" s="6">
        <v>269210</v>
      </c>
      <c r="J38" s="6">
        <v>594857</v>
      </c>
      <c r="K38" s="6">
        <v>129133</v>
      </c>
      <c r="L38" s="6">
        <v>596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1283600</v>
      </c>
      <c r="E39" s="6">
        <v>4740</v>
      </c>
      <c r="F39" s="6">
        <v>4543</v>
      </c>
      <c r="G39" s="6">
        <v>13907</v>
      </c>
      <c r="H39" s="6">
        <v>62675</v>
      </c>
      <c r="I39" s="6">
        <v>436312</v>
      </c>
      <c r="J39" s="6">
        <v>684803</v>
      </c>
      <c r="K39" s="6">
        <v>75623</v>
      </c>
      <c r="L39" s="6">
        <v>997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626443</v>
      </c>
      <c r="E40" s="6">
        <v>2976</v>
      </c>
      <c r="F40" s="6">
        <v>2751</v>
      </c>
      <c r="G40" s="6">
        <v>9007</v>
      </c>
      <c r="H40" s="6">
        <v>29835</v>
      </c>
      <c r="I40" s="6">
        <v>240102</v>
      </c>
      <c r="J40" s="6">
        <v>319281</v>
      </c>
      <c r="K40" s="6">
        <v>22027</v>
      </c>
      <c r="L40" s="6">
        <v>464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657157</v>
      </c>
      <c r="E41" s="6">
        <v>1764</v>
      </c>
      <c r="F41" s="6">
        <v>1792</v>
      </c>
      <c r="G41" s="6">
        <v>4900</v>
      </c>
      <c r="H41" s="6">
        <v>32840</v>
      </c>
      <c r="I41" s="6">
        <v>196210</v>
      </c>
      <c r="J41" s="6">
        <v>365522</v>
      </c>
      <c r="K41" s="6">
        <v>53596</v>
      </c>
      <c r="L41" s="6">
        <v>533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1083169</v>
      </c>
      <c r="E42" s="6">
        <v>6442</v>
      </c>
      <c r="F42" s="6">
        <v>8847</v>
      </c>
      <c r="G42" s="6">
        <v>26932</v>
      </c>
      <c r="H42" s="6">
        <v>72305</v>
      </c>
      <c r="I42" s="6">
        <v>370939</v>
      </c>
      <c r="J42" s="6">
        <v>571712</v>
      </c>
      <c r="K42" s="6">
        <v>24815</v>
      </c>
      <c r="L42" s="6">
        <v>1177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515193</v>
      </c>
      <c r="E43" s="6">
        <v>3870</v>
      </c>
      <c r="F43" s="6">
        <v>5817</v>
      </c>
      <c r="G43" s="6">
        <v>15870</v>
      </c>
      <c r="H43" s="6">
        <v>36322</v>
      </c>
      <c r="I43" s="6">
        <v>192212</v>
      </c>
      <c r="J43" s="6">
        <v>247720</v>
      </c>
      <c r="K43" s="6">
        <v>12878</v>
      </c>
      <c r="L43" s="6">
        <v>504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567976</v>
      </c>
      <c r="E44" s="6">
        <v>2572</v>
      </c>
      <c r="F44" s="6">
        <v>3030</v>
      </c>
      <c r="G44" s="6">
        <v>11062</v>
      </c>
      <c r="H44" s="6">
        <v>35983</v>
      </c>
      <c r="I44" s="6">
        <v>178727</v>
      </c>
      <c r="J44" s="6">
        <v>323992</v>
      </c>
      <c r="K44" s="6">
        <v>11937</v>
      </c>
      <c r="L44" s="6">
        <v>673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475221</v>
      </c>
      <c r="E45" s="6">
        <v>4683</v>
      </c>
      <c r="F45" s="6">
        <v>8233</v>
      </c>
      <c r="G45" s="6">
        <v>23506</v>
      </c>
      <c r="H45" s="6">
        <v>46311</v>
      </c>
      <c r="I45" s="6">
        <v>154865</v>
      </c>
      <c r="J45" s="6">
        <v>231322</v>
      </c>
      <c r="K45" s="6">
        <v>5759</v>
      </c>
      <c r="L45" s="6">
        <v>542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228626</v>
      </c>
      <c r="E46" s="6">
        <v>2833</v>
      </c>
      <c r="F46" s="6">
        <v>3918</v>
      </c>
      <c r="G46" s="6">
        <v>12299</v>
      </c>
      <c r="H46" s="6">
        <v>29802</v>
      </c>
      <c r="I46" s="6">
        <v>74152</v>
      </c>
      <c r="J46" s="6">
        <v>103983</v>
      </c>
      <c r="K46" s="6">
        <v>1399</v>
      </c>
      <c r="L46" s="6">
        <v>240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246595</v>
      </c>
      <c r="E47" s="6">
        <v>1850</v>
      </c>
      <c r="F47" s="6">
        <v>4315</v>
      </c>
      <c r="G47" s="6">
        <v>11207</v>
      </c>
      <c r="H47" s="6">
        <v>16509</v>
      </c>
      <c r="I47" s="6">
        <v>80713</v>
      </c>
      <c r="J47" s="6">
        <v>127339</v>
      </c>
      <c r="K47" s="6">
        <v>4360</v>
      </c>
      <c r="L47" s="6">
        <v>302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356547</v>
      </c>
      <c r="E48" s="6">
        <v>5872</v>
      </c>
      <c r="F48" s="6">
        <v>11865</v>
      </c>
      <c r="G48" s="6">
        <v>25113</v>
      </c>
      <c r="H48" s="6">
        <v>56259</v>
      </c>
      <c r="I48" s="6">
        <v>126259</v>
      </c>
      <c r="J48" s="6">
        <v>129399</v>
      </c>
      <c r="K48" s="6">
        <v>1396</v>
      </c>
      <c r="L48" s="6">
        <v>384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164212</v>
      </c>
      <c r="E49" s="6">
        <v>3052</v>
      </c>
      <c r="F49" s="6">
        <v>5796</v>
      </c>
      <c r="G49" s="6">
        <v>11267</v>
      </c>
      <c r="H49" s="6">
        <v>25156</v>
      </c>
      <c r="I49" s="6">
        <v>68140</v>
      </c>
      <c r="J49" s="6">
        <v>49910</v>
      </c>
      <c r="K49" s="6">
        <v>735</v>
      </c>
      <c r="L49" s="6">
        <v>156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192335</v>
      </c>
      <c r="E50" s="6">
        <v>2820</v>
      </c>
      <c r="F50" s="6">
        <v>6069</v>
      </c>
      <c r="G50" s="6">
        <v>13846</v>
      </c>
      <c r="H50" s="6">
        <v>31103</v>
      </c>
      <c r="I50" s="6">
        <v>58119</v>
      </c>
      <c r="J50" s="6">
        <v>79489</v>
      </c>
      <c r="K50" s="6">
        <v>661</v>
      </c>
      <c r="L50" s="6">
        <v>228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107722</v>
      </c>
      <c r="E51" s="6">
        <v>3449</v>
      </c>
      <c r="F51" s="6">
        <v>6661</v>
      </c>
      <c r="G51" s="6">
        <v>13802</v>
      </c>
      <c r="H51" s="6">
        <v>20909</v>
      </c>
      <c r="I51" s="6">
        <v>44065</v>
      </c>
      <c r="J51" s="6">
        <v>18359</v>
      </c>
      <c r="K51" s="6">
        <v>382</v>
      </c>
      <c r="L51" s="6">
        <v>95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44464</v>
      </c>
      <c r="E52" s="6">
        <v>1438</v>
      </c>
      <c r="F52" s="6">
        <v>2695</v>
      </c>
      <c r="G52" s="6">
        <v>6431</v>
      </c>
      <c r="H52" s="6">
        <v>7325</v>
      </c>
      <c r="I52" s="6">
        <v>19786</v>
      </c>
      <c r="J52" s="6">
        <v>6661</v>
      </c>
      <c r="K52" s="6">
        <v>74</v>
      </c>
      <c r="L52" s="6">
        <v>54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63258</v>
      </c>
      <c r="E53" s="6">
        <v>2011</v>
      </c>
      <c r="F53" s="6">
        <v>3966</v>
      </c>
      <c r="G53" s="6">
        <v>7371</v>
      </c>
      <c r="H53" s="6">
        <v>13584</v>
      </c>
      <c r="I53" s="6">
        <v>24279</v>
      </c>
      <c r="J53" s="6">
        <v>11698</v>
      </c>
      <c r="K53" s="6">
        <v>308</v>
      </c>
      <c r="L53" s="6">
        <v>41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91D80-6DC5-4544-B198-2DB51D0E96C7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5</v>
      </c>
      <c r="F3" s="5">
        <v>31</v>
      </c>
      <c r="G3" s="5">
        <v>41</v>
      </c>
      <c r="H3" s="5">
        <v>51</v>
      </c>
      <c r="I3" s="5">
        <v>61</v>
      </c>
      <c r="J3" s="5">
        <v>71</v>
      </c>
      <c r="K3" s="5">
        <v>81</v>
      </c>
      <c r="L3" s="5">
        <v>91</v>
      </c>
      <c r="M3" s="5">
        <v>101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31</v>
      </c>
      <c r="F4" s="5">
        <v>41</v>
      </c>
      <c r="G4" s="5">
        <v>51</v>
      </c>
      <c r="H4" s="5">
        <v>61</v>
      </c>
      <c r="I4" s="5">
        <v>71</v>
      </c>
      <c r="J4" s="5">
        <v>81</v>
      </c>
      <c r="K4" s="5">
        <v>91</v>
      </c>
      <c r="L4" s="5">
        <v>101</v>
      </c>
      <c r="M4" s="5">
        <v>300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169</v>
      </c>
      <c r="F5" s="4" t="s">
        <v>170</v>
      </c>
      <c r="G5" s="4" t="s">
        <v>171</v>
      </c>
      <c r="H5" s="4" t="s">
        <v>172</v>
      </c>
      <c r="I5" s="4" t="s">
        <v>173</v>
      </c>
      <c r="J5" s="4" t="s">
        <v>174</v>
      </c>
      <c r="K5" s="4" t="s">
        <v>175</v>
      </c>
      <c r="L5" s="4" t="s">
        <v>176</v>
      </c>
      <c r="M5" s="4" t="s">
        <v>177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17516816</v>
      </c>
      <c r="E6" s="6">
        <v>13597099</v>
      </c>
      <c r="F6" s="6">
        <v>2402713</v>
      </c>
      <c r="G6" s="6">
        <v>745997</v>
      </c>
      <c r="H6" s="6">
        <v>314192</v>
      </c>
      <c r="I6" s="6">
        <v>159766</v>
      </c>
      <c r="J6" s="6">
        <v>90472</v>
      </c>
      <c r="K6" s="6">
        <v>56078</v>
      </c>
      <c r="L6" s="6">
        <v>36652</v>
      </c>
      <c r="M6" s="6">
        <v>113847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9093184</v>
      </c>
      <c r="E7" s="6">
        <v>6574844</v>
      </c>
      <c r="F7" s="6">
        <v>1500941</v>
      </c>
      <c r="G7" s="6">
        <v>495568</v>
      </c>
      <c r="H7" s="6">
        <v>212211</v>
      </c>
      <c r="I7" s="6">
        <v>108427</v>
      </c>
      <c r="J7" s="6">
        <v>61387</v>
      </c>
      <c r="K7" s="6">
        <v>37919</v>
      </c>
      <c r="L7" s="6">
        <v>24736</v>
      </c>
      <c r="M7" s="6">
        <v>77151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8423632</v>
      </c>
      <c r="E8" s="6">
        <v>7022255</v>
      </c>
      <c r="F8" s="6">
        <v>901772</v>
      </c>
      <c r="G8" s="6">
        <v>250429</v>
      </c>
      <c r="H8" s="6">
        <v>101981</v>
      </c>
      <c r="I8" s="6">
        <v>51339</v>
      </c>
      <c r="J8" s="6">
        <v>29085</v>
      </c>
      <c r="K8" s="6">
        <v>18159</v>
      </c>
      <c r="L8" s="6">
        <v>11916</v>
      </c>
      <c r="M8" s="6">
        <v>36696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8654</v>
      </c>
      <c r="E9" s="6">
        <v>7686</v>
      </c>
      <c r="F9" s="6">
        <v>522</v>
      </c>
      <c r="G9" s="6">
        <v>166</v>
      </c>
      <c r="H9" s="6">
        <v>89</v>
      </c>
      <c r="I9" s="6">
        <v>54</v>
      </c>
      <c r="J9" s="6">
        <v>33</v>
      </c>
      <c r="K9" s="6">
        <v>16</v>
      </c>
      <c r="L9" s="6">
        <v>19</v>
      </c>
      <c r="M9" s="6">
        <v>69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5724</v>
      </c>
      <c r="E10" s="6">
        <v>4894</v>
      </c>
      <c r="F10" s="6">
        <v>454</v>
      </c>
      <c r="G10" s="6">
        <v>137</v>
      </c>
      <c r="H10" s="6">
        <v>78</v>
      </c>
      <c r="I10" s="6">
        <v>43</v>
      </c>
      <c r="J10" s="6">
        <v>27</v>
      </c>
      <c r="K10" s="6">
        <v>15</v>
      </c>
      <c r="L10" s="6">
        <v>18</v>
      </c>
      <c r="M10" s="6">
        <v>58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2792</v>
      </c>
      <c r="F11" s="6">
        <v>68</v>
      </c>
      <c r="G11" s="6">
        <v>29</v>
      </c>
      <c r="H11" s="6">
        <v>11</v>
      </c>
      <c r="I11" s="6">
        <v>11</v>
      </c>
      <c r="J11" s="6">
        <v>6</v>
      </c>
      <c r="K11" s="6">
        <v>1</v>
      </c>
      <c r="L11" s="6">
        <v>1</v>
      </c>
      <c r="M11" s="6">
        <v>11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544704</v>
      </c>
      <c r="E12" s="6">
        <v>488488</v>
      </c>
      <c r="F12" s="6">
        <v>30116</v>
      </c>
      <c r="G12" s="6">
        <v>10376</v>
      </c>
      <c r="H12" s="6">
        <v>5093</v>
      </c>
      <c r="I12" s="6">
        <v>2956</v>
      </c>
      <c r="J12" s="6">
        <v>1792</v>
      </c>
      <c r="K12" s="6">
        <v>1212</v>
      </c>
      <c r="L12" s="6">
        <v>952</v>
      </c>
      <c r="M12" s="6">
        <v>3719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232351</v>
      </c>
      <c r="E13" s="6">
        <v>191884</v>
      </c>
      <c r="F13" s="6">
        <v>21727</v>
      </c>
      <c r="G13" s="6">
        <v>7548</v>
      </c>
      <c r="H13" s="6">
        <v>3644</v>
      </c>
      <c r="I13" s="6">
        <v>2111</v>
      </c>
      <c r="J13" s="6">
        <v>1291</v>
      </c>
      <c r="K13" s="6">
        <v>838</v>
      </c>
      <c r="L13" s="6">
        <v>662</v>
      </c>
      <c r="M13" s="6">
        <v>2646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312353</v>
      </c>
      <c r="E14" s="6">
        <v>296604</v>
      </c>
      <c r="F14" s="6">
        <v>8389</v>
      </c>
      <c r="G14" s="6">
        <v>2828</v>
      </c>
      <c r="H14" s="6">
        <v>1449</v>
      </c>
      <c r="I14" s="6">
        <v>845</v>
      </c>
      <c r="J14" s="6">
        <v>501</v>
      </c>
      <c r="K14" s="6">
        <v>374</v>
      </c>
      <c r="L14" s="6">
        <v>290</v>
      </c>
      <c r="M14" s="6">
        <v>1073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1205378</v>
      </c>
      <c r="E15" s="6">
        <v>1043672</v>
      </c>
      <c r="F15" s="6">
        <v>89704</v>
      </c>
      <c r="G15" s="6">
        <v>30277</v>
      </c>
      <c r="H15" s="6">
        <v>14092</v>
      </c>
      <c r="I15" s="6">
        <v>7975</v>
      </c>
      <c r="J15" s="6">
        <v>4855</v>
      </c>
      <c r="K15" s="6">
        <v>3377</v>
      </c>
      <c r="L15" s="6">
        <v>2244</v>
      </c>
      <c r="M15" s="6">
        <v>9182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626984</v>
      </c>
      <c r="E16" s="6">
        <v>499074</v>
      </c>
      <c r="F16" s="6">
        <v>71656</v>
      </c>
      <c r="G16" s="6">
        <v>24152</v>
      </c>
      <c r="H16" s="6">
        <v>11092</v>
      </c>
      <c r="I16" s="6">
        <v>6151</v>
      </c>
      <c r="J16" s="6">
        <v>3757</v>
      </c>
      <c r="K16" s="6">
        <v>2590</v>
      </c>
      <c r="L16" s="6">
        <v>1672</v>
      </c>
      <c r="M16" s="6">
        <v>6840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578394</v>
      </c>
      <c r="E17" s="6">
        <v>544598</v>
      </c>
      <c r="F17" s="6">
        <v>18048</v>
      </c>
      <c r="G17" s="6">
        <v>6125</v>
      </c>
      <c r="H17" s="6">
        <v>3000</v>
      </c>
      <c r="I17" s="6">
        <v>1824</v>
      </c>
      <c r="J17" s="6">
        <v>1098</v>
      </c>
      <c r="K17" s="6">
        <v>787</v>
      </c>
      <c r="L17" s="6">
        <v>572</v>
      </c>
      <c r="M17" s="6">
        <v>2342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1640823</v>
      </c>
      <c r="E18" s="6">
        <v>1371243</v>
      </c>
      <c r="F18" s="6">
        <v>151636</v>
      </c>
      <c r="G18" s="6">
        <v>51785</v>
      </c>
      <c r="H18" s="6">
        <v>23800</v>
      </c>
      <c r="I18" s="6">
        <v>13093</v>
      </c>
      <c r="J18" s="6">
        <v>7916</v>
      </c>
      <c r="K18" s="6">
        <v>5163</v>
      </c>
      <c r="L18" s="6">
        <v>3468</v>
      </c>
      <c r="M18" s="6">
        <v>12719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923370</v>
      </c>
      <c r="E19" s="6">
        <v>702478</v>
      </c>
      <c r="F19" s="6">
        <v>124694</v>
      </c>
      <c r="G19" s="6">
        <v>42872</v>
      </c>
      <c r="H19" s="6">
        <v>19568</v>
      </c>
      <c r="I19" s="6">
        <v>10733</v>
      </c>
      <c r="J19" s="6">
        <v>6382</v>
      </c>
      <c r="K19" s="6">
        <v>4094</v>
      </c>
      <c r="L19" s="6">
        <v>2725</v>
      </c>
      <c r="M19" s="6">
        <v>9824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717453</v>
      </c>
      <c r="E20" s="6">
        <v>668765</v>
      </c>
      <c r="F20" s="6">
        <v>26942</v>
      </c>
      <c r="G20" s="6">
        <v>8913</v>
      </c>
      <c r="H20" s="6">
        <v>4232</v>
      </c>
      <c r="I20" s="6">
        <v>2360</v>
      </c>
      <c r="J20" s="6">
        <v>1534</v>
      </c>
      <c r="K20" s="6">
        <v>1069</v>
      </c>
      <c r="L20" s="6">
        <v>743</v>
      </c>
      <c r="M20" s="6">
        <v>2895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1300964</v>
      </c>
      <c r="E21" s="6">
        <v>1059356</v>
      </c>
      <c r="F21" s="6">
        <v>138523</v>
      </c>
      <c r="G21" s="6">
        <v>47562</v>
      </c>
      <c r="H21" s="6">
        <v>21765</v>
      </c>
      <c r="I21" s="6">
        <v>11369</v>
      </c>
      <c r="J21" s="6">
        <v>6606</v>
      </c>
      <c r="K21" s="6">
        <v>4120</v>
      </c>
      <c r="L21" s="6">
        <v>2791</v>
      </c>
      <c r="M21" s="6">
        <v>8872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771715</v>
      </c>
      <c r="E22" s="6">
        <v>569420</v>
      </c>
      <c r="F22" s="6">
        <v>116272</v>
      </c>
      <c r="G22" s="6">
        <v>40278</v>
      </c>
      <c r="H22" s="6">
        <v>18384</v>
      </c>
      <c r="I22" s="6">
        <v>9533</v>
      </c>
      <c r="J22" s="6">
        <v>5445</v>
      </c>
      <c r="K22" s="6">
        <v>3352</v>
      </c>
      <c r="L22" s="6">
        <v>2198</v>
      </c>
      <c r="M22" s="6">
        <v>6833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529249</v>
      </c>
      <c r="E23" s="6">
        <v>489936</v>
      </c>
      <c r="F23" s="6">
        <v>22251</v>
      </c>
      <c r="G23" s="6">
        <v>7284</v>
      </c>
      <c r="H23" s="6">
        <v>3381</v>
      </c>
      <c r="I23" s="6">
        <v>1836</v>
      </c>
      <c r="J23" s="6">
        <v>1161</v>
      </c>
      <c r="K23" s="6">
        <v>768</v>
      </c>
      <c r="L23" s="6">
        <v>593</v>
      </c>
      <c r="M23" s="6">
        <v>2039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1998877</v>
      </c>
      <c r="E24" s="6">
        <v>1599499</v>
      </c>
      <c r="F24" s="6">
        <v>230164</v>
      </c>
      <c r="G24" s="6">
        <v>79354</v>
      </c>
      <c r="H24" s="6">
        <v>35729</v>
      </c>
      <c r="I24" s="6">
        <v>18558</v>
      </c>
      <c r="J24" s="6">
        <v>10708</v>
      </c>
      <c r="K24" s="6">
        <v>6678</v>
      </c>
      <c r="L24" s="6">
        <v>4402</v>
      </c>
      <c r="M24" s="6">
        <v>13785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1102936</v>
      </c>
      <c r="E25" s="6">
        <v>787143</v>
      </c>
      <c r="F25" s="6">
        <v>181254</v>
      </c>
      <c r="G25" s="6">
        <v>63904</v>
      </c>
      <c r="H25" s="6">
        <v>28835</v>
      </c>
      <c r="I25" s="6">
        <v>14808</v>
      </c>
      <c r="J25" s="6">
        <v>8498</v>
      </c>
      <c r="K25" s="6">
        <v>5182</v>
      </c>
      <c r="L25" s="6">
        <v>3374</v>
      </c>
      <c r="M25" s="6">
        <v>9938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895941</v>
      </c>
      <c r="E26" s="6">
        <v>812356</v>
      </c>
      <c r="F26" s="6">
        <v>48910</v>
      </c>
      <c r="G26" s="6">
        <v>15450</v>
      </c>
      <c r="H26" s="6">
        <v>6894</v>
      </c>
      <c r="I26" s="6">
        <v>3750</v>
      </c>
      <c r="J26" s="6">
        <v>2210</v>
      </c>
      <c r="K26" s="6">
        <v>1496</v>
      </c>
      <c r="L26" s="6">
        <v>1028</v>
      </c>
      <c r="M26" s="6">
        <v>3847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1608637</v>
      </c>
      <c r="E27" s="6">
        <v>1277833</v>
      </c>
      <c r="F27" s="6">
        <v>196836</v>
      </c>
      <c r="G27" s="6">
        <v>64973</v>
      </c>
      <c r="H27" s="6">
        <v>27971</v>
      </c>
      <c r="I27" s="6">
        <v>14416</v>
      </c>
      <c r="J27" s="6">
        <v>8176</v>
      </c>
      <c r="K27" s="6">
        <v>5001</v>
      </c>
      <c r="L27" s="6">
        <v>3323</v>
      </c>
      <c r="M27" s="6">
        <v>10108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894066</v>
      </c>
      <c r="E28" s="6">
        <v>641105</v>
      </c>
      <c r="F28" s="6">
        <v>149297</v>
      </c>
      <c r="G28" s="6">
        <v>50847</v>
      </c>
      <c r="H28" s="6">
        <v>21879</v>
      </c>
      <c r="I28" s="6">
        <v>11169</v>
      </c>
      <c r="J28" s="6">
        <v>6324</v>
      </c>
      <c r="K28" s="6">
        <v>3742</v>
      </c>
      <c r="L28" s="6">
        <v>2454</v>
      </c>
      <c r="M28" s="6">
        <v>7249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714571</v>
      </c>
      <c r="E29" s="6">
        <v>636728</v>
      </c>
      <c r="F29" s="6">
        <v>47539</v>
      </c>
      <c r="G29" s="6">
        <v>14126</v>
      </c>
      <c r="H29" s="6">
        <v>6092</v>
      </c>
      <c r="I29" s="6">
        <v>3247</v>
      </c>
      <c r="J29" s="6">
        <v>1852</v>
      </c>
      <c r="K29" s="6">
        <v>1259</v>
      </c>
      <c r="L29" s="6">
        <v>869</v>
      </c>
      <c r="M29" s="6">
        <v>2859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2173257</v>
      </c>
      <c r="E30" s="6">
        <v>1663750</v>
      </c>
      <c r="F30" s="6">
        <v>311908</v>
      </c>
      <c r="G30" s="6">
        <v>97862</v>
      </c>
      <c r="H30" s="6">
        <v>41438</v>
      </c>
      <c r="I30" s="6">
        <v>20740</v>
      </c>
      <c r="J30" s="6">
        <v>11778</v>
      </c>
      <c r="K30" s="6">
        <v>7248</v>
      </c>
      <c r="L30" s="6">
        <v>4622</v>
      </c>
      <c r="M30" s="6">
        <v>13911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1122456</v>
      </c>
      <c r="E31" s="6">
        <v>793954</v>
      </c>
      <c r="F31" s="6">
        <v>196125</v>
      </c>
      <c r="G31" s="6">
        <v>65600</v>
      </c>
      <c r="H31" s="6">
        <v>27911</v>
      </c>
      <c r="I31" s="6">
        <v>13962</v>
      </c>
      <c r="J31" s="6">
        <v>7885</v>
      </c>
      <c r="K31" s="6">
        <v>4837</v>
      </c>
      <c r="L31" s="6">
        <v>3070</v>
      </c>
      <c r="M31" s="6">
        <v>9112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1050801</v>
      </c>
      <c r="E32" s="6">
        <v>869796</v>
      </c>
      <c r="F32" s="6">
        <v>115783</v>
      </c>
      <c r="G32" s="6">
        <v>32262</v>
      </c>
      <c r="H32" s="6">
        <v>13527</v>
      </c>
      <c r="I32" s="6">
        <v>6778</v>
      </c>
      <c r="J32" s="6">
        <v>3893</v>
      </c>
      <c r="K32" s="6">
        <v>2411</v>
      </c>
      <c r="L32" s="6">
        <v>1552</v>
      </c>
      <c r="M32" s="6">
        <v>4799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1752068</v>
      </c>
      <c r="E33" s="6">
        <v>1305214</v>
      </c>
      <c r="F33" s="6">
        <v>282551</v>
      </c>
      <c r="G33" s="6">
        <v>83586</v>
      </c>
      <c r="H33" s="6">
        <v>33997</v>
      </c>
      <c r="I33" s="6">
        <v>17089</v>
      </c>
      <c r="J33" s="6">
        <v>9418</v>
      </c>
      <c r="K33" s="6">
        <v>5642</v>
      </c>
      <c r="L33" s="6">
        <v>3762</v>
      </c>
      <c r="M33" s="6">
        <v>10809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882163</v>
      </c>
      <c r="E34" s="6">
        <v>627382</v>
      </c>
      <c r="F34" s="6">
        <v>155789</v>
      </c>
      <c r="G34" s="6">
        <v>49686</v>
      </c>
      <c r="H34" s="6">
        <v>20514</v>
      </c>
      <c r="I34" s="6">
        <v>10419</v>
      </c>
      <c r="J34" s="6">
        <v>5755</v>
      </c>
      <c r="K34" s="6">
        <v>3431</v>
      </c>
      <c r="L34" s="6">
        <v>2327</v>
      </c>
      <c r="M34" s="6">
        <v>6860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869905</v>
      </c>
      <c r="E35" s="6">
        <v>677832</v>
      </c>
      <c r="F35" s="6">
        <v>126762</v>
      </c>
      <c r="G35" s="6">
        <v>33900</v>
      </c>
      <c r="H35" s="6">
        <v>13483</v>
      </c>
      <c r="I35" s="6">
        <v>6670</v>
      </c>
      <c r="J35" s="6">
        <v>3663</v>
      </c>
      <c r="K35" s="6">
        <v>2211</v>
      </c>
      <c r="L35" s="6">
        <v>1435</v>
      </c>
      <c r="M35" s="6">
        <v>3949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1974568</v>
      </c>
      <c r="E36" s="6">
        <v>1415143</v>
      </c>
      <c r="F36" s="6">
        <v>355285</v>
      </c>
      <c r="G36" s="6">
        <v>105154</v>
      </c>
      <c r="H36" s="6">
        <v>42641</v>
      </c>
      <c r="I36" s="6">
        <v>20815</v>
      </c>
      <c r="J36" s="6">
        <v>11416</v>
      </c>
      <c r="K36" s="6">
        <v>6973</v>
      </c>
      <c r="L36" s="6">
        <v>4505</v>
      </c>
      <c r="M36" s="6">
        <v>12636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951167</v>
      </c>
      <c r="E37" s="6">
        <v>655989</v>
      </c>
      <c r="F37" s="6">
        <v>180184</v>
      </c>
      <c r="G37" s="6">
        <v>57996</v>
      </c>
      <c r="H37" s="6">
        <v>24043</v>
      </c>
      <c r="I37" s="6">
        <v>11947</v>
      </c>
      <c r="J37" s="6">
        <v>6546</v>
      </c>
      <c r="K37" s="6">
        <v>4096</v>
      </c>
      <c r="L37" s="6">
        <v>2679</v>
      </c>
      <c r="M37" s="6">
        <v>7687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1023401</v>
      </c>
      <c r="E38" s="6">
        <v>759154</v>
      </c>
      <c r="F38" s="6">
        <v>175101</v>
      </c>
      <c r="G38" s="6">
        <v>47158</v>
      </c>
      <c r="H38" s="6">
        <v>18598</v>
      </c>
      <c r="I38" s="6">
        <v>8868</v>
      </c>
      <c r="J38" s="6">
        <v>4870</v>
      </c>
      <c r="K38" s="6">
        <v>2877</v>
      </c>
      <c r="L38" s="6">
        <v>1826</v>
      </c>
      <c r="M38" s="6">
        <v>4949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1284656</v>
      </c>
      <c r="E39" s="6">
        <v>910017</v>
      </c>
      <c r="F39" s="6">
        <v>241281</v>
      </c>
      <c r="G39" s="6">
        <v>70200</v>
      </c>
      <c r="H39" s="6">
        <v>27577</v>
      </c>
      <c r="I39" s="6">
        <v>13313</v>
      </c>
      <c r="J39" s="6">
        <v>7296</v>
      </c>
      <c r="K39" s="6">
        <v>4486</v>
      </c>
      <c r="L39" s="6">
        <v>2753</v>
      </c>
      <c r="M39" s="6">
        <v>7733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626970</v>
      </c>
      <c r="E40" s="6">
        <v>430529</v>
      </c>
      <c r="F40" s="6">
        <v>122117</v>
      </c>
      <c r="G40" s="6">
        <v>38551</v>
      </c>
      <c r="H40" s="6">
        <v>15524</v>
      </c>
      <c r="I40" s="6">
        <v>7451</v>
      </c>
      <c r="J40" s="6">
        <v>4063</v>
      </c>
      <c r="K40" s="6">
        <v>2562</v>
      </c>
      <c r="L40" s="6">
        <v>1577</v>
      </c>
      <c r="M40" s="6">
        <v>4596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657686</v>
      </c>
      <c r="E41" s="6">
        <v>479488</v>
      </c>
      <c r="F41" s="6">
        <v>119164</v>
      </c>
      <c r="G41" s="6">
        <v>31649</v>
      </c>
      <c r="H41" s="6">
        <v>12053</v>
      </c>
      <c r="I41" s="6">
        <v>5862</v>
      </c>
      <c r="J41" s="6">
        <v>3233</v>
      </c>
      <c r="K41" s="6">
        <v>1924</v>
      </c>
      <c r="L41" s="6">
        <v>1176</v>
      </c>
      <c r="M41" s="6">
        <v>3137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1083978</v>
      </c>
      <c r="E42" s="6">
        <v>758903</v>
      </c>
      <c r="F42" s="6">
        <v>209320</v>
      </c>
      <c r="G42" s="6">
        <v>61275</v>
      </c>
      <c r="H42" s="6">
        <v>23925</v>
      </c>
      <c r="I42" s="6">
        <v>11832</v>
      </c>
      <c r="J42" s="6">
        <v>6395</v>
      </c>
      <c r="K42" s="6">
        <v>3826</v>
      </c>
      <c r="L42" s="6">
        <v>2288</v>
      </c>
      <c r="M42" s="6">
        <v>6214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515608</v>
      </c>
      <c r="E43" s="6">
        <v>352665</v>
      </c>
      <c r="F43" s="6">
        <v>102107</v>
      </c>
      <c r="G43" s="6">
        <v>32014</v>
      </c>
      <c r="H43" s="6">
        <v>12540</v>
      </c>
      <c r="I43" s="6">
        <v>6221</v>
      </c>
      <c r="J43" s="6">
        <v>3402</v>
      </c>
      <c r="K43" s="6">
        <v>2027</v>
      </c>
      <c r="L43" s="6">
        <v>1196</v>
      </c>
      <c r="M43" s="6">
        <v>3436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568370</v>
      </c>
      <c r="E44" s="6">
        <v>406238</v>
      </c>
      <c r="F44" s="6">
        <v>107213</v>
      </c>
      <c r="G44" s="6">
        <v>29261</v>
      </c>
      <c r="H44" s="6">
        <v>11385</v>
      </c>
      <c r="I44" s="6">
        <v>5611</v>
      </c>
      <c r="J44" s="6">
        <v>2993</v>
      </c>
      <c r="K44" s="6">
        <v>1799</v>
      </c>
      <c r="L44" s="6">
        <v>1092</v>
      </c>
      <c r="M44" s="6">
        <v>2778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475565</v>
      </c>
      <c r="E45" s="6">
        <v>342708</v>
      </c>
      <c r="F45" s="6">
        <v>88265</v>
      </c>
      <c r="G45" s="6">
        <v>24209</v>
      </c>
      <c r="H45" s="6">
        <v>9182</v>
      </c>
      <c r="I45" s="6">
        <v>4323</v>
      </c>
      <c r="J45" s="6">
        <v>2342</v>
      </c>
      <c r="K45" s="6">
        <v>1377</v>
      </c>
      <c r="L45" s="6">
        <v>889</v>
      </c>
      <c r="M45" s="6">
        <v>2270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228799</v>
      </c>
      <c r="E46" s="6">
        <v>162436</v>
      </c>
      <c r="F46" s="6">
        <v>43363</v>
      </c>
      <c r="G46" s="6">
        <v>12496</v>
      </c>
      <c r="H46" s="6">
        <v>4759</v>
      </c>
      <c r="I46" s="6">
        <v>2250</v>
      </c>
      <c r="J46" s="6">
        <v>1134</v>
      </c>
      <c r="K46" s="6">
        <v>692</v>
      </c>
      <c r="L46" s="6">
        <v>460</v>
      </c>
      <c r="M46" s="6">
        <v>1209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246766</v>
      </c>
      <c r="E47" s="6">
        <v>180272</v>
      </c>
      <c r="F47" s="6">
        <v>44902</v>
      </c>
      <c r="G47" s="6">
        <v>11713</v>
      </c>
      <c r="H47" s="6">
        <v>4423</v>
      </c>
      <c r="I47" s="6">
        <v>2073</v>
      </c>
      <c r="J47" s="6">
        <v>1208</v>
      </c>
      <c r="K47" s="6">
        <v>685</v>
      </c>
      <c r="L47" s="6">
        <v>429</v>
      </c>
      <c r="M47" s="6">
        <v>1061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356867</v>
      </c>
      <c r="E48" s="6">
        <v>268032</v>
      </c>
      <c r="F48" s="6">
        <v>60946</v>
      </c>
      <c r="G48" s="6">
        <v>15466</v>
      </c>
      <c r="H48" s="6">
        <v>5609</v>
      </c>
      <c r="I48" s="6">
        <v>2638</v>
      </c>
      <c r="J48" s="6">
        <v>1426</v>
      </c>
      <c r="K48" s="6">
        <v>792</v>
      </c>
      <c r="L48" s="6">
        <v>517</v>
      </c>
      <c r="M48" s="6">
        <v>1441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164367</v>
      </c>
      <c r="E49" s="6">
        <v>121457</v>
      </c>
      <c r="F49" s="6">
        <v>28893</v>
      </c>
      <c r="G49" s="6">
        <v>7732</v>
      </c>
      <c r="H49" s="6">
        <v>2845</v>
      </c>
      <c r="I49" s="6">
        <v>1341</v>
      </c>
      <c r="J49" s="6">
        <v>735</v>
      </c>
      <c r="K49" s="6">
        <v>402</v>
      </c>
      <c r="L49" s="6">
        <v>269</v>
      </c>
      <c r="M49" s="6">
        <v>693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192500</v>
      </c>
      <c r="E50" s="6">
        <v>146575</v>
      </c>
      <c r="F50" s="6">
        <v>32053</v>
      </c>
      <c r="G50" s="6">
        <v>7734</v>
      </c>
      <c r="H50" s="6">
        <v>2764</v>
      </c>
      <c r="I50" s="6">
        <v>1297</v>
      </c>
      <c r="J50" s="6">
        <v>691</v>
      </c>
      <c r="K50" s="6">
        <v>390</v>
      </c>
      <c r="L50" s="6">
        <v>248</v>
      </c>
      <c r="M50" s="6">
        <v>748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107820</v>
      </c>
      <c r="E51" s="6">
        <v>85555</v>
      </c>
      <c r="F51" s="6">
        <v>15656</v>
      </c>
      <c r="G51" s="6">
        <v>3752</v>
      </c>
      <c r="H51" s="6">
        <v>1284</v>
      </c>
      <c r="I51" s="6">
        <v>595</v>
      </c>
      <c r="J51" s="6">
        <v>315</v>
      </c>
      <c r="K51" s="6">
        <v>167</v>
      </c>
      <c r="L51" s="6">
        <v>117</v>
      </c>
      <c r="M51" s="6">
        <v>379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44508</v>
      </c>
      <c r="E52" s="6">
        <v>34434</v>
      </c>
      <c r="F52" s="6">
        <v>7009</v>
      </c>
      <c r="G52" s="6">
        <v>1755</v>
      </c>
      <c r="H52" s="6">
        <v>595</v>
      </c>
      <c r="I52" s="6">
        <v>288</v>
      </c>
      <c r="J52" s="6">
        <v>143</v>
      </c>
      <c r="K52" s="6">
        <v>59</v>
      </c>
      <c r="L52" s="6">
        <v>55</v>
      </c>
      <c r="M52" s="6">
        <v>170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63312</v>
      </c>
      <c r="E53" s="6">
        <v>51121</v>
      </c>
      <c r="F53" s="6">
        <v>8647</v>
      </c>
      <c r="G53" s="6">
        <v>1997</v>
      </c>
      <c r="H53" s="6">
        <v>689</v>
      </c>
      <c r="I53" s="6">
        <v>307</v>
      </c>
      <c r="J53" s="6">
        <v>172</v>
      </c>
      <c r="K53" s="6">
        <v>108</v>
      </c>
      <c r="L53" s="6">
        <v>62</v>
      </c>
      <c r="M53" s="6">
        <v>209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8E31F-88D4-4A00-9376-9A89BE7140F3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3</v>
      </c>
      <c r="F3" s="5">
        <v>36</v>
      </c>
      <c r="G3" s="5">
        <v>41</v>
      </c>
      <c r="H3" s="5">
        <v>46</v>
      </c>
      <c r="I3" s="5">
        <v>51</v>
      </c>
      <c r="J3" s="5">
        <v>61</v>
      </c>
      <c r="K3" s="5">
        <v>71</v>
      </c>
      <c r="L3" s="5">
        <v>81</v>
      </c>
      <c r="M3" s="5">
        <v>91</v>
      </c>
      <c r="N3" s="5">
        <v>101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36</v>
      </c>
      <c r="F4" s="5">
        <v>41</v>
      </c>
      <c r="G4" s="5">
        <v>46</v>
      </c>
      <c r="H4" s="5">
        <v>51</v>
      </c>
      <c r="I4" s="5">
        <v>61</v>
      </c>
      <c r="J4" s="5">
        <v>71</v>
      </c>
      <c r="K4" s="5">
        <v>81</v>
      </c>
      <c r="L4" s="5">
        <v>91</v>
      </c>
      <c r="M4" s="5">
        <v>101</v>
      </c>
      <c r="N4" s="5">
        <v>300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179</v>
      </c>
      <c r="F5" s="4" t="s">
        <v>180</v>
      </c>
      <c r="G5" s="4" t="s">
        <v>181</v>
      </c>
      <c r="H5" s="4" t="s">
        <v>182</v>
      </c>
      <c r="I5" s="4" t="s">
        <v>172</v>
      </c>
      <c r="J5" s="4" t="s">
        <v>173</v>
      </c>
      <c r="K5" s="4" t="s">
        <v>174</v>
      </c>
      <c r="L5" s="4" t="s">
        <v>175</v>
      </c>
      <c r="M5" s="4" t="s">
        <v>176</v>
      </c>
      <c r="N5" s="4" t="s">
        <v>177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17516776</v>
      </c>
      <c r="E6" s="6">
        <v>14377684</v>
      </c>
      <c r="F6" s="6">
        <v>799338</v>
      </c>
      <c r="G6" s="6">
        <v>555869</v>
      </c>
      <c r="H6" s="6">
        <v>388646</v>
      </c>
      <c r="I6" s="6">
        <v>500154</v>
      </c>
      <c r="J6" s="6">
        <v>287762</v>
      </c>
      <c r="K6" s="6">
        <v>177974</v>
      </c>
      <c r="L6" s="6">
        <v>116042</v>
      </c>
      <c r="M6" s="6">
        <v>79125</v>
      </c>
      <c r="N6" s="6">
        <v>234182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9093161</v>
      </c>
      <c r="E7" s="6">
        <v>6712829</v>
      </c>
      <c r="F7" s="6">
        <v>578752</v>
      </c>
      <c r="G7" s="6">
        <v>414961</v>
      </c>
      <c r="H7" s="6">
        <v>295039</v>
      </c>
      <c r="I7" s="6">
        <v>386202</v>
      </c>
      <c r="J7" s="6">
        <v>225302</v>
      </c>
      <c r="K7" s="6">
        <v>140247</v>
      </c>
      <c r="L7" s="6">
        <v>91903</v>
      </c>
      <c r="M7" s="6">
        <v>63014</v>
      </c>
      <c r="N7" s="6">
        <v>184912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8423615</v>
      </c>
      <c r="E8" s="6">
        <v>7664855</v>
      </c>
      <c r="F8" s="6">
        <v>220586</v>
      </c>
      <c r="G8" s="6">
        <v>140908</v>
      </c>
      <c r="H8" s="6">
        <v>93607</v>
      </c>
      <c r="I8" s="6">
        <v>113952</v>
      </c>
      <c r="J8" s="6">
        <v>62460</v>
      </c>
      <c r="K8" s="6">
        <v>37727</v>
      </c>
      <c r="L8" s="6">
        <v>24139</v>
      </c>
      <c r="M8" s="6">
        <v>16111</v>
      </c>
      <c r="N8" s="6">
        <v>49270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8654</v>
      </c>
      <c r="E9" s="6">
        <v>7647</v>
      </c>
      <c r="F9" s="6">
        <v>199</v>
      </c>
      <c r="G9" s="6">
        <v>166</v>
      </c>
      <c r="H9" s="6">
        <v>91</v>
      </c>
      <c r="I9" s="6">
        <v>126</v>
      </c>
      <c r="J9" s="6">
        <v>97</v>
      </c>
      <c r="K9" s="6">
        <v>65</v>
      </c>
      <c r="L9" s="6">
        <v>54</v>
      </c>
      <c r="M9" s="6">
        <v>44</v>
      </c>
      <c r="N9" s="6">
        <v>165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5724</v>
      </c>
      <c r="E10" s="6">
        <v>4840</v>
      </c>
      <c r="F10" s="6">
        <v>177</v>
      </c>
      <c r="G10" s="6">
        <v>146</v>
      </c>
      <c r="H10" s="6">
        <v>83</v>
      </c>
      <c r="I10" s="6">
        <v>107</v>
      </c>
      <c r="J10" s="6">
        <v>88</v>
      </c>
      <c r="K10" s="6">
        <v>57</v>
      </c>
      <c r="L10" s="6">
        <v>44</v>
      </c>
      <c r="M10" s="6">
        <v>40</v>
      </c>
      <c r="N10" s="6">
        <v>142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2807</v>
      </c>
      <c r="F11" s="6">
        <v>22</v>
      </c>
      <c r="G11" s="6">
        <v>20</v>
      </c>
      <c r="H11" s="6">
        <v>8</v>
      </c>
      <c r="I11" s="6">
        <v>19</v>
      </c>
      <c r="J11" s="6">
        <v>9</v>
      </c>
      <c r="K11" s="6">
        <v>8</v>
      </c>
      <c r="L11" s="6">
        <v>10</v>
      </c>
      <c r="M11" s="6">
        <v>4</v>
      </c>
      <c r="N11" s="6">
        <v>23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544699</v>
      </c>
      <c r="E12" s="6">
        <v>485123</v>
      </c>
      <c r="F12" s="6">
        <v>11778</v>
      </c>
      <c r="G12" s="6">
        <v>8791</v>
      </c>
      <c r="H12" s="6">
        <v>6222</v>
      </c>
      <c r="I12" s="6">
        <v>8858</v>
      </c>
      <c r="J12" s="6">
        <v>5706</v>
      </c>
      <c r="K12" s="6">
        <v>3865</v>
      </c>
      <c r="L12" s="6">
        <v>2899</v>
      </c>
      <c r="M12" s="6">
        <v>2197</v>
      </c>
      <c r="N12" s="6">
        <v>9260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232347</v>
      </c>
      <c r="E13" s="6">
        <v>185953</v>
      </c>
      <c r="F13" s="6">
        <v>9039</v>
      </c>
      <c r="G13" s="6">
        <v>6796</v>
      </c>
      <c r="H13" s="6">
        <v>4876</v>
      </c>
      <c r="I13" s="6">
        <v>6922</v>
      </c>
      <c r="J13" s="6">
        <v>4466</v>
      </c>
      <c r="K13" s="6">
        <v>3017</v>
      </c>
      <c r="L13" s="6">
        <v>2266</v>
      </c>
      <c r="M13" s="6">
        <v>1720</v>
      </c>
      <c r="N13" s="6">
        <v>7292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312352</v>
      </c>
      <c r="E14" s="6">
        <v>299170</v>
      </c>
      <c r="F14" s="6">
        <v>2739</v>
      </c>
      <c r="G14" s="6">
        <v>1995</v>
      </c>
      <c r="H14" s="6">
        <v>1346</v>
      </c>
      <c r="I14" s="6">
        <v>1936</v>
      </c>
      <c r="J14" s="6">
        <v>1240</v>
      </c>
      <c r="K14" s="6">
        <v>848</v>
      </c>
      <c r="L14" s="6">
        <v>633</v>
      </c>
      <c r="M14" s="6">
        <v>477</v>
      </c>
      <c r="N14" s="6">
        <v>1968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1205377</v>
      </c>
      <c r="E15" s="6">
        <v>1025193</v>
      </c>
      <c r="F15" s="6">
        <v>36806</v>
      </c>
      <c r="G15" s="6">
        <v>27013</v>
      </c>
      <c r="H15" s="6">
        <v>19792</v>
      </c>
      <c r="I15" s="6">
        <v>27119</v>
      </c>
      <c r="J15" s="6">
        <v>17578</v>
      </c>
      <c r="K15" s="6">
        <v>11867</v>
      </c>
      <c r="L15" s="6">
        <v>8611</v>
      </c>
      <c r="M15" s="6">
        <v>6458</v>
      </c>
      <c r="N15" s="6">
        <v>24940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626982</v>
      </c>
      <c r="E16" s="6">
        <v>473721</v>
      </c>
      <c r="F16" s="6">
        <v>30853</v>
      </c>
      <c r="G16" s="6">
        <v>22902</v>
      </c>
      <c r="H16" s="6">
        <v>16888</v>
      </c>
      <c r="I16" s="6">
        <v>23190</v>
      </c>
      <c r="J16" s="6">
        <v>15050</v>
      </c>
      <c r="K16" s="6">
        <v>10171</v>
      </c>
      <c r="L16" s="6">
        <v>7380</v>
      </c>
      <c r="M16" s="6">
        <v>5558</v>
      </c>
      <c r="N16" s="6">
        <v>21269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578395</v>
      </c>
      <c r="E17" s="6">
        <v>551472</v>
      </c>
      <c r="F17" s="6">
        <v>5953</v>
      </c>
      <c r="G17" s="6">
        <v>4111</v>
      </c>
      <c r="H17" s="6">
        <v>2904</v>
      </c>
      <c r="I17" s="6">
        <v>3929</v>
      </c>
      <c r="J17" s="6">
        <v>2528</v>
      </c>
      <c r="K17" s="6">
        <v>1696</v>
      </c>
      <c r="L17" s="6">
        <v>1231</v>
      </c>
      <c r="M17" s="6">
        <v>900</v>
      </c>
      <c r="N17" s="6">
        <v>3671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1640815</v>
      </c>
      <c r="E18" s="6">
        <v>1326779</v>
      </c>
      <c r="F18" s="6">
        <v>64269</v>
      </c>
      <c r="G18" s="6">
        <v>47666</v>
      </c>
      <c r="H18" s="6">
        <v>35182</v>
      </c>
      <c r="I18" s="6">
        <v>49286</v>
      </c>
      <c r="J18" s="6">
        <v>31322</v>
      </c>
      <c r="K18" s="6">
        <v>21088</v>
      </c>
      <c r="L18" s="6">
        <v>14973</v>
      </c>
      <c r="M18" s="6">
        <v>11061</v>
      </c>
      <c r="N18" s="6">
        <v>39189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923365</v>
      </c>
      <c r="E19" s="6">
        <v>649385</v>
      </c>
      <c r="F19" s="6">
        <v>55162</v>
      </c>
      <c r="G19" s="6">
        <v>41364</v>
      </c>
      <c r="H19" s="6">
        <v>30774</v>
      </c>
      <c r="I19" s="6">
        <v>43326</v>
      </c>
      <c r="J19" s="6">
        <v>27648</v>
      </c>
      <c r="K19" s="6">
        <v>18531</v>
      </c>
      <c r="L19" s="6">
        <v>13189</v>
      </c>
      <c r="M19" s="6">
        <v>9709</v>
      </c>
      <c r="N19" s="6">
        <v>34277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717450</v>
      </c>
      <c r="E20" s="6">
        <v>677394</v>
      </c>
      <c r="F20" s="6">
        <v>9107</v>
      </c>
      <c r="G20" s="6">
        <v>6302</v>
      </c>
      <c r="H20" s="6">
        <v>4408</v>
      </c>
      <c r="I20" s="6">
        <v>5960</v>
      </c>
      <c r="J20" s="6">
        <v>3674</v>
      </c>
      <c r="K20" s="6">
        <v>2557</v>
      </c>
      <c r="L20" s="6">
        <v>1784</v>
      </c>
      <c r="M20" s="6">
        <v>1352</v>
      </c>
      <c r="N20" s="6">
        <v>4912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1300962</v>
      </c>
      <c r="E21" s="6">
        <v>1012024</v>
      </c>
      <c r="F21" s="6">
        <v>60110</v>
      </c>
      <c r="G21" s="6">
        <v>45269</v>
      </c>
      <c r="H21" s="6">
        <v>33681</v>
      </c>
      <c r="I21" s="6">
        <v>47066</v>
      </c>
      <c r="J21" s="6">
        <v>29518</v>
      </c>
      <c r="K21" s="6">
        <v>19541</v>
      </c>
      <c r="L21" s="6">
        <v>13793</v>
      </c>
      <c r="M21" s="6">
        <v>9454</v>
      </c>
      <c r="N21" s="6">
        <v>30506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771713</v>
      </c>
      <c r="E22" s="6">
        <v>515406</v>
      </c>
      <c r="F22" s="6">
        <v>52365</v>
      </c>
      <c r="G22" s="6">
        <v>40153</v>
      </c>
      <c r="H22" s="6">
        <v>29979</v>
      </c>
      <c r="I22" s="6">
        <v>42046</v>
      </c>
      <c r="J22" s="6">
        <v>26411</v>
      </c>
      <c r="K22" s="6">
        <v>17506</v>
      </c>
      <c r="L22" s="6">
        <v>12403</v>
      </c>
      <c r="M22" s="6">
        <v>8486</v>
      </c>
      <c r="N22" s="6">
        <v>26958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529249</v>
      </c>
      <c r="E23" s="6">
        <v>496618</v>
      </c>
      <c r="F23" s="6">
        <v>7745</v>
      </c>
      <c r="G23" s="6">
        <v>5116</v>
      </c>
      <c r="H23" s="6">
        <v>3702</v>
      </c>
      <c r="I23" s="6">
        <v>5020</v>
      </c>
      <c r="J23" s="6">
        <v>3107</v>
      </c>
      <c r="K23" s="6">
        <v>2035</v>
      </c>
      <c r="L23" s="6">
        <v>1390</v>
      </c>
      <c r="M23" s="6">
        <v>968</v>
      </c>
      <c r="N23" s="6">
        <v>3548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1998874</v>
      </c>
      <c r="E24" s="6">
        <v>1571468</v>
      </c>
      <c r="F24" s="6">
        <v>95369</v>
      </c>
      <c r="G24" s="6">
        <v>71042</v>
      </c>
      <c r="H24" s="6">
        <v>52249</v>
      </c>
      <c r="I24" s="6">
        <v>70597</v>
      </c>
      <c r="J24" s="6">
        <v>42858</v>
      </c>
      <c r="K24" s="6">
        <v>27557</v>
      </c>
      <c r="L24" s="6">
        <v>18296</v>
      </c>
      <c r="M24" s="6">
        <v>12728</v>
      </c>
      <c r="N24" s="6">
        <v>36710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1102935</v>
      </c>
      <c r="E25" s="6">
        <v>733281</v>
      </c>
      <c r="F25" s="6">
        <v>80787</v>
      </c>
      <c r="G25" s="6">
        <v>61143</v>
      </c>
      <c r="H25" s="6">
        <v>45461</v>
      </c>
      <c r="I25" s="6">
        <v>61840</v>
      </c>
      <c r="J25" s="6">
        <v>37659</v>
      </c>
      <c r="K25" s="6">
        <v>24194</v>
      </c>
      <c r="L25" s="6">
        <v>16012</v>
      </c>
      <c r="M25" s="6">
        <v>11176</v>
      </c>
      <c r="N25" s="6">
        <v>31382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895939</v>
      </c>
      <c r="E26" s="6">
        <v>838187</v>
      </c>
      <c r="F26" s="6">
        <v>14582</v>
      </c>
      <c r="G26" s="6">
        <v>9899</v>
      </c>
      <c r="H26" s="6">
        <v>6788</v>
      </c>
      <c r="I26" s="6">
        <v>8757</v>
      </c>
      <c r="J26" s="6">
        <v>5199</v>
      </c>
      <c r="K26" s="6">
        <v>3363</v>
      </c>
      <c r="L26" s="6">
        <v>2284</v>
      </c>
      <c r="M26" s="6">
        <v>1552</v>
      </c>
      <c r="N26" s="6">
        <v>5328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1608636</v>
      </c>
      <c r="E27" s="6">
        <v>1282249</v>
      </c>
      <c r="F27" s="6">
        <v>79014</v>
      </c>
      <c r="G27" s="6">
        <v>57868</v>
      </c>
      <c r="H27" s="6">
        <v>40884</v>
      </c>
      <c r="I27" s="6">
        <v>54474</v>
      </c>
      <c r="J27" s="6">
        <v>31645</v>
      </c>
      <c r="K27" s="6">
        <v>19468</v>
      </c>
      <c r="L27" s="6">
        <v>12517</v>
      </c>
      <c r="M27" s="6">
        <v>8436</v>
      </c>
      <c r="N27" s="6">
        <v>22081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894066</v>
      </c>
      <c r="E28" s="6">
        <v>618652</v>
      </c>
      <c r="F28" s="6">
        <v>65271</v>
      </c>
      <c r="G28" s="6">
        <v>48792</v>
      </c>
      <c r="H28" s="6">
        <v>34773</v>
      </c>
      <c r="I28" s="6">
        <v>46770</v>
      </c>
      <c r="J28" s="6">
        <v>27202</v>
      </c>
      <c r="K28" s="6">
        <v>16677</v>
      </c>
      <c r="L28" s="6">
        <v>10710</v>
      </c>
      <c r="M28" s="6">
        <v>7137</v>
      </c>
      <c r="N28" s="6">
        <v>18082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714570</v>
      </c>
      <c r="E29" s="6">
        <v>663597</v>
      </c>
      <c r="F29" s="6">
        <v>13743</v>
      </c>
      <c r="G29" s="6">
        <v>9076</v>
      </c>
      <c r="H29" s="6">
        <v>6111</v>
      </c>
      <c r="I29" s="6">
        <v>7704</v>
      </c>
      <c r="J29" s="6">
        <v>4443</v>
      </c>
      <c r="K29" s="6">
        <v>2791</v>
      </c>
      <c r="L29" s="6">
        <v>1807</v>
      </c>
      <c r="M29" s="6">
        <v>1299</v>
      </c>
      <c r="N29" s="6">
        <v>3999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2173255</v>
      </c>
      <c r="E30" s="6">
        <v>1746880</v>
      </c>
      <c r="F30" s="6">
        <v>112982</v>
      </c>
      <c r="G30" s="6">
        <v>78582</v>
      </c>
      <c r="H30" s="6">
        <v>54687</v>
      </c>
      <c r="I30" s="6">
        <v>69412</v>
      </c>
      <c r="J30" s="6">
        <v>39004</v>
      </c>
      <c r="K30" s="6">
        <v>23391</v>
      </c>
      <c r="L30" s="6">
        <v>14562</v>
      </c>
      <c r="M30" s="6">
        <v>9570</v>
      </c>
      <c r="N30" s="6">
        <v>24185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1122457</v>
      </c>
      <c r="E31" s="6">
        <v>807953</v>
      </c>
      <c r="F31" s="6">
        <v>81146</v>
      </c>
      <c r="G31" s="6">
        <v>57796</v>
      </c>
      <c r="H31" s="6">
        <v>40897</v>
      </c>
      <c r="I31" s="6">
        <v>52424</v>
      </c>
      <c r="J31" s="6">
        <v>29498</v>
      </c>
      <c r="K31" s="6">
        <v>17613</v>
      </c>
      <c r="L31" s="6">
        <v>10863</v>
      </c>
      <c r="M31" s="6">
        <v>7120</v>
      </c>
      <c r="N31" s="6">
        <v>17147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1050798</v>
      </c>
      <c r="E32" s="6">
        <v>938927</v>
      </c>
      <c r="F32" s="6">
        <v>31836</v>
      </c>
      <c r="G32" s="6">
        <v>20786</v>
      </c>
      <c r="H32" s="6">
        <v>13790</v>
      </c>
      <c r="I32" s="6">
        <v>16988</v>
      </c>
      <c r="J32" s="6">
        <v>9506</v>
      </c>
      <c r="K32" s="6">
        <v>5778</v>
      </c>
      <c r="L32" s="6">
        <v>3699</v>
      </c>
      <c r="M32" s="6">
        <v>2450</v>
      </c>
      <c r="N32" s="6">
        <v>7038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1752066</v>
      </c>
      <c r="E33" s="6">
        <v>1424300</v>
      </c>
      <c r="F33" s="6">
        <v>93616</v>
      </c>
      <c r="G33" s="6">
        <v>62493</v>
      </c>
      <c r="H33" s="6">
        <v>42752</v>
      </c>
      <c r="I33" s="6">
        <v>52317</v>
      </c>
      <c r="J33" s="6">
        <v>28067</v>
      </c>
      <c r="K33" s="6">
        <v>16344</v>
      </c>
      <c r="L33" s="6">
        <v>10011</v>
      </c>
      <c r="M33" s="6">
        <v>6386</v>
      </c>
      <c r="N33" s="6">
        <v>15780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882164</v>
      </c>
      <c r="E34" s="6">
        <v>667220</v>
      </c>
      <c r="F34" s="6">
        <v>59611</v>
      </c>
      <c r="G34" s="6">
        <v>41209</v>
      </c>
      <c r="H34" s="6">
        <v>28287</v>
      </c>
      <c r="I34" s="6">
        <v>35125</v>
      </c>
      <c r="J34" s="6">
        <v>18848</v>
      </c>
      <c r="K34" s="6">
        <v>11036</v>
      </c>
      <c r="L34" s="6">
        <v>6635</v>
      </c>
      <c r="M34" s="6">
        <v>4200</v>
      </c>
      <c r="N34" s="6">
        <v>9993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869902</v>
      </c>
      <c r="E35" s="6">
        <v>757080</v>
      </c>
      <c r="F35" s="6">
        <v>34005</v>
      </c>
      <c r="G35" s="6">
        <v>21284</v>
      </c>
      <c r="H35" s="6">
        <v>14465</v>
      </c>
      <c r="I35" s="6">
        <v>17192</v>
      </c>
      <c r="J35" s="6">
        <v>9219</v>
      </c>
      <c r="K35" s="6">
        <v>5308</v>
      </c>
      <c r="L35" s="6">
        <v>3376</v>
      </c>
      <c r="M35" s="6">
        <v>2186</v>
      </c>
      <c r="N35" s="6">
        <v>5787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1974563</v>
      </c>
      <c r="E36" s="6">
        <v>1628354</v>
      </c>
      <c r="F36" s="6">
        <v>104188</v>
      </c>
      <c r="G36" s="6">
        <v>67836</v>
      </c>
      <c r="H36" s="6">
        <v>45203</v>
      </c>
      <c r="I36" s="6">
        <v>54084</v>
      </c>
      <c r="J36" s="6">
        <v>28231</v>
      </c>
      <c r="K36" s="6">
        <v>16375</v>
      </c>
      <c r="L36" s="6">
        <v>9494</v>
      </c>
      <c r="M36" s="6">
        <v>6134</v>
      </c>
      <c r="N36" s="6">
        <v>14664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951164</v>
      </c>
      <c r="E37" s="6">
        <v>738877</v>
      </c>
      <c r="F37" s="6">
        <v>62083</v>
      </c>
      <c r="G37" s="6">
        <v>41430</v>
      </c>
      <c r="H37" s="6">
        <v>28167</v>
      </c>
      <c r="I37" s="6">
        <v>33792</v>
      </c>
      <c r="J37" s="6">
        <v>17957</v>
      </c>
      <c r="K37" s="6">
        <v>10268</v>
      </c>
      <c r="L37" s="6">
        <v>5884</v>
      </c>
      <c r="M37" s="6">
        <v>3843</v>
      </c>
      <c r="N37" s="6">
        <v>8863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1023399</v>
      </c>
      <c r="E38" s="6">
        <v>889477</v>
      </c>
      <c r="F38" s="6">
        <v>42105</v>
      </c>
      <c r="G38" s="6">
        <v>26406</v>
      </c>
      <c r="H38" s="6">
        <v>17036</v>
      </c>
      <c r="I38" s="6">
        <v>20292</v>
      </c>
      <c r="J38" s="6">
        <v>10274</v>
      </c>
      <c r="K38" s="6">
        <v>6107</v>
      </c>
      <c r="L38" s="6">
        <v>3610</v>
      </c>
      <c r="M38" s="6">
        <v>2291</v>
      </c>
      <c r="N38" s="6">
        <v>5801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1284653</v>
      </c>
      <c r="E39" s="6">
        <v>1081355</v>
      </c>
      <c r="F39" s="6">
        <v>63577</v>
      </c>
      <c r="G39" s="6">
        <v>41130</v>
      </c>
      <c r="H39" s="6">
        <v>26535</v>
      </c>
      <c r="I39" s="6">
        <v>31076</v>
      </c>
      <c r="J39" s="6">
        <v>15906</v>
      </c>
      <c r="K39" s="6">
        <v>8788</v>
      </c>
      <c r="L39" s="6">
        <v>5337</v>
      </c>
      <c r="M39" s="6">
        <v>3212</v>
      </c>
      <c r="N39" s="6">
        <v>7737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626968</v>
      </c>
      <c r="E40" s="6">
        <v>503106</v>
      </c>
      <c r="F40" s="6">
        <v>37760</v>
      </c>
      <c r="G40" s="6">
        <v>25076</v>
      </c>
      <c r="H40" s="6">
        <v>16338</v>
      </c>
      <c r="I40" s="6">
        <v>19416</v>
      </c>
      <c r="J40" s="6">
        <v>9998</v>
      </c>
      <c r="K40" s="6">
        <v>5488</v>
      </c>
      <c r="L40" s="6">
        <v>3273</v>
      </c>
      <c r="M40" s="6">
        <v>1992</v>
      </c>
      <c r="N40" s="6">
        <v>4521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657685</v>
      </c>
      <c r="E41" s="6">
        <v>578249</v>
      </c>
      <c r="F41" s="6">
        <v>25817</v>
      </c>
      <c r="G41" s="6">
        <v>16054</v>
      </c>
      <c r="H41" s="6">
        <v>10197</v>
      </c>
      <c r="I41" s="6">
        <v>11660</v>
      </c>
      <c r="J41" s="6">
        <v>5908</v>
      </c>
      <c r="K41" s="6">
        <v>3300</v>
      </c>
      <c r="L41" s="6">
        <v>2064</v>
      </c>
      <c r="M41" s="6">
        <v>1220</v>
      </c>
      <c r="N41" s="6">
        <v>3216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1083970</v>
      </c>
      <c r="E42" s="6">
        <v>932180</v>
      </c>
      <c r="F42" s="6">
        <v>48649</v>
      </c>
      <c r="G42" s="6">
        <v>30520</v>
      </c>
      <c r="H42" s="6">
        <v>20107</v>
      </c>
      <c r="I42" s="6">
        <v>23149</v>
      </c>
      <c r="J42" s="6">
        <v>11666</v>
      </c>
      <c r="K42" s="6">
        <v>6286</v>
      </c>
      <c r="L42" s="6">
        <v>3626</v>
      </c>
      <c r="M42" s="6">
        <v>2278</v>
      </c>
      <c r="N42" s="6">
        <v>5509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515601</v>
      </c>
      <c r="E43" s="6">
        <v>426803</v>
      </c>
      <c r="F43" s="6">
        <v>27870</v>
      </c>
      <c r="G43" s="6">
        <v>17866</v>
      </c>
      <c r="H43" s="6">
        <v>11953</v>
      </c>
      <c r="I43" s="6">
        <v>13887</v>
      </c>
      <c r="J43" s="6">
        <v>6867</v>
      </c>
      <c r="K43" s="6">
        <v>3744</v>
      </c>
      <c r="L43" s="6">
        <v>2147</v>
      </c>
      <c r="M43" s="6">
        <v>1344</v>
      </c>
      <c r="N43" s="6">
        <v>3120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568369</v>
      </c>
      <c r="E44" s="6">
        <v>505377</v>
      </c>
      <c r="F44" s="6">
        <v>20779</v>
      </c>
      <c r="G44" s="6">
        <v>12654</v>
      </c>
      <c r="H44" s="6">
        <v>8154</v>
      </c>
      <c r="I44" s="6">
        <v>9262</v>
      </c>
      <c r="J44" s="6">
        <v>4799</v>
      </c>
      <c r="K44" s="6">
        <v>2542</v>
      </c>
      <c r="L44" s="6">
        <v>1479</v>
      </c>
      <c r="M44" s="6">
        <v>934</v>
      </c>
      <c r="N44" s="6">
        <v>2389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475565</v>
      </c>
      <c r="E45" s="6">
        <v>423714</v>
      </c>
      <c r="F45" s="6">
        <v>17219</v>
      </c>
      <c r="G45" s="6">
        <v>10602</v>
      </c>
      <c r="H45" s="6">
        <v>6880</v>
      </c>
      <c r="I45" s="6">
        <v>7654</v>
      </c>
      <c r="J45" s="6">
        <v>3770</v>
      </c>
      <c r="K45" s="6">
        <v>2027</v>
      </c>
      <c r="L45" s="6">
        <v>1115</v>
      </c>
      <c r="M45" s="6">
        <v>685</v>
      </c>
      <c r="N45" s="6">
        <v>1899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228799</v>
      </c>
      <c r="E46" s="6">
        <v>198232</v>
      </c>
      <c r="F46" s="6">
        <v>10081</v>
      </c>
      <c r="G46" s="6">
        <v>6287</v>
      </c>
      <c r="H46" s="6">
        <v>4069</v>
      </c>
      <c r="I46" s="6">
        <v>4557</v>
      </c>
      <c r="J46" s="6">
        <v>2256</v>
      </c>
      <c r="K46" s="6">
        <v>1180</v>
      </c>
      <c r="L46" s="6">
        <v>657</v>
      </c>
      <c r="M46" s="6">
        <v>423</v>
      </c>
      <c r="N46" s="6">
        <v>1057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246766</v>
      </c>
      <c r="E47" s="6">
        <v>225482</v>
      </c>
      <c r="F47" s="6">
        <v>7138</v>
      </c>
      <c r="G47" s="6">
        <v>4315</v>
      </c>
      <c r="H47" s="6">
        <v>2811</v>
      </c>
      <c r="I47" s="6">
        <v>3097</v>
      </c>
      <c r="J47" s="6">
        <v>1514</v>
      </c>
      <c r="K47" s="6">
        <v>847</v>
      </c>
      <c r="L47" s="6">
        <v>458</v>
      </c>
      <c r="M47" s="6">
        <v>262</v>
      </c>
      <c r="N47" s="6">
        <v>842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356866</v>
      </c>
      <c r="E48" s="6">
        <v>328180</v>
      </c>
      <c r="F48" s="6">
        <v>9693</v>
      </c>
      <c r="G48" s="6">
        <v>5778</v>
      </c>
      <c r="H48" s="6">
        <v>3697</v>
      </c>
      <c r="I48" s="6">
        <v>4149</v>
      </c>
      <c r="J48" s="6">
        <v>2000</v>
      </c>
      <c r="K48" s="6">
        <v>1089</v>
      </c>
      <c r="L48" s="6">
        <v>649</v>
      </c>
      <c r="M48" s="6">
        <v>399</v>
      </c>
      <c r="N48" s="6">
        <v>1232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164367</v>
      </c>
      <c r="E49" s="6">
        <v>147884</v>
      </c>
      <c r="F49" s="6">
        <v>5519</v>
      </c>
      <c r="G49" s="6">
        <v>3398</v>
      </c>
      <c r="H49" s="6">
        <v>2127</v>
      </c>
      <c r="I49" s="6">
        <v>2381</v>
      </c>
      <c r="J49" s="6">
        <v>1153</v>
      </c>
      <c r="K49" s="6">
        <v>652</v>
      </c>
      <c r="L49" s="6">
        <v>379</v>
      </c>
      <c r="M49" s="6">
        <v>218</v>
      </c>
      <c r="N49" s="6">
        <v>656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192499</v>
      </c>
      <c r="E50" s="6">
        <v>180296</v>
      </c>
      <c r="F50" s="6">
        <v>4174</v>
      </c>
      <c r="G50" s="6">
        <v>2380</v>
      </c>
      <c r="H50" s="6">
        <v>1570</v>
      </c>
      <c r="I50" s="6">
        <v>1768</v>
      </c>
      <c r="J50" s="6">
        <v>847</v>
      </c>
      <c r="K50" s="6">
        <v>437</v>
      </c>
      <c r="L50" s="6">
        <v>270</v>
      </c>
      <c r="M50" s="6">
        <v>181</v>
      </c>
      <c r="N50" s="6">
        <v>576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107821</v>
      </c>
      <c r="E51" s="6">
        <v>102238</v>
      </c>
      <c r="F51" s="6">
        <v>1869</v>
      </c>
      <c r="G51" s="6">
        <v>1113</v>
      </c>
      <c r="H51" s="6">
        <v>684</v>
      </c>
      <c r="I51" s="6">
        <v>787</v>
      </c>
      <c r="J51" s="6">
        <v>394</v>
      </c>
      <c r="K51" s="6">
        <v>223</v>
      </c>
      <c r="L51" s="6">
        <v>105</v>
      </c>
      <c r="M51" s="6">
        <v>83</v>
      </c>
      <c r="N51" s="6">
        <v>325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44509</v>
      </c>
      <c r="E52" s="6">
        <v>41516</v>
      </c>
      <c r="F52" s="6">
        <v>1028</v>
      </c>
      <c r="G52" s="6">
        <v>603</v>
      </c>
      <c r="H52" s="6">
        <v>367</v>
      </c>
      <c r="I52" s="6">
        <v>419</v>
      </c>
      <c r="J52" s="6">
        <v>201</v>
      </c>
      <c r="K52" s="6">
        <v>113</v>
      </c>
      <c r="L52" s="6">
        <v>61</v>
      </c>
      <c r="M52" s="6">
        <v>48</v>
      </c>
      <c r="N52" s="6">
        <v>153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63312</v>
      </c>
      <c r="E53" s="6">
        <v>60722</v>
      </c>
      <c r="F53" s="6">
        <v>841</v>
      </c>
      <c r="G53" s="6">
        <v>510</v>
      </c>
      <c r="H53" s="6">
        <v>317</v>
      </c>
      <c r="I53" s="6">
        <v>368</v>
      </c>
      <c r="J53" s="6">
        <v>193</v>
      </c>
      <c r="K53" s="6">
        <v>110</v>
      </c>
      <c r="L53" s="6">
        <v>44</v>
      </c>
      <c r="M53" s="6">
        <v>35</v>
      </c>
      <c r="N53" s="6">
        <v>172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D536-D119-43B8-BF69-B9C074D7204E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3</v>
      </c>
      <c r="F3" s="5">
        <v>8</v>
      </c>
      <c r="G3" s="5">
        <v>11</v>
      </c>
      <c r="H3" s="5">
        <v>36</v>
      </c>
      <c r="I3" s="5">
        <v>46</v>
      </c>
      <c r="J3" s="5">
        <v>64</v>
      </c>
      <c r="K3" s="5">
        <v>78</v>
      </c>
      <c r="L3" s="5">
        <v>100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8</v>
      </c>
      <c r="F4" s="5">
        <v>11</v>
      </c>
      <c r="G4" s="5">
        <v>36</v>
      </c>
      <c r="H4" s="5">
        <v>46</v>
      </c>
      <c r="I4" s="5">
        <v>64</v>
      </c>
      <c r="J4" s="5">
        <v>78</v>
      </c>
      <c r="K4" s="5">
        <v>100</v>
      </c>
      <c r="L4" s="5">
        <v>400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184</v>
      </c>
      <c r="F5" s="7">
        <v>46244</v>
      </c>
      <c r="G5" s="8">
        <v>13089</v>
      </c>
      <c r="H5" s="4" t="s">
        <v>185</v>
      </c>
      <c r="I5" s="4" t="s">
        <v>186</v>
      </c>
      <c r="J5" s="4" t="s">
        <v>187</v>
      </c>
      <c r="K5" s="4" t="s">
        <v>188</v>
      </c>
      <c r="L5" s="4" t="s">
        <v>189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17511657</v>
      </c>
      <c r="E6" s="6">
        <v>140541</v>
      </c>
      <c r="F6" s="6">
        <v>962597</v>
      </c>
      <c r="G6" s="6">
        <v>11845150</v>
      </c>
      <c r="H6" s="6">
        <v>1439710</v>
      </c>
      <c r="I6" s="6">
        <v>1317241</v>
      </c>
      <c r="J6" s="6">
        <v>535076</v>
      </c>
      <c r="K6" s="6">
        <v>471749</v>
      </c>
      <c r="L6" s="6">
        <v>799593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9089030</v>
      </c>
      <c r="E7" s="6">
        <v>12205</v>
      </c>
      <c r="F7" s="6">
        <v>102860</v>
      </c>
      <c r="G7" s="6">
        <v>5399651</v>
      </c>
      <c r="H7" s="6">
        <v>1062250</v>
      </c>
      <c r="I7" s="6">
        <v>1024837</v>
      </c>
      <c r="J7" s="6">
        <v>430911</v>
      </c>
      <c r="K7" s="6">
        <v>386585</v>
      </c>
      <c r="L7" s="6">
        <v>669731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8422627</v>
      </c>
      <c r="E8" s="6">
        <v>128336</v>
      </c>
      <c r="F8" s="6">
        <v>859737</v>
      </c>
      <c r="G8" s="6">
        <v>6445499</v>
      </c>
      <c r="H8" s="6">
        <v>377460</v>
      </c>
      <c r="I8" s="6">
        <v>292404</v>
      </c>
      <c r="J8" s="6">
        <v>104165</v>
      </c>
      <c r="K8" s="6">
        <v>85164</v>
      </c>
      <c r="L8" s="6">
        <v>129862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8654</v>
      </c>
      <c r="E9" s="6">
        <v>88</v>
      </c>
      <c r="F9" s="6">
        <v>635</v>
      </c>
      <c r="G9" s="6">
        <v>7109</v>
      </c>
      <c r="H9" s="6">
        <v>372</v>
      </c>
      <c r="I9" s="6">
        <v>264</v>
      </c>
      <c r="J9" s="6">
        <v>71</v>
      </c>
      <c r="K9" s="6">
        <v>58</v>
      </c>
      <c r="L9" s="6">
        <v>57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5724</v>
      </c>
      <c r="E10" s="6">
        <v>14</v>
      </c>
      <c r="F10" s="6">
        <v>169</v>
      </c>
      <c r="G10" s="6">
        <v>4804</v>
      </c>
      <c r="H10" s="6">
        <v>323</v>
      </c>
      <c r="I10" s="6">
        <v>246</v>
      </c>
      <c r="J10" s="6">
        <v>64</v>
      </c>
      <c r="K10" s="6">
        <v>51</v>
      </c>
      <c r="L10" s="6">
        <v>53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74</v>
      </c>
      <c r="F11" s="6">
        <v>466</v>
      </c>
      <c r="G11" s="6">
        <v>2305</v>
      </c>
      <c r="H11" s="6">
        <v>49</v>
      </c>
      <c r="I11" s="6">
        <v>18</v>
      </c>
      <c r="J11" s="6">
        <v>7</v>
      </c>
      <c r="K11" s="6">
        <v>7</v>
      </c>
      <c r="L11" s="6">
        <v>4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544695</v>
      </c>
      <c r="E12" s="6">
        <v>10186</v>
      </c>
      <c r="F12" s="6">
        <v>67428</v>
      </c>
      <c r="G12" s="6">
        <v>410647</v>
      </c>
      <c r="H12" s="6">
        <v>22041</v>
      </c>
      <c r="I12" s="6">
        <v>17303</v>
      </c>
      <c r="J12" s="6">
        <v>6323</v>
      </c>
      <c r="K12" s="6">
        <v>4838</v>
      </c>
      <c r="L12" s="6">
        <v>5929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232345</v>
      </c>
      <c r="E13" s="6">
        <v>650</v>
      </c>
      <c r="F13" s="6">
        <v>6431</v>
      </c>
      <c r="G13" s="6">
        <v>180861</v>
      </c>
      <c r="H13" s="6">
        <v>16880</v>
      </c>
      <c r="I13" s="6">
        <v>13697</v>
      </c>
      <c r="J13" s="6">
        <v>5068</v>
      </c>
      <c r="K13" s="6">
        <v>3940</v>
      </c>
      <c r="L13" s="6">
        <v>4818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312350</v>
      </c>
      <c r="E14" s="6">
        <v>9536</v>
      </c>
      <c r="F14" s="6">
        <v>60997</v>
      </c>
      <c r="G14" s="6">
        <v>229786</v>
      </c>
      <c r="H14" s="6">
        <v>5161</v>
      </c>
      <c r="I14" s="6">
        <v>3606</v>
      </c>
      <c r="J14" s="6">
        <v>1255</v>
      </c>
      <c r="K14" s="6">
        <v>898</v>
      </c>
      <c r="L14" s="6">
        <v>1111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1205322</v>
      </c>
      <c r="E15" s="6">
        <v>19158</v>
      </c>
      <c r="F15" s="6">
        <v>121981</v>
      </c>
      <c r="G15" s="6">
        <v>861713</v>
      </c>
      <c r="H15" s="6">
        <v>68854</v>
      </c>
      <c r="I15" s="6">
        <v>60761</v>
      </c>
      <c r="J15" s="6">
        <v>23879</v>
      </c>
      <c r="K15" s="6">
        <v>20122</v>
      </c>
      <c r="L15" s="6">
        <v>28854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626945</v>
      </c>
      <c r="E16" s="6">
        <v>1244</v>
      </c>
      <c r="F16" s="6">
        <v>12974</v>
      </c>
      <c r="G16" s="6">
        <v>440536</v>
      </c>
      <c r="H16" s="6">
        <v>56516</v>
      </c>
      <c r="I16" s="6">
        <v>51639</v>
      </c>
      <c r="J16" s="6">
        <v>20726</v>
      </c>
      <c r="K16" s="6">
        <v>17707</v>
      </c>
      <c r="L16" s="6">
        <v>25603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578377</v>
      </c>
      <c r="E17" s="6">
        <v>17914</v>
      </c>
      <c r="F17" s="6">
        <v>109007</v>
      </c>
      <c r="G17" s="6">
        <v>421177</v>
      </c>
      <c r="H17" s="6">
        <v>12338</v>
      </c>
      <c r="I17" s="6">
        <v>9122</v>
      </c>
      <c r="J17" s="6">
        <v>3153</v>
      </c>
      <c r="K17" s="6">
        <v>2415</v>
      </c>
      <c r="L17" s="6">
        <v>3251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1640644</v>
      </c>
      <c r="E18" s="6">
        <v>23396</v>
      </c>
      <c r="F18" s="6">
        <v>145431</v>
      </c>
      <c r="G18" s="6">
        <v>1095312</v>
      </c>
      <c r="H18" s="6">
        <v>115509</v>
      </c>
      <c r="I18" s="6">
        <v>109674</v>
      </c>
      <c r="J18" s="6">
        <v>46007</v>
      </c>
      <c r="K18" s="6">
        <v>41126</v>
      </c>
      <c r="L18" s="6">
        <v>64189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923252</v>
      </c>
      <c r="E19" s="6">
        <v>1421</v>
      </c>
      <c r="F19" s="6">
        <v>14778</v>
      </c>
      <c r="G19" s="6">
        <v>580100</v>
      </c>
      <c r="H19" s="6">
        <v>96603</v>
      </c>
      <c r="I19" s="6">
        <v>94890</v>
      </c>
      <c r="J19" s="6">
        <v>40689</v>
      </c>
      <c r="K19" s="6">
        <v>36928</v>
      </c>
      <c r="L19" s="6">
        <v>57843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717392</v>
      </c>
      <c r="E20" s="6">
        <v>21975</v>
      </c>
      <c r="F20" s="6">
        <v>130653</v>
      </c>
      <c r="G20" s="6">
        <v>515212</v>
      </c>
      <c r="H20" s="6">
        <v>18906</v>
      </c>
      <c r="I20" s="6">
        <v>14784</v>
      </c>
      <c r="J20" s="6">
        <v>5318</v>
      </c>
      <c r="K20" s="6">
        <v>4198</v>
      </c>
      <c r="L20" s="6">
        <v>6346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1300729</v>
      </c>
      <c r="E21" s="6">
        <v>14994</v>
      </c>
      <c r="F21" s="6">
        <v>92684</v>
      </c>
      <c r="G21" s="6">
        <v>818693</v>
      </c>
      <c r="H21" s="6">
        <v>108142</v>
      </c>
      <c r="I21" s="6">
        <v>107688</v>
      </c>
      <c r="J21" s="6">
        <v>46322</v>
      </c>
      <c r="K21" s="6">
        <v>42314</v>
      </c>
      <c r="L21" s="6">
        <v>69892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771548</v>
      </c>
      <c r="E22" s="6">
        <v>847</v>
      </c>
      <c r="F22" s="6">
        <v>8833</v>
      </c>
      <c r="G22" s="6">
        <v>434715</v>
      </c>
      <c r="H22" s="6">
        <v>90609</v>
      </c>
      <c r="I22" s="6">
        <v>93764</v>
      </c>
      <c r="J22" s="6">
        <v>41327</v>
      </c>
      <c r="K22" s="6">
        <v>38096</v>
      </c>
      <c r="L22" s="6">
        <v>63357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529181</v>
      </c>
      <c r="E23" s="6">
        <v>14147</v>
      </c>
      <c r="F23" s="6">
        <v>83851</v>
      </c>
      <c r="G23" s="6">
        <v>383978</v>
      </c>
      <c r="H23" s="6">
        <v>17533</v>
      </c>
      <c r="I23" s="6">
        <v>13924</v>
      </c>
      <c r="J23" s="6">
        <v>4995</v>
      </c>
      <c r="K23" s="6">
        <v>4218</v>
      </c>
      <c r="L23" s="6">
        <v>6535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1998211</v>
      </c>
      <c r="E24" s="6">
        <v>19633</v>
      </c>
      <c r="F24" s="6">
        <v>128457</v>
      </c>
      <c r="G24" s="6">
        <v>1232485</v>
      </c>
      <c r="H24" s="6">
        <v>172440</v>
      </c>
      <c r="I24" s="6">
        <v>173771</v>
      </c>
      <c r="J24" s="6">
        <v>76384</v>
      </c>
      <c r="K24" s="6">
        <v>70450</v>
      </c>
      <c r="L24" s="6">
        <v>124591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1102442</v>
      </c>
      <c r="E25" s="6">
        <v>1106</v>
      </c>
      <c r="F25" s="6">
        <v>9134</v>
      </c>
      <c r="G25" s="6">
        <v>570432</v>
      </c>
      <c r="H25" s="6">
        <v>137549</v>
      </c>
      <c r="I25" s="6">
        <v>145960</v>
      </c>
      <c r="J25" s="6">
        <v>66182</v>
      </c>
      <c r="K25" s="6">
        <v>61929</v>
      </c>
      <c r="L25" s="6">
        <v>110150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895769</v>
      </c>
      <c r="E26" s="6">
        <v>18527</v>
      </c>
      <c r="F26" s="6">
        <v>119323</v>
      </c>
      <c r="G26" s="6">
        <v>662053</v>
      </c>
      <c r="H26" s="6">
        <v>34891</v>
      </c>
      <c r="I26" s="6">
        <v>27811</v>
      </c>
      <c r="J26" s="6">
        <v>10202</v>
      </c>
      <c r="K26" s="6">
        <v>8521</v>
      </c>
      <c r="L26" s="6">
        <v>14441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1607976</v>
      </c>
      <c r="E27" s="6">
        <v>13334</v>
      </c>
      <c r="F27" s="6">
        <v>91628</v>
      </c>
      <c r="G27" s="6">
        <v>986268</v>
      </c>
      <c r="H27" s="6">
        <v>146692</v>
      </c>
      <c r="I27" s="6">
        <v>146162</v>
      </c>
      <c r="J27" s="6">
        <v>62948</v>
      </c>
      <c r="K27" s="6">
        <v>57787</v>
      </c>
      <c r="L27" s="6">
        <v>103157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893555</v>
      </c>
      <c r="E28" s="6">
        <v>759</v>
      </c>
      <c r="F28" s="6">
        <v>6072</v>
      </c>
      <c r="G28" s="6">
        <v>455768</v>
      </c>
      <c r="H28" s="6">
        <v>116021</v>
      </c>
      <c r="I28" s="6">
        <v>121200</v>
      </c>
      <c r="J28" s="6">
        <v>53804</v>
      </c>
      <c r="K28" s="6">
        <v>49928</v>
      </c>
      <c r="L28" s="6">
        <v>90003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714421</v>
      </c>
      <c r="E29" s="6">
        <v>12575</v>
      </c>
      <c r="F29" s="6">
        <v>85556</v>
      </c>
      <c r="G29" s="6">
        <v>530500</v>
      </c>
      <c r="H29" s="6">
        <v>30671</v>
      </c>
      <c r="I29" s="6">
        <v>24962</v>
      </c>
      <c r="J29" s="6">
        <v>9144</v>
      </c>
      <c r="K29" s="6">
        <v>7859</v>
      </c>
      <c r="L29" s="6">
        <v>13154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2172342</v>
      </c>
      <c r="E30" s="6">
        <v>12664</v>
      </c>
      <c r="F30" s="6">
        <v>94011</v>
      </c>
      <c r="G30" s="6">
        <v>1381983</v>
      </c>
      <c r="H30" s="6">
        <v>203240</v>
      </c>
      <c r="I30" s="6">
        <v>195696</v>
      </c>
      <c r="J30" s="6">
        <v>81942</v>
      </c>
      <c r="K30" s="6">
        <v>73673</v>
      </c>
      <c r="L30" s="6">
        <v>129133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1121724</v>
      </c>
      <c r="E31" s="6">
        <v>1040</v>
      </c>
      <c r="F31" s="6">
        <v>7560</v>
      </c>
      <c r="G31" s="6">
        <v>589605</v>
      </c>
      <c r="H31" s="6">
        <v>146753</v>
      </c>
      <c r="I31" s="6">
        <v>148812</v>
      </c>
      <c r="J31" s="6">
        <v>64064</v>
      </c>
      <c r="K31" s="6">
        <v>58738</v>
      </c>
      <c r="L31" s="6">
        <v>105152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1050618</v>
      </c>
      <c r="E32" s="6">
        <v>11624</v>
      </c>
      <c r="F32" s="6">
        <v>86451</v>
      </c>
      <c r="G32" s="6">
        <v>792378</v>
      </c>
      <c r="H32" s="6">
        <v>56487</v>
      </c>
      <c r="I32" s="6">
        <v>46884</v>
      </c>
      <c r="J32" s="6">
        <v>17878</v>
      </c>
      <c r="K32" s="6">
        <v>14935</v>
      </c>
      <c r="L32" s="6">
        <v>23981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1751356</v>
      </c>
      <c r="E33" s="6">
        <v>5823</v>
      </c>
      <c r="F33" s="6">
        <v>51564</v>
      </c>
      <c r="G33" s="6">
        <v>1175802</v>
      </c>
      <c r="H33" s="6">
        <v>165405</v>
      </c>
      <c r="I33" s="6">
        <v>150359</v>
      </c>
      <c r="J33" s="6">
        <v>60191</v>
      </c>
      <c r="K33" s="6">
        <v>52665</v>
      </c>
      <c r="L33" s="6">
        <v>89547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881542</v>
      </c>
      <c r="E34" s="6">
        <v>829</v>
      </c>
      <c r="F34" s="6">
        <v>6357</v>
      </c>
      <c r="G34" s="6">
        <v>496189</v>
      </c>
      <c r="H34" s="6">
        <v>113064</v>
      </c>
      <c r="I34" s="6">
        <v>108625</v>
      </c>
      <c r="J34" s="6">
        <v>45327</v>
      </c>
      <c r="K34" s="6">
        <v>40151</v>
      </c>
      <c r="L34" s="6">
        <v>71000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869814</v>
      </c>
      <c r="E35" s="6">
        <v>4994</v>
      </c>
      <c r="F35" s="6">
        <v>45207</v>
      </c>
      <c r="G35" s="6">
        <v>679613</v>
      </c>
      <c r="H35" s="6">
        <v>52341</v>
      </c>
      <c r="I35" s="6">
        <v>41734</v>
      </c>
      <c r="J35" s="6">
        <v>14864</v>
      </c>
      <c r="K35" s="6">
        <v>12514</v>
      </c>
      <c r="L35" s="6">
        <v>18547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1973819</v>
      </c>
      <c r="E36" s="6">
        <v>6662</v>
      </c>
      <c r="F36" s="6">
        <v>56601</v>
      </c>
      <c r="G36" s="6">
        <v>1389214</v>
      </c>
      <c r="H36" s="6">
        <v>177341</v>
      </c>
      <c r="I36" s="6">
        <v>152146</v>
      </c>
      <c r="J36" s="6">
        <v>58204</v>
      </c>
      <c r="K36" s="6">
        <v>49349</v>
      </c>
      <c r="L36" s="6">
        <v>84302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950507</v>
      </c>
      <c r="E37" s="6">
        <v>1114</v>
      </c>
      <c r="F37" s="6">
        <v>7925</v>
      </c>
      <c r="G37" s="6">
        <v>570077</v>
      </c>
      <c r="H37" s="6">
        <v>117938</v>
      </c>
      <c r="I37" s="6">
        <v>107376</v>
      </c>
      <c r="J37" s="6">
        <v>42586</v>
      </c>
      <c r="K37" s="6">
        <v>36848</v>
      </c>
      <c r="L37" s="6">
        <v>66643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1023312</v>
      </c>
      <c r="E38" s="6">
        <v>5548</v>
      </c>
      <c r="F38" s="6">
        <v>48676</v>
      </c>
      <c r="G38" s="6">
        <v>819137</v>
      </c>
      <c r="H38" s="6">
        <v>59403</v>
      </c>
      <c r="I38" s="6">
        <v>44770</v>
      </c>
      <c r="J38" s="6">
        <v>15618</v>
      </c>
      <c r="K38" s="6">
        <v>12501</v>
      </c>
      <c r="L38" s="6">
        <v>17659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1284206</v>
      </c>
      <c r="E39" s="6">
        <v>4596</v>
      </c>
      <c r="F39" s="6">
        <v>37634</v>
      </c>
      <c r="G39" s="6">
        <v>938479</v>
      </c>
      <c r="H39" s="6">
        <v>109512</v>
      </c>
      <c r="I39" s="6">
        <v>88850</v>
      </c>
      <c r="J39" s="6">
        <v>32689</v>
      </c>
      <c r="K39" s="6">
        <v>26920</v>
      </c>
      <c r="L39" s="6">
        <v>45526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626580</v>
      </c>
      <c r="E40" s="6">
        <v>951</v>
      </c>
      <c r="F40" s="6">
        <v>6410</v>
      </c>
      <c r="G40" s="6">
        <v>403510</v>
      </c>
      <c r="H40" s="6">
        <v>73610</v>
      </c>
      <c r="I40" s="6">
        <v>62541</v>
      </c>
      <c r="J40" s="6">
        <v>23772</v>
      </c>
      <c r="K40" s="6">
        <v>19918</v>
      </c>
      <c r="L40" s="6">
        <v>35868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657626</v>
      </c>
      <c r="E41" s="6">
        <v>3645</v>
      </c>
      <c r="F41" s="6">
        <v>31224</v>
      </c>
      <c r="G41" s="6">
        <v>534969</v>
      </c>
      <c r="H41" s="6">
        <v>35902</v>
      </c>
      <c r="I41" s="6">
        <v>26309</v>
      </c>
      <c r="J41" s="6">
        <v>8917</v>
      </c>
      <c r="K41" s="6">
        <v>7002</v>
      </c>
      <c r="L41" s="6">
        <v>9658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1083668</v>
      </c>
      <c r="E42" s="6">
        <v>4217</v>
      </c>
      <c r="F42" s="6">
        <v>34291</v>
      </c>
      <c r="G42" s="6">
        <v>817267</v>
      </c>
      <c r="H42" s="6">
        <v>86020</v>
      </c>
      <c r="I42" s="6">
        <v>66836</v>
      </c>
      <c r="J42" s="6">
        <v>23511</v>
      </c>
      <c r="K42" s="6">
        <v>19206</v>
      </c>
      <c r="L42" s="6">
        <v>32320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515351</v>
      </c>
      <c r="E43" s="6">
        <v>971</v>
      </c>
      <c r="F43" s="6">
        <v>6882</v>
      </c>
      <c r="G43" s="6">
        <v>352205</v>
      </c>
      <c r="H43" s="6">
        <v>56075</v>
      </c>
      <c r="I43" s="6">
        <v>45143</v>
      </c>
      <c r="J43" s="6">
        <v>16289</v>
      </c>
      <c r="K43" s="6">
        <v>13608</v>
      </c>
      <c r="L43" s="6">
        <v>24178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568317</v>
      </c>
      <c r="E44" s="6">
        <v>3246</v>
      </c>
      <c r="F44" s="6">
        <v>27409</v>
      </c>
      <c r="G44" s="6">
        <v>465062</v>
      </c>
      <c r="H44" s="6">
        <v>29945</v>
      </c>
      <c r="I44" s="6">
        <v>21693</v>
      </c>
      <c r="J44" s="6">
        <v>7222</v>
      </c>
      <c r="K44" s="6">
        <v>5598</v>
      </c>
      <c r="L44" s="6">
        <v>8142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475461</v>
      </c>
      <c r="E45" s="6">
        <v>2252</v>
      </c>
      <c r="F45" s="6">
        <v>16915</v>
      </c>
      <c r="G45" s="6">
        <v>367833</v>
      </c>
      <c r="H45" s="6">
        <v>34569</v>
      </c>
      <c r="I45" s="6">
        <v>25924</v>
      </c>
      <c r="J45" s="6">
        <v>9010</v>
      </c>
      <c r="K45" s="6">
        <v>7156</v>
      </c>
      <c r="L45" s="6">
        <v>11802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228717</v>
      </c>
      <c r="E46" s="6">
        <v>520</v>
      </c>
      <c r="F46" s="6">
        <v>4004</v>
      </c>
      <c r="G46" s="6">
        <v>165189</v>
      </c>
      <c r="H46" s="6">
        <v>22273</v>
      </c>
      <c r="I46" s="6">
        <v>17300</v>
      </c>
      <c r="J46" s="6">
        <v>6136</v>
      </c>
      <c r="K46" s="6">
        <v>4902</v>
      </c>
      <c r="L46" s="6">
        <v>8393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246744</v>
      </c>
      <c r="E47" s="6">
        <v>1732</v>
      </c>
      <c r="F47" s="6">
        <v>12911</v>
      </c>
      <c r="G47" s="6">
        <v>202644</v>
      </c>
      <c r="H47" s="6">
        <v>12296</v>
      </c>
      <c r="I47" s="6">
        <v>8624</v>
      </c>
      <c r="J47" s="6">
        <v>2874</v>
      </c>
      <c r="K47" s="6">
        <v>2254</v>
      </c>
      <c r="L47" s="6">
        <v>3409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356770</v>
      </c>
      <c r="E48" s="6">
        <v>2168</v>
      </c>
      <c r="F48" s="6">
        <v>15708</v>
      </c>
      <c r="G48" s="6">
        <v>278972</v>
      </c>
      <c r="H48" s="6">
        <v>23609</v>
      </c>
      <c r="I48" s="6">
        <v>17342</v>
      </c>
      <c r="J48" s="6">
        <v>6044</v>
      </c>
      <c r="K48" s="6">
        <v>4794</v>
      </c>
      <c r="L48" s="6">
        <v>8133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164301</v>
      </c>
      <c r="E49" s="6">
        <v>495</v>
      </c>
      <c r="F49" s="6">
        <v>3757</v>
      </c>
      <c r="G49" s="6">
        <v>121975</v>
      </c>
      <c r="H49" s="6">
        <v>14607</v>
      </c>
      <c r="I49" s="6">
        <v>11010</v>
      </c>
      <c r="J49" s="6">
        <v>3946</v>
      </c>
      <c r="K49" s="6">
        <v>3086</v>
      </c>
      <c r="L49" s="6">
        <v>5425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192469</v>
      </c>
      <c r="E50" s="6">
        <v>1673</v>
      </c>
      <c r="F50" s="6">
        <v>11951</v>
      </c>
      <c r="G50" s="6">
        <v>156997</v>
      </c>
      <c r="H50" s="6">
        <v>9002</v>
      </c>
      <c r="I50" s="6">
        <v>6332</v>
      </c>
      <c r="J50" s="6">
        <v>2098</v>
      </c>
      <c r="K50" s="6">
        <v>1708</v>
      </c>
      <c r="L50" s="6">
        <v>2708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107804</v>
      </c>
      <c r="E51" s="6">
        <v>1370</v>
      </c>
      <c r="F51" s="6">
        <v>7629</v>
      </c>
      <c r="G51" s="6">
        <v>83373</v>
      </c>
      <c r="H51" s="6">
        <v>5964</v>
      </c>
      <c r="I51" s="6">
        <v>4465</v>
      </c>
      <c r="J51" s="6">
        <v>1551</v>
      </c>
      <c r="K51" s="6">
        <v>1291</v>
      </c>
      <c r="L51" s="6">
        <v>2161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44497</v>
      </c>
      <c r="E52" s="6">
        <v>244</v>
      </c>
      <c r="F52" s="6">
        <v>1574</v>
      </c>
      <c r="G52" s="6">
        <v>33685</v>
      </c>
      <c r="H52" s="6">
        <v>3429</v>
      </c>
      <c r="I52" s="6">
        <v>2634</v>
      </c>
      <c r="J52" s="6">
        <v>931</v>
      </c>
      <c r="K52" s="6">
        <v>755</v>
      </c>
      <c r="L52" s="6">
        <v>1245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63307</v>
      </c>
      <c r="E53" s="6">
        <v>1126</v>
      </c>
      <c r="F53" s="6">
        <v>6055</v>
      </c>
      <c r="G53" s="6">
        <v>49688</v>
      </c>
      <c r="H53" s="6">
        <v>2535</v>
      </c>
      <c r="I53" s="6">
        <v>1831</v>
      </c>
      <c r="J53" s="6">
        <v>620</v>
      </c>
      <c r="K53" s="6">
        <v>536</v>
      </c>
      <c r="L53" s="6">
        <v>916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112D-9B40-478D-AE7A-BDC872680251}">
  <dimension ref="A1:P47"/>
  <sheetViews>
    <sheetView workbookViewId="0"/>
  </sheetViews>
  <sheetFormatPr defaultRowHeight="17"/>
  <cols>
    <col min="1" max="1" width="18.58203125" customWidth="1"/>
    <col min="2" max="16" width="10.58203125" customWidth="1"/>
  </cols>
  <sheetData>
    <row r="1" spans="1:16">
      <c r="A1" s="2" t="s">
        <v>190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1"/>
      <c r="C2" s="1"/>
      <c r="D2" s="1"/>
      <c r="E2" s="1"/>
      <c r="F2" s="1"/>
      <c r="G2" s="1" t="s">
        <v>191</v>
      </c>
      <c r="H2" s="4">
        <v>1</v>
      </c>
      <c r="I2" s="4">
        <v>5</v>
      </c>
      <c r="J2" s="4">
        <v>10</v>
      </c>
      <c r="K2" s="4">
        <v>25</v>
      </c>
      <c r="L2" s="4">
        <v>50</v>
      </c>
      <c r="M2" s="4">
        <v>75</v>
      </c>
      <c r="N2" s="4">
        <v>90</v>
      </c>
      <c r="O2" s="4">
        <v>95</v>
      </c>
      <c r="P2" s="4">
        <v>99</v>
      </c>
    </row>
    <row r="3" spans="1:16">
      <c r="A3" s="4" t="s">
        <v>4</v>
      </c>
      <c r="B3" s="4" t="s">
        <v>192</v>
      </c>
      <c r="C3" s="4" t="s">
        <v>6</v>
      </c>
      <c r="D3" s="4" t="s">
        <v>5</v>
      </c>
      <c r="E3" s="4" t="s">
        <v>193</v>
      </c>
      <c r="F3" s="4" t="s">
        <v>194</v>
      </c>
      <c r="G3" s="4" t="s">
        <v>195</v>
      </c>
      <c r="H3" s="4" t="s">
        <v>196</v>
      </c>
      <c r="I3" s="4" t="s">
        <v>197</v>
      </c>
      <c r="J3" s="4" t="s">
        <v>198</v>
      </c>
      <c r="K3" s="4" t="s">
        <v>199</v>
      </c>
      <c r="L3" s="4" t="s">
        <v>200</v>
      </c>
      <c r="M3" s="4" t="s">
        <v>201</v>
      </c>
      <c r="N3" s="4" t="s">
        <v>202</v>
      </c>
      <c r="O3" s="4" t="s">
        <v>203</v>
      </c>
      <c r="P3" s="4" t="s">
        <v>204</v>
      </c>
    </row>
    <row r="4" spans="1:16">
      <c r="A4" s="1" t="s">
        <v>205</v>
      </c>
      <c r="B4" s="1" t="s">
        <v>4</v>
      </c>
      <c r="C4" s="1" t="s">
        <v>17</v>
      </c>
      <c r="D4" s="1" t="s">
        <v>206</v>
      </c>
      <c r="E4" s="6">
        <v>343</v>
      </c>
      <c r="F4" s="9">
        <v>174.6</v>
      </c>
      <c r="G4" s="9">
        <v>5.7039999999999997</v>
      </c>
      <c r="H4" s="9">
        <v>162.1</v>
      </c>
      <c r="I4" s="9">
        <v>164.9</v>
      </c>
      <c r="J4" s="9">
        <v>167.3</v>
      </c>
      <c r="K4" s="9">
        <v>170.4</v>
      </c>
      <c r="L4" s="9">
        <v>174.5</v>
      </c>
      <c r="M4" s="9">
        <v>178.2</v>
      </c>
      <c r="N4" s="9">
        <v>182.6</v>
      </c>
      <c r="O4" s="9">
        <v>184.4</v>
      </c>
      <c r="P4" s="9">
        <v>189.1</v>
      </c>
    </row>
    <row r="5" spans="1:16">
      <c r="A5" s="1" t="s">
        <v>207</v>
      </c>
      <c r="B5" s="1" t="s">
        <v>4</v>
      </c>
      <c r="C5" s="1" t="s">
        <v>17</v>
      </c>
      <c r="D5" s="1" t="s">
        <v>208</v>
      </c>
      <c r="E5" s="6">
        <v>267</v>
      </c>
      <c r="F5" s="9">
        <v>174.1</v>
      </c>
      <c r="G5" s="9">
        <v>5.7729999999999997</v>
      </c>
      <c r="H5" s="9">
        <v>161.5</v>
      </c>
      <c r="I5" s="9">
        <v>165.1</v>
      </c>
      <c r="J5" s="9">
        <v>166.7</v>
      </c>
      <c r="K5" s="9">
        <v>170</v>
      </c>
      <c r="L5" s="9">
        <v>173.7</v>
      </c>
      <c r="M5" s="9">
        <v>178.1</v>
      </c>
      <c r="N5" s="9">
        <v>181.9</v>
      </c>
      <c r="O5" s="9">
        <v>184.3</v>
      </c>
      <c r="P5" s="9">
        <v>189.5</v>
      </c>
    </row>
    <row r="6" spans="1:16">
      <c r="A6" s="1" t="s">
        <v>209</v>
      </c>
      <c r="B6" s="1" t="s">
        <v>4</v>
      </c>
      <c r="C6" s="1" t="s">
        <v>17</v>
      </c>
      <c r="D6" s="1" t="s">
        <v>210</v>
      </c>
      <c r="E6" s="6">
        <v>237</v>
      </c>
      <c r="F6" s="9">
        <v>174.6</v>
      </c>
      <c r="G6" s="9">
        <v>5.8330000000000002</v>
      </c>
      <c r="H6" s="9">
        <v>160.4</v>
      </c>
      <c r="I6" s="9">
        <v>163.9</v>
      </c>
      <c r="J6" s="9">
        <v>167.2</v>
      </c>
      <c r="K6" s="9">
        <v>171.1</v>
      </c>
      <c r="L6" s="9">
        <v>174.7</v>
      </c>
      <c r="M6" s="9">
        <v>178.1</v>
      </c>
      <c r="N6" s="9">
        <v>182.8</v>
      </c>
      <c r="O6" s="9">
        <v>184.2</v>
      </c>
      <c r="P6" s="9">
        <v>187.8</v>
      </c>
    </row>
    <row r="7" spans="1:16">
      <c r="A7" s="1" t="s">
        <v>211</v>
      </c>
      <c r="B7" s="1" t="s">
        <v>4</v>
      </c>
      <c r="C7" s="1" t="s">
        <v>17</v>
      </c>
      <c r="D7" s="1" t="s">
        <v>212</v>
      </c>
      <c r="E7" s="6">
        <v>256</v>
      </c>
      <c r="F7" s="9">
        <v>175.1</v>
      </c>
      <c r="G7" s="9">
        <v>5.3479999999999999</v>
      </c>
      <c r="H7" s="9">
        <v>161.6</v>
      </c>
      <c r="I7" s="9">
        <v>166.3</v>
      </c>
      <c r="J7" s="9">
        <v>168.6</v>
      </c>
      <c r="K7" s="9">
        <v>171.1</v>
      </c>
      <c r="L7" s="9">
        <v>175.2</v>
      </c>
      <c r="M7" s="9">
        <v>178.8</v>
      </c>
      <c r="N7" s="9">
        <v>181.8</v>
      </c>
      <c r="O7" s="9">
        <v>183.5</v>
      </c>
      <c r="P7" s="9">
        <v>187.3</v>
      </c>
    </row>
    <row r="8" spans="1:16">
      <c r="A8" s="1" t="s">
        <v>213</v>
      </c>
      <c r="B8" s="1" t="s">
        <v>4</v>
      </c>
      <c r="C8" s="1" t="s">
        <v>17</v>
      </c>
      <c r="D8" s="1" t="s">
        <v>214</v>
      </c>
      <c r="E8" s="6">
        <v>223</v>
      </c>
      <c r="F8" s="9">
        <v>173.8</v>
      </c>
      <c r="G8" s="9">
        <v>5.2859999999999996</v>
      </c>
      <c r="H8" s="9">
        <v>158.9</v>
      </c>
      <c r="I8" s="9">
        <v>164</v>
      </c>
      <c r="J8" s="9">
        <v>166.8</v>
      </c>
      <c r="K8" s="9">
        <v>170.8</v>
      </c>
      <c r="L8" s="9">
        <v>173.9</v>
      </c>
      <c r="M8" s="9">
        <v>177.2</v>
      </c>
      <c r="N8" s="9">
        <v>180.1</v>
      </c>
      <c r="O8" s="9">
        <v>182.3</v>
      </c>
      <c r="P8" s="9">
        <v>186.6</v>
      </c>
    </row>
    <row r="9" spans="1:16">
      <c r="A9" s="1" t="s">
        <v>215</v>
      </c>
      <c r="B9" s="1" t="s">
        <v>4</v>
      </c>
      <c r="C9" s="1" t="s">
        <v>17</v>
      </c>
      <c r="D9" s="1" t="s">
        <v>216</v>
      </c>
      <c r="E9" s="6">
        <v>241</v>
      </c>
      <c r="F9" s="9">
        <v>172.5</v>
      </c>
      <c r="G9" s="9">
        <v>5.0679999999999996</v>
      </c>
      <c r="H9" s="9">
        <v>160</v>
      </c>
      <c r="I9" s="9">
        <v>163.4</v>
      </c>
      <c r="J9" s="9">
        <v>166</v>
      </c>
      <c r="K9" s="9">
        <v>169.1</v>
      </c>
      <c r="L9" s="9">
        <v>172.5</v>
      </c>
      <c r="M9" s="9">
        <v>176</v>
      </c>
      <c r="N9" s="9">
        <v>178.8</v>
      </c>
      <c r="O9" s="9">
        <v>180.4</v>
      </c>
      <c r="P9" s="9">
        <v>185.3</v>
      </c>
    </row>
    <row r="10" spans="1:16">
      <c r="A10" s="1" t="s">
        <v>217</v>
      </c>
      <c r="B10" s="1" t="s">
        <v>4</v>
      </c>
      <c r="C10" s="1" t="s">
        <v>17</v>
      </c>
      <c r="D10" s="1" t="s">
        <v>218</v>
      </c>
      <c r="E10" s="6">
        <v>144</v>
      </c>
      <c r="F10" s="9">
        <v>171.2</v>
      </c>
      <c r="G10" s="9">
        <v>5.0030000000000001</v>
      </c>
      <c r="H10" s="9">
        <v>157.6</v>
      </c>
      <c r="I10" s="9">
        <v>162.69999999999999</v>
      </c>
      <c r="J10" s="9">
        <v>164.7</v>
      </c>
      <c r="K10" s="9">
        <v>167.8</v>
      </c>
      <c r="L10" s="9">
        <v>171</v>
      </c>
      <c r="M10" s="9">
        <v>174.7</v>
      </c>
      <c r="N10" s="9">
        <v>177.6</v>
      </c>
      <c r="O10" s="9">
        <v>179.3</v>
      </c>
      <c r="P10" s="9">
        <v>182.7</v>
      </c>
    </row>
    <row r="11" spans="1:16">
      <c r="A11" s="1" t="s">
        <v>219</v>
      </c>
      <c r="B11" s="1" t="s">
        <v>4</v>
      </c>
      <c r="C11" s="1" t="s">
        <v>17</v>
      </c>
      <c r="D11" s="1" t="s">
        <v>220</v>
      </c>
      <c r="E11" s="6">
        <v>146</v>
      </c>
      <c r="F11" s="9">
        <v>169.7</v>
      </c>
      <c r="G11" s="9">
        <v>5.899</v>
      </c>
      <c r="H11" s="9">
        <v>153.5</v>
      </c>
      <c r="I11" s="9">
        <v>160.69999999999999</v>
      </c>
      <c r="J11" s="9">
        <v>162.1</v>
      </c>
      <c r="K11" s="9">
        <v>165.9</v>
      </c>
      <c r="L11" s="9">
        <v>169.2</v>
      </c>
      <c r="M11" s="9">
        <v>173.5</v>
      </c>
      <c r="N11" s="9">
        <v>177.7</v>
      </c>
      <c r="O11" s="9">
        <v>179.7</v>
      </c>
      <c r="P11" s="9">
        <v>183.9</v>
      </c>
    </row>
    <row r="12" spans="1:16">
      <c r="A12" s="1" t="s">
        <v>221</v>
      </c>
      <c r="B12" s="1" t="s">
        <v>4</v>
      </c>
      <c r="C12" s="1" t="s">
        <v>17</v>
      </c>
      <c r="D12" s="1" t="s">
        <v>222</v>
      </c>
      <c r="E12" s="6">
        <v>207</v>
      </c>
      <c r="F12" s="9">
        <v>169.1</v>
      </c>
      <c r="G12" s="9">
        <v>5.3970000000000002</v>
      </c>
      <c r="H12" s="9">
        <v>158.1</v>
      </c>
      <c r="I12" s="9">
        <v>160</v>
      </c>
      <c r="J12" s="9">
        <v>162</v>
      </c>
      <c r="K12" s="9">
        <v>165.4</v>
      </c>
      <c r="L12" s="9">
        <v>169</v>
      </c>
      <c r="M12" s="9">
        <v>173</v>
      </c>
      <c r="N12" s="9">
        <v>176.3</v>
      </c>
      <c r="O12" s="9">
        <v>178.3</v>
      </c>
      <c r="P12" s="9">
        <v>183.4</v>
      </c>
    </row>
    <row r="13" spans="1:16">
      <c r="A13" s="1" t="s">
        <v>223</v>
      </c>
      <c r="B13" s="1" t="s">
        <v>4</v>
      </c>
      <c r="C13" s="1" t="s">
        <v>17</v>
      </c>
      <c r="D13" s="1" t="s">
        <v>224</v>
      </c>
      <c r="E13" s="6">
        <v>255</v>
      </c>
      <c r="F13" s="9">
        <v>167.5</v>
      </c>
      <c r="G13" s="9">
        <v>5.42</v>
      </c>
      <c r="H13" s="9">
        <v>154.30000000000001</v>
      </c>
      <c r="I13" s="9">
        <v>159.4</v>
      </c>
      <c r="J13" s="9">
        <v>161</v>
      </c>
      <c r="K13" s="9">
        <v>163.6</v>
      </c>
      <c r="L13" s="9">
        <v>167.5</v>
      </c>
      <c r="M13" s="9">
        <v>171.3</v>
      </c>
      <c r="N13" s="9">
        <v>174.3</v>
      </c>
      <c r="O13" s="9">
        <v>176.2</v>
      </c>
      <c r="P13" s="9">
        <v>181.9</v>
      </c>
    </row>
    <row r="14" spans="1:16">
      <c r="A14" s="1" t="s">
        <v>225</v>
      </c>
      <c r="B14" s="1" t="s">
        <v>4</v>
      </c>
      <c r="C14" s="1" t="s">
        <v>17</v>
      </c>
      <c r="D14" s="1" t="s">
        <v>226</v>
      </c>
      <c r="E14" s="6">
        <v>2319</v>
      </c>
      <c r="F14" s="9">
        <v>172.5</v>
      </c>
      <c r="G14" s="9">
        <v>6.056</v>
      </c>
      <c r="H14" s="9">
        <v>158.80000000000001</v>
      </c>
      <c r="I14" s="9">
        <v>162.5</v>
      </c>
      <c r="J14" s="9">
        <v>164.5</v>
      </c>
      <c r="K14" s="9">
        <v>168.4</v>
      </c>
      <c r="L14" s="9">
        <v>172.6</v>
      </c>
      <c r="M14" s="9">
        <v>176.5</v>
      </c>
      <c r="N14" s="9">
        <v>180.2</v>
      </c>
      <c r="O14" s="9">
        <v>182.8</v>
      </c>
      <c r="P14" s="9">
        <v>187.1</v>
      </c>
    </row>
    <row r="15" spans="1:16">
      <c r="A15" s="1" t="s">
        <v>227</v>
      </c>
      <c r="B15" s="1" t="s">
        <v>4</v>
      </c>
      <c r="C15" s="1" t="s">
        <v>19</v>
      </c>
      <c r="D15" s="1" t="s">
        <v>206</v>
      </c>
      <c r="E15" s="6">
        <v>271</v>
      </c>
      <c r="F15" s="9">
        <v>161.1</v>
      </c>
      <c r="G15" s="9">
        <v>4.923</v>
      </c>
      <c r="H15" s="9">
        <v>149.80000000000001</v>
      </c>
      <c r="I15" s="9">
        <v>153.1</v>
      </c>
      <c r="J15" s="9">
        <v>154.6</v>
      </c>
      <c r="K15" s="9">
        <v>157.80000000000001</v>
      </c>
      <c r="L15" s="9">
        <v>161.30000000000001</v>
      </c>
      <c r="M15" s="9">
        <v>164.4</v>
      </c>
      <c r="N15" s="9">
        <v>167.8</v>
      </c>
      <c r="O15" s="9">
        <v>169.1</v>
      </c>
      <c r="P15" s="9">
        <v>173.2</v>
      </c>
    </row>
    <row r="16" spans="1:16">
      <c r="A16" s="1" t="s">
        <v>228</v>
      </c>
      <c r="B16" s="1" t="s">
        <v>4</v>
      </c>
      <c r="C16" s="1" t="s">
        <v>19</v>
      </c>
      <c r="D16" s="1" t="s">
        <v>208</v>
      </c>
      <c r="E16" s="6">
        <v>304</v>
      </c>
      <c r="F16" s="9">
        <v>161.4</v>
      </c>
      <c r="G16" s="9">
        <v>5.2759999999999998</v>
      </c>
      <c r="H16" s="9">
        <v>147.1</v>
      </c>
      <c r="I16" s="9">
        <v>153.30000000000001</v>
      </c>
      <c r="J16" s="9">
        <v>154.80000000000001</v>
      </c>
      <c r="K16" s="9">
        <v>158</v>
      </c>
      <c r="L16" s="9">
        <v>161</v>
      </c>
      <c r="M16" s="9">
        <v>164.5</v>
      </c>
      <c r="N16" s="9">
        <v>168.2</v>
      </c>
      <c r="O16" s="9">
        <v>170.5</v>
      </c>
      <c r="P16" s="9">
        <v>174.9</v>
      </c>
    </row>
    <row r="17" spans="1:16">
      <c r="A17" s="1" t="s">
        <v>229</v>
      </c>
      <c r="B17" s="1" t="s">
        <v>4</v>
      </c>
      <c r="C17" s="1" t="s">
        <v>19</v>
      </c>
      <c r="D17" s="1" t="s">
        <v>210</v>
      </c>
      <c r="E17" s="6">
        <v>275</v>
      </c>
      <c r="F17" s="9">
        <v>161.80000000000001</v>
      </c>
      <c r="G17" s="9">
        <v>5.093</v>
      </c>
      <c r="H17" s="9">
        <v>150.6</v>
      </c>
      <c r="I17" s="9">
        <v>153</v>
      </c>
      <c r="J17" s="9">
        <v>154.9</v>
      </c>
      <c r="K17" s="9">
        <v>158.4</v>
      </c>
      <c r="L17" s="9">
        <v>161.80000000000001</v>
      </c>
      <c r="M17" s="9">
        <v>165</v>
      </c>
      <c r="N17" s="9">
        <v>167.7</v>
      </c>
      <c r="O17" s="9">
        <v>170.1</v>
      </c>
      <c r="P17" s="9">
        <v>177.3</v>
      </c>
    </row>
    <row r="18" spans="1:16">
      <c r="A18" s="1" t="s">
        <v>230</v>
      </c>
      <c r="B18" s="1" t="s">
        <v>4</v>
      </c>
      <c r="C18" s="1" t="s">
        <v>19</v>
      </c>
      <c r="D18" s="1" t="s">
        <v>212</v>
      </c>
      <c r="E18" s="6">
        <v>380</v>
      </c>
      <c r="F18" s="9">
        <v>162</v>
      </c>
      <c r="G18" s="9">
        <v>4.8419999999999996</v>
      </c>
      <c r="H18" s="9">
        <v>152.1</v>
      </c>
      <c r="I18" s="9">
        <v>154.1</v>
      </c>
      <c r="J18" s="9">
        <v>156.1</v>
      </c>
      <c r="K18" s="9">
        <v>158.4</v>
      </c>
      <c r="L18" s="9">
        <v>161.80000000000001</v>
      </c>
      <c r="M18" s="9">
        <v>165.1</v>
      </c>
      <c r="N18" s="9">
        <v>168.2</v>
      </c>
      <c r="O18" s="9">
        <v>170.5</v>
      </c>
      <c r="P18" s="9">
        <v>174.9</v>
      </c>
    </row>
    <row r="19" spans="1:16">
      <c r="A19" s="1" t="s">
        <v>231</v>
      </c>
      <c r="B19" s="1" t="s">
        <v>4</v>
      </c>
      <c r="C19" s="1" t="s">
        <v>19</v>
      </c>
      <c r="D19" s="1" t="s">
        <v>214</v>
      </c>
      <c r="E19" s="6">
        <v>352</v>
      </c>
      <c r="F19" s="9">
        <v>161.1</v>
      </c>
      <c r="G19" s="9">
        <v>5.0789999999999997</v>
      </c>
      <c r="H19" s="9">
        <v>151</v>
      </c>
      <c r="I19" s="9">
        <v>153.1</v>
      </c>
      <c r="J19" s="9">
        <v>154.30000000000001</v>
      </c>
      <c r="K19" s="9">
        <v>157.69999999999999</v>
      </c>
      <c r="L19" s="9">
        <v>160.69999999999999</v>
      </c>
      <c r="M19" s="9">
        <v>164.5</v>
      </c>
      <c r="N19" s="9">
        <v>167.6</v>
      </c>
      <c r="O19" s="9">
        <v>170.3</v>
      </c>
      <c r="P19" s="9">
        <v>173.6</v>
      </c>
    </row>
    <row r="20" spans="1:16">
      <c r="A20" s="1" t="s">
        <v>232</v>
      </c>
      <c r="B20" s="1" t="s">
        <v>4</v>
      </c>
      <c r="C20" s="1" t="s">
        <v>19</v>
      </c>
      <c r="D20" s="1" t="s">
        <v>216</v>
      </c>
      <c r="E20" s="6">
        <v>225</v>
      </c>
      <c r="F20" s="9">
        <v>159.80000000000001</v>
      </c>
      <c r="G20" s="9">
        <v>5.2649999999999997</v>
      </c>
      <c r="H20" s="9">
        <v>142.1</v>
      </c>
      <c r="I20" s="9">
        <v>151.30000000000001</v>
      </c>
      <c r="J20" s="9">
        <v>153.5</v>
      </c>
      <c r="K20" s="9">
        <v>156.5</v>
      </c>
      <c r="L20" s="9">
        <v>159.69999999999999</v>
      </c>
      <c r="M20" s="9">
        <v>163.5</v>
      </c>
      <c r="N20" s="9">
        <v>166.1</v>
      </c>
      <c r="O20" s="9">
        <v>168.5</v>
      </c>
      <c r="P20" s="9">
        <v>170.9</v>
      </c>
    </row>
    <row r="21" spans="1:16">
      <c r="A21" s="1" t="s">
        <v>233</v>
      </c>
      <c r="B21" s="1" t="s">
        <v>4</v>
      </c>
      <c r="C21" s="1" t="s">
        <v>19</v>
      </c>
      <c r="D21" s="1" t="s">
        <v>218</v>
      </c>
      <c r="E21" s="6">
        <v>270</v>
      </c>
      <c r="F21" s="9">
        <v>158.4</v>
      </c>
      <c r="G21" s="9">
        <v>5.1360000000000001</v>
      </c>
      <c r="H21" s="9">
        <v>145.5</v>
      </c>
      <c r="I21" s="9">
        <v>150.4</v>
      </c>
      <c r="J21" s="9">
        <v>152</v>
      </c>
      <c r="K21" s="9">
        <v>155.1</v>
      </c>
      <c r="L21" s="9">
        <v>158</v>
      </c>
      <c r="M21" s="9">
        <v>161.4</v>
      </c>
      <c r="N21" s="9">
        <v>164.7</v>
      </c>
      <c r="O21" s="9">
        <v>167.7</v>
      </c>
      <c r="P21" s="9">
        <v>173.8</v>
      </c>
    </row>
    <row r="22" spans="1:16">
      <c r="A22" s="1" t="s">
        <v>234</v>
      </c>
      <c r="B22" s="1" t="s">
        <v>4</v>
      </c>
      <c r="C22" s="1" t="s">
        <v>19</v>
      </c>
      <c r="D22" s="1" t="s">
        <v>220</v>
      </c>
      <c r="E22" s="6">
        <v>230</v>
      </c>
      <c r="F22" s="9">
        <v>156.80000000000001</v>
      </c>
      <c r="G22" s="9">
        <v>4.5350000000000001</v>
      </c>
      <c r="H22" s="9">
        <v>145.6</v>
      </c>
      <c r="I22" s="9">
        <v>149.6</v>
      </c>
      <c r="J22" s="9">
        <v>151.30000000000001</v>
      </c>
      <c r="K22" s="9">
        <v>154</v>
      </c>
      <c r="L22" s="9">
        <v>156.5</v>
      </c>
      <c r="M22" s="9">
        <v>159.5</v>
      </c>
      <c r="N22" s="9">
        <v>162.69999999999999</v>
      </c>
      <c r="O22" s="9">
        <v>164.5</v>
      </c>
      <c r="P22" s="9">
        <v>169.1</v>
      </c>
    </row>
    <row r="23" spans="1:16">
      <c r="A23" s="1" t="s">
        <v>235</v>
      </c>
      <c r="B23" s="1" t="s">
        <v>4</v>
      </c>
      <c r="C23" s="1" t="s">
        <v>19</v>
      </c>
      <c r="D23" s="1" t="s">
        <v>222</v>
      </c>
      <c r="E23" s="6">
        <v>228</v>
      </c>
      <c r="F23" s="9">
        <v>155.9</v>
      </c>
      <c r="G23" s="9">
        <v>4.5339999999999998</v>
      </c>
      <c r="H23" s="9">
        <v>145.30000000000001</v>
      </c>
      <c r="I23" s="9">
        <v>148.30000000000001</v>
      </c>
      <c r="J23" s="9">
        <v>149.80000000000001</v>
      </c>
      <c r="K23" s="9">
        <v>153</v>
      </c>
      <c r="L23" s="9">
        <v>156.19999999999999</v>
      </c>
      <c r="M23" s="9">
        <v>159.19999999999999</v>
      </c>
      <c r="N23" s="9">
        <v>161.30000000000001</v>
      </c>
      <c r="O23" s="9">
        <v>163</v>
      </c>
      <c r="P23" s="9">
        <v>168</v>
      </c>
    </row>
    <row r="24" spans="1:16">
      <c r="A24" s="1" t="s">
        <v>236</v>
      </c>
      <c r="B24" s="1" t="s">
        <v>4</v>
      </c>
      <c r="C24" s="1" t="s">
        <v>19</v>
      </c>
      <c r="D24" s="1" t="s">
        <v>224</v>
      </c>
      <c r="E24" s="6">
        <v>238</v>
      </c>
      <c r="F24" s="9">
        <v>154.80000000000001</v>
      </c>
      <c r="G24" s="9">
        <v>4.6189999999999998</v>
      </c>
      <c r="H24" s="9">
        <v>142.9</v>
      </c>
      <c r="I24" s="9">
        <v>147</v>
      </c>
      <c r="J24" s="9">
        <v>149</v>
      </c>
      <c r="K24" s="9">
        <v>152</v>
      </c>
      <c r="L24" s="9">
        <v>154.6</v>
      </c>
      <c r="M24" s="9">
        <v>157.6</v>
      </c>
      <c r="N24" s="9">
        <v>161.19999999999999</v>
      </c>
      <c r="O24" s="9">
        <v>162.5</v>
      </c>
      <c r="P24" s="9">
        <v>165.6</v>
      </c>
    </row>
    <row r="25" spans="1:16">
      <c r="A25" s="1" t="s">
        <v>237</v>
      </c>
      <c r="B25" s="1" t="s">
        <v>4</v>
      </c>
      <c r="C25" s="1" t="s">
        <v>19</v>
      </c>
      <c r="D25" s="1" t="s">
        <v>226</v>
      </c>
      <c r="E25" s="6">
        <v>2773</v>
      </c>
      <c r="F25" s="9">
        <v>159.6</v>
      </c>
      <c r="G25" s="9">
        <v>5.5179999999999998</v>
      </c>
      <c r="H25" s="9">
        <v>146.9</v>
      </c>
      <c r="I25" s="9">
        <v>151</v>
      </c>
      <c r="J25" s="9">
        <v>152.80000000000001</v>
      </c>
      <c r="K25" s="9">
        <v>156</v>
      </c>
      <c r="L25" s="9">
        <v>159.5</v>
      </c>
      <c r="M25" s="9">
        <v>163.30000000000001</v>
      </c>
      <c r="N25" s="9">
        <v>166.7</v>
      </c>
      <c r="O25" s="9">
        <v>168.9</v>
      </c>
      <c r="P25" s="9">
        <v>173.3</v>
      </c>
    </row>
    <row r="26" spans="1:16">
      <c r="A26" s="1" t="s">
        <v>238</v>
      </c>
      <c r="B26" s="1" t="s">
        <v>239</v>
      </c>
      <c r="C26" s="1" t="s">
        <v>17</v>
      </c>
      <c r="D26" s="1" t="s">
        <v>206</v>
      </c>
      <c r="E26" s="6">
        <v>343</v>
      </c>
      <c r="F26" s="9">
        <v>72.86</v>
      </c>
      <c r="G26" s="9">
        <v>12.22</v>
      </c>
      <c r="H26" s="9">
        <v>49.78</v>
      </c>
      <c r="I26" s="9">
        <v>56.62</v>
      </c>
      <c r="J26" s="9">
        <v>60.04</v>
      </c>
      <c r="K26" s="9">
        <v>64.7</v>
      </c>
      <c r="L26" s="9">
        <v>71.7</v>
      </c>
      <c r="M26" s="9">
        <v>78.2</v>
      </c>
      <c r="N26" s="9">
        <v>88.52</v>
      </c>
      <c r="O26" s="9">
        <v>95.4</v>
      </c>
      <c r="P26" s="9">
        <v>115.88</v>
      </c>
    </row>
    <row r="27" spans="1:16">
      <c r="A27" s="1" t="s">
        <v>240</v>
      </c>
      <c r="B27" s="1" t="s">
        <v>239</v>
      </c>
      <c r="C27" s="1" t="s">
        <v>17</v>
      </c>
      <c r="D27" s="1" t="s">
        <v>208</v>
      </c>
      <c r="E27" s="6">
        <v>267</v>
      </c>
      <c r="F27" s="9">
        <v>74.5</v>
      </c>
      <c r="G27" s="9">
        <v>10.91</v>
      </c>
      <c r="H27" s="9">
        <v>53.2</v>
      </c>
      <c r="I27" s="9">
        <v>58.7</v>
      </c>
      <c r="J27" s="9">
        <v>62.2</v>
      </c>
      <c r="K27" s="9">
        <v>67.3</v>
      </c>
      <c r="L27" s="9">
        <v>73</v>
      </c>
      <c r="M27" s="9">
        <v>80.5</v>
      </c>
      <c r="N27" s="9">
        <v>87.84</v>
      </c>
      <c r="O27" s="9">
        <v>92.22</v>
      </c>
      <c r="P27" s="9">
        <v>116.85</v>
      </c>
    </row>
    <row r="28" spans="1:16">
      <c r="A28" s="1" t="s">
        <v>241</v>
      </c>
      <c r="B28" s="1" t="s">
        <v>239</v>
      </c>
      <c r="C28" s="1" t="s">
        <v>17</v>
      </c>
      <c r="D28" s="1" t="s">
        <v>210</v>
      </c>
      <c r="E28" s="6">
        <v>237</v>
      </c>
      <c r="F28" s="9">
        <v>77.73</v>
      </c>
      <c r="G28" s="9">
        <v>11.97</v>
      </c>
      <c r="H28" s="9">
        <v>55.2</v>
      </c>
      <c r="I28" s="9">
        <v>60.5</v>
      </c>
      <c r="J28" s="9">
        <v>63.5</v>
      </c>
      <c r="K28" s="9">
        <v>69.75</v>
      </c>
      <c r="L28" s="9">
        <v>76</v>
      </c>
      <c r="M28" s="9">
        <v>85.05</v>
      </c>
      <c r="N28" s="9">
        <v>95.12</v>
      </c>
      <c r="O28" s="9">
        <v>99.09</v>
      </c>
      <c r="P28" s="9">
        <v>110.46</v>
      </c>
    </row>
    <row r="29" spans="1:16">
      <c r="A29" s="1" t="s">
        <v>242</v>
      </c>
      <c r="B29" s="1" t="s">
        <v>239</v>
      </c>
      <c r="C29" s="1" t="s">
        <v>17</v>
      </c>
      <c r="D29" s="1" t="s">
        <v>212</v>
      </c>
      <c r="E29" s="6">
        <v>256</v>
      </c>
      <c r="F29" s="9">
        <v>79.23</v>
      </c>
      <c r="G29" s="9">
        <v>11.17</v>
      </c>
      <c r="H29" s="9">
        <v>56.73</v>
      </c>
      <c r="I29" s="9">
        <v>62.11</v>
      </c>
      <c r="J29" s="9">
        <v>65.64</v>
      </c>
      <c r="K29" s="9">
        <v>72.3</v>
      </c>
      <c r="L29" s="9">
        <v>78.5</v>
      </c>
      <c r="M29" s="9">
        <v>85.83</v>
      </c>
      <c r="N29" s="9">
        <v>93.62</v>
      </c>
      <c r="O29" s="9">
        <v>98.62</v>
      </c>
      <c r="P29" s="9">
        <v>115.45</v>
      </c>
    </row>
    <row r="30" spans="1:16">
      <c r="A30" s="1" t="s">
        <v>243</v>
      </c>
      <c r="B30" s="1" t="s">
        <v>239</v>
      </c>
      <c r="C30" s="1" t="s">
        <v>17</v>
      </c>
      <c r="D30" s="1" t="s">
        <v>214</v>
      </c>
      <c r="E30" s="6">
        <v>223</v>
      </c>
      <c r="F30" s="9">
        <v>77.66</v>
      </c>
      <c r="G30" s="9">
        <v>11.2</v>
      </c>
      <c r="H30" s="9">
        <v>56.24</v>
      </c>
      <c r="I30" s="9">
        <v>61.58</v>
      </c>
      <c r="J30" s="9">
        <v>64.44</v>
      </c>
      <c r="K30" s="9">
        <v>69.3</v>
      </c>
      <c r="L30" s="9">
        <v>77.099999999999994</v>
      </c>
      <c r="M30" s="9">
        <v>84.7</v>
      </c>
      <c r="N30" s="9">
        <v>92.2</v>
      </c>
      <c r="O30" s="9">
        <v>97.66</v>
      </c>
      <c r="P30" s="9">
        <v>114.45</v>
      </c>
    </row>
    <row r="31" spans="1:16">
      <c r="A31" s="1" t="s">
        <v>244</v>
      </c>
      <c r="B31" s="1" t="s">
        <v>239</v>
      </c>
      <c r="C31" s="1" t="s">
        <v>17</v>
      </c>
      <c r="D31" s="1" t="s">
        <v>216</v>
      </c>
      <c r="E31" s="6">
        <v>241</v>
      </c>
      <c r="F31" s="9">
        <v>75.81</v>
      </c>
      <c r="G31" s="9">
        <v>11</v>
      </c>
      <c r="H31" s="9">
        <v>52.87</v>
      </c>
      <c r="I31" s="9">
        <v>59.04</v>
      </c>
      <c r="J31" s="9">
        <v>63.16</v>
      </c>
      <c r="K31" s="9">
        <v>68.45</v>
      </c>
      <c r="L31" s="9">
        <v>75</v>
      </c>
      <c r="M31" s="9">
        <v>83.7</v>
      </c>
      <c r="N31" s="9">
        <v>91.08</v>
      </c>
      <c r="O31" s="9">
        <v>95.49</v>
      </c>
      <c r="P31" s="9">
        <v>104.03</v>
      </c>
    </row>
    <row r="32" spans="1:16">
      <c r="A32" s="1" t="s">
        <v>245</v>
      </c>
      <c r="B32" s="1" t="s">
        <v>239</v>
      </c>
      <c r="C32" s="1" t="s">
        <v>17</v>
      </c>
      <c r="D32" s="1" t="s">
        <v>218</v>
      </c>
      <c r="E32" s="6">
        <v>144</v>
      </c>
      <c r="F32" s="9">
        <v>73.5</v>
      </c>
      <c r="G32" s="9">
        <v>9.43</v>
      </c>
      <c r="H32" s="9">
        <v>54.46</v>
      </c>
      <c r="I32" s="9">
        <v>58.93</v>
      </c>
      <c r="J32" s="9">
        <v>62.7</v>
      </c>
      <c r="K32" s="9">
        <v>65.849999999999994</v>
      </c>
      <c r="L32" s="9">
        <v>73.150000000000006</v>
      </c>
      <c r="M32" s="9">
        <v>79.45</v>
      </c>
      <c r="N32" s="9">
        <v>87.75</v>
      </c>
      <c r="O32" s="9">
        <v>91.55</v>
      </c>
      <c r="P32" s="9">
        <v>98.69</v>
      </c>
    </row>
    <row r="33" spans="1:16">
      <c r="A33" s="1" t="s">
        <v>246</v>
      </c>
      <c r="B33" s="1" t="s">
        <v>239</v>
      </c>
      <c r="C33" s="1" t="s">
        <v>17</v>
      </c>
      <c r="D33" s="1" t="s">
        <v>220</v>
      </c>
      <c r="E33" s="6">
        <v>146</v>
      </c>
      <c r="F33" s="9">
        <v>72.44</v>
      </c>
      <c r="G33" s="9">
        <v>8.68</v>
      </c>
      <c r="H33" s="9">
        <v>50.89</v>
      </c>
      <c r="I33" s="9">
        <v>58.74</v>
      </c>
      <c r="J33" s="9">
        <v>61.92</v>
      </c>
      <c r="K33" s="9">
        <v>65.930000000000007</v>
      </c>
      <c r="L33" s="9">
        <v>72.95</v>
      </c>
      <c r="M33" s="9">
        <v>78.2</v>
      </c>
      <c r="N33" s="9">
        <v>83.23</v>
      </c>
      <c r="O33" s="9">
        <v>86.64</v>
      </c>
      <c r="P33" s="9">
        <v>97.3</v>
      </c>
    </row>
    <row r="34" spans="1:16">
      <c r="A34" s="1" t="s">
        <v>247</v>
      </c>
      <c r="B34" s="1" t="s">
        <v>239</v>
      </c>
      <c r="C34" s="1" t="s">
        <v>17</v>
      </c>
      <c r="D34" s="1" t="s">
        <v>222</v>
      </c>
      <c r="E34" s="6">
        <v>207</v>
      </c>
      <c r="F34" s="9">
        <v>72.05</v>
      </c>
      <c r="G34" s="9">
        <v>9.59</v>
      </c>
      <c r="H34" s="9">
        <v>53.56</v>
      </c>
      <c r="I34" s="9">
        <v>57.8</v>
      </c>
      <c r="J34" s="9">
        <v>60.18</v>
      </c>
      <c r="K34" s="9">
        <v>65</v>
      </c>
      <c r="L34" s="9">
        <v>71.599999999999994</v>
      </c>
      <c r="M34" s="9">
        <v>77.8</v>
      </c>
      <c r="N34" s="9">
        <v>84.22</v>
      </c>
      <c r="O34" s="9">
        <v>90.7</v>
      </c>
      <c r="P34" s="9">
        <v>95.46</v>
      </c>
    </row>
    <row r="35" spans="1:16">
      <c r="A35" s="1" t="s">
        <v>248</v>
      </c>
      <c r="B35" s="1" t="s">
        <v>239</v>
      </c>
      <c r="C35" s="1" t="s">
        <v>17</v>
      </c>
      <c r="D35" s="1" t="s">
        <v>224</v>
      </c>
      <c r="E35" s="6">
        <v>255</v>
      </c>
      <c r="F35" s="9">
        <v>68.98</v>
      </c>
      <c r="G35" s="9">
        <v>8.82</v>
      </c>
      <c r="H35" s="9">
        <v>50.45</v>
      </c>
      <c r="I35" s="9">
        <v>54.44</v>
      </c>
      <c r="J35" s="9">
        <v>57.96</v>
      </c>
      <c r="K35" s="9">
        <v>62.9</v>
      </c>
      <c r="L35" s="9">
        <v>68.2</v>
      </c>
      <c r="M35" s="9">
        <v>74</v>
      </c>
      <c r="N35" s="9">
        <v>80.400000000000006</v>
      </c>
      <c r="O35" s="9">
        <v>85.46</v>
      </c>
      <c r="P35" s="9">
        <v>93.72</v>
      </c>
    </row>
    <row r="36" spans="1:16">
      <c r="A36" s="1" t="s">
        <v>249</v>
      </c>
      <c r="B36" s="1" t="s">
        <v>239</v>
      </c>
      <c r="C36" s="1" t="s">
        <v>17</v>
      </c>
      <c r="D36" s="1" t="s">
        <v>226</v>
      </c>
      <c r="E36" s="6">
        <v>2319</v>
      </c>
      <c r="F36" s="9">
        <v>74.53</v>
      </c>
      <c r="G36" s="9">
        <v>11.17</v>
      </c>
      <c r="H36" s="9">
        <v>53.1</v>
      </c>
      <c r="I36" s="9">
        <v>58.7</v>
      </c>
      <c r="J36" s="9">
        <v>61.6</v>
      </c>
      <c r="K36" s="9">
        <v>66.599999999999994</v>
      </c>
      <c r="L36" s="9">
        <v>73.400000000000006</v>
      </c>
      <c r="M36" s="9">
        <v>80.8</v>
      </c>
      <c r="N36" s="9">
        <v>89.2</v>
      </c>
      <c r="O36" s="9">
        <v>94.2</v>
      </c>
      <c r="P36" s="9">
        <v>106.22</v>
      </c>
    </row>
    <row r="37" spans="1:16">
      <c r="A37" s="1" t="s">
        <v>250</v>
      </c>
      <c r="B37" s="1" t="s">
        <v>239</v>
      </c>
      <c r="C37" s="1" t="s">
        <v>19</v>
      </c>
      <c r="D37" s="1" t="s">
        <v>206</v>
      </c>
      <c r="E37" s="6">
        <v>271</v>
      </c>
      <c r="F37" s="9">
        <v>55.25</v>
      </c>
      <c r="G37" s="9">
        <v>8.89</v>
      </c>
      <c r="H37" s="9">
        <v>40.35</v>
      </c>
      <c r="I37" s="9">
        <v>43.4</v>
      </c>
      <c r="J37" s="9">
        <v>44.64</v>
      </c>
      <c r="K37" s="9">
        <v>48.7</v>
      </c>
      <c r="L37" s="9">
        <v>53.9</v>
      </c>
      <c r="M37" s="9">
        <v>59.8</v>
      </c>
      <c r="N37" s="9">
        <v>67.8</v>
      </c>
      <c r="O37" s="9">
        <v>72.38</v>
      </c>
      <c r="P37" s="9">
        <v>82.66</v>
      </c>
    </row>
    <row r="38" spans="1:16">
      <c r="A38" s="1" t="s">
        <v>251</v>
      </c>
      <c r="B38" s="1" t="s">
        <v>239</v>
      </c>
      <c r="C38" s="1" t="s">
        <v>19</v>
      </c>
      <c r="D38" s="1" t="s">
        <v>208</v>
      </c>
      <c r="E38" s="6">
        <v>304</v>
      </c>
      <c r="F38" s="9">
        <v>57.04</v>
      </c>
      <c r="G38" s="9">
        <v>9.59</v>
      </c>
      <c r="H38" s="9">
        <v>40.729999999999997</v>
      </c>
      <c r="I38" s="9">
        <v>45.03</v>
      </c>
      <c r="J38" s="9">
        <v>47.05</v>
      </c>
      <c r="K38" s="9">
        <v>50.23</v>
      </c>
      <c r="L38" s="9">
        <v>54.9</v>
      </c>
      <c r="M38" s="9">
        <v>62.5</v>
      </c>
      <c r="N38" s="9">
        <v>70.349999999999994</v>
      </c>
      <c r="O38" s="9">
        <v>73.95</v>
      </c>
      <c r="P38" s="9">
        <v>89.26</v>
      </c>
    </row>
    <row r="39" spans="1:16">
      <c r="A39" s="1" t="s">
        <v>252</v>
      </c>
      <c r="B39" s="1" t="s">
        <v>239</v>
      </c>
      <c r="C39" s="1" t="s">
        <v>19</v>
      </c>
      <c r="D39" s="1" t="s">
        <v>210</v>
      </c>
      <c r="E39" s="6">
        <v>275</v>
      </c>
      <c r="F39" s="9">
        <v>57.49</v>
      </c>
      <c r="G39" s="9">
        <v>9.7899999999999991</v>
      </c>
      <c r="H39" s="9">
        <v>39.770000000000003</v>
      </c>
      <c r="I39" s="9">
        <v>44.88</v>
      </c>
      <c r="J39" s="9">
        <v>46.46</v>
      </c>
      <c r="K39" s="9">
        <v>50.6</v>
      </c>
      <c r="L39" s="9">
        <v>55.7</v>
      </c>
      <c r="M39" s="9">
        <v>63.2</v>
      </c>
      <c r="N39" s="9">
        <v>70.8</v>
      </c>
      <c r="O39" s="9">
        <v>76.98</v>
      </c>
      <c r="P39" s="9">
        <v>85.63</v>
      </c>
    </row>
    <row r="40" spans="1:16">
      <c r="A40" s="1" t="s">
        <v>253</v>
      </c>
      <c r="B40" s="1" t="s">
        <v>239</v>
      </c>
      <c r="C40" s="1" t="s">
        <v>19</v>
      </c>
      <c r="D40" s="1" t="s">
        <v>212</v>
      </c>
      <c r="E40" s="6">
        <v>380</v>
      </c>
      <c r="F40" s="9">
        <v>58.17</v>
      </c>
      <c r="G40" s="9">
        <v>9.5500000000000007</v>
      </c>
      <c r="H40" s="9">
        <v>40.869999999999997</v>
      </c>
      <c r="I40" s="9">
        <v>45.73</v>
      </c>
      <c r="J40" s="9">
        <v>48.01</v>
      </c>
      <c r="K40" s="9">
        <v>51.8</v>
      </c>
      <c r="L40" s="9">
        <v>56.3</v>
      </c>
      <c r="M40" s="9">
        <v>62.88</v>
      </c>
      <c r="N40" s="9">
        <v>70.790000000000006</v>
      </c>
      <c r="O40" s="9">
        <v>78.7</v>
      </c>
      <c r="P40" s="9">
        <v>90.1</v>
      </c>
    </row>
    <row r="41" spans="1:16">
      <c r="A41" s="1" t="s">
        <v>254</v>
      </c>
      <c r="B41" s="1" t="s">
        <v>239</v>
      </c>
      <c r="C41" s="1" t="s">
        <v>19</v>
      </c>
      <c r="D41" s="1" t="s">
        <v>214</v>
      </c>
      <c r="E41" s="6">
        <v>352</v>
      </c>
      <c r="F41" s="9">
        <v>59.32</v>
      </c>
      <c r="G41" s="9">
        <v>10.039999999999999</v>
      </c>
      <c r="H41" s="9">
        <v>43.36</v>
      </c>
      <c r="I41" s="9">
        <v>46.5</v>
      </c>
      <c r="J41" s="9">
        <v>48.59</v>
      </c>
      <c r="K41" s="9">
        <v>52.33</v>
      </c>
      <c r="L41" s="9">
        <v>57.55</v>
      </c>
      <c r="M41" s="9">
        <v>64.400000000000006</v>
      </c>
      <c r="N41" s="9">
        <v>70.94</v>
      </c>
      <c r="O41" s="9">
        <v>76.44</v>
      </c>
      <c r="P41" s="9">
        <v>94.78</v>
      </c>
    </row>
    <row r="42" spans="1:16">
      <c r="A42" s="1" t="s">
        <v>255</v>
      </c>
      <c r="B42" s="1" t="s">
        <v>239</v>
      </c>
      <c r="C42" s="1" t="s">
        <v>19</v>
      </c>
      <c r="D42" s="1" t="s">
        <v>216</v>
      </c>
      <c r="E42" s="6">
        <v>225</v>
      </c>
      <c r="F42" s="9">
        <v>60.17</v>
      </c>
      <c r="G42" s="9">
        <v>9.27</v>
      </c>
      <c r="H42" s="9">
        <v>44.31</v>
      </c>
      <c r="I42" s="9">
        <v>48.03</v>
      </c>
      <c r="J42" s="9">
        <v>50.04</v>
      </c>
      <c r="K42" s="9">
        <v>53.55</v>
      </c>
      <c r="L42" s="9">
        <v>58.1</v>
      </c>
      <c r="M42" s="9">
        <v>64.349999999999994</v>
      </c>
      <c r="N42" s="9">
        <v>74.22</v>
      </c>
      <c r="O42" s="9">
        <v>79.02</v>
      </c>
      <c r="P42" s="9">
        <v>90.3</v>
      </c>
    </row>
    <row r="43" spans="1:16">
      <c r="A43" s="1" t="s">
        <v>256</v>
      </c>
      <c r="B43" s="1" t="s">
        <v>239</v>
      </c>
      <c r="C43" s="1" t="s">
        <v>19</v>
      </c>
      <c r="D43" s="1" t="s">
        <v>218</v>
      </c>
      <c r="E43" s="6">
        <v>270</v>
      </c>
      <c r="F43" s="9">
        <v>59.03</v>
      </c>
      <c r="G43" s="9">
        <v>8.91</v>
      </c>
      <c r="H43" s="9">
        <v>45.14</v>
      </c>
      <c r="I43" s="9">
        <v>47.76</v>
      </c>
      <c r="J43" s="9">
        <v>49.7</v>
      </c>
      <c r="K43" s="9">
        <v>53</v>
      </c>
      <c r="L43" s="9">
        <v>56.7</v>
      </c>
      <c r="M43" s="9">
        <v>62.95</v>
      </c>
      <c r="N43" s="9">
        <v>70.87</v>
      </c>
      <c r="O43" s="9">
        <v>77.180000000000007</v>
      </c>
      <c r="P43" s="9">
        <v>91.4</v>
      </c>
    </row>
    <row r="44" spans="1:16">
      <c r="A44" s="1" t="s">
        <v>257</v>
      </c>
      <c r="B44" s="1" t="s">
        <v>239</v>
      </c>
      <c r="C44" s="1" t="s">
        <v>19</v>
      </c>
      <c r="D44" s="1" t="s">
        <v>220</v>
      </c>
      <c r="E44" s="6">
        <v>230</v>
      </c>
      <c r="F44" s="9">
        <v>58.13</v>
      </c>
      <c r="G44" s="9">
        <v>8.68</v>
      </c>
      <c r="H44" s="9">
        <v>41.96</v>
      </c>
      <c r="I44" s="9">
        <v>46.14</v>
      </c>
      <c r="J44" s="9">
        <v>48.6</v>
      </c>
      <c r="K44" s="9">
        <v>52.35</v>
      </c>
      <c r="L44" s="9">
        <v>57.55</v>
      </c>
      <c r="M44" s="9">
        <v>62.13</v>
      </c>
      <c r="N44" s="9">
        <v>68.09</v>
      </c>
      <c r="O44" s="9">
        <v>71.59</v>
      </c>
      <c r="P44" s="9">
        <v>88.14</v>
      </c>
    </row>
    <row r="45" spans="1:16">
      <c r="A45" s="1" t="s">
        <v>258</v>
      </c>
      <c r="B45" s="1" t="s">
        <v>239</v>
      </c>
      <c r="C45" s="1" t="s">
        <v>19</v>
      </c>
      <c r="D45" s="1" t="s">
        <v>222</v>
      </c>
      <c r="E45" s="6">
        <v>228</v>
      </c>
      <c r="F45" s="9">
        <v>58.03</v>
      </c>
      <c r="G45" s="9">
        <v>7.69</v>
      </c>
      <c r="H45" s="9">
        <v>39.81</v>
      </c>
      <c r="I45" s="9">
        <v>47.59</v>
      </c>
      <c r="J45" s="9">
        <v>49.48</v>
      </c>
      <c r="K45" s="9">
        <v>52.5</v>
      </c>
      <c r="L45" s="9">
        <v>56.95</v>
      </c>
      <c r="M45" s="9">
        <v>63.13</v>
      </c>
      <c r="N45" s="9">
        <v>68.930000000000007</v>
      </c>
      <c r="O45" s="9">
        <v>72.709999999999994</v>
      </c>
      <c r="P45" s="9">
        <v>79.37</v>
      </c>
    </row>
    <row r="46" spans="1:16">
      <c r="A46" s="1" t="s">
        <v>259</v>
      </c>
      <c r="B46" s="1" t="s">
        <v>239</v>
      </c>
      <c r="C46" s="1" t="s">
        <v>19</v>
      </c>
      <c r="D46" s="1" t="s">
        <v>224</v>
      </c>
      <c r="E46" s="6">
        <v>238</v>
      </c>
      <c r="F46" s="9">
        <v>57.82</v>
      </c>
      <c r="G46" s="9">
        <v>7.15</v>
      </c>
      <c r="H46" s="9">
        <v>42.96</v>
      </c>
      <c r="I46" s="9">
        <v>47.59</v>
      </c>
      <c r="J46" s="9">
        <v>49.91</v>
      </c>
      <c r="K46" s="9">
        <v>52.5</v>
      </c>
      <c r="L46" s="9">
        <v>56.85</v>
      </c>
      <c r="M46" s="9">
        <v>62.58</v>
      </c>
      <c r="N46" s="9">
        <v>67.8</v>
      </c>
      <c r="O46" s="9">
        <v>72.709999999999994</v>
      </c>
      <c r="P46" s="9">
        <v>77.86</v>
      </c>
    </row>
    <row r="47" spans="1:16">
      <c r="A47" s="1" t="s">
        <v>260</v>
      </c>
      <c r="B47" s="1" t="s">
        <v>239</v>
      </c>
      <c r="C47" s="1" t="s">
        <v>19</v>
      </c>
      <c r="D47" s="1" t="s">
        <v>226</v>
      </c>
      <c r="E47" s="6">
        <v>2773</v>
      </c>
      <c r="F47" s="9">
        <v>58.04</v>
      </c>
      <c r="G47" s="9">
        <v>9.17</v>
      </c>
      <c r="H47" s="9">
        <v>41.8</v>
      </c>
      <c r="I47" s="9">
        <v>45.7</v>
      </c>
      <c r="J47" s="9">
        <v>47.84</v>
      </c>
      <c r="K47" s="9">
        <v>51.9</v>
      </c>
      <c r="L47" s="9">
        <v>56.5</v>
      </c>
      <c r="M47" s="9">
        <v>63</v>
      </c>
      <c r="N47" s="9">
        <v>70.3</v>
      </c>
      <c r="O47" s="9">
        <v>75.3</v>
      </c>
      <c r="P47" s="9">
        <v>87.19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1A3E-31F4-4CD3-97B3-AAD0D4C9B8BF}">
  <dimension ref="A1:DB107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defaultRowHeight="17"/>
  <cols>
    <col min="1" max="1" width="20.58203125" customWidth="1"/>
    <col min="2" max="106" width="8.58203125" customWidth="1"/>
  </cols>
  <sheetData>
    <row r="1" spans="1:106">
      <c r="A1" s="2" t="s">
        <v>261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>
      <c r="A2" s="1"/>
      <c r="B2" s="1"/>
      <c r="C2" s="1"/>
      <c r="D2" s="1"/>
      <c r="E2" s="1"/>
      <c r="F2" s="1"/>
      <c r="G2" s="1" t="s">
        <v>191</v>
      </c>
      <c r="H2" s="4">
        <v>1</v>
      </c>
      <c r="I2" s="4">
        <v>2</v>
      </c>
      <c r="J2" s="4">
        <v>3</v>
      </c>
      <c r="K2" s="4">
        <v>4</v>
      </c>
      <c r="L2" s="4">
        <v>5</v>
      </c>
      <c r="M2" s="4">
        <v>6</v>
      </c>
      <c r="N2" s="4">
        <v>7</v>
      </c>
      <c r="O2" s="4">
        <v>8</v>
      </c>
      <c r="P2" s="4">
        <v>9</v>
      </c>
      <c r="Q2" s="4">
        <v>10</v>
      </c>
      <c r="R2" s="4">
        <v>11</v>
      </c>
      <c r="S2" s="4">
        <v>12</v>
      </c>
      <c r="T2" s="4">
        <v>13</v>
      </c>
      <c r="U2" s="4">
        <v>14</v>
      </c>
      <c r="V2" s="4">
        <v>15</v>
      </c>
      <c r="W2" s="4">
        <v>16</v>
      </c>
      <c r="X2" s="4">
        <v>17</v>
      </c>
      <c r="Y2" s="4">
        <v>18</v>
      </c>
      <c r="Z2" s="4">
        <v>19</v>
      </c>
      <c r="AA2" s="4">
        <v>20</v>
      </c>
      <c r="AB2" s="4">
        <v>21</v>
      </c>
      <c r="AC2" s="4">
        <v>22</v>
      </c>
      <c r="AD2" s="4">
        <v>23</v>
      </c>
      <c r="AE2" s="4">
        <v>24</v>
      </c>
      <c r="AF2" s="4">
        <v>25</v>
      </c>
      <c r="AG2" s="4">
        <v>26</v>
      </c>
      <c r="AH2" s="4">
        <v>27</v>
      </c>
      <c r="AI2" s="4">
        <v>28</v>
      </c>
      <c r="AJ2" s="4">
        <v>29</v>
      </c>
      <c r="AK2" s="4">
        <v>30</v>
      </c>
      <c r="AL2" s="4">
        <v>31</v>
      </c>
      <c r="AM2" s="4">
        <v>32</v>
      </c>
      <c r="AN2" s="4">
        <v>33</v>
      </c>
      <c r="AO2" s="4">
        <v>34</v>
      </c>
      <c r="AP2" s="4">
        <v>35</v>
      </c>
      <c r="AQ2" s="4">
        <v>36</v>
      </c>
      <c r="AR2" s="4">
        <v>37</v>
      </c>
      <c r="AS2" s="4">
        <v>38</v>
      </c>
      <c r="AT2" s="4">
        <v>39</v>
      </c>
      <c r="AU2" s="4">
        <v>40</v>
      </c>
      <c r="AV2" s="4">
        <v>41</v>
      </c>
      <c r="AW2" s="4">
        <v>42</v>
      </c>
      <c r="AX2" s="4">
        <v>43</v>
      </c>
      <c r="AY2" s="4">
        <v>44</v>
      </c>
      <c r="AZ2" s="4">
        <v>45</v>
      </c>
      <c r="BA2" s="4">
        <v>46</v>
      </c>
      <c r="BB2" s="4">
        <v>47</v>
      </c>
      <c r="BC2" s="4">
        <v>48</v>
      </c>
      <c r="BD2" s="4">
        <v>49</v>
      </c>
      <c r="BE2" s="4">
        <v>50</v>
      </c>
      <c r="BF2" s="4">
        <v>51</v>
      </c>
      <c r="BG2" s="4">
        <v>52</v>
      </c>
      <c r="BH2" s="4">
        <v>53</v>
      </c>
      <c r="BI2" s="4">
        <v>54</v>
      </c>
      <c r="BJ2" s="4">
        <v>55</v>
      </c>
      <c r="BK2" s="4">
        <v>56</v>
      </c>
      <c r="BL2" s="4">
        <v>57</v>
      </c>
      <c r="BM2" s="4">
        <v>58</v>
      </c>
      <c r="BN2" s="4">
        <v>59</v>
      </c>
      <c r="BO2" s="4">
        <v>60</v>
      </c>
      <c r="BP2" s="4">
        <v>61</v>
      </c>
      <c r="BQ2" s="4">
        <v>62</v>
      </c>
      <c r="BR2" s="4">
        <v>63</v>
      </c>
      <c r="BS2" s="4">
        <v>64</v>
      </c>
      <c r="BT2" s="4">
        <v>65</v>
      </c>
      <c r="BU2" s="4">
        <v>66</v>
      </c>
      <c r="BV2" s="4">
        <v>67</v>
      </c>
      <c r="BW2" s="4">
        <v>68</v>
      </c>
      <c r="BX2" s="4">
        <v>69</v>
      </c>
      <c r="BY2" s="4">
        <v>70</v>
      </c>
      <c r="BZ2" s="4">
        <v>71</v>
      </c>
      <c r="CA2" s="4">
        <v>72</v>
      </c>
      <c r="CB2" s="4">
        <v>73</v>
      </c>
      <c r="CC2" s="4">
        <v>74</v>
      </c>
      <c r="CD2" s="4">
        <v>75</v>
      </c>
      <c r="CE2" s="4">
        <v>76</v>
      </c>
      <c r="CF2" s="4">
        <v>77</v>
      </c>
      <c r="CG2" s="4">
        <v>78</v>
      </c>
      <c r="CH2" s="4">
        <v>79</v>
      </c>
      <c r="CI2" s="4">
        <v>80</v>
      </c>
      <c r="CJ2" s="4">
        <v>81</v>
      </c>
      <c r="CK2" s="4">
        <v>82</v>
      </c>
      <c r="CL2" s="4">
        <v>83</v>
      </c>
      <c r="CM2" s="4">
        <v>84</v>
      </c>
      <c r="CN2" s="4">
        <v>85</v>
      </c>
      <c r="CO2" s="4">
        <v>86</v>
      </c>
      <c r="CP2" s="4">
        <v>87</v>
      </c>
      <c r="CQ2" s="4">
        <v>88</v>
      </c>
      <c r="CR2" s="4">
        <v>89</v>
      </c>
      <c r="CS2" s="4">
        <v>90</v>
      </c>
      <c r="CT2" s="4">
        <v>91</v>
      </c>
      <c r="CU2" s="4">
        <v>92</v>
      </c>
      <c r="CV2" s="4">
        <v>93</v>
      </c>
      <c r="CW2" s="4">
        <v>94</v>
      </c>
      <c r="CX2" s="4">
        <v>95</v>
      </c>
      <c r="CY2" s="4">
        <v>96</v>
      </c>
      <c r="CZ2" s="4">
        <v>97</v>
      </c>
      <c r="DA2" s="4">
        <v>98</v>
      </c>
      <c r="DB2" s="4">
        <v>99</v>
      </c>
    </row>
    <row r="3" spans="1:106">
      <c r="A3" s="4" t="s">
        <v>4</v>
      </c>
      <c r="B3" s="4" t="s">
        <v>192</v>
      </c>
      <c r="C3" s="4" t="s">
        <v>6</v>
      </c>
      <c r="D3" s="4" t="s">
        <v>5</v>
      </c>
      <c r="E3" s="4" t="s">
        <v>262</v>
      </c>
      <c r="F3" s="4" t="s">
        <v>263</v>
      </c>
      <c r="G3" s="4" t="s">
        <v>264</v>
      </c>
      <c r="H3" s="4" t="s">
        <v>196</v>
      </c>
      <c r="I3" s="4" t="s">
        <v>265</v>
      </c>
      <c r="J3" s="4" t="s">
        <v>266</v>
      </c>
      <c r="K3" s="4" t="s">
        <v>267</v>
      </c>
      <c r="L3" s="4" t="s">
        <v>197</v>
      </c>
      <c r="M3" s="4" t="s">
        <v>268</v>
      </c>
      <c r="N3" s="4" t="s">
        <v>269</v>
      </c>
      <c r="O3" s="4" t="s">
        <v>270</v>
      </c>
      <c r="P3" s="4" t="s">
        <v>271</v>
      </c>
      <c r="Q3" s="4" t="s">
        <v>198</v>
      </c>
      <c r="R3" s="4" t="s">
        <v>272</v>
      </c>
      <c r="S3" s="4" t="s">
        <v>273</v>
      </c>
      <c r="T3" s="4" t="s">
        <v>274</v>
      </c>
      <c r="U3" s="4" t="s">
        <v>275</v>
      </c>
      <c r="V3" s="4" t="s">
        <v>276</v>
      </c>
      <c r="W3" s="4" t="s">
        <v>277</v>
      </c>
      <c r="X3" s="4" t="s">
        <v>278</v>
      </c>
      <c r="Y3" s="4" t="s">
        <v>279</v>
      </c>
      <c r="Z3" s="4" t="s">
        <v>280</v>
      </c>
      <c r="AA3" s="4" t="s">
        <v>281</v>
      </c>
      <c r="AB3" s="4" t="s">
        <v>282</v>
      </c>
      <c r="AC3" s="4" t="s">
        <v>283</v>
      </c>
      <c r="AD3" s="4" t="s">
        <v>284</v>
      </c>
      <c r="AE3" s="4" t="s">
        <v>285</v>
      </c>
      <c r="AF3" s="4" t="s">
        <v>199</v>
      </c>
      <c r="AG3" s="4" t="s">
        <v>286</v>
      </c>
      <c r="AH3" s="4" t="s">
        <v>287</v>
      </c>
      <c r="AI3" s="4" t="s">
        <v>288</v>
      </c>
      <c r="AJ3" s="4" t="s">
        <v>289</v>
      </c>
      <c r="AK3" s="4" t="s">
        <v>290</v>
      </c>
      <c r="AL3" s="4" t="s">
        <v>291</v>
      </c>
      <c r="AM3" s="4" t="s">
        <v>292</v>
      </c>
      <c r="AN3" s="4" t="s">
        <v>293</v>
      </c>
      <c r="AO3" s="4" t="s">
        <v>294</v>
      </c>
      <c r="AP3" s="4" t="s">
        <v>295</v>
      </c>
      <c r="AQ3" s="4" t="s">
        <v>296</v>
      </c>
      <c r="AR3" s="4" t="s">
        <v>297</v>
      </c>
      <c r="AS3" s="4" t="s">
        <v>298</v>
      </c>
      <c r="AT3" s="4" t="s">
        <v>299</v>
      </c>
      <c r="AU3" s="4" t="s">
        <v>300</v>
      </c>
      <c r="AV3" s="4" t="s">
        <v>301</v>
      </c>
      <c r="AW3" s="4" t="s">
        <v>302</v>
      </c>
      <c r="AX3" s="4" t="s">
        <v>303</v>
      </c>
      <c r="AY3" s="4" t="s">
        <v>304</v>
      </c>
      <c r="AZ3" s="4" t="s">
        <v>305</v>
      </c>
      <c r="BA3" s="4" t="s">
        <v>306</v>
      </c>
      <c r="BB3" s="4" t="s">
        <v>307</v>
      </c>
      <c r="BC3" s="4" t="s">
        <v>308</v>
      </c>
      <c r="BD3" s="4" t="s">
        <v>309</v>
      </c>
      <c r="BE3" s="4" t="s">
        <v>200</v>
      </c>
      <c r="BF3" s="4" t="s">
        <v>310</v>
      </c>
      <c r="BG3" s="4" t="s">
        <v>311</v>
      </c>
      <c r="BH3" s="4" t="s">
        <v>312</v>
      </c>
      <c r="BI3" s="4" t="s">
        <v>313</v>
      </c>
      <c r="BJ3" s="4" t="s">
        <v>314</v>
      </c>
      <c r="BK3" s="4" t="s">
        <v>315</v>
      </c>
      <c r="BL3" s="4" t="s">
        <v>316</v>
      </c>
      <c r="BM3" s="4" t="s">
        <v>317</v>
      </c>
      <c r="BN3" s="4" t="s">
        <v>318</v>
      </c>
      <c r="BO3" s="4" t="s">
        <v>319</v>
      </c>
      <c r="BP3" s="4" t="s">
        <v>320</v>
      </c>
      <c r="BQ3" s="4" t="s">
        <v>321</v>
      </c>
      <c r="BR3" s="4" t="s">
        <v>322</v>
      </c>
      <c r="BS3" s="4" t="s">
        <v>323</v>
      </c>
      <c r="BT3" s="4" t="s">
        <v>324</v>
      </c>
      <c r="BU3" s="4" t="s">
        <v>325</v>
      </c>
      <c r="BV3" s="4" t="s">
        <v>326</v>
      </c>
      <c r="BW3" s="4" t="s">
        <v>327</v>
      </c>
      <c r="BX3" s="4" t="s">
        <v>328</v>
      </c>
      <c r="BY3" s="4" t="s">
        <v>329</v>
      </c>
      <c r="BZ3" s="4" t="s">
        <v>330</v>
      </c>
      <c r="CA3" s="4" t="s">
        <v>331</v>
      </c>
      <c r="CB3" s="4" t="s">
        <v>332</v>
      </c>
      <c r="CC3" s="4" t="s">
        <v>333</v>
      </c>
      <c r="CD3" s="4" t="s">
        <v>201</v>
      </c>
      <c r="CE3" s="4" t="s">
        <v>334</v>
      </c>
      <c r="CF3" s="4" t="s">
        <v>335</v>
      </c>
      <c r="CG3" s="4" t="s">
        <v>336</v>
      </c>
      <c r="CH3" s="4" t="s">
        <v>337</v>
      </c>
      <c r="CI3" s="4" t="s">
        <v>338</v>
      </c>
      <c r="CJ3" s="4" t="s">
        <v>339</v>
      </c>
      <c r="CK3" s="4" t="s">
        <v>340</v>
      </c>
      <c r="CL3" s="4" t="s">
        <v>341</v>
      </c>
      <c r="CM3" s="4" t="s">
        <v>342</v>
      </c>
      <c r="CN3" s="4" t="s">
        <v>343</v>
      </c>
      <c r="CO3" s="4" t="s">
        <v>344</v>
      </c>
      <c r="CP3" s="4" t="s">
        <v>345</v>
      </c>
      <c r="CQ3" s="4" t="s">
        <v>346</v>
      </c>
      <c r="CR3" s="4" t="s">
        <v>347</v>
      </c>
      <c r="CS3" s="4" t="s">
        <v>202</v>
      </c>
      <c r="CT3" s="4" t="s">
        <v>348</v>
      </c>
      <c r="CU3" s="4" t="s">
        <v>349</v>
      </c>
      <c r="CV3" s="4" t="s">
        <v>350</v>
      </c>
      <c r="CW3" s="4" t="s">
        <v>351</v>
      </c>
      <c r="CX3" s="4" t="s">
        <v>203</v>
      </c>
      <c r="CY3" s="4" t="s">
        <v>352</v>
      </c>
      <c r="CZ3" s="4" t="s">
        <v>353</v>
      </c>
      <c r="DA3" s="4" t="s">
        <v>354</v>
      </c>
      <c r="DB3" s="4" t="s">
        <v>204</v>
      </c>
    </row>
    <row r="4" spans="1:106">
      <c r="A4" s="1" t="s">
        <v>205</v>
      </c>
      <c r="B4" s="1" t="s">
        <v>4</v>
      </c>
      <c r="C4" s="1" t="s">
        <v>17</v>
      </c>
      <c r="D4" s="1" t="s">
        <v>206</v>
      </c>
      <c r="E4" s="6">
        <v>370</v>
      </c>
      <c r="F4" s="9">
        <v>175.33</v>
      </c>
      <c r="G4" s="9">
        <v>5.83</v>
      </c>
      <c r="H4" s="9">
        <v>159.9</v>
      </c>
      <c r="I4" s="9">
        <v>163.19999999999999</v>
      </c>
      <c r="J4" s="9">
        <v>163.9</v>
      </c>
      <c r="K4" s="9">
        <v>164.3</v>
      </c>
      <c r="L4" s="9">
        <v>165.6</v>
      </c>
      <c r="M4" s="9">
        <v>166.4</v>
      </c>
      <c r="N4" s="9">
        <v>166.8</v>
      </c>
      <c r="O4" s="9">
        <v>167</v>
      </c>
      <c r="P4" s="9">
        <v>167.6</v>
      </c>
      <c r="Q4" s="9">
        <v>167.7</v>
      </c>
      <c r="R4" s="9">
        <v>168</v>
      </c>
      <c r="S4" s="9">
        <v>168.5</v>
      </c>
      <c r="T4" s="9">
        <v>168.7</v>
      </c>
      <c r="U4" s="9">
        <v>169.1</v>
      </c>
      <c r="V4" s="9">
        <v>169.4</v>
      </c>
      <c r="W4" s="9">
        <v>169.7</v>
      </c>
      <c r="X4" s="9">
        <v>170</v>
      </c>
      <c r="Y4" s="9">
        <v>170.3</v>
      </c>
      <c r="Z4" s="9">
        <v>170.6</v>
      </c>
      <c r="AA4" s="9">
        <v>170.7</v>
      </c>
      <c r="AB4" s="9">
        <v>170.8</v>
      </c>
      <c r="AC4" s="9">
        <v>171</v>
      </c>
      <c r="AD4" s="9">
        <v>171.4</v>
      </c>
      <c r="AE4" s="9">
        <v>171.8</v>
      </c>
      <c r="AF4" s="9">
        <v>172</v>
      </c>
      <c r="AG4" s="9">
        <v>172.1</v>
      </c>
      <c r="AH4" s="9">
        <v>172.3</v>
      </c>
      <c r="AI4" s="9">
        <v>172.5</v>
      </c>
      <c r="AJ4" s="9">
        <v>172.6</v>
      </c>
      <c r="AK4" s="9">
        <v>172.6</v>
      </c>
      <c r="AL4" s="9">
        <v>172.7</v>
      </c>
      <c r="AM4" s="9">
        <v>173.1</v>
      </c>
      <c r="AN4" s="9">
        <v>173.3</v>
      </c>
      <c r="AO4" s="9">
        <v>173.4</v>
      </c>
      <c r="AP4" s="9">
        <v>173.6</v>
      </c>
      <c r="AQ4" s="9">
        <v>173.7</v>
      </c>
      <c r="AR4" s="9">
        <v>173.8</v>
      </c>
      <c r="AS4" s="9">
        <v>174</v>
      </c>
      <c r="AT4" s="9">
        <v>174.2</v>
      </c>
      <c r="AU4" s="9">
        <v>174.3</v>
      </c>
      <c r="AV4" s="9">
        <v>174.3</v>
      </c>
      <c r="AW4" s="9">
        <v>174.3</v>
      </c>
      <c r="AX4" s="9">
        <v>174.4</v>
      </c>
      <c r="AY4" s="9">
        <v>174.5</v>
      </c>
      <c r="AZ4" s="9">
        <v>174.6</v>
      </c>
      <c r="BA4" s="9">
        <v>174.7</v>
      </c>
      <c r="BB4" s="9">
        <v>174.9</v>
      </c>
      <c r="BC4" s="9">
        <v>174.9</v>
      </c>
      <c r="BD4" s="9">
        <v>175</v>
      </c>
      <c r="BE4" s="9">
        <v>175.1</v>
      </c>
      <c r="BF4" s="9">
        <v>175.2</v>
      </c>
      <c r="BG4" s="9">
        <v>175.3</v>
      </c>
      <c r="BH4" s="9">
        <v>175.4</v>
      </c>
      <c r="BI4" s="9">
        <v>175.6</v>
      </c>
      <c r="BJ4" s="9">
        <v>175.8</v>
      </c>
      <c r="BK4" s="9">
        <v>175.8</v>
      </c>
      <c r="BL4" s="9">
        <v>175.9</v>
      </c>
      <c r="BM4" s="9">
        <v>176.1</v>
      </c>
      <c r="BN4" s="9">
        <v>176.1</v>
      </c>
      <c r="BO4" s="9">
        <v>176.4</v>
      </c>
      <c r="BP4" s="9">
        <v>176.6</v>
      </c>
      <c r="BQ4" s="9">
        <v>176.9</v>
      </c>
      <c r="BR4" s="9">
        <v>177</v>
      </c>
      <c r="BS4" s="9">
        <v>177.3</v>
      </c>
      <c r="BT4" s="9">
        <v>177.4</v>
      </c>
      <c r="BU4" s="9">
        <v>177.8</v>
      </c>
      <c r="BV4" s="9">
        <v>177.9</v>
      </c>
      <c r="BW4" s="9">
        <v>178</v>
      </c>
      <c r="BX4" s="9">
        <v>178</v>
      </c>
      <c r="BY4" s="9">
        <v>178.1</v>
      </c>
      <c r="BZ4" s="9">
        <v>178.4</v>
      </c>
      <c r="CA4" s="9">
        <v>178.5</v>
      </c>
      <c r="CB4" s="9">
        <v>178.5</v>
      </c>
      <c r="CC4" s="9">
        <v>178.7</v>
      </c>
      <c r="CD4" s="9">
        <v>178.8</v>
      </c>
      <c r="CE4" s="9">
        <v>179</v>
      </c>
      <c r="CF4" s="9">
        <v>179.1</v>
      </c>
      <c r="CG4" s="9">
        <v>179.2</v>
      </c>
      <c r="CH4" s="9">
        <v>179.2</v>
      </c>
      <c r="CI4" s="9">
        <v>179.4</v>
      </c>
      <c r="CJ4" s="9">
        <v>179.7</v>
      </c>
      <c r="CK4" s="9">
        <v>179.9</v>
      </c>
      <c r="CL4" s="9">
        <v>180.1</v>
      </c>
      <c r="CM4" s="9">
        <v>180.5</v>
      </c>
      <c r="CN4" s="9">
        <v>180.8</v>
      </c>
      <c r="CO4" s="9">
        <v>181.5</v>
      </c>
      <c r="CP4" s="9">
        <v>181.7</v>
      </c>
      <c r="CQ4" s="9">
        <v>182</v>
      </c>
      <c r="CR4" s="9">
        <v>182.5</v>
      </c>
      <c r="CS4" s="9">
        <v>182.8</v>
      </c>
      <c r="CT4" s="9">
        <v>183.4</v>
      </c>
      <c r="CU4" s="9">
        <v>184.2</v>
      </c>
      <c r="CV4" s="9">
        <v>184.7</v>
      </c>
      <c r="CW4" s="9">
        <v>184.9</v>
      </c>
      <c r="CX4" s="9">
        <v>185.5</v>
      </c>
      <c r="CY4" s="9">
        <v>186.5</v>
      </c>
      <c r="CZ4" s="9">
        <v>186.9</v>
      </c>
      <c r="DA4" s="9">
        <v>187.7</v>
      </c>
      <c r="DB4" s="9">
        <v>188.8</v>
      </c>
    </row>
    <row r="5" spans="1:106">
      <c r="A5" s="1" t="s">
        <v>207</v>
      </c>
      <c r="B5" s="1" t="s">
        <v>4</v>
      </c>
      <c r="C5" s="1" t="s">
        <v>17</v>
      </c>
      <c r="D5" s="1" t="s">
        <v>208</v>
      </c>
      <c r="E5" s="6">
        <v>453</v>
      </c>
      <c r="F5" s="9">
        <v>174.66</v>
      </c>
      <c r="G5" s="9">
        <v>6.86</v>
      </c>
      <c r="H5" s="9">
        <v>156.6</v>
      </c>
      <c r="I5" s="9">
        <v>160.80000000000001</v>
      </c>
      <c r="J5" s="9">
        <v>163.19999999999999</v>
      </c>
      <c r="K5" s="9">
        <v>164</v>
      </c>
      <c r="L5" s="9">
        <v>164.7</v>
      </c>
      <c r="M5" s="9">
        <v>165.3</v>
      </c>
      <c r="N5" s="9">
        <v>166.1</v>
      </c>
      <c r="O5" s="9">
        <v>166.4</v>
      </c>
      <c r="P5" s="9">
        <v>166.5</v>
      </c>
      <c r="Q5" s="9">
        <v>167</v>
      </c>
      <c r="R5" s="9">
        <v>167.2</v>
      </c>
      <c r="S5" s="9">
        <v>167.6</v>
      </c>
      <c r="T5" s="9">
        <v>167.9</v>
      </c>
      <c r="U5" s="9">
        <v>168</v>
      </c>
      <c r="V5" s="9">
        <v>168.2</v>
      </c>
      <c r="W5" s="9">
        <v>168.3</v>
      </c>
      <c r="X5" s="9">
        <v>168.4</v>
      </c>
      <c r="Y5" s="9">
        <v>168.9</v>
      </c>
      <c r="Z5" s="9">
        <v>169.3</v>
      </c>
      <c r="AA5" s="9">
        <v>169.5</v>
      </c>
      <c r="AB5" s="9">
        <v>169.7</v>
      </c>
      <c r="AC5" s="9">
        <v>170</v>
      </c>
      <c r="AD5" s="9">
        <v>170.3</v>
      </c>
      <c r="AE5" s="9">
        <v>170.5</v>
      </c>
      <c r="AF5" s="9">
        <v>170.7</v>
      </c>
      <c r="AG5" s="9">
        <v>170.9</v>
      </c>
      <c r="AH5" s="9">
        <v>170.9</v>
      </c>
      <c r="AI5" s="9">
        <v>171.3</v>
      </c>
      <c r="AJ5" s="9">
        <v>171.4</v>
      </c>
      <c r="AK5" s="9">
        <v>171.6</v>
      </c>
      <c r="AL5" s="9">
        <v>171.7</v>
      </c>
      <c r="AM5" s="9">
        <v>171.7</v>
      </c>
      <c r="AN5" s="9">
        <v>172.1</v>
      </c>
      <c r="AO5" s="9">
        <v>172.3</v>
      </c>
      <c r="AP5" s="9">
        <v>172.5</v>
      </c>
      <c r="AQ5" s="9">
        <v>172.6</v>
      </c>
      <c r="AR5" s="9">
        <v>172.8</v>
      </c>
      <c r="AS5" s="9">
        <v>172.9</v>
      </c>
      <c r="AT5" s="9">
        <v>173.1</v>
      </c>
      <c r="AU5" s="9">
        <v>173.2</v>
      </c>
      <c r="AV5" s="9">
        <v>173.4</v>
      </c>
      <c r="AW5" s="9">
        <v>173.5</v>
      </c>
      <c r="AX5" s="9">
        <v>173.6</v>
      </c>
      <c r="AY5" s="9">
        <v>173.8</v>
      </c>
      <c r="AZ5" s="9">
        <v>173.9</v>
      </c>
      <c r="BA5" s="9">
        <v>174</v>
      </c>
      <c r="BB5" s="9">
        <v>174.1</v>
      </c>
      <c r="BC5" s="9">
        <v>174.2</v>
      </c>
      <c r="BD5" s="9">
        <v>174.4</v>
      </c>
      <c r="BE5" s="9">
        <v>174.5</v>
      </c>
      <c r="BF5" s="9">
        <v>174.5</v>
      </c>
      <c r="BG5" s="9">
        <v>174.7</v>
      </c>
      <c r="BH5" s="9">
        <v>174.9</v>
      </c>
      <c r="BI5" s="9">
        <v>175.1</v>
      </c>
      <c r="BJ5" s="9">
        <v>175.2</v>
      </c>
      <c r="BK5" s="9">
        <v>175.6</v>
      </c>
      <c r="BL5" s="9">
        <v>175.7</v>
      </c>
      <c r="BM5" s="9">
        <v>176</v>
      </c>
      <c r="BN5" s="9">
        <v>176.3</v>
      </c>
      <c r="BO5" s="9">
        <v>176.4</v>
      </c>
      <c r="BP5" s="9">
        <v>176.5</v>
      </c>
      <c r="BQ5" s="9">
        <v>176.6</v>
      </c>
      <c r="BR5" s="9">
        <v>176.8</v>
      </c>
      <c r="BS5" s="9">
        <v>176.8</v>
      </c>
      <c r="BT5" s="9">
        <v>177.2</v>
      </c>
      <c r="BU5" s="9">
        <v>177.3</v>
      </c>
      <c r="BV5" s="9">
        <v>177.5</v>
      </c>
      <c r="BW5" s="9">
        <v>177.6</v>
      </c>
      <c r="BX5" s="9">
        <v>177.7</v>
      </c>
      <c r="BY5" s="9">
        <v>177.8</v>
      </c>
      <c r="BZ5" s="9">
        <v>178.2</v>
      </c>
      <c r="CA5" s="9">
        <v>178.5</v>
      </c>
      <c r="CB5" s="9">
        <v>178.6</v>
      </c>
      <c r="CC5" s="9">
        <v>178.9</v>
      </c>
      <c r="CD5" s="9">
        <v>179</v>
      </c>
      <c r="CE5" s="9">
        <v>179.2</v>
      </c>
      <c r="CF5" s="9">
        <v>179.5</v>
      </c>
      <c r="CG5" s="9">
        <v>179.7</v>
      </c>
      <c r="CH5" s="9">
        <v>179.9</v>
      </c>
      <c r="CI5" s="9">
        <v>180.3</v>
      </c>
      <c r="CJ5" s="9">
        <v>180.6</v>
      </c>
      <c r="CK5" s="9">
        <v>180.9</v>
      </c>
      <c r="CL5" s="9">
        <v>181.2</v>
      </c>
      <c r="CM5" s="9">
        <v>181.3</v>
      </c>
      <c r="CN5" s="9">
        <v>181.4</v>
      </c>
      <c r="CO5" s="9">
        <v>181.6</v>
      </c>
      <c r="CP5" s="9">
        <v>181.8</v>
      </c>
      <c r="CQ5" s="9">
        <v>182.1</v>
      </c>
      <c r="CR5" s="9">
        <v>182.5</v>
      </c>
      <c r="CS5" s="9">
        <v>183.1</v>
      </c>
      <c r="CT5" s="9">
        <v>183.6</v>
      </c>
      <c r="CU5" s="9">
        <v>183.9</v>
      </c>
      <c r="CV5" s="9">
        <v>184.5</v>
      </c>
      <c r="CW5" s="9">
        <v>184.8</v>
      </c>
      <c r="CX5" s="9">
        <v>185.2</v>
      </c>
      <c r="CY5" s="9">
        <v>186.2</v>
      </c>
      <c r="CZ5" s="9">
        <v>186.5</v>
      </c>
      <c r="DA5" s="9">
        <v>186.9</v>
      </c>
      <c r="DB5" s="9">
        <v>188.2</v>
      </c>
    </row>
    <row r="6" spans="1:106">
      <c r="A6" s="1" t="s">
        <v>209</v>
      </c>
      <c r="B6" s="1" t="s">
        <v>4</v>
      </c>
      <c r="C6" s="1" t="s">
        <v>17</v>
      </c>
      <c r="D6" s="1" t="s">
        <v>210</v>
      </c>
      <c r="E6" s="6">
        <v>411</v>
      </c>
      <c r="F6" s="9">
        <v>174.79</v>
      </c>
      <c r="G6" s="9">
        <v>5.57</v>
      </c>
      <c r="H6" s="9">
        <v>160.4</v>
      </c>
      <c r="I6" s="9">
        <v>163</v>
      </c>
      <c r="J6" s="9">
        <v>164.4</v>
      </c>
      <c r="K6" s="9">
        <v>165.8</v>
      </c>
      <c r="L6" s="9">
        <v>166.1</v>
      </c>
      <c r="M6" s="9">
        <v>166.3</v>
      </c>
      <c r="N6" s="9">
        <v>166.7</v>
      </c>
      <c r="O6" s="9">
        <v>167.2</v>
      </c>
      <c r="P6" s="9">
        <v>167.4</v>
      </c>
      <c r="Q6" s="9">
        <v>167.6</v>
      </c>
      <c r="R6" s="9">
        <v>167.9</v>
      </c>
      <c r="S6" s="9">
        <v>168.5</v>
      </c>
      <c r="T6" s="9">
        <v>168.6</v>
      </c>
      <c r="U6" s="9">
        <v>168.7</v>
      </c>
      <c r="V6" s="9">
        <v>168.9</v>
      </c>
      <c r="W6" s="9">
        <v>169.3</v>
      </c>
      <c r="X6" s="9">
        <v>169.6</v>
      </c>
      <c r="Y6" s="9">
        <v>169.8</v>
      </c>
      <c r="Z6" s="9">
        <v>170</v>
      </c>
      <c r="AA6" s="9">
        <v>170.1</v>
      </c>
      <c r="AB6" s="9">
        <v>170.3</v>
      </c>
      <c r="AC6" s="9">
        <v>170.4</v>
      </c>
      <c r="AD6" s="9">
        <v>170.4</v>
      </c>
      <c r="AE6" s="9">
        <v>170.7</v>
      </c>
      <c r="AF6" s="9">
        <v>170.8</v>
      </c>
      <c r="AG6" s="9">
        <v>171.2</v>
      </c>
      <c r="AH6" s="9">
        <v>171.3</v>
      </c>
      <c r="AI6" s="9">
        <v>171.5</v>
      </c>
      <c r="AJ6" s="9">
        <v>171.6</v>
      </c>
      <c r="AK6" s="9">
        <v>171.7</v>
      </c>
      <c r="AL6" s="9">
        <v>171.9</v>
      </c>
      <c r="AM6" s="9">
        <v>172.1</v>
      </c>
      <c r="AN6" s="9">
        <v>172.1</v>
      </c>
      <c r="AO6" s="9">
        <v>172.4</v>
      </c>
      <c r="AP6" s="9">
        <v>172.6</v>
      </c>
      <c r="AQ6" s="9">
        <v>172.7</v>
      </c>
      <c r="AR6" s="9">
        <v>172.8</v>
      </c>
      <c r="AS6" s="9">
        <v>173</v>
      </c>
      <c r="AT6" s="9">
        <v>173.1</v>
      </c>
      <c r="AU6" s="9">
        <v>173.2</v>
      </c>
      <c r="AV6" s="9">
        <v>173.2</v>
      </c>
      <c r="AW6" s="9">
        <v>173.2</v>
      </c>
      <c r="AX6" s="9">
        <v>173.3</v>
      </c>
      <c r="AY6" s="9">
        <v>173.4</v>
      </c>
      <c r="AZ6" s="9">
        <v>173.8</v>
      </c>
      <c r="BA6" s="9">
        <v>174</v>
      </c>
      <c r="BB6" s="9">
        <v>174.2</v>
      </c>
      <c r="BC6" s="9">
        <v>174.5</v>
      </c>
      <c r="BD6" s="9">
        <v>174.6</v>
      </c>
      <c r="BE6" s="9">
        <v>174.7</v>
      </c>
      <c r="BF6" s="9">
        <v>175.1</v>
      </c>
      <c r="BG6" s="9">
        <v>175.2</v>
      </c>
      <c r="BH6" s="9">
        <v>175.2</v>
      </c>
      <c r="BI6" s="9">
        <v>175.4</v>
      </c>
      <c r="BJ6" s="9">
        <v>175.5</v>
      </c>
      <c r="BK6" s="9">
        <v>175.7</v>
      </c>
      <c r="BL6" s="9">
        <v>175.8</v>
      </c>
      <c r="BM6" s="9">
        <v>175.9</v>
      </c>
      <c r="BN6" s="9">
        <v>176</v>
      </c>
      <c r="BO6" s="9">
        <v>176.1</v>
      </c>
      <c r="BP6" s="9">
        <v>176.3</v>
      </c>
      <c r="BQ6" s="9">
        <v>176.4</v>
      </c>
      <c r="BR6" s="9">
        <v>176.6</v>
      </c>
      <c r="BS6" s="9">
        <v>176.8</v>
      </c>
      <c r="BT6" s="9">
        <v>177.1</v>
      </c>
      <c r="BU6" s="9">
        <v>177.2</v>
      </c>
      <c r="BV6" s="9">
        <v>177.3</v>
      </c>
      <c r="BW6" s="9">
        <v>177.5</v>
      </c>
      <c r="BX6" s="9">
        <v>177.6</v>
      </c>
      <c r="BY6" s="9">
        <v>177.9</v>
      </c>
      <c r="BZ6" s="9">
        <v>178.1</v>
      </c>
      <c r="CA6" s="9">
        <v>178.2</v>
      </c>
      <c r="CB6" s="9">
        <v>178.3</v>
      </c>
      <c r="CC6" s="9">
        <v>178.4</v>
      </c>
      <c r="CD6" s="9">
        <v>178.5</v>
      </c>
      <c r="CE6" s="9">
        <v>178.7</v>
      </c>
      <c r="CF6" s="9">
        <v>179</v>
      </c>
      <c r="CG6" s="9">
        <v>179.3</v>
      </c>
      <c r="CH6" s="9">
        <v>179.7</v>
      </c>
      <c r="CI6" s="9">
        <v>179.9</v>
      </c>
      <c r="CJ6" s="9">
        <v>180.2</v>
      </c>
      <c r="CK6" s="9">
        <v>180.4</v>
      </c>
      <c r="CL6" s="9">
        <v>180.5</v>
      </c>
      <c r="CM6" s="9">
        <v>180.7</v>
      </c>
      <c r="CN6" s="9">
        <v>180.9</v>
      </c>
      <c r="CO6" s="9">
        <v>181.1</v>
      </c>
      <c r="CP6" s="9">
        <v>181.2</v>
      </c>
      <c r="CQ6" s="9">
        <v>181.4</v>
      </c>
      <c r="CR6" s="9">
        <v>181.5</v>
      </c>
      <c r="CS6" s="9">
        <v>181.6</v>
      </c>
      <c r="CT6" s="9">
        <v>181.8</v>
      </c>
      <c r="CU6" s="9">
        <v>182.1</v>
      </c>
      <c r="CV6" s="9">
        <v>182.5</v>
      </c>
      <c r="CW6" s="9">
        <v>183.3</v>
      </c>
      <c r="CX6" s="9">
        <v>183.7</v>
      </c>
      <c r="CY6" s="9">
        <v>184.8</v>
      </c>
      <c r="CZ6" s="9">
        <v>185.4</v>
      </c>
      <c r="DA6" s="9">
        <v>186.5</v>
      </c>
      <c r="DB6" s="9">
        <v>187.4</v>
      </c>
    </row>
    <row r="7" spans="1:106">
      <c r="A7" s="1" t="s">
        <v>211</v>
      </c>
      <c r="B7" s="1" t="s">
        <v>4</v>
      </c>
      <c r="C7" s="1" t="s">
        <v>17</v>
      </c>
      <c r="D7" s="1" t="s">
        <v>212</v>
      </c>
      <c r="E7" s="6">
        <v>476</v>
      </c>
      <c r="F7" s="9">
        <v>174.96</v>
      </c>
      <c r="G7" s="9">
        <v>5.48</v>
      </c>
      <c r="H7" s="9">
        <v>162.5</v>
      </c>
      <c r="I7" s="9">
        <v>163.69999999999999</v>
      </c>
      <c r="J7" s="9">
        <v>165.2</v>
      </c>
      <c r="K7" s="9">
        <v>165.4</v>
      </c>
      <c r="L7" s="9">
        <v>166.2</v>
      </c>
      <c r="M7" s="9">
        <v>167.1</v>
      </c>
      <c r="N7" s="9">
        <v>167.3</v>
      </c>
      <c r="O7" s="9">
        <v>167.6</v>
      </c>
      <c r="P7" s="9">
        <v>167.7</v>
      </c>
      <c r="Q7" s="9">
        <v>168</v>
      </c>
      <c r="R7" s="9">
        <v>168.2</v>
      </c>
      <c r="S7" s="9">
        <v>168.4</v>
      </c>
      <c r="T7" s="9">
        <v>168.8</v>
      </c>
      <c r="U7" s="9">
        <v>169.2</v>
      </c>
      <c r="V7" s="9">
        <v>169.3</v>
      </c>
      <c r="W7" s="9">
        <v>169.5</v>
      </c>
      <c r="X7" s="9">
        <v>169.6</v>
      </c>
      <c r="Y7" s="9">
        <v>169.7</v>
      </c>
      <c r="Z7" s="9">
        <v>169.8</v>
      </c>
      <c r="AA7" s="9">
        <v>170.1</v>
      </c>
      <c r="AB7" s="9">
        <v>170.3</v>
      </c>
      <c r="AC7" s="9">
        <v>170.7</v>
      </c>
      <c r="AD7" s="9">
        <v>170.9</v>
      </c>
      <c r="AE7" s="9">
        <v>171</v>
      </c>
      <c r="AF7" s="9">
        <v>171.2</v>
      </c>
      <c r="AG7" s="9">
        <v>171.3</v>
      </c>
      <c r="AH7" s="9">
        <v>171.4</v>
      </c>
      <c r="AI7" s="9">
        <v>171.4</v>
      </c>
      <c r="AJ7" s="9">
        <v>171.6</v>
      </c>
      <c r="AK7" s="9">
        <v>171.8</v>
      </c>
      <c r="AL7" s="9">
        <v>172.1</v>
      </c>
      <c r="AM7" s="9">
        <v>172.1</v>
      </c>
      <c r="AN7" s="9">
        <v>172.2</v>
      </c>
      <c r="AO7" s="9">
        <v>172.6</v>
      </c>
      <c r="AP7" s="9">
        <v>172.7</v>
      </c>
      <c r="AQ7" s="9">
        <v>172.8</v>
      </c>
      <c r="AR7" s="9">
        <v>172.9</v>
      </c>
      <c r="AS7" s="9">
        <v>173.2</v>
      </c>
      <c r="AT7" s="9">
        <v>173.3</v>
      </c>
      <c r="AU7" s="9">
        <v>173.5</v>
      </c>
      <c r="AV7" s="9">
        <v>173.6</v>
      </c>
      <c r="AW7" s="9">
        <v>173.7</v>
      </c>
      <c r="AX7" s="9">
        <v>173.8</v>
      </c>
      <c r="AY7" s="9">
        <v>174</v>
      </c>
      <c r="AZ7" s="9">
        <v>174.1</v>
      </c>
      <c r="BA7" s="9">
        <v>174.2</v>
      </c>
      <c r="BB7" s="9">
        <v>174.5</v>
      </c>
      <c r="BC7" s="9">
        <v>174.6</v>
      </c>
      <c r="BD7" s="9">
        <v>174.7</v>
      </c>
      <c r="BE7" s="9">
        <v>174.9</v>
      </c>
      <c r="BF7" s="9">
        <v>174.9</v>
      </c>
      <c r="BG7" s="9">
        <v>175</v>
      </c>
      <c r="BH7" s="9">
        <v>175.1</v>
      </c>
      <c r="BI7" s="9">
        <v>175.2</v>
      </c>
      <c r="BJ7" s="9">
        <v>175.4</v>
      </c>
      <c r="BK7" s="9">
        <v>175.5</v>
      </c>
      <c r="BL7" s="9">
        <v>175.6</v>
      </c>
      <c r="BM7" s="9">
        <v>175.8</v>
      </c>
      <c r="BN7" s="9">
        <v>175.9</v>
      </c>
      <c r="BO7" s="9">
        <v>176.1</v>
      </c>
      <c r="BP7" s="9">
        <v>176.4</v>
      </c>
      <c r="BQ7" s="9">
        <v>176.5</v>
      </c>
      <c r="BR7" s="9">
        <v>176.7</v>
      </c>
      <c r="BS7" s="9">
        <v>176.8</v>
      </c>
      <c r="BT7" s="9">
        <v>177</v>
      </c>
      <c r="BU7" s="9">
        <v>177.1</v>
      </c>
      <c r="BV7" s="9">
        <v>177.3</v>
      </c>
      <c r="BW7" s="9">
        <v>177.4</v>
      </c>
      <c r="BX7" s="9">
        <v>177.4</v>
      </c>
      <c r="BY7" s="9">
        <v>177.5</v>
      </c>
      <c r="BZ7" s="9">
        <v>177.8</v>
      </c>
      <c r="CA7" s="9">
        <v>178.1</v>
      </c>
      <c r="CB7" s="9">
        <v>178.2</v>
      </c>
      <c r="CC7" s="9">
        <v>178.3</v>
      </c>
      <c r="CD7" s="9">
        <v>178.4</v>
      </c>
      <c r="CE7" s="9">
        <v>178.6</v>
      </c>
      <c r="CF7" s="9">
        <v>178.9</v>
      </c>
      <c r="CG7" s="9">
        <v>179.2</v>
      </c>
      <c r="CH7" s="9">
        <v>179.3</v>
      </c>
      <c r="CI7" s="9">
        <v>179.7</v>
      </c>
      <c r="CJ7" s="9">
        <v>180</v>
      </c>
      <c r="CK7" s="9">
        <v>180.2</v>
      </c>
      <c r="CL7" s="9">
        <v>180.5</v>
      </c>
      <c r="CM7" s="9">
        <v>180.6</v>
      </c>
      <c r="CN7" s="9">
        <v>181.1</v>
      </c>
      <c r="CO7" s="9">
        <v>181.2</v>
      </c>
      <c r="CP7" s="9">
        <v>181.6</v>
      </c>
      <c r="CQ7" s="9">
        <v>181.8</v>
      </c>
      <c r="CR7" s="9">
        <v>182.1</v>
      </c>
      <c r="CS7" s="9">
        <v>182.3</v>
      </c>
      <c r="CT7" s="9">
        <v>182.6</v>
      </c>
      <c r="CU7" s="9">
        <v>183</v>
      </c>
      <c r="CV7" s="9">
        <v>183.3</v>
      </c>
      <c r="CW7" s="9">
        <v>183.6</v>
      </c>
      <c r="CX7" s="9">
        <v>184.1</v>
      </c>
      <c r="CY7" s="9">
        <v>184.3</v>
      </c>
      <c r="CZ7" s="9">
        <v>185.5</v>
      </c>
      <c r="DA7" s="9">
        <v>186.3</v>
      </c>
      <c r="DB7" s="9">
        <v>187.9</v>
      </c>
    </row>
    <row r="8" spans="1:106">
      <c r="A8" s="1" t="s">
        <v>213</v>
      </c>
      <c r="B8" s="1" t="s">
        <v>4</v>
      </c>
      <c r="C8" s="1" t="s">
        <v>17</v>
      </c>
      <c r="D8" s="1" t="s">
        <v>214</v>
      </c>
      <c r="E8" s="6">
        <v>604</v>
      </c>
      <c r="F8" s="9">
        <v>175.08</v>
      </c>
      <c r="G8" s="9">
        <v>6.08</v>
      </c>
      <c r="H8" s="9">
        <v>161.19999999999999</v>
      </c>
      <c r="I8" s="9">
        <v>162</v>
      </c>
      <c r="J8" s="9">
        <v>162.9</v>
      </c>
      <c r="K8" s="9">
        <v>163.9</v>
      </c>
      <c r="L8" s="9">
        <v>164.5</v>
      </c>
      <c r="M8" s="9">
        <v>165.8</v>
      </c>
      <c r="N8" s="9">
        <v>166.4</v>
      </c>
      <c r="O8" s="9">
        <v>167</v>
      </c>
      <c r="P8" s="9">
        <v>167.5</v>
      </c>
      <c r="Q8" s="9">
        <v>167.9</v>
      </c>
      <c r="R8" s="9">
        <v>168.1</v>
      </c>
      <c r="S8" s="9">
        <v>168.3</v>
      </c>
      <c r="T8" s="9">
        <v>168.7</v>
      </c>
      <c r="U8" s="9">
        <v>168.8</v>
      </c>
      <c r="V8" s="9">
        <v>169.1</v>
      </c>
      <c r="W8" s="9">
        <v>169.2</v>
      </c>
      <c r="X8" s="9">
        <v>169.4</v>
      </c>
      <c r="Y8" s="9">
        <v>169.6</v>
      </c>
      <c r="Z8" s="9">
        <v>169.9</v>
      </c>
      <c r="AA8" s="9">
        <v>170.1</v>
      </c>
      <c r="AB8" s="9">
        <v>170.5</v>
      </c>
      <c r="AC8" s="9">
        <v>170.7</v>
      </c>
      <c r="AD8" s="9">
        <v>171</v>
      </c>
      <c r="AE8" s="9">
        <v>171.2</v>
      </c>
      <c r="AF8" s="9">
        <v>171.2</v>
      </c>
      <c r="AG8" s="9">
        <v>171.4</v>
      </c>
      <c r="AH8" s="9">
        <v>171.5</v>
      </c>
      <c r="AI8" s="9">
        <v>171.6</v>
      </c>
      <c r="AJ8" s="9">
        <v>171.6</v>
      </c>
      <c r="AK8" s="9">
        <v>171.8</v>
      </c>
      <c r="AL8" s="9">
        <v>172.1</v>
      </c>
      <c r="AM8" s="9">
        <v>172.2</v>
      </c>
      <c r="AN8" s="9">
        <v>172.5</v>
      </c>
      <c r="AO8" s="9">
        <v>172.6</v>
      </c>
      <c r="AP8" s="9">
        <v>172.8</v>
      </c>
      <c r="AQ8" s="9">
        <v>172.9</v>
      </c>
      <c r="AR8" s="9">
        <v>173</v>
      </c>
      <c r="AS8" s="9">
        <v>173.2</v>
      </c>
      <c r="AT8" s="9">
        <v>173.2</v>
      </c>
      <c r="AU8" s="9">
        <v>173.4</v>
      </c>
      <c r="AV8" s="9">
        <v>173.5</v>
      </c>
      <c r="AW8" s="9">
        <v>173.7</v>
      </c>
      <c r="AX8" s="9">
        <v>173.7</v>
      </c>
      <c r="AY8" s="9">
        <v>173.8</v>
      </c>
      <c r="AZ8" s="9">
        <v>173.9</v>
      </c>
      <c r="BA8" s="9">
        <v>174.2</v>
      </c>
      <c r="BB8" s="9">
        <v>174.4</v>
      </c>
      <c r="BC8" s="9">
        <v>174.6</v>
      </c>
      <c r="BD8" s="9">
        <v>174.8</v>
      </c>
      <c r="BE8" s="9">
        <v>175</v>
      </c>
      <c r="BF8" s="9">
        <v>175.2</v>
      </c>
      <c r="BG8" s="9">
        <v>175.3</v>
      </c>
      <c r="BH8" s="9">
        <v>175.4</v>
      </c>
      <c r="BI8" s="9">
        <v>175.7</v>
      </c>
      <c r="BJ8" s="9">
        <v>175.8</v>
      </c>
      <c r="BK8" s="9">
        <v>176</v>
      </c>
      <c r="BL8" s="9">
        <v>176.1</v>
      </c>
      <c r="BM8" s="9">
        <v>176.3</v>
      </c>
      <c r="BN8" s="9">
        <v>176.4</v>
      </c>
      <c r="BO8" s="9">
        <v>176.6</v>
      </c>
      <c r="BP8" s="9">
        <v>176.7</v>
      </c>
      <c r="BQ8" s="9">
        <v>176.8</v>
      </c>
      <c r="BR8" s="9">
        <v>176.9</v>
      </c>
      <c r="BS8" s="9">
        <v>177.1</v>
      </c>
      <c r="BT8" s="9">
        <v>177.2</v>
      </c>
      <c r="BU8" s="9">
        <v>177.3</v>
      </c>
      <c r="BV8" s="9">
        <v>177.5</v>
      </c>
      <c r="BW8" s="9">
        <v>177.6</v>
      </c>
      <c r="BX8" s="9">
        <v>177.8</v>
      </c>
      <c r="BY8" s="9">
        <v>178</v>
      </c>
      <c r="BZ8" s="9">
        <v>178.2</v>
      </c>
      <c r="CA8" s="9">
        <v>178.3</v>
      </c>
      <c r="CB8" s="9">
        <v>178.4</v>
      </c>
      <c r="CC8" s="9">
        <v>178.7</v>
      </c>
      <c r="CD8" s="9">
        <v>178.9</v>
      </c>
      <c r="CE8" s="9">
        <v>179.1</v>
      </c>
      <c r="CF8" s="9">
        <v>179.5</v>
      </c>
      <c r="CG8" s="9">
        <v>179.6</v>
      </c>
      <c r="CH8" s="9">
        <v>180</v>
      </c>
      <c r="CI8" s="9">
        <v>180.4</v>
      </c>
      <c r="CJ8" s="9">
        <v>180.6</v>
      </c>
      <c r="CK8" s="9">
        <v>180.8</v>
      </c>
      <c r="CL8" s="9">
        <v>181</v>
      </c>
      <c r="CM8" s="9">
        <v>181.3</v>
      </c>
      <c r="CN8" s="9">
        <v>181.8</v>
      </c>
      <c r="CO8" s="9">
        <v>182</v>
      </c>
      <c r="CP8" s="9">
        <v>182.2</v>
      </c>
      <c r="CQ8" s="9">
        <v>182.4</v>
      </c>
      <c r="CR8" s="9">
        <v>182.8</v>
      </c>
      <c r="CS8" s="9">
        <v>183</v>
      </c>
      <c r="CT8" s="9">
        <v>183.3</v>
      </c>
      <c r="CU8" s="9">
        <v>183.8</v>
      </c>
      <c r="CV8" s="9">
        <v>184.1</v>
      </c>
      <c r="CW8" s="9">
        <v>184.5</v>
      </c>
      <c r="CX8" s="9">
        <v>184.8</v>
      </c>
      <c r="CY8" s="9">
        <v>185.5</v>
      </c>
      <c r="CZ8" s="9">
        <v>186.1</v>
      </c>
      <c r="DA8" s="9">
        <v>187.5</v>
      </c>
      <c r="DB8" s="9">
        <v>188.2</v>
      </c>
    </row>
    <row r="9" spans="1:106">
      <c r="A9" s="1" t="s">
        <v>215</v>
      </c>
      <c r="B9" s="1" t="s">
        <v>4</v>
      </c>
      <c r="C9" s="1" t="s">
        <v>17</v>
      </c>
      <c r="D9" s="1" t="s">
        <v>216</v>
      </c>
      <c r="E9" s="6">
        <v>567</v>
      </c>
      <c r="F9" s="9">
        <v>173.08</v>
      </c>
      <c r="G9" s="9">
        <v>5.74</v>
      </c>
      <c r="H9" s="9">
        <v>159.1</v>
      </c>
      <c r="I9" s="9">
        <v>160.6</v>
      </c>
      <c r="J9" s="9">
        <v>161.30000000000001</v>
      </c>
      <c r="K9" s="9">
        <v>163.4</v>
      </c>
      <c r="L9" s="9">
        <v>164.3</v>
      </c>
      <c r="M9" s="9">
        <v>164.9</v>
      </c>
      <c r="N9" s="9">
        <v>165.3</v>
      </c>
      <c r="O9" s="9">
        <v>165.5</v>
      </c>
      <c r="P9" s="9">
        <v>166.1</v>
      </c>
      <c r="Q9" s="9">
        <v>166.3</v>
      </c>
      <c r="R9" s="9">
        <v>166.5</v>
      </c>
      <c r="S9" s="9">
        <v>166.6</v>
      </c>
      <c r="T9" s="9">
        <v>166.7</v>
      </c>
      <c r="U9" s="9">
        <v>167</v>
      </c>
      <c r="V9" s="9">
        <v>167.2</v>
      </c>
      <c r="W9" s="9">
        <v>167.4</v>
      </c>
      <c r="X9" s="9">
        <v>167.5</v>
      </c>
      <c r="Y9" s="9">
        <v>168.1</v>
      </c>
      <c r="Z9" s="9">
        <v>168.2</v>
      </c>
      <c r="AA9" s="9">
        <v>168.4</v>
      </c>
      <c r="AB9" s="9">
        <v>168.7</v>
      </c>
      <c r="AC9" s="9">
        <v>168.9</v>
      </c>
      <c r="AD9" s="9">
        <v>169.1</v>
      </c>
      <c r="AE9" s="9">
        <v>169.2</v>
      </c>
      <c r="AF9" s="9">
        <v>169.3</v>
      </c>
      <c r="AG9" s="9">
        <v>169.6</v>
      </c>
      <c r="AH9" s="9">
        <v>169.7</v>
      </c>
      <c r="AI9" s="9">
        <v>169.8</v>
      </c>
      <c r="AJ9" s="9">
        <v>169.9</v>
      </c>
      <c r="AK9" s="9">
        <v>170.1</v>
      </c>
      <c r="AL9" s="9">
        <v>170.2</v>
      </c>
      <c r="AM9" s="9">
        <v>170.3</v>
      </c>
      <c r="AN9" s="9">
        <v>170.4</v>
      </c>
      <c r="AO9" s="9">
        <v>170.5</v>
      </c>
      <c r="AP9" s="9">
        <v>170.6</v>
      </c>
      <c r="AQ9" s="9">
        <v>170.8</v>
      </c>
      <c r="AR9" s="9">
        <v>171</v>
      </c>
      <c r="AS9" s="9">
        <v>171.2</v>
      </c>
      <c r="AT9" s="9">
        <v>171.4</v>
      </c>
      <c r="AU9" s="9">
        <v>171.6</v>
      </c>
      <c r="AV9" s="9">
        <v>171.8</v>
      </c>
      <c r="AW9" s="9">
        <v>171.9</v>
      </c>
      <c r="AX9" s="9">
        <v>172.1</v>
      </c>
      <c r="AY9" s="9">
        <v>172.3</v>
      </c>
      <c r="AZ9" s="9">
        <v>172.5</v>
      </c>
      <c r="BA9" s="9">
        <v>172.6</v>
      </c>
      <c r="BB9" s="9">
        <v>172.7</v>
      </c>
      <c r="BC9" s="9">
        <v>172.7</v>
      </c>
      <c r="BD9" s="9">
        <v>173.1</v>
      </c>
      <c r="BE9" s="9">
        <v>173.1</v>
      </c>
      <c r="BF9" s="9">
        <v>173.3</v>
      </c>
      <c r="BG9" s="9">
        <v>173.3</v>
      </c>
      <c r="BH9" s="9">
        <v>173.4</v>
      </c>
      <c r="BI9" s="9">
        <v>173.6</v>
      </c>
      <c r="BJ9" s="9">
        <v>173.7</v>
      </c>
      <c r="BK9" s="9">
        <v>173.8</v>
      </c>
      <c r="BL9" s="9">
        <v>173.9</v>
      </c>
      <c r="BM9" s="9">
        <v>174.1</v>
      </c>
      <c r="BN9" s="9">
        <v>174.3</v>
      </c>
      <c r="BO9" s="9">
        <v>174.3</v>
      </c>
      <c r="BP9" s="9">
        <v>174.5</v>
      </c>
      <c r="BQ9" s="9">
        <v>174.5</v>
      </c>
      <c r="BR9" s="9">
        <v>174.7</v>
      </c>
      <c r="BS9" s="9">
        <v>174.8</v>
      </c>
      <c r="BT9" s="9">
        <v>175</v>
      </c>
      <c r="BU9" s="9">
        <v>175.1</v>
      </c>
      <c r="BV9" s="9">
        <v>175.2</v>
      </c>
      <c r="BW9" s="9">
        <v>175.3</v>
      </c>
      <c r="BX9" s="9">
        <v>175.4</v>
      </c>
      <c r="BY9" s="9">
        <v>175.6</v>
      </c>
      <c r="BZ9" s="9">
        <v>175.8</v>
      </c>
      <c r="CA9" s="9">
        <v>176</v>
      </c>
      <c r="CB9" s="9">
        <v>176.1</v>
      </c>
      <c r="CC9" s="9">
        <v>176.5</v>
      </c>
      <c r="CD9" s="9">
        <v>176.8</v>
      </c>
      <c r="CE9" s="9">
        <v>176.9</v>
      </c>
      <c r="CF9" s="9">
        <v>177.1</v>
      </c>
      <c r="CG9" s="9">
        <v>177.2</v>
      </c>
      <c r="CH9" s="9">
        <v>177.4</v>
      </c>
      <c r="CI9" s="9">
        <v>177.7</v>
      </c>
      <c r="CJ9" s="9">
        <v>177.9</v>
      </c>
      <c r="CK9" s="9">
        <v>178.1</v>
      </c>
      <c r="CL9" s="9">
        <v>178.2</v>
      </c>
      <c r="CM9" s="9">
        <v>178.3</v>
      </c>
      <c r="CN9" s="9">
        <v>178.7</v>
      </c>
      <c r="CO9" s="9">
        <v>179.1</v>
      </c>
      <c r="CP9" s="9">
        <v>179.5</v>
      </c>
      <c r="CQ9" s="9">
        <v>179.8</v>
      </c>
      <c r="CR9" s="9">
        <v>180.3</v>
      </c>
      <c r="CS9" s="9">
        <v>180.4</v>
      </c>
      <c r="CT9" s="9">
        <v>180.8</v>
      </c>
      <c r="CU9" s="9">
        <v>181.4</v>
      </c>
      <c r="CV9" s="9">
        <v>181.7</v>
      </c>
      <c r="CW9" s="9">
        <v>182.3</v>
      </c>
      <c r="CX9" s="9">
        <v>182.7</v>
      </c>
      <c r="CY9" s="9">
        <v>183.7</v>
      </c>
      <c r="CZ9" s="9">
        <v>184.3</v>
      </c>
      <c r="DA9" s="9">
        <v>185.4</v>
      </c>
      <c r="DB9" s="9">
        <v>187.2</v>
      </c>
    </row>
    <row r="10" spans="1:106">
      <c r="A10" s="1" t="s">
        <v>217</v>
      </c>
      <c r="B10" s="1" t="s">
        <v>4</v>
      </c>
      <c r="C10" s="1" t="s">
        <v>17</v>
      </c>
      <c r="D10" s="1" t="s">
        <v>218</v>
      </c>
      <c r="E10" s="6">
        <v>652</v>
      </c>
      <c r="F10" s="9">
        <v>171.79</v>
      </c>
      <c r="G10" s="9">
        <v>5.66</v>
      </c>
      <c r="H10" s="9">
        <v>159.30000000000001</v>
      </c>
      <c r="I10" s="9">
        <v>161.30000000000001</v>
      </c>
      <c r="J10" s="9">
        <v>161.80000000000001</v>
      </c>
      <c r="K10" s="9">
        <v>162.80000000000001</v>
      </c>
      <c r="L10" s="9">
        <v>163.4</v>
      </c>
      <c r="M10" s="9">
        <v>163.69999999999999</v>
      </c>
      <c r="N10" s="9">
        <v>164.1</v>
      </c>
      <c r="O10" s="9">
        <v>164.3</v>
      </c>
      <c r="P10" s="9">
        <v>164.5</v>
      </c>
      <c r="Q10" s="9">
        <v>164.6</v>
      </c>
      <c r="R10" s="9">
        <v>164.8</v>
      </c>
      <c r="S10" s="9">
        <v>165.2</v>
      </c>
      <c r="T10" s="9">
        <v>165.3</v>
      </c>
      <c r="U10" s="9">
        <v>165.5</v>
      </c>
      <c r="V10" s="9">
        <v>165.6</v>
      </c>
      <c r="W10" s="9">
        <v>165.8</v>
      </c>
      <c r="X10" s="9">
        <v>166</v>
      </c>
      <c r="Y10" s="9">
        <v>166.2</v>
      </c>
      <c r="Z10" s="9">
        <v>166.4</v>
      </c>
      <c r="AA10" s="9">
        <v>166.6</v>
      </c>
      <c r="AB10" s="9">
        <v>166.9</v>
      </c>
      <c r="AC10" s="9">
        <v>167.1</v>
      </c>
      <c r="AD10" s="9">
        <v>167.5</v>
      </c>
      <c r="AE10" s="9">
        <v>167.7</v>
      </c>
      <c r="AF10" s="9">
        <v>167.9</v>
      </c>
      <c r="AG10" s="9">
        <v>168</v>
      </c>
      <c r="AH10" s="9">
        <v>168.1</v>
      </c>
      <c r="AI10" s="9">
        <v>168.2</v>
      </c>
      <c r="AJ10" s="9">
        <v>168.3</v>
      </c>
      <c r="AK10" s="9">
        <v>168.4</v>
      </c>
      <c r="AL10" s="9">
        <v>168.6</v>
      </c>
      <c r="AM10" s="9">
        <v>168.8</v>
      </c>
      <c r="AN10" s="9">
        <v>168.9</v>
      </c>
      <c r="AO10" s="9">
        <v>169.2</v>
      </c>
      <c r="AP10" s="9">
        <v>169.3</v>
      </c>
      <c r="AQ10" s="9">
        <v>169.5</v>
      </c>
      <c r="AR10" s="9">
        <v>169.7</v>
      </c>
      <c r="AS10" s="9">
        <v>170</v>
      </c>
      <c r="AT10" s="9">
        <v>170</v>
      </c>
      <c r="AU10" s="9">
        <v>170.2</v>
      </c>
      <c r="AV10" s="9">
        <v>170.3</v>
      </c>
      <c r="AW10" s="9">
        <v>170.5</v>
      </c>
      <c r="AX10" s="9">
        <v>170.5</v>
      </c>
      <c r="AY10" s="9">
        <v>170.7</v>
      </c>
      <c r="AZ10" s="9">
        <v>170.9</v>
      </c>
      <c r="BA10" s="9">
        <v>171</v>
      </c>
      <c r="BB10" s="9">
        <v>171.1</v>
      </c>
      <c r="BC10" s="9">
        <v>171.3</v>
      </c>
      <c r="BD10" s="9">
        <v>171.4</v>
      </c>
      <c r="BE10" s="9">
        <v>171.6</v>
      </c>
      <c r="BF10" s="9">
        <v>171.7</v>
      </c>
      <c r="BG10" s="9">
        <v>171.8</v>
      </c>
      <c r="BH10" s="9">
        <v>172</v>
      </c>
      <c r="BI10" s="9">
        <v>172.2</v>
      </c>
      <c r="BJ10" s="9">
        <v>172.4</v>
      </c>
      <c r="BK10" s="9">
        <v>172.6</v>
      </c>
      <c r="BL10" s="9">
        <v>172.7</v>
      </c>
      <c r="BM10" s="9">
        <v>172.8</v>
      </c>
      <c r="BN10" s="9">
        <v>173</v>
      </c>
      <c r="BO10" s="9">
        <v>173.3</v>
      </c>
      <c r="BP10" s="9">
        <v>173.4</v>
      </c>
      <c r="BQ10" s="9">
        <v>173.5</v>
      </c>
      <c r="BR10" s="9">
        <v>173.7</v>
      </c>
      <c r="BS10" s="9">
        <v>173.8</v>
      </c>
      <c r="BT10" s="9">
        <v>173.9</v>
      </c>
      <c r="BU10" s="9">
        <v>174</v>
      </c>
      <c r="BV10" s="9">
        <v>174.1</v>
      </c>
      <c r="BW10" s="9">
        <v>174.1</v>
      </c>
      <c r="BX10" s="9">
        <v>174.2</v>
      </c>
      <c r="BY10" s="9">
        <v>174.4</v>
      </c>
      <c r="BZ10" s="9">
        <v>174.6</v>
      </c>
      <c r="CA10" s="9">
        <v>174.7</v>
      </c>
      <c r="CB10" s="9">
        <v>174.9</v>
      </c>
      <c r="CC10" s="9">
        <v>175</v>
      </c>
      <c r="CD10" s="9">
        <v>175.2</v>
      </c>
      <c r="CE10" s="9">
        <v>175.5</v>
      </c>
      <c r="CF10" s="9">
        <v>175.6</v>
      </c>
      <c r="CG10" s="9">
        <v>176</v>
      </c>
      <c r="CH10" s="9">
        <v>176.3</v>
      </c>
      <c r="CI10" s="9">
        <v>176.4</v>
      </c>
      <c r="CJ10" s="9">
        <v>176.7</v>
      </c>
      <c r="CK10" s="9">
        <v>177</v>
      </c>
      <c r="CL10" s="9">
        <v>177.2</v>
      </c>
      <c r="CM10" s="9">
        <v>177.3</v>
      </c>
      <c r="CN10" s="9">
        <v>177.3</v>
      </c>
      <c r="CO10" s="9">
        <v>177.6</v>
      </c>
      <c r="CP10" s="9">
        <v>178</v>
      </c>
      <c r="CQ10" s="9">
        <v>178.3</v>
      </c>
      <c r="CR10" s="9">
        <v>178.7</v>
      </c>
      <c r="CS10" s="9">
        <v>179.3</v>
      </c>
      <c r="CT10" s="9">
        <v>179.7</v>
      </c>
      <c r="CU10" s="9">
        <v>180.2</v>
      </c>
      <c r="CV10" s="9">
        <v>180.6</v>
      </c>
      <c r="CW10" s="9">
        <v>181.1</v>
      </c>
      <c r="CX10" s="9">
        <v>181.4</v>
      </c>
      <c r="CY10" s="9">
        <v>182.2</v>
      </c>
      <c r="CZ10" s="9">
        <v>183.6</v>
      </c>
      <c r="DA10" s="9">
        <v>184.6</v>
      </c>
      <c r="DB10" s="9">
        <v>186.2</v>
      </c>
    </row>
    <row r="11" spans="1:106">
      <c r="A11" s="1" t="s">
        <v>219</v>
      </c>
      <c r="B11" s="1" t="s">
        <v>4</v>
      </c>
      <c r="C11" s="1" t="s">
        <v>17</v>
      </c>
      <c r="D11" s="1" t="s">
        <v>220</v>
      </c>
      <c r="E11" s="6">
        <v>650</v>
      </c>
      <c r="F11" s="9">
        <v>170.19</v>
      </c>
      <c r="G11" s="9">
        <v>5.66</v>
      </c>
      <c r="H11" s="9">
        <v>157.1</v>
      </c>
      <c r="I11" s="9">
        <v>157.9</v>
      </c>
      <c r="J11" s="9">
        <v>158.80000000000001</v>
      </c>
      <c r="K11" s="9">
        <v>160.19999999999999</v>
      </c>
      <c r="L11" s="9">
        <v>160.69999999999999</v>
      </c>
      <c r="M11" s="9">
        <v>161.19999999999999</v>
      </c>
      <c r="N11" s="9">
        <v>161.80000000000001</v>
      </c>
      <c r="O11" s="9">
        <v>162.30000000000001</v>
      </c>
      <c r="P11" s="9">
        <v>162.4</v>
      </c>
      <c r="Q11" s="9">
        <v>162.6</v>
      </c>
      <c r="R11" s="9">
        <v>162.9</v>
      </c>
      <c r="S11" s="9">
        <v>163.19999999999999</v>
      </c>
      <c r="T11" s="9">
        <v>163.5</v>
      </c>
      <c r="U11" s="9">
        <v>163.80000000000001</v>
      </c>
      <c r="V11" s="9">
        <v>164</v>
      </c>
      <c r="W11" s="9">
        <v>164.4</v>
      </c>
      <c r="X11" s="9">
        <v>164.7</v>
      </c>
      <c r="Y11" s="9">
        <v>165.1</v>
      </c>
      <c r="Z11" s="9">
        <v>165.3</v>
      </c>
      <c r="AA11" s="9">
        <v>165.6</v>
      </c>
      <c r="AB11" s="9">
        <v>165.7</v>
      </c>
      <c r="AC11" s="9">
        <v>165.8</v>
      </c>
      <c r="AD11" s="9">
        <v>166</v>
      </c>
      <c r="AE11" s="9">
        <v>166.2</v>
      </c>
      <c r="AF11" s="9">
        <v>166.5</v>
      </c>
      <c r="AG11" s="9">
        <v>166.6</v>
      </c>
      <c r="AH11" s="9">
        <v>166.9</v>
      </c>
      <c r="AI11" s="9">
        <v>167.2</v>
      </c>
      <c r="AJ11" s="9">
        <v>167.2</v>
      </c>
      <c r="AK11" s="9">
        <v>167.3</v>
      </c>
      <c r="AL11" s="9">
        <v>167.5</v>
      </c>
      <c r="AM11" s="9">
        <v>167.6</v>
      </c>
      <c r="AN11" s="9">
        <v>167.7</v>
      </c>
      <c r="AO11" s="9">
        <v>167.8</v>
      </c>
      <c r="AP11" s="9">
        <v>168</v>
      </c>
      <c r="AQ11" s="9">
        <v>168.1</v>
      </c>
      <c r="AR11" s="9">
        <v>168.2</v>
      </c>
      <c r="AS11" s="9">
        <v>168.4</v>
      </c>
      <c r="AT11" s="9">
        <v>168.5</v>
      </c>
      <c r="AU11" s="9">
        <v>168.7</v>
      </c>
      <c r="AV11" s="9">
        <v>168.8</v>
      </c>
      <c r="AW11" s="9">
        <v>168.9</v>
      </c>
      <c r="AX11" s="9">
        <v>169</v>
      </c>
      <c r="AY11" s="9">
        <v>169.2</v>
      </c>
      <c r="AZ11" s="9">
        <v>169.3</v>
      </c>
      <c r="BA11" s="9">
        <v>169.7</v>
      </c>
      <c r="BB11" s="9">
        <v>170</v>
      </c>
      <c r="BC11" s="9">
        <v>170.1</v>
      </c>
      <c r="BD11" s="9">
        <v>170.2</v>
      </c>
      <c r="BE11" s="9">
        <v>170.3</v>
      </c>
      <c r="BF11" s="9">
        <v>170.4</v>
      </c>
      <c r="BG11" s="9">
        <v>170.5</v>
      </c>
      <c r="BH11" s="9">
        <v>170.6</v>
      </c>
      <c r="BI11" s="9">
        <v>170.7</v>
      </c>
      <c r="BJ11" s="9">
        <v>170.8</v>
      </c>
      <c r="BK11" s="9">
        <v>170.9</v>
      </c>
      <c r="BL11" s="9">
        <v>171.2</v>
      </c>
      <c r="BM11" s="9">
        <v>171.2</v>
      </c>
      <c r="BN11" s="9">
        <v>171.4</v>
      </c>
      <c r="BO11" s="9">
        <v>171.6</v>
      </c>
      <c r="BP11" s="9">
        <v>171.8</v>
      </c>
      <c r="BQ11" s="9">
        <v>171.9</v>
      </c>
      <c r="BR11" s="9">
        <v>172</v>
      </c>
      <c r="BS11" s="9">
        <v>172.1</v>
      </c>
      <c r="BT11" s="9">
        <v>172.2</v>
      </c>
      <c r="BU11" s="9">
        <v>172.3</v>
      </c>
      <c r="BV11" s="9">
        <v>172.4</v>
      </c>
      <c r="BW11" s="9">
        <v>172.7</v>
      </c>
      <c r="BX11" s="9">
        <v>172.8</v>
      </c>
      <c r="BY11" s="9">
        <v>173</v>
      </c>
      <c r="BZ11" s="9">
        <v>173.3</v>
      </c>
      <c r="CA11" s="9">
        <v>173.4</v>
      </c>
      <c r="CB11" s="9">
        <v>173.6</v>
      </c>
      <c r="CC11" s="9">
        <v>173.9</v>
      </c>
      <c r="CD11" s="9">
        <v>174.1</v>
      </c>
      <c r="CE11" s="9">
        <v>174.3</v>
      </c>
      <c r="CF11" s="9">
        <v>174.5</v>
      </c>
      <c r="CG11" s="9">
        <v>174.6</v>
      </c>
      <c r="CH11" s="9">
        <v>174.8</v>
      </c>
      <c r="CI11" s="9">
        <v>175.1</v>
      </c>
      <c r="CJ11" s="9">
        <v>175.3</v>
      </c>
      <c r="CK11" s="9">
        <v>175.6</v>
      </c>
      <c r="CL11" s="9">
        <v>175.8</v>
      </c>
      <c r="CM11" s="9">
        <v>176.1</v>
      </c>
      <c r="CN11" s="9">
        <v>176.2</v>
      </c>
      <c r="CO11" s="9">
        <v>176.5</v>
      </c>
      <c r="CP11" s="9">
        <v>176.7</v>
      </c>
      <c r="CQ11" s="9">
        <v>176.9</v>
      </c>
      <c r="CR11" s="9">
        <v>177.2</v>
      </c>
      <c r="CS11" s="9">
        <v>177.5</v>
      </c>
      <c r="CT11" s="9">
        <v>178</v>
      </c>
      <c r="CU11" s="9">
        <v>178.3</v>
      </c>
      <c r="CV11" s="9">
        <v>178.8</v>
      </c>
      <c r="CW11" s="9">
        <v>179.2</v>
      </c>
      <c r="CX11" s="9">
        <v>179.7</v>
      </c>
      <c r="CY11" s="9">
        <v>180.3</v>
      </c>
      <c r="CZ11" s="9">
        <v>181</v>
      </c>
      <c r="DA11" s="9">
        <v>182.1</v>
      </c>
      <c r="DB11" s="9">
        <v>183</v>
      </c>
    </row>
    <row r="12" spans="1:106">
      <c r="A12" s="1" t="s">
        <v>221</v>
      </c>
      <c r="B12" s="1" t="s">
        <v>4</v>
      </c>
      <c r="C12" s="1" t="s">
        <v>17</v>
      </c>
      <c r="D12" s="1" t="s">
        <v>222</v>
      </c>
      <c r="E12" s="6">
        <v>813</v>
      </c>
      <c r="F12" s="9">
        <v>169.3</v>
      </c>
      <c r="G12" s="9">
        <v>5.66</v>
      </c>
      <c r="H12" s="9">
        <v>156.19999999999999</v>
      </c>
      <c r="I12" s="9">
        <v>157.30000000000001</v>
      </c>
      <c r="J12" s="9">
        <v>158.4</v>
      </c>
      <c r="K12" s="9">
        <v>159.69999999999999</v>
      </c>
      <c r="L12" s="9">
        <v>160.4</v>
      </c>
      <c r="M12" s="9">
        <v>160.6</v>
      </c>
      <c r="N12" s="9">
        <v>160.80000000000001</v>
      </c>
      <c r="O12" s="9">
        <v>161.4</v>
      </c>
      <c r="P12" s="9">
        <v>161.69999999999999</v>
      </c>
      <c r="Q12" s="9">
        <v>162.1</v>
      </c>
      <c r="R12" s="9">
        <v>162.30000000000001</v>
      </c>
      <c r="S12" s="9">
        <v>162.4</v>
      </c>
      <c r="T12" s="9">
        <v>162.80000000000001</v>
      </c>
      <c r="U12" s="9">
        <v>163.1</v>
      </c>
      <c r="V12" s="9">
        <v>163.5</v>
      </c>
      <c r="W12" s="9">
        <v>163.80000000000001</v>
      </c>
      <c r="X12" s="9">
        <v>163.9</v>
      </c>
      <c r="Y12" s="9">
        <v>164.1</v>
      </c>
      <c r="Z12" s="9">
        <v>164.2</v>
      </c>
      <c r="AA12" s="9">
        <v>164.4</v>
      </c>
      <c r="AB12" s="9">
        <v>164.5</v>
      </c>
      <c r="AC12" s="9">
        <v>164.7</v>
      </c>
      <c r="AD12" s="9">
        <v>164.9</v>
      </c>
      <c r="AE12" s="9">
        <v>165.2</v>
      </c>
      <c r="AF12" s="9">
        <v>165.3</v>
      </c>
      <c r="AG12" s="9">
        <v>165.5</v>
      </c>
      <c r="AH12" s="9">
        <v>165.7</v>
      </c>
      <c r="AI12" s="9">
        <v>165.9</v>
      </c>
      <c r="AJ12" s="9">
        <v>166</v>
      </c>
      <c r="AK12" s="9">
        <v>166.2</v>
      </c>
      <c r="AL12" s="9">
        <v>166.3</v>
      </c>
      <c r="AM12" s="9">
        <v>166.4</v>
      </c>
      <c r="AN12" s="9">
        <v>166.7</v>
      </c>
      <c r="AO12" s="9">
        <v>166.9</v>
      </c>
      <c r="AP12" s="9">
        <v>167.1</v>
      </c>
      <c r="AQ12" s="9">
        <v>167.2</v>
      </c>
      <c r="AR12" s="9">
        <v>167.4</v>
      </c>
      <c r="AS12" s="9">
        <v>167.6</v>
      </c>
      <c r="AT12" s="9">
        <v>167.8</v>
      </c>
      <c r="AU12" s="9">
        <v>168</v>
      </c>
      <c r="AV12" s="9">
        <v>168.1</v>
      </c>
      <c r="AW12" s="9">
        <v>168.3</v>
      </c>
      <c r="AX12" s="9">
        <v>168.5</v>
      </c>
      <c r="AY12" s="9">
        <v>168.5</v>
      </c>
      <c r="AZ12" s="9">
        <v>168.6</v>
      </c>
      <c r="BA12" s="9">
        <v>168.7</v>
      </c>
      <c r="BB12" s="9">
        <v>168.8</v>
      </c>
      <c r="BC12" s="9">
        <v>169</v>
      </c>
      <c r="BD12" s="9">
        <v>169.1</v>
      </c>
      <c r="BE12" s="9">
        <v>169.3</v>
      </c>
      <c r="BF12" s="9">
        <v>169.4</v>
      </c>
      <c r="BG12" s="9">
        <v>169.5</v>
      </c>
      <c r="BH12" s="9">
        <v>169.5</v>
      </c>
      <c r="BI12" s="9">
        <v>169.7</v>
      </c>
      <c r="BJ12" s="9">
        <v>169.9</v>
      </c>
      <c r="BK12" s="9">
        <v>170</v>
      </c>
      <c r="BL12" s="9">
        <v>170.2</v>
      </c>
      <c r="BM12" s="9">
        <v>170.3</v>
      </c>
      <c r="BN12" s="9">
        <v>170.3</v>
      </c>
      <c r="BO12" s="9">
        <v>170.5</v>
      </c>
      <c r="BP12" s="9">
        <v>170.6</v>
      </c>
      <c r="BQ12" s="9">
        <v>170.7</v>
      </c>
      <c r="BR12" s="9">
        <v>170.9</v>
      </c>
      <c r="BS12" s="9">
        <v>171</v>
      </c>
      <c r="BT12" s="9">
        <v>171.1</v>
      </c>
      <c r="BU12" s="9">
        <v>171.3</v>
      </c>
      <c r="BV12" s="9">
        <v>171.5</v>
      </c>
      <c r="BW12" s="9">
        <v>171.7</v>
      </c>
      <c r="BX12" s="9">
        <v>171.8</v>
      </c>
      <c r="BY12" s="9">
        <v>172.1</v>
      </c>
      <c r="BZ12" s="9">
        <v>172.3</v>
      </c>
      <c r="CA12" s="9">
        <v>172.5</v>
      </c>
      <c r="CB12" s="9">
        <v>172.7</v>
      </c>
      <c r="CC12" s="9">
        <v>173</v>
      </c>
      <c r="CD12" s="9">
        <v>173.1</v>
      </c>
      <c r="CE12" s="9">
        <v>173.3</v>
      </c>
      <c r="CF12" s="9">
        <v>173.6</v>
      </c>
      <c r="CG12" s="9">
        <v>174</v>
      </c>
      <c r="CH12" s="9">
        <v>174.1</v>
      </c>
      <c r="CI12" s="9">
        <v>174.3</v>
      </c>
      <c r="CJ12" s="9">
        <v>174.6</v>
      </c>
      <c r="CK12" s="9">
        <v>174.9</v>
      </c>
      <c r="CL12" s="9">
        <v>175</v>
      </c>
      <c r="CM12" s="9">
        <v>175</v>
      </c>
      <c r="CN12" s="9">
        <v>175.2</v>
      </c>
      <c r="CO12" s="9">
        <v>175.5</v>
      </c>
      <c r="CP12" s="9">
        <v>175.7</v>
      </c>
      <c r="CQ12" s="9">
        <v>176</v>
      </c>
      <c r="CR12" s="9">
        <v>176.4</v>
      </c>
      <c r="CS12" s="9">
        <v>176.9</v>
      </c>
      <c r="CT12" s="9">
        <v>177.3</v>
      </c>
      <c r="CU12" s="9">
        <v>177.4</v>
      </c>
      <c r="CV12" s="9">
        <v>177.7</v>
      </c>
      <c r="CW12" s="9">
        <v>178.2</v>
      </c>
      <c r="CX12" s="9">
        <v>178.5</v>
      </c>
      <c r="CY12" s="9">
        <v>179.1</v>
      </c>
      <c r="CZ12" s="9">
        <v>180</v>
      </c>
      <c r="DA12" s="9">
        <v>180.9</v>
      </c>
      <c r="DB12" s="9">
        <v>182.6</v>
      </c>
    </row>
    <row r="13" spans="1:106">
      <c r="A13" s="1" t="s">
        <v>223</v>
      </c>
      <c r="B13" s="1" t="s">
        <v>4</v>
      </c>
      <c r="C13" s="1" t="s">
        <v>17</v>
      </c>
      <c r="D13" s="1" t="s">
        <v>224</v>
      </c>
      <c r="E13" s="6">
        <v>783</v>
      </c>
      <c r="F13" s="9">
        <v>167.73</v>
      </c>
      <c r="G13" s="9">
        <v>5.48</v>
      </c>
      <c r="H13" s="9">
        <v>154.19999999999999</v>
      </c>
      <c r="I13" s="9">
        <v>155.6</v>
      </c>
      <c r="J13" s="9">
        <v>157.19999999999999</v>
      </c>
      <c r="K13" s="9">
        <v>158</v>
      </c>
      <c r="L13" s="9">
        <v>158.6</v>
      </c>
      <c r="M13" s="9">
        <v>159.19999999999999</v>
      </c>
      <c r="N13" s="9">
        <v>159.6</v>
      </c>
      <c r="O13" s="9">
        <v>160.19999999999999</v>
      </c>
      <c r="P13" s="9">
        <v>160.6</v>
      </c>
      <c r="Q13" s="9">
        <v>160.9</v>
      </c>
      <c r="R13" s="9">
        <v>161.4</v>
      </c>
      <c r="S13" s="9">
        <v>161.6</v>
      </c>
      <c r="T13" s="9">
        <v>162</v>
      </c>
      <c r="U13" s="9">
        <v>162.19999999999999</v>
      </c>
      <c r="V13" s="9">
        <v>162.30000000000001</v>
      </c>
      <c r="W13" s="9">
        <v>162.4</v>
      </c>
      <c r="X13" s="9">
        <v>162.6</v>
      </c>
      <c r="Y13" s="9">
        <v>162.69999999999999</v>
      </c>
      <c r="Z13" s="9">
        <v>163</v>
      </c>
      <c r="AA13" s="9">
        <v>163.1</v>
      </c>
      <c r="AB13" s="9">
        <v>163.30000000000001</v>
      </c>
      <c r="AC13" s="9">
        <v>163.4</v>
      </c>
      <c r="AD13" s="9">
        <v>163.5</v>
      </c>
      <c r="AE13" s="9">
        <v>163.6</v>
      </c>
      <c r="AF13" s="9">
        <v>163.9</v>
      </c>
      <c r="AG13" s="9">
        <v>164</v>
      </c>
      <c r="AH13" s="9">
        <v>164.2</v>
      </c>
      <c r="AI13" s="9">
        <v>164.4</v>
      </c>
      <c r="AJ13" s="9">
        <v>164.5</v>
      </c>
      <c r="AK13" s="9">
        <v>164.6</v>
      </c>
      <c r="AL13" s="9">
        <v>164.8</v>
      </c>
      <c r="AM13" s="9">
        <v>165.1</v>
      </c>
      <c r="AN13" s="9">
        <v>165.3</v>
      </c>
      <c r="AO13" s="9">
        <v>165.5</v>
      </c>
      <c r="AP13" s="9">
        <v>165.6</v>
      </c>
      <c r="AQ13" s="9">
        <v>165.7</v>
      </c>
      <c r="AR13" s="9">
        <v>165.9</v>
      </c>
      <c r="AS13" s="9">
        <v>166</v>
      </c>
      <c r="AT13" s="9">
        <v>166.1</v>
      </c>
      <c r="AU13" s="9">
        <v>166.4</v>
      </c>
      <c r="AV13" s="9">
        <v>166.5</v>
      </c>
      <c r="AW13" s="9">
        <v>166.6</v>
      </c>
      <c r="AX13" s="9">
        <v>166.9</v>
      </c>
      <c r="AY13" s="9">
        <v>167</v>
      </c>
      <c r="AZ13" s="9">
        <v>167.1</v>
      </c>
      <c r="BA13" s="9">
        <v>167.3</v>
      </c>
      <c r="BB13" s="9">
        <v>167.5</v>
      </c>
      <c r="BC13" s="9">
        <v>167.6</v>
      </c>
      <c r="BD13" s="9">
        <v>167.7</v>
      </c>
      <c r="BE13" s="9">
        <v>167.8</v>
      </c>
      <c r="BF13" s="9">
        <v>167.9</v>
      </c>
      <c r="BG13" s="9">
        <v>168.2</v>
      </c>
      <c r="BH13" s="9">
        <v>168.2</v>
      </c>
      <c r="BI13" s="9">
        <v>168.4</v>
      </c>
      <c r="BJ13" s="9">
        <v>168.5</v>
      </c>
      <c r="BK13" s="9">
        <v>168.6</v>
      </c>
      <c r="BL13" s="9">
        <v>168.7</v>
      </c>
      <c r="BM13" s="9">
        <v>168.8</v>
      </c>
      <c r="BN13" s="9">
        <v>169</v>
      </c>
      <c r="BO13" s="9">
        <v>169.2</v>
      </c>
      <c r="BP13" s="9">
        <v>169.3</v>
      </c>
      <c r="BQ13" s="9">
        <v>169.5</v>
      </c>
      <c r="BR13" s="9">
        <v>169.6</v>
      </c>
      <c r="BS13" s="9">
        <v>169.8</v>
      </c>
      <c r="BT13" s="9">
        <v>169.8</v>
      </c>
      <c r="BU13" s="9">
        <v>169.9</v>
      </c>
      <c r="BV13" s="9">
        <v>170.1</v>
      </c>
      <c r="BW13" s="9">
        <v>170.2</v>
      </c>
      <c r="BX13" s="9">
        <v>170.5</v>
      </c>
      <c r="BY13" s="9">
        <v>170.6</v>
      </c>
      <c r="BZ13" s="9">
        <v>170.8</v>
      </c>
      <c r="CA13" s="9">
        <v>171</v>
      </c>
      <c r="CB13" s="9">
        <v>171.2</v>
      </c>
      <c r="CC13" s="9">
        <v>171.3</v>
      </c>
      <c r="CD13" s="9">
        <v>171.4</v>
      </c>
      <c r="CE13" s="9">
        <v>171.6</v>
      </c>
      <c r="CF13" s="9">
        <v>171.8</v>
      </c>
      <c r="CG13" s="9">
        <v>172.1</v>
      </c>
      <c r="CH13" s="9">
        <v>172.2</v>
      </c>
      <c r="CI13" s="9">
        <v>172.4</v>
      </c>
      <c r="CJ13" s="9">
        <v>172.8</v>
      </c>
      <c r="CK13" s="9">
        <v>172.9</v>
      </c>
      <c r="CL13" s="9">
        <v>173.2</v>
      </c>
      <c r="CM13" s="9">
        <v>173.4</v>
      </c>
      <c r="CN13" s="9">
        <v>173.5</v>
      </c>
      <c r="CO13" s="9">
        <v>173.7</v>
      </c>
      <c r="CP13" s="9">
        <v>174</v>
      </c>
      <c r="CQ13" s="9">
        <v>174.2</v>
      </c>
      <c r="CR13" s="9">
        <v>174.4</v>
      </c>
      <c r="CS13" s="9">
        <v>174.7</v>
      </c>
      <c r="CT13" s="9">
        <v>175</v>
      </c>
      <c r="CU13" s="9">
        <v>175.3</v>
      </c>
      <c r="CV13" s="9">
        <v>175.7</v>
      </c>
      <c r="CW13" s="9">
        <v>176</v>
      </c>
      <c r="CX13" s="9">
        <v>176.4</v>
      </c>
      <c r="CY13" s="9">
        <v>176.9</v>
      </c>
      <c r="CZ13" s="9">
        <v>177.6</v>
      </c>
      <c r="DA13" s="9">
        <v>178.8</v>
      </c>
      <c r="DB13" s="9">
        <v>179.9</v>
      </c>
    </row>
    <row r="14" spans="1:106">
      <c r="A14" s="1" t="s">
        <v>355</v>
      </c>
      <c r="B14" s="1" t="s">
        <v>4</v>
      </c>
      <c r="C14" s="1" t="s">
        <v>17</v>
      </c>
      <c r="D14" s="1" t="s">
        <v>356</v>
      </c>
      <c r="E14" s="6">
        <v>628</v>
      </c>
      <c r="F14" s="9">
        <v>166.76</v>
      </c>
      <c r="G14" s="9">
        <v>5.74</v>
      </c>
      <c r="H14" s="9">
        <v>153.80000000000001</v>
      </c>
      <c r="I14" s="9">
        <v>155.1</v>
      </c>
      <c r="J14" s="9">
        <v>156</v>
      </c>
      <c r="K14" s="9">
        <v>156.4</v>
      </c>
      <c r="L14" s="9">
        <v>157.30000000000001</v>
      </c>
      <c r="M14" s="9">
        <v>158.1</v>
      </c>
      <c r="N14" s="9">
        <v>158.9</v>
      </c>
      <c r="O14" s="9">
        <v>159.6</v>
      </c>
      <c r="P14" s="9">
        <v>159.69999999999999</v>
      </c>
      <c r="Q14" s="9">
        <v>159.9</v>
      </c>
      <c r="R14" s="9">
        <v>160</v>
      </c>
      <c r="S14" s="9">
        <v>160.1</v>
      </c>
      <c r="T14" s="9">
        <v>160.30000000000001</v>
      </c>
      <c r="U14" s="9">
        <v>160.69999999999999</v>
      </c>
      <c r="V14" s="9">
        <v>161.1</v>
      </c>
      <c r="W14" s="9">
        <v>161.30000000000001</v>
      </c>
      <c r="X14" s="9">
        <v>161.5</v>
      </c>
      <c r="Y14" s="9">
        <v>161.6</v>
      </c>
      <c r="Z14" s="9">
        <v>161.69999999999999</v>
      </c>
      <c r="AA14" s="9">
        <v>162</v>
      </c>
      <c r="AB14" s="9">
        <v>162.19999999999999</v>
      </c>
      <c r="AC14" s="9">
        <v>162.5</v>
      </c>
      <c r="AD14" s="9">
        <v>162.69999999999999</v>
      </c>
      <c r="AE14" s="9">
        <v>162.80000000000001</v>
      </c>
      <c r="AF14" s="9">
        <v>162.9</v>
      </c>
      <c r="AG14" s="9">
        <v>163.19999999999999</v>
      </c>
      <c r="AH14" s="9">
        <v>163.30000000000001</v>
      </c>
      <c r="AI14" s="9">
        <v>163.5</v>
      </c>
      <c r="AJ14" s="9">
        <v>163.69999999999999</v>
      </c>
      <c r="AK14" s="9">
        <v>163.9</v>
      </c>
      <c r="AL14" s="9">
        <v>163.9</v>
      </c>
      <c r="AM14" s="9">
        <v>164.1</v>
      </c>
      <c r="AN14" s="9">
        <v>164.3</v>
      </c>
      <c r="AO14" s="9">
        <v>164.4</v>
      </c>
      <c r="AP14" s="9">
        <v>164.5</v>
      </c>
      <c r="AQ14" s="9">
        <v>164.7</v>
      </c>
      <c r="AR14" s="9">
        <v>164.7</v>
      </c>
      <c r="AS14" s="9">
        <v>164.9</v>
      </c>
      <c r="AT14" s="9">
        <v>165</v>
      </c>
      <c r="AU14" s="9">
        <v>165.2</v>
      </c>
      <c r="AV14" s="9">
        <v>165.2</v>
      </c>
      <c r="AW14" s="9">
        <v>165.4</v>
      </c>
      <c r="AX14" s="9">
        <v>165.6</v>
      </c>
      <c r="AY14" s="9">
        <v>165.7</v>
      </c>
      <c r="AZ14" s="9">
        <v>165.8</v>
      </c>
      <c r="BA14" s="9">
        <v>165.9</v>
      </c>
      <c r="BB14" s="9">
        <v>166.1</v>
      </c>
      <c r="BC14" s="9">
        <v>166.2</v>
      </c>
      <c r="BD14" s="9">
        <v>166.3</v>
      </c>
      <c r="BE14" s="9">
        <v>166.4</v>
      </c>
      <c r="BF14" s="9">
        <v>166.5</v>
      </c>
      <c r="BG14" s="9">
        <v>166.7</v>
      </c>
      <c r="BH14" s="9">
        <v>166.8</v>
      </c>
      <c r="BI14" s="9">
        <v>167</v>
      </c>
      <c r="BJ14" s="9">
        <v>167.1</v>
      </c>
      <c r="BK14" s="9">
        <v>167.2</v>
      </c>
      <c r="BL14" s="9">
        <v>167.3</v>
      </c>
      <c r="BM14" s="9">
        <v>167.4</v>
      </c>
      <c r="BN14" s="9">
        <v>167.6</v>
      </c>
      <c r="BO14" s="9">
        <v>167.7</v>
      </c>
      <c r="BP14" s="9">
        <v>168</v>
      </c>
      <c r="BQ14" s="9">
        <v>168.1</v>
      </c>
      <c r="BR14" s="9">
        <v>168.2</v>
      </c>
      <c r="BS14" s="9">
        <v>168.4</v>
      </c>
      <c r="BT14" s="9">
        <v>168.5</v>
      </c>
      <c r="BU14" s="9">
        <v>168.8</v>
      </c>
      <c r="BV14" s="9">
        <v>169.1</v>
      </c>
      <c r="BW14" s="9">
        <v>169.4</v>
      </c>
      <c r="BX14" s="9">
        <v>169.5</v>
      </c>
      <c r="BY14" s="9">
        <v>169.8</v>
      </c>
      <c r="BZ14" s="9">
        <v>169.9</v>
      </c>
      <c r="CA14" s="9">
        <v>170.1</v>
      </c>
      <c r="CB14" s="9">
        <v>170.2</v>
      </c>
      <c r="CC14" s="9">
        <v>170.6</v>
      </c>
      <c r="CD14" s="9">
        <v>170.8</v>
      </c>
      <c r="CE14" s="9">
        <v>170.8</v>
      </c>
      <c r="CF14" s="9">
        <v>171.1</v>
      </c>
      <c r="CG14" s="9">
        <v>171.3</v>
      </c>
      <c r="CH14" s="9">
        <v>171.4</v>
      </c>
      <c r="CI14" s="9">
        <v>171.6</v>
      </c>
      <c r="CJ14" s="9">
        <v>171.9</v>
      </c>
      <c r="CK14" s="9">
        <v>172.1</v>
      </c>
      <c r="CL14" s="9">
        <v>172.3</v>
      </c>
      <c r="CM14" s="9">
        <v>172.3</v>
      </c>
      <c r="CN14" s="9">
        <v>172.6</v>
      </c>
      <c r="CO14" s="9">
        <v>172.8</v>
      </c>
      <c r="CP14" s="9">
        <v>173.1</v>
      </c>
      <c r="CQ14" s="9">
        <v>173.4</v>
      </c>
      <c r="CR14" s="9">
        <v>173.7</v>
      </c>
      <c r="CS14" s="9">
        <v>174</v>
      </c>
      <c r="CT14" s="9">
        <v>174.3</v>
      </c>
      <c r="CU14" s="9">
        <v>174.6</v>
      </c>
      <c r="CV14" s="9">
        <v>175</v>
      </c>
      <c r="CW14" s="9">
        <v>175.7</v>
      </c>
      <c r="CX14" s="9">
        <v>176.1</v>
      </c>
      <c r="CY14" s="9">
        <v>176.5</v>
      </c>
      <c r="CZ14" s="9">
        <v>177.4</v>
      </c>
      <c r="DA14" s="9">
        <v>178.7</v>
      </c>
      <c r="DB14" s="9">
        <v>180.8</v>
      </c>
    </row>
    <row r="15" spans="1:106">
      <c r="A15" s="1" t="s">
        <v>357</v>
      </c>
      <c r="B15" s="1" t="s">
        <v>4</v>
      </c>
      <c r="C15" s="1" t="s">
        <v>17</v>
      </c>
      <c r="D15" s="1" t="s">
        <v>358</v>
      </c>
      <c r="E15" s="6">
        <v>517</v>
      </c>
      <c r="F15" s="9">
        <v>165.43</v>
      </c>
      <c r="G15" s="9">
        <v>5.48</v>
      </c>
      <c r="H15" s="9">
        <v>153.19999999999999</v>
      </c>
      <c r="I15" s="9">
        <v>154.1</v>
      </c>
      <c r="J15" s="9">
        <v>155.30000000000001</v>
      </c>
      <c r="K15" s="9">
        <v>155.80000000000001</v>
      </c>
      <c r="L15" s="9">
        <v>156.4</v>
      </c>
      <c r="M15" s="9">
        <v>157.19999999999999</v>
      </c>
      <c r="N15" s="9">
        <v>157.69999999999999</v>
      </c>
      <c r="O15" s="9">
        <v>158.1</v>
      </c>
      <c r="P15" s="9">
        <v>158.5</v>
      </c>
      <c r="Q15" s="9">
        <v>158.69999999999999</v>
      </c>
      <c r="R15" s="9">
        <v>158.69999999999999</v>
      </c>
      <c r="S15" s="9">
        <v>159</v>
      </c>
      <c r="T15" s="9">
        <v>159.1</v>
      </c>
      <c r="U15" s="9">
        <v>159.30000000000001</v>
      </c>
      <c r="V15" s="9">
        <v>159.6</v>
      </c>
      <c r="W15" s="9">
        <v>159.69999999999999</v>
      </c>
      <c r="X15" s="9">
        <v>159.80000000000001</v>
      </c>
      <c r="Y15" s="9">
        <v>160.1</v>
      </c>
      <c r="Z15" s="9">
        <v>160.5</v>
      </c>
      <c r="AA15" s="9">
        <v>160.5</v>
      </c>
      <c r="AB15" s="9">
        <v>160.69999999999999</v>
      </c>
      <c r="AC15" s="9">
        <v>160.69999999999999</v>
      </c>
      <c r="AD15" s="9">
        <v>160.9</v>
      </c>
      <c r="AE15" s="9">
        <v>160.9</v>
      </c>
      <c r="AF15" s="9">
        <v>161.1</v>
      </c>
      <c r="AG15" s="9">
        <v>161.4</v>
      </c>
      <c r="AH15" s="9">
        <v>161.6</v>
      </c>
      <c r="AI15" s="9">
        <v>161.69999999999999</v>
      </c>
      <c r="AJ15" s="9">
        <v>162.1</v>
      </c>
      <c r="AK15" s="9">
        <v>162.4</v>
      </c>
      <c r="AL15" s="9">
        <v>162.4</v>
      </c>
      <c r="AM15" s="9">
        <v>162.69999999999999</v>
      </c>
      <c r="AN15" s="9">
        <v>162.80000000000001</v>
      </c>
      <c r="AO15" s="9">
        <v>163.1</v>
      </c>
      <c r="AP15" s="9">
        <v>163.30000000000001</v>
      </c>
      <c r="AQ15" s="9">
        <v>163.69999999999999</v>
      </c>
      <c r="AR15" s="9">
        <v>163.9</v>
      </c>
      <c r="AS15" s="9">
        <v>164</v>
      </c>
      <c r="AT15" s="9">
        <v>164</v>
      </c>
      <c r="AU15" s="9">
        <v>164.1</v>
      </c>
      <c r="AV15" s="9">
        <v>164.2</v>
      </c>
      <c r="AW15" s="9">
        <v>164.2</v>
      </c>
      <c r="AX15" s="9">
        <v>164.5</v>
      </c>
      <c r="AY15" s="9">
        <v>164.6</v>
      </c>
      <c r="AZ15" s="9">
        <v>164.7</v>
      </c>
      <c r="BA15" s="9">
        <v>164.9</v>
      </c>
      <c r="BB15" s="9">
        <v>165</v>
      </c>
      <c r="BC15" s="9">
        <v>165.1</v>
      </c>
      <c r="BD15" s="9">
        <v>165.2</v>
      </c>
      <c r="BE15" s="9">
        <v>165.4</v>
      </c>
      <c r="BF15" s="9">
        <v>165.6</v>
      </c>
      <c r="BG15" s="9">
        <v>165.7</v>
      </c>
      <c r="BH15" s="9">
        <v>165.9</v>
      </c>
      <c r="BI15" s="9">
        <v>165.9</v>
      </c>
      <c r="BJ15" s="9">
        <v>166.1</v>
      </c>
      <c r="BK15" s="9">
        <v>166.2</v>
      </c>
      <c r="BL15" s="9">
        <v>166.4</v>
      </c>
      <c r="BM15" s="9">
        <v>166.4</v>
      </c>
      <c r="BN15" s="9">
        <v>166.7</v>
      </c>
      <c r="BO15" s="9">
        <v>166.8</v>
      </c>
      <c r="BP15" s="9">
        <v>167</v>
      </c>
      <c r="BQ15" s="9">
        <v>167.3</v>
      </c>
      <c r="BR15" s="9">
        <v>167.4</v>
      </c>
      <c r="BS15" s="9">
        <v>167.5</v>
      </c>
      <c r="BT15" s="9">
        <v>167.6</v>
      </c>
      <c r="BU15" s="9">
        <v>167.8</v>
      </c>
      <c r="BV15" s="9">
        <v>167.8</v>
      </c>
      <c r="BW15" s="9">
        <v>167.8</v>
      </c>
      <c r="BX15" s="9">
        <v>168.1</v>
      </c>
      <c r="BY15" s="9">
        <v>168.1</v>
      </c>
      <c r="BZ15" s="9">
        <v>168.3</v>
      </c>
      <c r="CA15" s="9">
        <v>168.4</v>
      </c>
      <c r="CB15" s="9">
        <v>168.6</v>
      </c>
      <c r="CC15" s="9">
        <v>168.9</v>
      </c>
      <c r="CD15" s="9">
        <v>169.1</v>
      </c>
      <c r="CE15" s="9">
        <v>169.2</v>
      </c>
      <c r="CF15" s="9">
        <v>169.4</v>
      </c>
      <c r="CG15" s="9">
        <v>169.7</v>
      </c>
      <c r="CH15" s="9">
        <v>170.2</v>
      </c>
      <c r="CI15" s="9">
        <v>170.3</v>
      </c>
      <c r="CJ15" s="9">
        <v>170.5</v>
      </c>
      <c r="CK15" s="9">
        <v>170.8</v>
      </c>
      <c r="CL15" s="9">
        <v>171.1</v>
      </c>
      <c r="CM15" s="9">
        <v>171.2</v>
      </c>
      <c r="CN15" s="9">
        <v>171.3</v>
      </c>
      <c r="CO15" s="9">
        <v>171.5</v>
      </c>
      <c r="CP15" s="9">
        <v>171.7</v>
      </c>
      <c r="CQ15" s="9">
        <v>171.8</v>
      </c>
      <c r="CR15" s="9">
        <v>172.3</v>
      </c>
      <c r="CS15" s="9">
        <v>172.5</v>
      </c>
      <c r="CT15" s="9">
        <v>172.8</v>
      </c>
      <c r="CU15" s="9">
        <v>173.2</v>
      </c>
      <c r="CV15" s="9">
        <v>173.5</v>
      </c>
      <c r="CW15" s="9">
        <v>173.9</v>
      </c>
      <c r="CX15" s="9">
        <v>174.2</v>
      </c>
      <c r="CY15" s="9">
        <v>174.5</v>
      </c>
      <c r="CZ15" s="9">
        <v>175.1</v>
      </c>
      <c r="DA15" s="9">
        <v>175.8</v>
      </c>
      <c r="DB15" s="9">
        <v>178.4</v>
      </c>
    </row>
    <row r="16" spans="1:106">
      <c r="A16" s="1" t="s">
        <v>359</v>
      </c>
      <c r="B16" s="1" t="s">
        <v>4</v>
      </c>
      <c r="C16" s="1" t="s">
        <v>17</v>
      </c>
      <c r="D16" s="1" t="s">
        <v>360</v>
      </c>
      <c r="E16" s="6">
        <v>374</v>
      </c>
      <c r="F16" s="9">
        <v>164</v>
      </c>
      <c r="G16" s="9">
        <v>5.83</v>
      </c>
      <c r="H16" s="9">
        <v>150.4</v>
      </c>
      <c r="I16" s="9">
        <v>153.19999999999999</v>
      </c>
      <c r="J16" s="9">
        <v>153.9</v>
      </c>
      <c r="K16" s="9">
        <v>154.69999999999999</v>
      </c>
      <c r="L16" s="9">
        <v>155.4</v>
      </c>
      <c r="M16" s="9">
        <v>155.5</v>
      </c>
      <c r="N16" s="9">
        <v>156.19999999999999</v>
      </c>
      <c r="O16" s="9">
        <v>156.30000000000001</v>
      </c>
      <c r="P16" s="9">
        <v>156.6</v>
      </c>
      <c r="Q16" s="9">
        <v>156.80000000000001</v>
      </c>
      <c r="R16" s="9">
        <v>156.9</v>
      </c>
      <c r="S16" s="9">
        <v>157</v>
      </c>
      <c r="T16" s="9">
        <v>157.1</v>
      </c>
      <c r="U16" s="9">
        <v>157.30000000000001</v>
      </c>
      <c r="V16" s="9">
        <v>157.6</v>
      </c>
      <c r="W16" s="9">
        <v>157.69999999999999</v>
      </c>
      <c r="X16" s="9">
        <v>157.80000000000001</v>
      </c>
      <c r="Y16" s="9">
        <v>157.9</v>
      </c>
      <c r="Z16" s="9">
        <v>158.4</v>
      </c>
      <c r="AA16" s="9">
        <v>158.5</v>
      </c>
      <c r="AB16" s="9">
        <v>158.6</v>
      </c>
      <c r="AC16" s="9">
        <v>158.69999999999999</v>
      </c>
      <c r="AD16" s="9">
        <v>159</v>
      </c>
      <c r="AE16" s="9">
        <v>159.4</v>
      </c>
      <c r="AF16" s="9">
        <v>159.6</v>
      </c>
      <c r="AG16" s="9">
        <v>159.9</v>
      </c>
      <c r="AH16" s="9">
        <v>160</v>
      </c>
      <c r="AI16" s="9">
        <v>160.1</v>
      </c>
      <c r="AJ16" s="9">
        <v>160.30000000000001</v>
      </c>
      <c r="AK16" s="9">
        <v>160.5</v>
      </c>
      <c r="AL16" s="9">
        <v>160.80000000000001</v>
      </c>
      <c r="AM16" s="9">
        <v>161</v>
      </c>
      <c r="AN16" s="9">
        <v>161.19999999999999</v>
      </c>
      <c r="AO16" s="9">
        <v>161.4</v>
      </c>
      <c r="AP16" s="9">
        <v>161.5</v>
      </c>
      <c r="AQ16" s="9">
        <v>161.6</v>
      </c>
      <c r="AR16" s="9">
        <v>161.69999999999999</v>
      </c>
      <c r="AS16" s="9">
        <v>161.80000000000001</v>
      </c>
      <c r="AT16" s="9">
        <v>162.19999999999999</v>
      </c>
      <c r="AU16" s="9">
        <v>162.30000000000001</v>
      </c>
      <c r="AV16" s="9">
        <v>162.5</v>
      </c>
      <c r="AW16" s="9">
        <v>162.80000000000001</v>
      </c>
      <c r="AX16" s="9">
        <v>162.9</v>
      </c>
      <c r="AY16" s="9">
        <v>163</v>
      </c>
      <c r="AZ16" s="9">
        <v>163</v>
      </c>
      <c r="BA16" s="9">
        <v>163.19999999999999</v>
      </c>
      <c r="BB16" s="9">
        <v>163.19999999999999</v>
      </c>
      <c r="BC16" s="9">
        <v>163.5</v>
      </c>
      <c r="BD16" s="9">
        <v>163.6</v>
      </c>
      <c r="BE16" s="9">
        <v>163.69999999999999</v>
      </c>
      <c r="BF16" s="9">
        <v>164</v>
      </c>
      <c r="BG16" s="9">
        <v>164.2</v>
      </c>
      <c r="BH16" s="9">
        <v>164.3</v>
      </c>
      <c r="BI16" s="9">
        <v>164.6</v>
      </c>
      <c r="BJ16" s="9">
        <v>164.8</v>
      </c>
      <c r="BK16" s="9">
        <v>164.9</v>
      </c>
      <c r="BL16" s="9">
        <v>165</v>
      </c>
      <c r="BM16" s="9">
        <v>165.1</v>
      </c>
      <c r="BN16" s="9">
        <v>165.2</v>
      </c>
      <c r="BO16" s="9">
        <v>165.3</v>
      </c>
      <c r="BP16" s="9">
        <v>165.4</v>
      </c>
      <c r="BQ16" s="9">
        <v>165.7</v>
      </c>
      <c r="BR16" s="9">
        <v>165.9</v>
      </c>
      <c r="BS16" s="9">
        <v>166</v>
      </c>
      <c r="BT16" s="9">
        <v>166.2</v>
      </c>
      <c r="BU16" s="9">
        <v>166.4</v>
      </c>
      <c r="BV16" s="9">
        <v>166.6</v>
      </c>
      <c r="BW16" s="9">
        <v>167</v>
      </c>
      <c r="BX16" s="9">
        <v>167.1</v>
      </c>
      <c r="BY16" s="9">
        <v>167.3</v>
      </c>
      <c r="BZ16" s="9">
        <v>167.6</v>
      </c>
      <c r="CA16" s="9">
        <v>167.8</v>
      </c>
      <c r="CB16" s="9">
        <v>168.2</v>
      </c>
      <c r="CC16" s="9">
        <v>168.3</v>
      </c>
      <c r="CD16" s="9">
        <v>168.5</v>
      </c>
      <c r="CE16" s="9">
        <v>168.6</v>
      </c>
      <c r="CF16" s="9">
        <v>168.7</v>
      </c>
      <c r="CG16" s="9">
        <v>168.8</v>
      </c>
      <c r="CH16" s="9">
        <v>168.9</v>
      </c>
      <c r="CI16" s="9">
        <v>169.1</v>
      </c>
      <c r="CJ16" s="9">
        <v>169.1</v>
      </c>
      <c r="CK16" s="9">
        <v>169.2</v>
      </c>
      <c r="CL16" s="9">
        <v>169.3</v>
      </c>
      <c r="CM16" s="9">
        <v>169.6</v>
      </c>
      <c r="CN16" s="9">
        <v>169.7</v>
      </c>
      <c r="CO16" s="9">
        <v>170.3</v>
      </c>
      <c r="CP16" s="9">
        <v>170.6</v>
      </c>
      <c r="CQ16" s="9">
        <v>170.7</v>
      </c>
      <c r="CR16" s="9">
        <v>171.4</v>
      </c>
      <c r="CS16" s="9">
        <v>171.7</v>
      </c>
      <c r="CT16" s="9">
        <v>172</v>
      </c>
      <c r="CU16" s="9">
        <v>172.2</v>
      </c>
      <c r="CV16" s="9">
        <v>172.5</v>
      </c>
      <c r="CW16" s="9">
        <v>172.9</v>
      </c>
      <c r="CX16" s="9">
        <v>173.6</v>
      </c>
      <c r="CY16" s="9">
        <v>174.1</v>
      </c>
      <c r="CZ16" s="9">
        <v>174.5</v>
      </c>
      <c r="DA16" s="9">
        <v>176.7</v>
      </c>
      <c r="DB16" s="9">
        <v>177.3</v>
      </c>
    </row>
    <row r="17" spans="1:106">
      <c r="A17" s="1" t="s">
        <v>227</v>
      </c>
      <c r="B17" s="1" t="s">
        <v>4</v>
      </c>
      <c r="C17" s="1" t="s">
        <v>19</v>
      </c>
      <c r="D17" s="1" t="s">
        <v>206</v>
      </c>
      <c r="E17" s="6">
        <v>466</v>
      </c>
      <c r="F17" s="9">
        <v>162.16999999999999</v>
      </c>
      <c r="G17" s="9">
        <v>5.48</v>
      </c>
      <c r="H17" s="9">
        <v>147.9</v>
      </c>
      <c r="I17" s="9">
        <v>151.1</v>
      </c>
      <c r="J17" s="9">
        <v>152.30000000000001</v>
      </c>
      <c r="K17" s="9">
        <v>153</v>
      </c>
      <c r="L17" s="9">
        <v>153.4</v>
      </c>
      <c r="M17" s="9">
        <v>153.80000000000001</v>
      </c>
      <c r="N17" s="9">
        <v>154</v>
      </c>
      <c r="O17" s="9">
        <v>154.5</v>
      </c>
      <c r="P17" s="9">
        <v>154.80000000000001</v>
      </c>
      <c r="Q17" s="9">
        <v>154.9</v>
      </c>
      <c r="R17" s="9">
        <v>155.30000000000001</v>
      </c>
      <c r="S17" s="9">
        <v>155.80000000000001</v>
      </c>
      <c r="T17" s="9">
        <v>156</v>
      </c>
      <c r="U17" s="9">
        <v>156.30000000000001</v>
      </c>
      <c r="V17" s="9">
        <v>156.5</v>
      </c>
      <c r="W17" s="9">
        <v>156.6</v>
      </c>
      <c r="X17" s="9">
        <v>157</v>
      </c>
      <c r="Y17" s="9">
        <v>157.30000000000001</v>
      </c>
      <c r="Z17" s="9">
        <v>157.4</v>
      </c>
      <c r="AA17" s="9">
        <v>157.6</v>
      </c>
      <c r="AB17" s="9">
        <v>157.80000000000001</v>
      </c>
      <c r="AC17" s="9">
        <v>158</v>
      </c>
      <c r="AD17" s="9">
        <v>158.1</v>
      </c>
      <c r="AE17" s="9">
        <v>158.30000000000001</v>
      </c>
      <c r="AF17" s="9">
        <v>158.4</v>
      </c>
      <c r="AG17" s="9">
        <v>158.69999999999999</v>
      </c>
      <c r="AH17" s="9">
        <v>158.80000000000001</v>
      </c>
      <c r="AI17" s="9">
        <v>159.1</v>
      </c>
      <c r="AJ17" s="9">
        <v>159.4</v>
      </c>
      <c r="AK17" s="9">
        <v>159.4</v>
      </c>
      <c r="AL17" s="9">
        <v>159.6</v>
      </c>
      <c r="AM17" s="9">
        <v>159.6</v>
      </c>
      <c r="AN17" s="9">
        <v>159.80000000000001</v>
      </c>
      <c r="AO17" s="9">
        <v>160</v>
      </c>
      <c r="AP17" s="9">
        <v>160.19999999999999</v>
      </c>
      <c r="AQ17" s="9">
        <v>160.19999999999999</v>
      </c>
      <c r="AR17" s="9">
        <v>160.30000000000001</v>
      </c>
      <c r="AS17" s="9">
        <v>160.4</v>
      </c>
      <c r="AT17" s="9">
        <v>160.6</v>
      </c>
      <c r="AU17" s="9">
        <v>160.6</v>
      </c>
      <c r="AV17" s="9">
        <v>160.80000000000001</v>
      </c>
      <c r="AW17" s="9">
        <v>161</v>
      </c>
      <c r="AX17" s="9">
        <v>161.19999999999999</v>
      </c>
      <c r="AY17" s="9">
        <v>161.4</v>
      </c>
      <c r="AZ17" s="9">
        <v>161.5</v>
      </c>
      <c r="BA17" s="9">
        <v>161.5</v>
      </c>
      <c r="BB17" s="9">
        <v>161.6</v>
      </c>
      <c r="BC17" s="9">
        <v>161.69999999999999</v>
      </c>
      <c r="BD17" s="9">
        <v>161.9</v>
      </c>
      <c r="BE17" s="9">
        <v>162.1</v>
      </c>
      <c r="BF17" s="9">
        <v>162.1</v>
      </c>
      <c r="BG17" s="9">
        <v>162.30000000000001</v>
      </c>
      <c r="BH17" s="9">
        <v>162.4</v>
      </c>
      <c r="BI17" s="9">
        <v>162.69999999999999</v>
      </c>
      <c r="BJ17" s="9">
        <v>162.9</v>
      </c>
      <c r="BK17" s="9">
        <v>163.1</v>
      </c>
      <c r="BL17" s="9">
        <v>163.19999999999999</v>
      </c>
      <c r="BM17" s="9">
        <v>163.30000000000001</v>
      </c>
      <c r="BN17" s="9">
        <v>163.4</v>
      </c>
      <c r="BO17" s="9">
        <v>163.5</v>
      </c>
      <c r="BP17" s="9">
        <v>163.69999999999999</v>
      </c>
      <c r="BQ17" s="9">
        <v>163.80000000000001</v>
      </c>
      <c r="BR17" s="9">
        <v>163.80000000000001</v>
      </c>
      <c r="BS17" s="9">
        <v>163.9</v>
      </c>
      <c r="BT17" s="9">
        <v>164.2</v>
      </c>
      <c r="BU17" s="9">
        <v>164.3</v>
      </c>
      <c r="BV17" s="9">
        <v>164.6</v>
      </c>
      <c r="BW17" s="9">
        <v>164.8</v>
      </c>
      <c r="BX17" s="9">
        <v>164.9</v>
      </c>
      <c r="BY17" s="9">
        <v>165.1</v>
      </c>
      <c r="BZ17" s="9">
        <v>165.2</v>
      </c>
      <c r="CA17" s="9">
        <v>165.4</v>
      </c>
      <c r="CB17" s="9">
        <v>165.5</v>
      </c>
      <c r="CC17" s="9">
        <v>165.7</v>
      </c>
      <c r="CD17" s="9">
        <v>165.8</v>
      </c>
      <c r="CE17" s="9">
        <v>165.9</v>
      </c>
      <c r="CF17" s="9">
        <v>166.2</v>
      </c>
      <c r="CG17" s="9">
        <v>166.3</v>
      </c>
      <c r="CH17" s="9">
        <v>166.6</v>
      </c>
      <c r="CI17" s="9">
        <v>166.7</v>
      </c>
      <c r="CJ17" s="9">
        <v>166.9</v>
      </c>
      <c r="CK17" s="9">
        <v>167.3</v>
      </c>
      <c r="CL17" s="9">
        <v>167.4</v>
      </c>
      <c r="CM17" s="9">
        <v>167.6</v>
      </c>
      <c r="CN17" s="9">
        <v>167.7</v>
      </c>
      <c r="CO17" s="9">
        <v>168.1</v>
      </c>
      <c r="CP17" s="9">
        <v>168.3</v>
      </c>
      <c r="CQ17" s="9">
        <v>168.8</v>
      </c>
      <c r="CR17" s="9">
        <v>168.8</v>
      </c>
      <c r="CS17" s="9">
        <v>169.2</v>
      </c>
      <c r="CT17" s="9">
        <v>169.5</v>
      </c>
      <c r="CU17" s="9">
        <v>169.8</v>
      </c>
      <c r="CV17" s="9">
        <v>170</v>
      </c>
      <c r="CW17" s="9">
        <v>170.3</v>
      </c>
      <c r="CX17" s="9">
        <v>170.9</v>
      </c>
      <c r="CY17" s="9">
        <v>171.8</v>
      </c>
      <c r="CZ17" s="9">
        <v>172.5</v>
      </c>
      <c r="DA17" s="9">
        <v>173.1</v>
      </c>
      <c r="DB17" s="9">
        <v>174.5</v>
      </c>
    </row>
    <row r="18" spans="1:106">
      <c r="A18" s="1" t="s">
        <v>228</v>
      </c>
      <c r="B18" s="1" t="s">
        <v>4</v>
      </c>
      <c r="C18" s="1" t="s">
        <v>19</v>
      </c>
      <c r="D18" s="1" t="s">
        <v>208</v>
      </c>
      <c r="E18" s="6">
        <v>518</v>
      </c>
      <c r="F18" s="9">
        <v>162.16</v>
      </c>
      <c r="G18" s="9">
        <v>5.48</v>
      </c>
      <c r="H18" s="9">
        <v>150.30000000000001</v>
      </c>
      <c r="I18" s="9">
        <v>151.1</v>
      </c>
      <c r="J18" s="9">
        <v>151.6</v>
      </c>
      <c r="K18" s="9">
        <v>152.1</v>
      </c>
      <c r="L18" s="9">
        <v>153.1</v>
      </c>
      <c r="M18" s="9">
        <v>153.4</v>
      </c>
      <c r="N18" s="9">
        <v>154.4</v>
      </c>
      <c r="O18" s="9">
        <v>154.80000000000001</v>
      </c>
      <c r="P18" s="9">
        <v>155.19999999999999</v>
      </c>
      <c r="Q18" s="9">
        <v>155.19999999999999</v>
      </c>
      <c r="R18" s="9">
        <v>155.6</v>
      </c>
      <c r="S18" s="9">
        <v>156</v>
      </c>
      <c r="T18" s="9">
        <v>156.19999999999999</v>
      </c>
      <c r="U18" s="9">
        <v>156.4</v>
      </c>
      <c r="V18" s="9">
        <v>156.6</v>
      </c>
      <c r="W18" s="9">
        <v>156.9</v>
      </c>
      <c r="X18" s="9">
        <v>157.1</v>
      </c>
      <c r="Y18" s="9">
        <v>157.4</v>
      </c>
      <c r="Z18" s="9">
        <v>157.6</v>
      </c>
      <c r="AA18" s="9">
        <v>157.69999999999999</v>
      </c>
      <c r="AB18" s="9">
        <v>157.9</v>
      </c>
      <c r="AC18" s="9">
        <v>158.1</v>
      </c>
      <c r="AD18" s="9">
        <v>158.1</v>
      </c>
      <c r="AE18" s="9">
        <v>158.19999999999999</v>
      </c>
      <c r="AF18" s="9">
        <v>158.19999999999999</v>
      </c>
      <c r="AG18" s="9">
        <v>158.30000000000001</v>
      </c>
      <c r="AH18" s="9">
        <v>158.4</v>
      </c>
      <c r="AI18" s="9">
        <v>158.6</v>
      </c>
      <c r="AJ18" s="9">
        <v>158.80000000000001</v>
      </c>
      <c r="AK18" s="9">
        <v>159.19999999999999</v>
      </c>
      <c r="AL18" s="9">
        <v>159.30000000000001</v>
      </c>
      <c r="AM18" s="9">
        <v>159.4</v>
      </c>
      <c r="AN18" s="9">
        <v>159.5</v>
      </c>
      <c r="AO18" s="9">
        <v>159.6</v>
      </c>
      <c r="AP18" s="9">
        <v>159.69999999999999</v>
      </c>
      <c r="AQ18" s="9">
        <v>159.80000000000001</v>
      </c>
      <c r="AR18" s="9">
        <v>160.1</v>
      </c>
      <c r="AS18" s="9">
        <v>160.30000000000001</v>
      </c>
      <c r="AT18" s="9">
        <v>160.4</v>
      </c>
      <c r="AU18" s="9">
        <v>160.6</v>
      </c>
      <c r="AV18" s="9">
        <v>160.80000000000001</v>
      </c>
      <c r="AW18" s="9">
        <v>161</v>
      </c>
      <c r="AX18" s="9">
        <v>161.1</v>
      </c>
      <c r="AY18" s="9">
        <v>161.30000000000001</v>
      </c>
      <c r="AZ18" s="9">
        <v>161.5</v>
      </c>
      <c r="BA18" s="9">
        <v>161.6</v>
      </c>
      <c r="BB18" s="9">
        <v>161.69999999999999</v>
      </c>
      <c r="BC18" s="9">
        <v>161.9</v>
      </c>
      <c r="BD18" s="9">
        <v>162.1</v>
      </c>
      <c r="BE18" s="9">
        <v>162.30000000000001</v>
      </c>
      <c r="BF18" s="9">
        <v>162.4</v>
      </c>
      <c r="BG18" s="9">
        <v>162.6</v>
      </c>
      <c r="BH18" s="9">
        <v>162.69999999999999</v>
      </c>
      <c r="BI18" s="9">
        <v>162.80000000000001</v>
      </c>
      <c r="BJ18" s="9">
        <v>162.9</v>
      </c>
      <c r="BK18" s="9">
        <v>163</v>
      </c>
      <c r="BL18" s="9">
        <v>163.1</v>
      </c>
      <c r="BM18" s="9">
        <v>163.30000000000001</v>
      </c>
      <c r="BN18" s="9">
        <v>163.5</v>
      </c>
      <c r="BO18" s="9">
        <v>163.69999999999999</v>
      </c>
      <c r="BP18" s="9">
        <v>163.9</v>
      </c>
      <c r="BQ18" s="9">
        <v>164.1</v>
      </c>
      <c r="BR18" s="9">
        <v>164.5</v>
      </c>
      <c r="BS18" s="9">
        <v>164.5</v>
      </c>
      <c r="BT18" s="9">
        <v>164.6</v>
      </c>
      <c r="BU18" s="9">
        <v>164.8</v>
      </c>
      <c r="BV18" s="9">
        <v>164.9</v>
      </c>
      <c r="BW18" s="9">
        <v>165</v>
      </c>
      <c r="BX18" s="9">
        <v>165.1</v>
      </c>
      <c r="BY18" s="9">
        <v>165.2</v>
      </c>
      <c r="BZ18" s="9">
        <v>165.2</v>
      </c>
      <c r="CA18" s="9">
        <v>165.4</v>
      </c>
      <c r="CB18" s="9">
        <v>165.5</v>
      </c>
      <c r="CC18" s="9">
        <v>165.7</v>
      </c>
      <c r="CD18" s="9">
        <v>165.8</v>
      </c>
      <c r="CE18" s="9">
        <v>166</v>
      </c>
      <c r="CF18" s="9">
        <v>166.1</v>
      </c>
      <c r="CG18" s="9">
        <v>166.3</v>
      </c>
      <c r="CH18" s="9">
        <v>166.5</v>
      </c>
      <c r="CI18" s="9">
        <v>166.7</v>
      </c>
      <c r="CJ18" s="9">
        <v>167</v>
      </c>
      <c r="CK18" s="9">
        <v>167.2</v>
      </c>
      <c r="CL18" s="9">
        <v>167.3</v>
      </c>
      <c r="CM18" s="9">
        <v>167.7</v>
      </c>
      <c r="CN18" s="9">
        <v>168</v>
      </c>
      <c r="CO18" s="9">
        <v>168.1</v>
      </c>
      <c r="CP18" s="9">
        <v>168.3</v>
      </c>
      <c r="CQ18" s="9">
        <v>168.3</v>
      </c>
      <c r="CR18" s="9">
        <v>168.6</v>
      </c>
      <c r="CS18" s="9">
        <v>168.8</v>
      </c>
      <c r="CT18" s="9">
        <v>169.3</v>
      </c>
      <c r="CU18" s="9">
        <v>169.5</v>
      </c>
      <c r="CV18" s="9">
        <v>169.9</v>
      </c>
      <c r="CW18" s="9">
        <v>170.1</v>
      </c>
      <c r="CX18" s="9">
        <v>170.4</v>
      </c>
      <c r="CY18" s="9">
        <v>171</v>
      </c>
      <c r="CZ18" s="9">
        <v>171.9</v>
      </c>
      <c r="DA18" s="9">
        <v>172.7</v>
      </c>
      <c r="DB18" s="9">
        <v>175.7</v>
      </c>
    </row>
    <row r="19" spans="1:106">
      <c r="A19" s="1" t="s">
        <v>229</v>
      </c>
      <c r="B19" s="1" t="s">
        <v>4</v>
      </c>
      <c r="C19" s="1" t="s">
        <v>19</v>
      </c>
      <c r="D19" s="1" t="s">
        <v>210</v>
      </c>
      <c r="E19" s="6">
        <v>507</v>
      </c>
      <c r="F19" s="9">
        <v>162.34</v>
      </c>
      <c r="G19" s="9">
        <v>5.29</v>
      </c>
      <c r="H19" s="9">
        <v>150</v>
      </c>
      <c r="I19" s="9">
        <v>152.6</v>
      </c>
      <c r="J19" s="9">
        <v>153</v>
      </c>
      <c r="K19" s="9">
        <v>154</v>
      </c>
      <c r="L19" s="9">
        <v>154.1</v>
      </c>
      <c r="M19" s="9">
        <v>154.19999999999999</v>
      </c>
      <c r="N19" s="9">
        <v>154.4</v>
      </c>
      <c r="O19" s="9">
        <v>154.6</v>
      </c>
      <c r="P19" s="9">
        <v>154.80000000000001</v>
      </c>
      <c r="Q19" s="9">
        <v>154.9</v>
      </c>
      <c r="R19" s="9">
        <v>155.30000000000001</v>
      </c>
      <c r="S19" s="9">
        <v>155.6</v>
      </c>
      <c r="T19" s="9">
        <v>155.80000000000001</v>
      </c>
      <c r="U19" s="9">
        <v>156.1</v>
      </c>
      <c r="V19" s="9">
        <v>156.5</v>
      </c>
      <c r="W19" s="9">
        <v>156.80000000000001</v>
      </c>
      <c r="X19" s="9">
        <v>156.9</v>
      </c>
      <c r="Y19" s="9">
        <v>157.1</v>
      </c>
      <c r="Z19" s="9">
        <v>157.30000000000001</v>
      </c>
      <c r="AA19" s="9">
        <v>157.4</v>
      </c>
      <c r="AB19" s="9">
        <v>157.5</v>
      </c>
      <c r="AC19" s="9">
        <v>157.69999999999999</v>
      </c>
      <c r="AD19" s="9">
        <v>157.9</v>
      </c>
      <c r="AE19" s="9">
        <v>158.4</v>
      </c>
      <c r="AF19" s="9">
        <v>158.5</v>
      </c>
      <c r="AG19" s="9">
        <v>158.80000000000001</v>
      </c>
      <c r="AH19" s="9">
        <v>159</v>
      </c>
      <c r="AI19" s="9">
        <v>159.19999999999999</v>
      </c>
      <c r="AJ19" s="9">
        <v>159.4</v>
      </c>
      <c r="AK19" s="9">
        <v>159.6</v>
      </c>
      <c r="AL19" s="9">
        <v>159.69999999999999</v>
      </c>
      <c r="AM19" s="9">
        <v>159.9</v>
      </c>
      <c r="AN19" s="9">
        <v>160.1</v>
      </c>
      <c r="AO19" s="9">
        <v>160.19999999999999</v>
      </c>
      <c r="AP19" s="9">
        <v>160.30000000000001</v>
      </c>
      <c r="AQ19" s="9">
        <v>160.5</v>
      </c>
      <c r="AR19" s="9">
        <v>160.69999999999999</v>
      </c>
      <c r="AS19" s="9">
        <v>160.80000000000001</v>
      </c>
      <c r="AT19" s="9">
        <v>160.9</v>
      </c>
      <c r="AU19" s="9">
        <v>161</v>
      </c>
      <c r="AV19" s="9">
        <v>161.1</v>
      </c>
      <c r="AW19" s="9">
        <v>161.19999999999999</v>
      </c>
      <c r="AX19" s="9">
        <v>161.30000000000001</v>
      </c>
      <c r="AY19" s="9">
        <v>161.6</v>
      </c>
      <c r="AZ19" s="9">
        <v>161.69999999999999</v>
      </c>
      <c r="BA19" s="9">
        <v>161.80000000000001</v>
      </c>
      <c r="BB19" s="9">
        <v>162</v>
      </c>
      <c r="BC19" s="9">
        <v>162.1</v>
      </c>
      <c r="BD19" s="9">
        <v>162.19999999999999</v>
      </c>
      <c r="BE19" s="9">
        <v>162.30000000000001</v>
      </c>
      <c r="BF19" s="9">
        <v>162.5</v>
      </c>
      <c r="BG19" s="9">
        <v>162.69999999999999</v>
      </c>
      <c r="BH19" s="9">
        <v>162.80000000000001</v>
      </c>
      <c r="BI19" s="9">
        <v>162.9</v>
      </c>
      <c r="BJ19" s="9">
        <v>163</v>
      </c>
      <c r="BK19" s="9">
        <v>163.19999999999999</v>
      </c>
      <c r="BL19" s="9">
        <v>163.30000000000001</v>
      </c>
      <c r="BM19" s="9">
        <v>163.4</v>
      </c>
      <c r="BN19" s="9">
        <v>163.6</v>
      </c>
      <c r="BO19" s="9">
        <v>163.80000000000001</v>
      </c>
      <c r="BP19" s="9">
        <v>164</v>
      </c>
      <c r="BQ19" s="9">
        <v>164</v>
      </c>
      <c r="BR19" s="9">
        <v>164.2</v>
      </c>
      <c r="BS19" s="9">
        <v>164.4</v>
      </c>
      <c r="BT19" s="9">
        <v>164.5</v>
      </c>
      <c r="BU19" s="9">
        <v>164.7</v>
      </c>
      <c r="BV19" s="9">
        <v>164.8</v>
      </c>
      <c r="BW19" s="9">
        <v>165</v>
      </c>
      <c r="BX19" s="9">
        <v>165.1</v>
      </c>
      <c r="BY19" s="9">
        <v>165.3</v>
      </c>
      <c r="BZ19" s="9">
        <v>165.4</v>
      </c>
      <c r="CA19" s="9">
        <v>165.5</v>
      </c>
      <c r="CB19" s="9">
        <v>165.6</v>
      </c>
      <c r="CC19" s="9">
        <v>165.7</v>
      </c>
      <c r="CD19" s="9">
        <v>165.9</v>
      </c>
      <c r="CE19" s="9">
        <v>166.2</v>
      </c>
      <c r="CF19" s="9">
        <v>166.4</v>
      </c>
      <c r="CG19" s="9">
        <v>166.6</v>
      </c>
      <c r="CH19" s="9">
        <v>166.7</v>
      </c>
      <c r="CI19" s="9">
        <v>166.9</v>
      </c>
      <c r="CJ19" s="9">
        <v>167.1</v>
      </c>
      <c r="CK19" s="9">
        <v>167.2</v>
      </c>
      <c r="CL19" s="9">
        <v>167.4</v>
      </c>
      <c r="CM19" s="9">
        <v>167.6</v>
      </c>
      <c r="CN19" s="9">
        <v>168</v>
      </c>
      <c r="CO19" s="9">
        <v>168.1</v>
      </c>
      <c r="CP19" s="9">
        <v>168.2</v>
      </c>
      <c r="CQ19" s="9">
        <v>168.5</v>
      </c>
      <c r="CR19" s="9">
        <v>168.7</v>
      </c>
      <c r="CS19" s="9">
        <v>168.8</v>
      </c>
      <c r="CT19" s="9">
        <v>169</v>
      </c>
      <c r="CU19" s="9">
        <v>169.2</v>
      </c>
      <c r="CV19" s="9">
        <v>169.3</v>
      </c>
      <c r="CW19" s="9">
        <v>169.9</v>
      </c>
      <c r="CX19" s="9">
        <v>170.5</v>
      </c>
      <c r="CY19" s="9">
        <v>171.2</v>
      </c>
      <c r="CZ19" s="9">
        <v>172.4</v>
      </c>
      <c r="DA19" s="9">
        <v>173.7</v>
      </c>
      <c r="DB19" s="9">
        <v>175.9</v>
      </c>
    </row>
    <row r="20" spans="1:106">
      <c r="A20" s="1" t="s">
        <v>230</v>
      </c>
      <c r="B20" s="1" t="s">
        <v>4</v>
      </c>
      <c r="C20" s="1" t="s">
        <v>19</v>
      </c>
      <c r="D20" s="1" t="s">
        <v>212</v>
      </c>
      <c r="E20" s="6">
        <v>585</v>
      </c>
      <c r="F20" s="9">
        <v>161.63999999999999</v>
      </c>
      <c r="G20" s="9">
        <v>5.39</v>
      </c>
      <c r="H20" s="9">
        <v>148.1</v>
      </c>
      <c r="I20" s="9">
        <v>149.69999999999999</v>
      </c>
      <c r="J20" s="9">
        <v>151.80000000000001</v>
      </c>
      <c r="K20" s="9">
        <v>152.4</v>
      </c>
      <c r="L20" s="9">
        <v>152.6</v>
      </c>
      <c r="M20" s="9">
        <v>153.4</v>
      </c>
      <c r="N20" s="9">
        <v>153.6</v>
      </c>
      <c r="O20" s="9">
        <v>154</v>
      </c>
      <c r="P20" s="9">
        <v>154.19999999999999</v>
      </c>
      <c r="Q20" s="9">
        <v>154.69999999999999</v>
      </c>
      <c r="R20" s="9">
        <v>154.9</v>
      </c>
      <c r="S20" s="9">
        <v>155.19999999999999</v>
      </c>
      <c r="T20" s="9">
        <v>155.5</v>
      </c>
      <c r="U20" s="9">
        <v>155.9</v>
      </c>
      <c r="V20" s="9">
        <v>156.19999999999999</v>
      </c>
      <c r="W20" s="9">
        <v>156.30000000000001</v>
      </c>
      <c r="X20" s="9">
        <v>156.6</v>
      </c>
      <c r="Y20" s="9">
        <v>156.9</v>
      </c>
      <c r="Z20" s="9">
        <v>157.1</v>
      </c>
      <c r="AA20" s="9">
        <v>157.19999999999999</v>
      </c>
      <c r="AB20" s="9">
        <v>157.30000000000001</v>
      </c>
      <c r="AC20" s="9">
        <v>157.6</v>
      </c>
      <c r="AD20" s="9">
        <v>157.69999999999999</v>
      </c>
      <c r="AE20" s="9">
        <v>157.80000000000001</v>
      </c>
      <c r="AF20" s="9">
        <v>158</v>
      </c>
      <c r="AG20" s="9">
        <v>158.19999999999999</v>
      </c>
      <c r="AH20" s="9">
        <v>158.4</v>
      </c>
      <c r="AI20" s="9">
        <v>158.5</v>
      </c>
      <c r="AJ20" s="9">
        <v>158.80000000000001</v>
      </c>
      <c r="AK20" s="9">
        <v>159</v>
      </c>
      <c r="AL20" s="9">
        <v>159.1</v>
      </c>
      <c r="AM20" s="9">
        <v>159.19999999999999</v>
      </c>
      <c r="AN20" s="9">
        <v>159.30000000000001</v>
      </c>
      <c r="AO20" s="9">
        <v>159.4</v>
      </c>
      <c r="AP20" s="9">
        <v>159.5</v>
      </c>
      <c r="AQ20" s="9">
        <v>159.6</v>
      </c>
      <c r="AR20" s="9">
        <v>159.69999999999999</v>
      </c>
      <c r="AS20" s="9">
        <v>159.80000000000001</v>
      </c>
      <c r="AT20" s="9">
        <v>159.9</v>
      </c>
      <c r="AU20" s="9">
        <v>160</v>
      </c>
      <c r="AV20" s="9">
        <v>160.19999999999999</v>
      </c>
      <c r="AW20" s="9">
        <v>160.30000000000001</v>
      </c>
      <c r="AX20" s="9">
        <v>160.5</v>
      </c>
      <c r="AY20" s="9">
        <v>160.69999999999999</v>
      </c>
      <c r="AZ20" s="9">
        <v>160.80000000000001</v>
      </c>
      <c r="BA20" s="9">
        <v>160.9</v>
      </c>
      <c r="BB20" s="9">
        <v>161.19999999999999</v>
      </c>
      <c r="BC20" s="9">
        <v>161.4</v>
      </c>
      <c r="BD20" s="9">
        <v>161.5</v>
      </c>
      <c r="BE20" s="9">
        <v>161.80000000000001</v>
      </c>
      <c r="BF20" s="9">
        <v>161.9</v>
      </c>
      <c r="BG20" s="9">
        <v>162.1</v>
      </c>
      <c r="BH20" s="9">
        <v>162.1</v>
      </c>
      <c r="BI20" s="9">
        <v>162.30000000000001</v>
      </c>
      <c r="BJ20" s="9">
        <v>162.5</v>
      </c>
      <c r="BK20" s="9">
        <v>162.5</v>
      </c>
      <c r="BL20" s="9">
        <v>162.6</v>
      </c>
      <c r="BM20" s="9">
        <v>162.80000000000001</v>
      </c>
      <c r="BN20" s="9">
        <v>162.9</v>
      </c>
      <c r="BO20" s="9">
        <v>163.1</v>
      </c>
      <c r="BP20" s="9">
        <v>163.19999999999999</v>
      </c>
      <c r="BQ20" s="9">
        <v>163.5</v>
      </c>
      <c r="BR20" s="9">
        <v>163.6</v>
      </c>
      <c r="BS20" s="9">
        <v>163.69999999999999</v>
      </c>
      <c r="BT20" s="9">
        <v>163.80000000000001</v>
      </c>
      <c r="BU20" s="9">
        <v>163.80000000000001</v>
      </c>
      <c r="BV20" s="9">
        <v>163.9</v>
      </c>
      <c r="BW20" s="9">
        <v>164.1</v>
      </c>
      <c r="BX20" s="9">
        <v>164.2</v>
      </c>
      <c r="BY20" s="9">
        <v>164.4</v>
      </c>
      <c r="BZ20" s="9">
        <v>164.5</v>
      </c>
      <c r="CA20" s="9">
        <v>164.6</v>
      </c>
      <c r="CB20" s="9">
        <v>164.7</v>
      </c>
      <c r="CC20" s="9">
        <v>164.8</v>
      </c>
      <c r="CD20" s="9">
        <v>165.1</v>
      </c>
      <c r="CE20" s="9">
        <v>165.5</v>
      </c>
      <c r="CF20" s="9">
        <v>165.7</v>
      </c>
      <c r="CG20" s="9">
        <v>165.9</v>
      </c>
      <c r="CH20" s="9">
        <v>166.1</v>
      </c>
      <c r="CI20" s="9">
        <v>166.2</v>
      </c>
      <c r="CJ20" s="9">
        <v>166.3</v>
      </c>
      <c r="CK20" s="9">
        <v>166.5</v>
      </c>
      <c r="CL20" s="9">
        <v>166.6</v>
      </c>
      <c r="CM20" s="9">
        <v>166.9</v>
      </c>
      <c r="CN20" s="9">
        <v>167.2</v>
      </c>
      <c r="CO20" s="9">
        <v>167.2</v>
      </c>
      <c r="CP20" s="9">
        <v>167.4</v>
      </c>
      <c r="CQ20" s="9">
        <v>167.6</v>
      </c>
      <c r="CR20" s="9">
        <v>167.9</v>
      </c>
      <c r="CS20" s="9">
        <v>168.3</v>
      </c>
      <c r="CT20" s="9">
        <v>168.6</v>
      </c>
      <c r="CU20" s="9">
        <v>169.2</v>
      </c>
      <c r="CV20" s="9">
        <v>169.6</v>
      </c>
      <c r="CW20" s="9">
        <v>169.9</v>
      </c>
      <c r="CX20" s="9">
        <v>170.4</v>
      </c>
      <c r="CY20" s="9">
        <v>171.4</v>
      </c>
      <c r="CZ20" s="9">
        <v>172</v>
      </c>
      <c r="DA20" s="9">
        <v>172.9</v>
      </c>
      <c r="DB20" s="9">
        <v>174.7</v>
      </c>
    </row>
    <row r="21" spans="1:106">
      <c r="A21" s="1" t="s">
        <v>231</v>
      </c>
      <c r="B21" s="1" t="s">
        <v>4</v>
      </c>
      <c r="C21" s="1" t="s">
        <v>19</v>
      </c>
      <c r="D21" s="1" t="s">
        <v>214</v>
      </c>
      <c r="E21" s="6">
        <v>828</v>
      </c>
      <c r="F21" s="9">
        <v>161.57</v>
      </c>
      <c r="G21" s="9">
        <v>5.57</v>
      </c>
      <c r="H21" s="9">
        <v>148</v>
      </c>
      <c r="I21" s="9">
        <v>150.9</v>
      </c>
      <c r="J21" s="9">
        <v>151.5</v>
      </c>
      <c r="K21" s="9">
        <v>152.1</v>
      </c>
      <c r="L21" s="9">
        <v>152.9</v>
      </c>
      <c r="M21" s="9">
        <v>153.19999999999999</v>
      </c>
      <c r="N21" s="9">
        <v>154</v>
      </c>
      <c r="O21" s="9">
        <v>154.1</v>
      </c>
      <c r="P21" s="9">
        <v>154.4</v>
      </c>
      <c r="Q21" s="9">
        <v>154.69999999999999</v>
      </c>
      <c r="R21" s="9">
        <v>155.19999999999999</v>
      </c>
      <c r="S21" s="9">
        <v>155.4</v>
      </c>
      <c r="T21" s="9">
        <v>155.69999999999999</v>
      </c>
      <c r="U21" s="9">
        <v>155.9</v>
      </c>
      <c r="V21" s="9">
        <v>156</v>
      </c>
      <c r="W21" s="9">
        <v>156.30000000000001</v>
      </c>
      <c r="X21" s="9">
        <v>156.4</v>
      </c>
      <c r="Y21" s="9">
        <v>156.6</v>
      </c>
      <c r="Z21" s="9">
        <v>156.80000000000001</v>
      </c>
      <c r="AA21" s="9">
        <v>157</v>
      </c>
      <c r="AB21" s="9">
        <v>157.19999999999999</v>
      </c>
      <c r="AC21" s="9">
        <v>157.4</v>
      </c>
      <c r="AD21" s="9">
        <v>157.6</v>
      </c>
      <c r="AE21" s="9">
        <v>157.80000000000001</v>
      </c>
      <c r="AF21" s="9">
        <v>157.80000000000001</v>
      </c>
      <c r="AG21" s="9">
        <v>158</v>
      </c>
      <c r="AH21" s="9">
        <v>158.19999999999999</v>
      </c>
      <c r="AI21" s="9">
        <v>158.4</v>
      </c>
      <c r="AJ21" s="9">
        <v>158.5</v>
      </c>
      <c r="AK21" s="9">
        <v>158.69999999999999</v>
      </c>
      <c r="AL21" s="9">
        <v>158.80000000000001</v>
      </c>
      <c r="AM21" s="9">
        <v>159.1</v>
      </c>
      <c r="AN21" s="9">
        <v>159.19999999999999</v>
      </c>
      <c r="AO21" s="9">
        <v>159.30000000000001</v>
      </c>
      <c r="AP21" s="9">
        <v>159.4</v>
      </c>
      <c r="AQ21" s="9">
        <v>159.6</v>
      </c>
      <c r="AR21" s="9">
        <v>159.9</v>
      </c>
      <c r="AS21" s="9">
        <v>160.1</v>
      </c>
      <c r="AT21" s="9">
        <v>160.19999999999999</v>
      </c>
      <c r="AU21" s="9">
        <v>160.19999999999999</v>
      </c>
      <c r="AV21" s="9">
        <v>160.30000000000001</v>
      </c>
      <c r="AW21" s="9">
        <v>160.5</v>
      </c>
      <c r="AX21" s="9">
        <v>160.6</v>
      </c>
      <c r="AY21" s="9">
        <v>160.6</v>
      </c>
      <c r="AZ21" s="9">
        <v>160.69999999999999</v>
      </c>
      <c r="BA21" s="9">
        <v>160.80000000000001</v>
      </c>
      <c r="BB21" s="9">
        <v>161</v>
      </c>
      <c r="BC21" s="9">
        <v>161.1</v>
      </c>
      <c r="BD21" s="9">
        <v>161.30000000000001</v>
      </c>
      <c r="BE21" s="9">
        <v>161.4</v>
      </c>
      <c r="BF21" s="9">
        <v>161.6</v>
      </c>
      <c r="BG21" s="9">
        <v>161.69999999999999</v>
      </c>
      <c r="BH21" s="9">
        <v>161.9</v>
      </c>
      <c r="BI21" s="9">
        <v>162</v>
      </c>
      <c r="BJ21" s="9">
        <v>162.1</v>
      </c>
      <c r="BK21" s="9">
        <v>162.4</v>
      </c>
      <c r="BL21" s="9">
        <v>162.5</v>
      </c>
      <c r="BM21" s="9">
        <v>162.6</v>
      </c>
      <c r="BN21" s="9">
        <v>162.80000000000001</v>
      </c>
      <c r="BO21" s="9">
        <v>162.9</v>
      </c>
      <c r="BP21" s="9">
        <v>162.9</v>
      </c>
      <c r="BQ21" s="9">
        <v>163.1</v>
      </c>
      <c r="BR21" s="9">
        <v>163.19999999999999</v>
      </c>
      <c r="BS21" s="9">
        <v>163.4</v>
      </c>
      <c r="BT21" s="9">
        <v>163.5</v>
      </c>
      <c r="BU21" s="9">
        <v>163.69999999999999</v>
      </c>
      <c r="BV21" s="9">
        <v>163.80000000000001</v>
      </c>
      <c r="BW21" s="9">
        <v>163.9</v>
      </c>
      <c r="BX21" s="9">
        <v>164</v>
      </c>
      <c r="BY21" s="9">
        <v>164.2</v>
      </c>
      <c r="BZ21" s="9">
        <v>164.3</v>
      </c>
      <c r="CA21" s="9">
        <v>164.5</v>
      </c>
      <c r="CB21" s="9">
        <v>164.8</v>
      </c>
      <c r="CC21" s="9">
        <v>165</v>
      </c>
      <c r="CD21" s="9">
        <v>165.2</v>
      </c>
      <c r="CE21" s="9">
        <v>165.4</v>
      </c>
      <c r="CF21" s="9">
        <v>165.6</v>
      </c>
      <c r="CG21" s="9">
        <v>165.7</v>
      </c>
      <c r="CH21" s="9">
        <v>165.9</v>
      </c>
      <c r="CI21" s="9">
        <v>166.1</v>
      </c>
      <c r="CJ21" s="9">
        <v>166.6</v>
      </c>
      <c r="CK21" s="9">
        <v>166.9</v>
      </c>
      <c r="CL21" s="9">
        <v>167</v>
      </c>
      <c r="CM21" s="9">
        <v>167.3</v>
      </c>
      <c r="CN21" s="9">
        <v>167.4</v>
      </c>
      <c r="CO21" s="9">
        <v>167.5</v>
      </c>
      <c r="CP21" s="9">
        <v>167.7</v>
      </c>
      <c r="CQ21" s="9">
        <v>168.1</v>
      </c>
      <c r="CR21" s="9">
        <v>168.3</v>
      </c>
      <c r="CS21" s="9">
        <v>168.7</v>
      </c>
      <c r="CT21" s="9">
        <v>169.1</v>
      </c>
      <c r="CU21" s="9">
        <v>169.4</v>
      </c>
      <c r="CV21" s="9">
        <v>169.6</v>
      </c>
      <c r="CW21" s="9">
        <v>170.1</v>
      </c>
      <c r="CX21" s="9">
        <v>170.4</v>
      </c>
      <c r="CY21" s="9">
        <v>171.1</v>
      </c>
      <c r="CZ21" s="9">
        <v>171.7</v>
      </c>
      <c r="DA21" s="9">
        <v>173.3</v>
      </c>
      <c r="DB21" s="9">
        <v>174.2</v>
      </c>
    </row>
    <row r="22" spans="1:106">
      <c r="A22" s="1" t="s">
        <v>232</v>
      </c>
      <c r="B22" s="1" t="s">
        <v>4</v>
      </c>
      <c r="C22" s="1" t="s">
        <v>19</v>
      </c>
      <c r="D22" s="1" t="s">
        <v>216</v>
      </c>
      <c r="E22" s="6">
        <v>765</v>
      </c>
      <c r="F22" s="9">
        <v>160.47999999999999</v>
      </c>
      <c r="G22" s="9">
        <v>5.48</v>
      </c>
      <c r="H22" s="9">
        <v>147.5</v>
      </c>
      <c r="I22" s="9">
        <v>149</v>
      </c>
      <c r="J22" s="9">
        <v>150.30000000000001</v>
      </c>
      <c r="K22" s="9">
        <v>151.19999999999999</v>
      </c>
      <c r="L22" s="9">
        <v>151.69999999999999</v>
      </c>
      <c r="M22" s="9">
        <v>152.1</v>
      </c>
      <c r="N22" s="9">
        <v>152.5</v>
      </c>
      <c r="O22" s="9">
        <v>153</v>
      </c>
      <c r="P22" s="9">
        <v>153.19999999999999</v>
      </c>
      <c r="Q22" s="9">
        <v>153.4</v>
      </c>
      <c r="R22" s="9">
        <v>153.6</v>
      </c>
      <c r="S22" s="9">
        <v>153.9</v>
      </c>
      <c r="T22" s="9">
        <v>154.19999999999999</v>
      </c>
      <c r="U22" s="9">
        <v>154.5</v>
      </c>
      <c r="V22" s="9">
        <v>154.69999999999999</v>
      </c>
      <c r="W22" s="9">
        <v>154.9</v>
      </c>
      <c r="X22" s="9">
        <v>155.1</v>
      </c>
      <c r="Y22" s="9">
        <v>155.19999999999999</v>
      </c>
      <c r="Z22" s="9">
        <v>155.4</v>
      </c>
      <c r="AA22" s="9">
        <v>155.6</v>
      </c>
      <c r="AB22" s="9">
        <v>155.80000000000001</v>
      </c>
      <c r="AC22" s="9">
        <v>156.30000000000001</v>
      </c>
      <c r="AD22" s="9">
        <v>156.5</v>
      </c>
      <c r="AE22" s="9">
        <v>156.6</v>
      </c>
      <c r="AF22" s="9">
        <v>156.9</v>
      </c>
      <c r="AG22" s="9">
        <v>157</v>
      </c>
      <c r="AH22" s="9">
        <v>157.19999999999999</v>
      </c>
      <c r="AI22" s="9">
        <v>157.4</v>
      </c>
      <c r="AJ22" s="9">
        <v>157.5</v>
      </c>
      <c r="AK22" s="9">
        <v>157.80000000000001</v>
      </c>
      <c r="AL22" s="9">
        <v>157.9</v>
      </c>
      <c r="AM22" s="9">
        <v>158</v>
      </c>
      <c r="AN22" s="9">
        <v>158.1</v>
      </c>
      <c r="AO22" s="9">
        <v>158.19999999999999</v>
      </c>
      <c r="AP22" s="9">
        <v>158.30000000000001</v>
      </c>
      <c r="AQ22" s="9">
        <v>158.5</v>
      </c>
      <c r="AR22" s="9">
        <v>158.80000000000001</v>
      </c>
      <c r="AS22" s="9">
        <v>158.9</v>
      </c>
      <c r="AT22" s="9">
        <v>159.1</v>
      </c>
      <c r="AU22" s="9">
        <v>159.19999999999999</v>
      </c>
      <c r="AV22" s="9">
        <v>159.19999999999999</v>
      </c>
      <c r="AW22" s="9">
        <v>159.4</v>
      </c>
      <c r="AX22" s="9">
        <v>159.5</v>
      </c>
      <c r="AY22" s="9">
        <v>159.6</v>
      </c>
      <c r="AZ22" s="9">
        <v>159.69999999999999</v>
      </c>
      <c r="BA22" s="9">
        <v>159.9</v>
      </c>
      <c r="BB22" s="9">
        <v>160.1</v>
      </c>
      <c r="BC22" s="9">
        <v>160.19999999999999</v>
      </c>
      <c r="BD22" s="9">
        <v>160.4</v>
      </c>
      <c r="BE22" s="9">
        <v>160.6</v>
      </c>
      <c r="BF22" s="9">
        <v>160.69999999999999</v>
      </c>
      <c r="BG22" s="9">
        <v>160.80000000000001</v>
      </c>
      <c r="BH22" s="9">
        <v>160.9</v>
      </c>
      <c r="BI22" s="9">
        <v>161</v>
      </c>
      <c r="BJ22" s="9">
        <v>161.1</v>
      </c>
      <c r="BK22" s="9">
        <v>161.30000000000001</v>
      </c>
      <c r="BL22" s="9">
        <v>161.4</v>
      </c>
      <c r="BM22" s="9">
        <v>161.5</v>
      </c>
      <c r="BN22" s="9">
        <v>161.80000000000001</v>
      </c>
      <c r="BO22" s="9">
        <v>161.9</v>
      </c>
      <c r="BP22" s="9">
        <v>162</v>
      </c>
      <c r="BQ22" s="9">
        <v>162.19999999999999</v>
      </c>
      <c r="BR22" s="9">
        <v>162.30000000000001</v>
      </c>
      <c r="BS22" s="9">
        <v>162.4</v>
      </c>
      <c r="BT22" s="9">
        <v>162.5</v>
      </c>
      <c r="BU22" s="9">
        <v>162.6</v>
      </c>
      <c r="BV22" s="9">
        <v>162.80000000000001</v>
      </c>
      <c r="BW22" s="9">
        <v>162.9</v>
      </c>
      <c r="BX22" s="9">
        <v>163.1</v>
      </c>
      <c r="BY22" s="9">
        <v>163.30000000000001</v>
      </c>
      <c r="BZ22" s="9">
        <v>163.4</v>
      </c>
      <c r="CA22" s="9">
        <v>163.69999999999999</v>
      </c>
      <c r="CB22" s="9">
        <v>163.80000000000001</v>
      </c>
      <c r="CC22" s="9">
        <v>163.9</v>
      </c>
      <c r="CD22" s="9">
        <v>164</v>
      </c>
      <c r="CE22" s="9">
        <v>164.3</v>
      </c>
      <c r="CF22" s="9">
        <v>164.3</v>
      </c>
      <c r="CG22" s="9">
        <v>164.7</v>
      </c>
      <c r="CH22" s="9">
        <v>164.9</v>
      </c>
      <c r="CI22" s="9">
        <v>165.2</v>
      </c>
      <c r="CJ22" s="9">
        <v>165.3</v>
      </c>
      <c r="CK22" s="9">
        <v>165.5</v>
      </c>
      <c r="CL22" s="9">
        <v>165.8</v>
      </c>
      <c r="CM22" s="9">
        <v>166.2</v>
      </c>
      <c r="CN22" s="9">
        <v>166.3</v>
      </c>
      <c r="CO22" s="9">
        <v>166.6</v>
      </c>
      <c r="CP22" s="9">
        <v>166.9</v>
      </c>
      <c r="CQ22" s="9">
        <v>167.1</v>
      </c>
      <c r="CR22" s="9">
        <v>167.3</v>
      </c>
      <c r="CS22" s="9">
        <v>167.6</v>
      </c>
      <c r="CT22" s="9">
        <v>167.8</v>
      </c>
      <c r="CU22" s="9">
        <v>168</v>
      </c>
      <c r="CV22" s="9">
        <v>168.3</v>
      </c>
      <c r="CW22" s="9">
        <v>168.9</v>
      </c>
      <c r="CX22" s="9">
        <v>169.4</v>
      </c>
      <c r="CY22" s="9">
        <v>169.7</v>
      </c>
      <c r="CZ22" s="9">
        <v>170.6</v>
      </c>
      <c r="DA22" s="9">
        <v>171.8</v>
      </c>
      <c r="DB22" s="9">
        <v>172.8</v>
      </c>
    </row>
    <row r="23" spans="1:106">
      <c r="A23" s="1" t="s">
        <v>233</v>
      </c>
      <c r="B23" s="1" t="s">
        <v>4</v>
      </c>
      <c r="C23" s="1" t="s">
        <v>19</v>
      </c>
      <c r="D23" s="1" t="s">
        <v>218</v>
      </c>
      <c r="E23" s="6">
        <v>948</v>
      </c>
      <c r="F23" s="9">
        <v>159.12</v>
      </c>
      <c r="G23" s="9">
        <v>5.2</v>
      </c>
      <c r="H23" s="9">
        <v>145.9</v>
      </c>
      <c r="I23" s="9">
        <v>148.1</v>
      </c>
      <c r="J23" s="9">
        <v>148.9</v>
      </c>
      <c r="K23" s="9">
        <v>149.69999999999999</v>
      </c>
      <c r="L23" s="9">
        <v>150.5</v>
      </c>
      <c r="M23" s="9">
        <v>150.9</v>
      </c>
      <c r="N23" s="9">
        <v>151.5</v>
      </c>
      <c r="O23" s="9">
        <v>151.9</v>
      </c>
      <c r="P23" s="9">
        <v>152.19999999999999</v>
      </c>
      <c r="Q23" s="9">
        <v>152.5</v>
      </c>
      <c r="R23" s="9">
        <v>152.80000000000001</v>
      </c>
      <c r="S23" s="9">
        <v>153.30000000000001</v>
      </c>
      <c r="T23" s="9">
        <v>153.5</v>
      </c>
      <c r="U23" s="9">
        <v>153.80000000000001</v>
      </c>
      <c r="V23" s="9">
        <v>154</v>
      </c>
      <c r="W23" s="9">
        <v>154.30000000000001</v>
      </c>
      <c r="X23" s="9">
        <v>154.6</v>
      </c>
      <c r="Y23" s="9">
        <v>154.69999999999999</v>
      </c>
      <c r="Z23" s="9">
        <v>154.9</v>
      </c>
      <c r="AA23" s="9">
        <v>155.1</v>
      </c>
      <c r="AB23" s="9">
        <v>155.1</v>
      </c>
      <c r="AC23" s="9">
        <v>155.19999999999999</v>
      </c>
      <c r="AD23" s="9">
        <v>155.30000000000001</v>
      </c>
      <c r="AE23" s="9">
        <v>155.5</v>
      </c>
      <c r="AF23" s="9">
        <v>155.69999999999999</v>
      </c>
      <c r="AG23" s="9">
        <v>156</v>
      </c>
      <c r="AH23" s="9">
        <v>156.1</v>
      </c>
      <c r="AI23" s="9">
        <v>156.19999999999999</v>
      </c>
      <c r="AJ23" s="9">
        <v>156.4</v>
      </c>
      <c r="AK23" s="9">
        <v>156.6</v>
      </c>
      <c r="AL23" s="9">
        <v>156.69999999999999</v>
      </c>
      <c r="AM23" s="9">
        <v>156.80000000000001</v>
      </c>
      <c r="AN23" s="9">
        <v>157</v>
      </c>
      <c r="AO23" s="9">
        <v>157.1</v>
      </c>
      <c r="AP23" s="9">
        <v>157.19999999999999</v>
      </c>
      <c r="AQ23" s="9">
        <v>157.30000000000001</v>
      </c>
      <c r="AR23" s="9">
        <v>157.4</v>
      </c>
      <c r="AS23" s="9">
        <v>157.5</v>
      </c>
      <c r="AT23" s="9">
        <v>157.6</v>
      </c>
      <c r="AU23" s="9">
        <v>157.69999999999999</v>
      </c>
      <c r="AV23" s="9">
        <v>157.9</v>
      </c>
      <c r="AW23" s="9">
        <v>158</v>
      </c>
      <c r="AX23" s="9">
        <v>158.1</v>
      </c>
      <c r="AY23" s="9">
        <v>158.4</v>
      </c>
      <c r="AZ23" s="9">
        <v>158.4</v>
      </c>
      <c r="BA23" s="9">
        <v>158.6</v>
      </c>
      <c r="BB23" s="9">
        <v>158.69999999999999</v>
      </c>
      <c r="BC23" s="9">
        <v>159</v>
      </c>
      <c r="BD23" s="9">
        <v>159.1</v>
      </c>
      <c r="BE23" s="9">
        <v>159.19999999999999</v>
      </c>
      <c r="BF23" s="9">
        <v>159.4</v>
      </c>
      <c r="BG23" s="9">
        <v>159.5</v>
      </c>
      <c r="BH23" s="9">
        <v>159.5</v>
      </c>
      <c r="BI23" s="9">
        <v>159.69999999999999</v>
      </c>
      <c r="BJ23" s="9">
        <v>159.80000000000001</v>
      </c>
      <c r="BK23" s="9">
        <v>159.9</v>
      </c>
      <c r="BL23" s="9">
        <v>160</v>
      </c>
      <c r="BM23" s="9">
        <v>160.1</v>
      </c>
      <c r="BN23" s="9">
        <v>160.30000000000001</v>
      </c>
      <c r="BO23" s="9">
        <v>160.5</v>
      </c>
      <c r="BP23" s="9">
        <v>160.6</v>
      </c>
      <c r="BQ23" s="9">
        <v>160.69999999999999</v>
      </c>
      <c r="BR23" s="9">
        <v>160.80000000000001</v>
      </c>
      <c r="BS23" s="9">
        <v>161</v>
      </c>
      <c r="BT23" s="9">
        <v>161.1</v>
      </c>
      <c r="BU23" s="9">
        <v>161.30000000000001</v>
      </c>
      <c r="BV23" s="9">
        <v>161.4</v>
      </c>
      <c r="BW23" s="9">
        <v>161.4</v>
      </c>
      <c r="BX23" s="9">
        <v>161.5</v>
      </c>
      <c r="BY23" s="9">
        <v>161.6</v>
      </c>
      <c r="BZ23" s="9">
        <v>161.80000000000001</v>
      </c>
      <c r="CA23" s="9">
        <v>161.9</v>
      </c>
      <c r="CB23" s="9">
        <v>162.1</v>
      </c>
      <c r="CC23" s="9">
        <v>162.19999999999999</v>
      </c>
      <c r="CD23" s="9">
        <v>162.4</v>
      </c>
      <c r="CE23" s="9">
        <v>162.6</v>
      </c>
      <c r="CF23" s="9">
        <v>162.80000000000001</v>
      </c>
      <c r="CG23" s="9">
        <v>162.9</v>
      </c>
      <c r="CH23" s="9">
        <v>163.1</v>
      </c>
      <c r="CI23" s="9">
        <v>163.19999999999999</v>
      </c>
      <c r="CJ23" s="9">
        <v>163.4</v>
      </c>
      <c r="CK23" s="9">
        <v>163.80000000000001</v>
      </c>
      <c r="CL23" s="9">
        <v>164</v>
      </c>
      <c r="CM23" s="9">
        <v>164.1</v>
      </c>
      <c r="CN23" s="9">
        <v>164.2</v>
      </c>
      <c r="CO23" s="9">
        <v>164.6</v>
      </c>
      <c r="CP23" s="9">
        <v>164.8</v>
      </c>
      <c r="CQ23" s="9">
        <v>165.1</v>
      </c>
      <c r="CR23" s="9">
        <v>165.4</v>
      </c>
      <c r="CS23" s="9">
        <v>165.8</v>
      </c>
      <c r="CT23" s="9">
        <v>166.2</v>
      </c>
      <c r="CU23" s="9">
        <v>166.6</v>
      </c>
      <c r="CV23" s="9">
        <v>167.1</v>
      </c>
      <c r="CW23" s="9">
        <v>167.4</v>
      </c>
      <c r="CX23" s="9">
        <v>167.7</v>
      </c>
      <c r="CY23" s="9">
        <v>168.1</v>
      </c>
      <c r="CZ23" s="9">
        <v>168.6</v>
      </c>
      <c r="DA23" s="9">
        <v>169.3</v>
      </c>
      <c r="DB23" s="9">
        <v>170.4</v>
      </c>
    </row>
    <row r="24" spans="1:106">
      <c r="A24" s="1" t="s">
        <v>234</v>
      </c>
      <c r="B24" s="1" t="s">
        <v>4</v>
      </c>
      <c r="C24" s="1" t="s">
        <v>19</v>
      </c>
      <c r="D24" s="1" t="s">
        <v>220</v>
      </c>
      <c r="E24" s="6">
        <v>895</v>
      </c>
      <c r="F24" s="9">
        <v>157.66</v>
      </c>
      <c r="G24" s="9">
        <v>5.2</v>
      </c>
      <c r="H24" s="9">
        <v>145.19999999999999</v>
      </c>
      <c r="I24" s="9">
        <v>146.5</v>
      </c>
      <c r="J24" s="9">
        <v>147.6</v>
      </c>
      <c r="K24" s="9">
        <v>148.4</v>
      </c>
      <c r="L24" s="9">
        <v>148.69999999999999</v>
      </c>
      <c r="M24" s="9">
        <v>149.4</v>
      </c>
      <c r="N24" s="9">
        <v>149.80000000000001</v>
      </c>
      <c r="O24" s="9">
        <v>149.9</v>
      </c>
      <c r="P24" s="9">
        <v>150.30000000000001</v>
      </c>
      <c r="Q24" s="9">
        <v>150.6</v>
      </c>
      <c r="R24" s="9">
        <v>151</v>
      </c>
      <c r="S24" s="9">
        <v>151.4</v>
      </c>
      <c r="T24" s="9">
        <v>151.5</v>
      </c>
      <c r="U24" s="9">
        <v>151.9</v>
      </c>
      <c r="V24" s="9">
        <v>152.30000000000001</v>
      </c>
      <c r="W24" s="9">
        <v>152.5</v>
      </c>
      <c r="X24" s="9">
        <v>152.80000000000001</v>
      </c>
      <c r="Y24" s="9">
        <v>153</v>
      </c>
      <c r="Z24" s="9">
        <v>153.19999999999999</v>
      </c>
      <c r="AA24" s="9">
        <v>153.4</v>
      </c>
      <c r="AB24" s="9">
        <v>153.6</v>
      </c>
      <c r="AC24" s="9">
        <v>153.9</v>
      </c>
      <c r="AD24" s="9">
        <v>154.1</v>
      </c>
      <c r="AE24" s="9">
        <v>154.19999999999999</v>
      </c>
      <c r="AF24" s="9">
        <v>154.30000000000001</v>
      </c>
      <c r="AG24" s="9">
        <v>154.5</v>
      </c>
      <c r="AH24" s="9">
        <v>154.69999999999999</v>
      </c>
      <c r="AI24" s="9">
        <v>154.9</v>
      </c>
      <c r="AJ24" s="9">
        <v>155</v>
      </c>
      <c r="AK24" s="9">
        <v>155.1</v>
      </c>
      <c r="AL24" s="9">
        <v>155.19999999999999</v>
      </c>
      <c r="AM24" s="9">
        <v>155.30000000000001</v>
      </c>
      <c r="AN24" s="9">
        <v>155.4</v>
      </c>
      <c r="AO24" s="9">
        <v>155.6</v>
      </c>
      <c r="AP24" s="9">
        <v>155.69999999999999</v>
      </c>
      <c r="AQ24" s="9">
        <v>155.69999999999999</v>
      </c>
      <c r="AR24" s="9">
        <v>155.9</v>
      </c>
      <c r="AS24" s="9">
        <v>156</v>
      </c>
      <c r="AT24" s="9">
        <v>156.19999999999999</v>
      </c>
      <c r="AU24" s="9">
        <v>156.30000000000001</v>
      </c>
      <c r="AV24" s="9">
        <v>156.4</v>
      </c>
      <c r="AW24" s="9">
        <v>156.5</v>
      </c>
      <c r="AX24" s="9">
        <v>156.6</v>
      </c>
      <c r="AY24" s="9">
        <v>156.80000000000001</v>
      </c>
      <c r="AZ24" s="9">
        <v>156.9</v>
      </c>
      <c r="BA24" s="9">
        <v>157</v>
      </c>
      <c r="BB24" s="9">
        <v>157.19999999999999</v>
      </c>
      <c r="BC24" s="9">
        <v>157.30000000000001</v>
      </c>
      <c r="BD24" s="9">
        <v>157.5</v>
      </c>
      <c r="BE24" s="9">
        <v>157.6</v>
      </c>
      <c r="BF24" s="9">
        <v>157.69999999999999</v>
      </c>
      <c r="BG24" s="9">
        <v>157.80000000000001</v>
      </c>
      <c r="BH24" s="9">
        <v>158</v>
      </c>
      <c r="BI24" s="9">
        <v>158.1</v>
      </c>
      <c r="BJ24" s="9">
        <v>158.19999999999999</v>
      </c>
      <c r="BK24" s="9">
        <v>158.6</v>
      </c>
      <c r="BL24" s="9">
        <v>158.69999999999999</v>
      </c>
      <c r="BM24" s="9">
        <v>158.9</v>
      </c>
      <c r="BN24" s="9">
        <v>159</v>
      </c>
      <c r="BO24" s="9">
        <v>159.19999999999999</v>
      </c>
      <c r="BP24" s="9">
        <v>159.30000000000001</v>
      </c>
      <c r="BQ24" s="9">
        <v>159.4</v>
      </c>
      <c r="BR24" s="9">
        <v>159.5</v>
      </c>
      <c r="BS24" s="9">
        <v>159.6</v>
      </c>
      <c r="BT24" s="9">
        <v>159.69999999999999</v>
      </c>
      <c r="BU24" s="9">
        <v>159.9</v>
      </c>
      <c r="BV24" s="9">
        <v>160</v>
      </c>
      <c r="BW24" s="9">
        <v>160.19999999999999</v>
      </c>
      <c r="BX24" s="9">
        <v>160.4</v>
      </c>
      <c r="BY24" s="9">
        <v>160.6</v>
      </c>
      <c r="BZ24" s="9">
        <v>160.69999999999999</v>
      </c>
      <c r="CA24" s="9">
        <v>160.80000000000001</v>
      </c>
      <c r="CB24" s="9">
        <v>160.9</v>
      </c>
      <c r="CC24" s="9">
        <v>161.1</v>
      </c>
      <c r="CD24" s="9">
        <v>161.19999999999999</v>
      </c>
      <c r="CE24" s="9">
        <v>161.30000000000001</v>
      </c>
      <c r="CF24" s="9">
        <v>161.5</v>
      </c>
      <c r="CG24" s="9">
        <v>161.6</v>
      </c>
      <c r="CH24" s="9">
        <v>161.80000000000001</v>
      </c>
      <c r="CI24" s="9">
        <v>162.1</v>
      </c>
      <c r="CJ24" s="9">
        <v>162.4</v>
      </c>
      <c r="CK24" s="9">
        <v>162.5</v>
      </c>
      <c r="CL24" s="9">
        <v>162.69999999999999</v>
      </c>
      <c r="CM24" s="9">
        <v>162.80000000000001</v>
      </c>
      <c r="CN24" s="9">
        <v>163.1</v>
      </c>
      <c r="CO24" s="9">
        <v>163.30000000000001</v>
      </c>
      <c r="CP24" s="9">
        <v>163.4</v>
      </c>
      <c r="CQ24" s="9">
        <v>163.69999999999999</v>
      </c>
      <c r="CR24" s="9">
        <v>164</v>
      </c>
      <c r="CS24" s="9">
        <v>164.4</v>
      </c>
      <c r="CT24" s="9">
        <v>164.7</v>
      </c>
      <c r="CU24" s="9">
        <v>165</v>
      </c>
      <c r="CV24" s="9">
        <v>165.1</v>
      </c>
      <c r="CW24" s="9">
        <v>165.4</v>
      </c>
      <c r="CX24" s="9">
        <v>166.1</v>
      </c>
      <c r="CY24" s="9">
        <v>166.7</v>
      </c>
      <c r="CZ24" s="9">
        <v>167.1</v>
      </c>
      <c r="DA24" s="9">
        <v>168</v>
      </c>
      <c r="DB24" s="9">
        <v>169.3</v>
      </c>
    </row>
    <row r="25" spans="1:106">
      <c r="A25" s="1" t="s">
        <v>235</v>
      </c>
      <c r="B25" s="1" t="s">
        <v>4</v>
      </c>
      <c r="C25" s="1" t="s">
        <v>19</v>
      </c>
      <c r="D25" s="1" t="s">
        <v>222</v>
      </c>
      <c r="E25" s="6">
        <v>1094</v>
      </c>
      <c r="F25" s="9">
        <v>156.47999999999999</v>
      </c>
      <c r="G25" s="9">
        <v>5.39</v>
      </c>
      <c r="H25" s="9">
        <v>142.69999999999999</v>
      </c>
      <c r="I25" s="9">
        <v>145</v>
      </c>
      <c r="J25" s="9">
        <v>145.9</v>
      </c>
      <c r="K25" s="9">
        <v>146.80000000000001</v>
      </c>
      <c r="L25" s="9">
        <v>147.6</v>
      </c>
      <c r="M25" s="9">
        <v>148</v>
      </c>
      <c r="N25" s="9">
        <v>148.69999999999999</v>
      </c>
      <c r="O25" s="9">
        <v>149</v>
      </c>
      <c r="P25" s="9">
        <v>149.4</v>
      </c>
      <c r="Q25" s="9">
        <v>149.69999999999999</v>
      </c>
      <c r="R25" s="9">
        <v>149.9</v>
      </c>
      <c r="S25" s="9">
        <v>150.19999999999999</v>
      </c>
      <c r="T25" s="9">
        <v>150.6</v>
      </c>
      <c r="U25" s="9">
        <v>150.80000000000001</v>
      </c>
      <c r="V25" s="9">
        <v>151</v>
      </c>
      <c r="W25" s="9">
        <v>151.30000000000001</v>
      </c>
      <c r="X25" s="9">
        <v>151.4</v>
      </c>
      <c r="Y25" s="9">
        <v>151.6</v>
      </c>
      <c r="Z25" s="9">
        <v>151.80000000000001</v>
      </c>
      <c r="AA25" s="9">
        <v>152.1</v>
      </c>
      <c r="AB25" s="9">
        <v>152.19999999999999</v>
      </c>
      <c r="AC25" s="9">
        <v>152.4</v>
      </c>
      <c r="AD25" s="9">
        <v>152.6</v>
      </c>
      <c r="AE25" s="9">
        <v>152.69999999999999</v>
      </c>
      <c r="AF25" s="9">
        <v>152.9</v>
      </c>
      <c r="AG25" s="9">
        <v>153.1</v>
      </c>
      <c r="AH25" s="9">
        <v>153.19999999999999</v>
      </c>
      <c r="AI25" s="9">
        <v>153.4</v>
      </c>
      <c r="AJ25" s="9">
        <v>153.6</v>
      </c>
      <c r="AK25" s="9">
        <v>153.80000000000001</v>
      </c>
      <c r="AL25" s="9">
        <v>154</v>
      </c>
      <c r="AM25" s="9">
        <v>154.1</v>
      </c>
      <c r="AN25" s="9">
        <v>154.30000000000001</v>
      </c>
      <c r="AO25" s="9">
        <v>154.5</v>
      </c>
      <c r="AP25" s="9">
        <v>154.6</v>
      </c>
      <c r="AQ25" s="9">
        <v>154.69999999999999</v>
      </c>
      <c r="AR25" s="9">
        <v>155</v>
      </c>
      <c r="AS25" s="9">
        <v>155.1</v>
      </c>
      <c r="AT25" s="9">
        <v>155.19999999999999</v>
      </c>
      <c r="AU25" s="9">
        <v>155.4</v>
      </c>
      <c r="AV25" s="9">
        <v>155.6</v>
      </c>
      <c r="AW25" s="9">
        <v>155.69999999999999</v>
      </c>
      <c r="AX25" s="9">
        <v>156</v>
      </c>
      <c r="AY25" s="9">
        <v>156.1</v>
      </c>
      <c r="AZ25" s="9">
        <v>156.19999999999999</v>
      </c>
      <c r="BA25" s="9">
        <v>156.30000000000001</v>
      </c>
      <c r="BB25" s="9">
        <v>156.5</v>
      </c>
      <c r="BC25" s="9">
        <v>156.69999999999999</v>
      </c>
      <c r="BD25" s="9">
        <v>156.80000000000001</v>
      </c>
      <c r="BE25" s="9">
        <v>156.80000000000001</v>
      </c>
      <c r="BF25" s="9">
        <v>156.9</v>
      </c>
      <c r="BG25" s="9">
        <v>157.1</v>
      </c>
      <c r="BH25" s="9">
        <v>157.1</v>
      </c>
      <c r="BI25" s="9">
        <v>157.30000000000001</v>
      </c>
      <c r="BJ25" s="9">
        <v>157.4</v>
      </c>
      <c r="BK25" s="9">
        <v>157.6</v>
      </c>
      <c r="BL25" s="9">
        <v>157.69999999999999</v>
      </c>
      <c r="BM25" s="9">
        <v>157.9</v>
      </c>
      <c r="BN25" s="9">
        <v>158</v>
      </c>
      <c r="BO25" s="9">
        <v>158</v>
      </c>
      <c r="BP25" s="9">
        <v>158.19999999999999</v>
      </c>
      <c r="BQ25" s="9">
        <v>158.30000000000001</v>
      </c>
      <c r="BR25" s="9">
        <v>158.4</v>
      </c>
      <c r="BS25" s="9">
        <v>158.5</v>
      </c>
      <c r="BT25" s="9">
        <v>158.6</v>
      </c>
      <c r="BU25" s="9">
        <v>158.80000000000001</v>
      </c>
      <c r="BV25" s="9">
        <v>158.9</v>
      </c>
      <c r="BW25" s="9">
        <v>159</v>
      </c>
      <c r="BX25" s="9">
        <v>159.1</v>
      </c>
      <c r="BY25" s="9">
        <v>159.19999999999999</v>
      </c>
      <c r="BZ25" s="9">
        <v>159.4</v>
      </c>
      <c r="CA25" s="9">
        <v>159.5</v>
      </c>
      <c r="CB25" s="9">
        <v>159.6</v>
      </c>
      <c r="CC25" s="9">
        <v>159.6</v>
      </c>
      <c r="CD25" s="9">
        <v>159.69999999999999</v>
      </c>
      <c r="CE25" s="9">
        <v>159.9</v>
      </c>
      <c r="CF25" s="9">
        <v>160.1</v>
      </c>
      <c r="CG25" s="9">
        <v>160.30000000000001</v>
      </c>
      <c r="CH25" s="9">
        <v>160.5</v>
      </c>
      <c r="CI25" s="9">
        <v>160.69999999999999</v>
      </c>
      <c r="CJ25" s="9">
        <v>161</v>
      </c>
      <c r="CK25" s="9">
        <v>161.1</v>
      </c>
      <c r="CL25" s="9">
        <v>161.4</v>
      </c>
      <c r="CM25" s="9">
        <v>161.6</v>
      </c>
      <c r="CN25" s="9">
        <v>161.80000000000001</v>
      </c>
      <c r="CO25" s="9">
        <v>162</v>
      </c>
      <c r="CP25" s="9">
        <v>162.19999999999999</v>
      </c>
      <c r="CQ25" s="9">
        <v>162.6</v>
      </c>
      <c r="CR25" s="9">
        <v>163</v>
      </c>
      <c r="CS25" s="9">
        <v>163.1</v>
      </c>
      <c r="CT25" s="9">
        <v>163.19999999999999</v>
      </c>
      <c r="CU25" s="9">
        <v>163.5</v>
      </c>
      <c r="CV25" s="9">
        <v>164.2</v>
      </c>
      <c r="CW25" s="9">
        <v>164.8</v>
      </c>
      <c r="CX25" s="9">
        <v>165</v>
      </c>
      <c r="CY25" s="9">
        <v>165.4</v>
      </c>
      <c r="CZ25" s="9">
        <v>166.4</v>
      </c>
      <c r="DA25" s="9">
        <v>167.2</v>
      </c>
      <c r="DB25" s="9">
        <v>168.6</v>
      </c>
    </row>
    <row r="26" spans="1:106">
      <c r="A26" s="1" t="s">
        <v>236</v>
      </c>
      <c r="B26" s="1" t="s">
        <v>4</v>
      </c>
      <c r="C26" s="1" t="s">
        <v>19</v>
      </c>
      <c r="D26" s="1" t="s">
        <v>224</v>
      </c>
      <c r="E26" s="6">
        <v>1016</v>
      </c>
      <c r="F26" s="9">
        <v>154.97999999999999</v>
      </c>
      <c r="G26" s="9">
        <v>5.0999999999999996</v>
      </c>
      <c r="H26" s="9">
        <v>142.5</v>
      </c>
      <c r="I26" s="9">
        <v>144.80000000000001</v>
      </c>
      <c r="J26" s="9">
        <v>145.6</v>
      </c>
      <c r="K26" s="9">
        <v>146</v>
      </c>
      <c r="L26" s="9">
        <v>146.5</v>
      </c>
      <c r="M26" s="9">
        <v>146.9</v>
      </c>
      <c r="N26" s="9">
        <v>147.5</v>
      </c>
      <c r="O26" s="9">
        <v>148</v>
      </c>
      <c r="P26" s="9">
        <v>148.30000000000001</v>
      </c>
      <c r="Q26" s="9">
        <v>148.6</v>
      </c>
      <c r="R26" s="9">
        <v>148.80000000000001</v>
      </c>
      <c r="S26" s="9">
        <v>149.1</v>
      </c>
      <c r="T26" s="9">
        <v>149.30000000000001</v>
      </c>
      <c r="U26" s="9">
        <v>149.5</v>
      </c>
      <c r="V26" s="9">
        <v>149.69999999999999</v>
      </c>
      <c r="W26" s="9">
        <v>150</v>
      </c>
      <c r="X26" s="9">
        <v>150.1</v>
      </c>
      <c r="Y26" s="9">
        <v>150.30000000000001</v>
      </c>
      <c r="Z26" s="9">
        <v>150.5</v>
      </c>
      <c r="AA26" s="9">
        <v>150.6</v>
      </c>
      <c r="AB26" s="9">
        <v>150.80000000000001</v>
      </c>
      <c r="AC26" s="9">
        <v>151</v>
      </c>
      <c r="AD26" s="9">
        <v>151.19999999999999</v>
      </c>
      <c r="AE26" s="9">
        <v>151.4</v>
      </c>
      <c r="AF26" s="9">
        <v>151.5</v>
      </c>
      <c r="AG26" s="9">
        <v>151.6</v>
      </c>
      <c r="AH26" s="9">
        <v>151.80000000000001</v>
      </c>
      <c r="AI26" s="9">
        <v>152</v>
      </c>
      <c r="AJ26" s="9">
        <v>152.1</v>
      </c>
      <c r="AK26" s="9">
        <v>152.30000000000001</v>
      </c>
      <c r="AL26" s="9">
        <v>152.5</v>
      </c>
      <c r="AM26" s="9">
        <v>152.69999999999999</v>
      </c>
      <c r="AN26" s="9">
        <v>152.80000000000001</v>
      </c>
      <c r="AO26" s="9">
        <v>153</v>
      </c>
      <c r="AP26" s="9">
        <v>153.19999999999999</v>
      </c>
      <c r="AQ26" s="9">
        <v>153.30000000000001</v>
      </c>
      <c r="AR26" s="9">
        <v>153.5</v>
      </c>
      <c r="AS26" s="9">
        <v>153.69999999999999</v>
      </c>
      <c r="AT26" s="9">
        <v>153.80000000000001</v>
      </c>
      <c r="AU26" s="9">
        <v>153.9</v>
      </c>
      <c r="AV26" s="9">
        <v>153.9</v>
      </c>
      <c r="AW26" s="9">
        <v>154.1</v>
      </c>
      <c r="AX26" s="9">
        <v>154.30000000000001</v>
      </c>
      <c r="AY26" s="9">
        <v>154.4</v>
      </c>
      <c r="AZ26" s="9">
        <v>154.5</v>
      </c>
      <c r="BA26" s="9">
        <v>154.6</v>
      </c>
      <c r="BB26" s="9">
        <v>154.69999999999999</v>
      </c>
      <c r="BC26" s="9">
        <v>154.80000000000001</v>
      </c>
      <c r="BD26" s="9">
        <v>154.9</v>
      </c>
      <c r="BE26" s="9">
        <v>155</v>
      </c>
      <c r="BF26" s="9">
        <v>155.1</v>
      </c>
      <c r="BG26" s="9">
        <v>155.19999999999999</v>
      </c>
      <c r="BH26" s="9">
        <v>155.19999999999999</v>
      </c>
      <c r="BI26" s="9">
        <v>155.30000000000001</v>
      </c>
      <c r="BJ26" s="9">
        <v>155.4</v>
      </c>
      <c r="BK26" s="9">
        <v>155.6</v>
      </c>
      <c r="BL26" s="9">
        <v>155.80000000000001</v>
      </c>
      <c r="BM26" s="9">
        <v>155.9</v>
      </c>
      <c r="BN26" s="9">
        <v>156.1</v>
      </c>
      <c r="BO26" s="9">
        <v>156.19999999999999</v>
      </c>
      <c r="BP26" s="9">
        <v>156.30000000000001</v>
      </c>
      <c r="BQ26" s="9">
        <v>156.4</v>
      </c>
      <c r="BR26" s="9">
        <v>156.5</v>
      </c>
      <c r="BS26" s="9">
        <v>156.69999999999999</v>
      </c>
      <c r="BT26" s="9">
        <v>156.9</v>
      </c>
      <c r="BU26" s="9">
        <v>157</v>
      </c>
      <c r="BV26" s="9">
        <v>157.19999999999999</v>
      </c>
      <c r="BW26" s="9">
        <v>157.4</v>
      </c>
      <c r="BX26" s="9">
        <v>157.6</v>
      </c>
      <c r="BY26" s="9">
        <v>157.69999999999999</v>
      </c>
      <c r="BZ26" s="9">
        <v>157.80000000000001</v>
      </c>
      <c r="CA26" s="9">
        <v>157.9</v>
      </c>
      <c r="CB26" s="9">
        <v>158</v>
      </c>
      <c r="CC26" s="9">
        <v>158.1</v>
      </c>
      <c r="CD26" s="9">
        <v>158.30000000000001</v>
      </c>
      <c r="CE26" s="9">
        <v>158.4</v>
      </c>
      <c r="CF26" s="9">
        <v>158.69999999999999</v>
      </c>
      <c r="CG26" s="9">
        <v>158.9</v>
      </c>
      <c r="CH26" s="9">
        <v>159.1</v>
      </c>
      <c r="CI26" s="9">
        <v>159.30000000000001</v>
      </c>
      <c r="CJ26" s="9">
        <v>159.6</v>
      </c>
      <c r="CK26" s="9">
        <v>159.69999999999999</v>
      </c>
      <c r="CL26" s="9">
        <v>159.80000000000001</v>
      </c>
      <c r="CM26" s="9">
        <v>160.1</v>
      </c>
      <c r="CN26" s="9">
        <v>160.30000000000001</v>
      </c>
      <c r="CO26" s="9">
        <v>160.6</v>
      </c>
      <c r="CP26" s="9">
        <v>160.69999999999999</v>
      </c>
      <c r="CQ26" s="9">
        <v>160.9</v>
      </c>
      <c r="CR26" s="9">
        <v>161.19999999999999</v>
      </c>
      <c r="CS26" s="9">
        <v>161.6</v>
      </c>
      <c r="CT26" s="9">
        <v>161.80000000000001</v>
      </c>
      <c r="CU26" s="9">
        <v>162</v>
      </c>
      <c r="CV26" s="9">
        <v>162.4</v>
      </c>
      <c r="CW26" s="9">
        <v>162.6</v>
      </c>
      <c r="CX26" s="9">
        <v>163.1</v>
      </c>
      <c r="CY26" s="9">
        <v>163.80000000000001</v>
      </c>
      <c r="CZ26" s="9">
        <v>164.6</v>
      </c>
      <c r="DA26" s="9">
        <v>165.3</v>
      </c>
      <c r="DB26" s="9">
        <v>166.5</v>
      </c>
    </row>
    <row r="27" spans="1:106">
      <c r="A27" s="1" t="s">
        <v>361</v>
      </c>
      <c r="B27" s="1" t="s">
        <v>4</v>
      </c>
      <c r="C27" s="1" t="s">
        <v>19</v>
      </c>
      <c r="D27" s="1" t="s">
        <v>356</v>
      </c>
      <c r="E27" s="6">
        <v>783</v>
      </c>
      <c r="F27" s="9">
        <v>153.56</v>
      </c>
      <c r="G27" s="9">
        <v>5.2</v>
      </c>
      <c r="H27" s="9">
        <v>141.30000000000001</v>
      </c>
      <c r="I27" s="9">
        <v>142.80000000000001</v>
      </c>
      <c r="J27" s="9">
        <v>143.4</v>
      </c>
      <c r="K27" s="9">
        <v>143.9</v>
      </c>
      <c r="L27" s="9">
        <v>145.19999999999999</v>
      </c>
      <c r="M27" s="9">
        <v>145.80000000000001</v>
      </c>
      <c r="N27" s="9">
        <v>146.30000000000001</v>
      </c>
      <c r="O27" s="9">
        <v>146.6</v>
      </c>
      <c r="P27" s="9">
        <v>146.80000000000001</v>
      </c>
      <c r="Q27" s="9">
        <v>147</v>
      </c>
      <c r="R27" s="9">
        <v>147.19999999999999</v>
      </c>
      <c r="S27" s="9">
        <v>147.4</v>
      </c>
      <c r="T27" s="9">
        <v>147.5</v>
      </c>
      <c r="U27" s="9">
        <v>147.9</v>
      </c>
      <c r="V27" s="9">
        <v>148.1</v>
      </c>
      <c r="W27" s="9">
        <v>148.19999999999999</v>
      </c>
      <c r="X27" s="9">
        <v>148.5</v>
      </c>
      <c r="Y27" s="9">
        <v>148.69999999999999</v>
      </c>
      <c r="Z27" s="9">
        <v>148.9</v>
      </c>
      <c r="AA27" s="9">
        <v>149.19999999999999</v>
      </c>
      <c r="AB27" s="9">
        <v>149.4</v>
      </c>
      <c r="AC27" s="9">
        <v>149.5</v>
      </c>
      <c r="AD27" s="9">
        <v>149.69999999999999</v>
      </c>
      <c r="AE27" s="9">
        <v>150</v>
      </c>
      <c r="AF27" s="9">
        <v>150.1</v>
      </c>
      <c r="AG27" s="9">
        <v>150.30000000000001</v>
      </c>
      <c r="AH27" s="9">
        <v>150.4</v>
      </c>
      <c r="AI27" s="9">
        <v>150.6</v>
      </c>
      <c r="AJ27" s="9">
        <v>150.69999999999999</v>
      </c>
      <c r="AK27" s="9">
        <v>150.80000000000001</v>
      </c>
      <c r="AL27" s="9">
        <v>150.80000000000001</v>
      </c>
      <c r="AM27" s="9">
        <v>151</v>
      </c>
      <c r="AN27" s="9">
        <v>151.1</v>
      </c>
      <c r="AO27" s="9">
        <v>151.19999999999999</v>
      </c>
      <c r="AP27" s="9">
        <v>151.4</v>
      </c>
      <c r="AQ27" s="9">
        <v>151.6</v>
      </c>
      <c r="AR27" s="9">
        <v>151.69999999999999</v>
      </c>
      <c r="AS27" s="9">
        <v>151.9</v>
      </c>
      <c r="AT27" s="9">
        <v>152</v>
      </c>
      <c r="AU27" s="9">
        <v>152.1</v>
      </c>
      <c r="AV27" s="9">
        <v>152.30000000000001</v>
      </c>
      <c r="AW27" s="9">
        <v>152.4</v>
      </c>
      <c r="AX27" s="9">
        <v>152.4</v>
      </c>
      <c r="AY27" s="9">
        <v>152.5</v>
      </c>
      <c r="AZ27" s="9">
        <v>152.69999999999999</v>
      </c>
      <c r="BA27" s="9">
        <v>152.9</v>
      </c>
      <c r="BB27" s="9">
        <v>153</v>
      </c>
      <c r="BC27" s="9">
        <v>153.19999999999999</v>
      </c>
      <c r="BD27" s="9">
        <v>153.19999999999999</v>
      </c>
      <c r="BE27" s="9">
        <v>153.4</v>
      </c>
      <c r="BF27" s="9">
        <v>153.6</v>
      </c>
      <c r="BG27" s="9">
        <v>153.69999999999999</v>
      </c>
      <c r="BH27" s="9">
        <v>153.80000000000001</v>
      </c>
      <c r="BI27" s="9">
        <v>154</v>
      </c>
      <c r="BJ27" s="9">
        <v>154.19999999999999</v>
      </c>
      <c r="BK27" s="9">
        <v>154.30000000000001</v>
      </c>
      <c r="BL27" s="9">
        <v>154.5</v>
      </c>
      <c r="BM27" s="9">
        <v>154.6</v>
      </c>
      <c r="BN27" s="9">
        <v>154.80000000000001</v>
      </c>
      <c r="BO27" s="9">
        <v>154.9</v>
      </c>
      <c r="BP27" s="9">
        <v>155</v>
      </c>
      <c r="BQ27" s="9">
        <v>155</v>
      </c>
      <c r="BR27" s="9">
        <v>155.4</v>
      </c>
      <c r="BS27" s="9">
        <v>155.6</v>
      </c>
      <c r="BT27" s="9">
        <v>155.69999999999999</v>
      </c>
      <c r="BU27" s="9">
        <v>155.80000000000001</v>
      </c>
      <c r="BV27" s="9">
        <v>155.9</v>
      </c>
      <c r="BW27" s="9">
        <v>156.1</v>
      </c>
      <c r="BX27" s="9">
        <v>156.30000000000001</v>
      </c>
      <c r="BY27" s="9">
        <v>156.4</v>
      </c>
      <c r="BZ27" s="9">
        <v>156.5</v>
      </c>
      <c r="CA27" s="9">
        <v>156.5</v>
      </c>
      <c r="CB27" s="9">
        <v>156.69999999999999</v>
      </c>
      <c r="CC27" s="9">
        <v>156.9</v>
      </c>
      <c r="CD27" s="9">
        <v>157.1</v>
      </c>
      <c r="CE27" s="9">
        <v>157.19999999999999</v>
      </c>
      <c r="CF27" s="9">
        <v>157.4</v>
      </c>
      <c r="CG27" s="9">
        <v>157.6</v>
      </c>
      <c r="CH27" s="9">
        <v>157.69999999999999</v>
      </c>
      <c r="CI27" s="9">
        <v>157.9</v>
      </c>
      <c r="CJ27" s="9">
        <v>158</v>
      </c>
      <c r="CK27" s="9">
        <v>158.19999999999999</v>
      </c>
      <c r="CL27" s="9">
        <v>158.6</v>
      </c>
      <c r="CM27" s="9">
        <v>158.80000000000001</v>
      </c>
      <c r="CN27" s="9">
        <v>159.1</v>
      </c>
      <c r="CO27" s="9">
        <v>159.4</v>
      </c>
      <c r="CP27" s="9">
        <v>159.69999999999999</v>
      </c>
      <c r="CQ27" s="9">
        <v>159.9</v>
      </c>
      <c r="CR27" s="9">
        <v>160.19999999999999</v>
      </c>
      <c r="CS27" s="9">
        <v>160.6</v>
      </c>
      <c r="CT27" s="9">
        <v>160.80000000000001</v>
      </c>
      <c r="CU27" s="9">
        <v>161.1</v>
      </c>
      <c r="CV27" s="9">
        <v>161.4</v>
      </c>
      <c r="CW27" s="9">
        <v>161.69999999999999</v>
      </c>
      <c r="CX27" s="9">
        <v>162.4</v>
      </c>
      <c r="CY27" s="9">
        <v>162.69999999999999</v>
      </c>
      <c r="CZ27" s="9">
        <v>163.4</v>
      </c>
      <c r="DA27" s="9">
        <v>164.7</v>
      </c>
      <c r="DB27" s="9">
        <v>165.3</v>
      </c>
    </row>
    <row r="28" spans="1:106">
      <c r="A28" s="1" t="s">
        <v>362</v>
      </c>
      <c r="B28" s="1" t="s">
        <v>4</v>
      </c>
      <c r="C28" s="1" t="s">
        <v>19</v>
      </c>
      <c r="D28" s="1" t="s">
        <v>358</v>
      </c>
      <c r="E28" s="6">
        <v>595</v>
      </c>
      <c r="F28" s="9">
        <v>152.06</v>
      </c>
      <c r="G28" s="9">
        <v>5.2</v>
      </c>
      <c r="H28" s="9">
        <v>140.19999999999999</v>
      </c>
      <c r="I28" s="9">
        <v>141.30000000000001</v>
      </c>
      <c r="J28" s="9">
        <v>142.19999999999999</v>
      </c>
      <c r="K28" s="9">
        <v>143</v>
      </c>
      <c r="L28" s="9">
        <v>143.1</v>
      </c>
      <c r="M28" s="9">
        <v>143.5</v>
      </c>
      <c r="N28" s="9">
        <v>143.9</v>
      </c>
      <c r="O28" s="9">
        <v>144.5</v>
      </c>
      <c r="P28" s="9">
        <v>145</v>
      </c>
      <c r="Q28" s="9">
        <v>145.30000000000001</v>
      </c>
      <c r="R28" s="9">
        <v>145.6</v>
      </c>
      <c r="S28" s="9">
        <v>145.69999999999999</v>
      </c>
      <c r="T28" s="9">
        <v>146.1</v>
      </c>
      <c r="U28" s="9">
        <v>146.4</v>
      </c>
      <c r="V28" s="9">
        <v>146.6</v>
      </c>
      <c r="W28" s="9">
        <v>146.9</v>
      </c>
      <c r="X28" s="9">
        <v>147.1</v>
      </c>
      <c r="Y28" s="9">
        <v>147.30000000000001</v>
      </c>
      <c r="Z28" s="9">
        <v>147.5</v>
      </c>
      <c r="AA28" s="9">
        <v>147.69999999999999</v>
      </c>
      <c r="AB28" s="9">
        <v>147.80000000000001</v>
      </c>
      <c r="AC28" s="9">
        <v>148.1</v>
      </c>
      <c r="AD28" s="9">
        <v>148.19999999999999</v>
      </c>
      <c r="AE28" s="9">
        <v>148.4</v>
      </c>
      <c r="AF28" s="9">
        <v>148.5</v>
      </c>
      <c r="AG28" s="9">
        <v>148.69999999999999</v>
      </c>
      <c r="AH28" s="9">
        <v>148.9</v>
      </c>
      <c r="AI28" s="9">
        <v>149.1</v>
      </c>
      <c r="AJ28" s="9">
        <v>149.19999999999999</v>
      </c>
      <c r="AK28" s="9">
        <v>149.4</v>
      </c>
      <c r="AL28" s="9">
        <v>149.6</v>
      </c>
      <c r="AM28" s="9">
        <v>149.6</v>
      </c>
      <c r="AN28" s="9">
        <v>149.69999999999999</v>
      </c>
      <c r="AO28" s="9">
        <v>149.80000000000001</v>
      </c>
      <c r="AP28" s="9">
        <v>150.1</v>
      </c>
      <c r="AQ28" s="9">
        <v>150.1</v>
      </c>
      <c r="AR28" s="9">
        <v>150.30000000000001</v>
      </c>
      <c r="AS28" s="9">
        <v>150.5</v>
      </c>
      <c r="AT28" s="9">
        <v>150.6</v>
      </c>
      <c r="AU28" s="9">
        <v>150.69999999999999</v>
      </c>
      <c r="AV28" s="9">
        <v>150.80000000000001</v>
      </c>
      <c r="AW28" s="9">
        <v>150.9</v>
      </c>
      <c r="AX28" s="9">
        <v>151</v>
      </c>
      <c r="AY28" s="9">
        <v>151.19999999999999</v>
      </c>
      <c r="AZ28" s="9">
        <v>151.30000000000001</v>
      </c>
      <c r="BA28" s="9">
        <v>151.4</v>
      </c>
      <c r="BB28" s="9">
        <v>151.5</v>
      </c>
      <c r="BC28" s="9">
        <v>151.69999999999999</v>
      </c>
      <c r="BD28" s="9">
        <v>151.80000000000001</v>
      </c>
      <c r="BE28" s="9">
        <v>151.9</v>
      </c>
      <c r="BF28" s="9">
        <v>152</v>
      </c>
      <c r="BG28" s="9">
        <v>152.30000000000001</v>
      </c>
      <c r="BH28" s="9">
        <v>152.6</v>
      </c>
      <c r="BI28" s="9">
        <v>152.6</v>
      </c>
      <c r="BJ28" s="9">
        <v>152.69999999999999</v>
      </c>
      <c r="BK28" s="9">
        <v>152.69999999999999</v>
      </c>
      <c r="BL28" s="9">
        <v>152.80000000000001</v>
      </c>
      <c r="BM28" s="9">
        <v>152.9</v>
      </c>
      <c r="BN28" s="9">
        <v>153</v>
      </c>
      <c r="BO28" s="9">
        <v>153.19999999999999</v>
      </c>
      <c r="BP28" s="9">
        <v>153.30000000000001</v>
      </c>
      <c r="BQ28" s="9">
        <v>153.6</v>
      </c>
      <c r="BR28" s="9">
        <v>153.69999999999999</v>
      </c>
      <c r="BS28" s="9">
        <v>153.69999999999999</v>
      </c>
      <c r="BT28" s="9">
        <v>153.9</v>
      </c>
      <c r="BU28" s="9">
        <v>154.1</v>
      </c>
      <c r="BV28" s="9">
        <v>154.19999999999999</v>
      </c>
      <c r="BW28" s="9">
        <v>154.30000000000001</v>
      </c>
      <c r="BX28" s="9">
        <v>154.4</v>
      </c>
      <c r="BY28" s="9">
        <v>154.5</v>
      </c>
      <c r="BZ28" s="9">
        <v>154.80000000000001</v>
      </c>
      <c r="CA28" s="9">
        <v>155.1</v>
      </c>
      <c r="CB28" s="9">
        <v>155.30000000000001</v>
      </c>
      <c r="CC28" s="9">
        <v>155.6</v>
      </c>
      <c r="CD28" s="9">
        <v>155.69999999999999</v>
      </c>
      <c r="CE28" s="9">
        <v>155.9</v>
      </c>
      <c r="CF28" s="9">
        <v>156.1</v>
      </c>
      <c r="CG28" s="9">
        <v>156.1</v>
      </c>
      <c r="CH28" s="9">
        <v>156.19999999999999</v>
      </c>
      <c r="CI28" s="9">
        <v>156.4</v>
      </c>
      <c r="CJ28" s="9">
        <v>156.6</v>
      </c>
      <c r="CK28" s="9">
        <v>156.80000000000001</v>
      </c>
      <c r="CL28" s="9">
        <v>157.1</v>
      </c>
      <c r="CM28" s="9">
        <v>157.30000000000001</v>
      </c>
      <c r="CN28" s="9">
        <v>157.5</v>
      </c>
      <c r="CO28" s="9">
        <v>157.80000000000001</v>
      </c>
      <c r="CP28" s="9">
        <v>158.1</v>
      </c>
      <c r="CQ28" s="9">
        <v>158.4</v>
      </c>
      <c r="CR28" s="9">
        <v>158.69999999999999</v>
      </c>
      <c r="CS28" s="9">
        <v>159</v>
      </c>
      <c r="CT28" s="9">
        <v>159.5</v>
      </c>
      <c r="CU28" s="9">
        <v>159.6</v>
      </c>
      <c r="CV28" s="9">
        <v>160</v>
      </c>
      <c r="CW28" s="9">
        <v>160.5</v>
      </c>
      <c r="CX28" s="9">
        <v>160.6</v>
      </c>
      <c r="CY28" s="9">
        <v>161.69999999999999</v>
      </c>
      <c r="CZ28" s="9">
        <v>162.1</v>
      </c>
      <c r="DA28" s="9">
        <v>162.4</v>
      </c>
      <c r="DB28" s="9">
        <v>164</v>
      </c>
    </row>
    <row r="29" spans="1:106">
      <c r="A29" s="1" t="s">
        <v>363</v>
      </c>
      <c r="B29" s="1" t="s">
        <v>4</v>
      </c>
      <c r="C29" s="1" t="s">
        <v>19</v>
      </c>
      <c r="D29" s="1" t="s">
        <v>360</v>
      </c>
      <c r="E29" s="6">
        <v>528</v>
      </c>
      <c r="F29" s="9">
        <v>149.54</v>
      </c>
      <c r="G29" s="9">
        <v>5.29</v>
      </c>
      <c r="H29" s="9">
        <v>137.1</v>
      </c>
      <c r="I29" s="9">
        <v>138.4</v>
      </c>
      <c r="J29" s="9">
        <v>139.19999999999999</v>
      </c>
      <c r="K29" s="9">
        <v>139.69999999999999</v>
      </c>
      <c r="L29" s="9">
        <v>140.4</v>
      </c>
      <c r="M29" s="9">
        <v>141</v>
      </c>
      <c r="N29" s="9">
        <v>141.6</v>
      </c>
      <c r="O29" s="9">
        <v>142</v>
      </c>
      <c r="P29" s="9">
        <v>142.80000000000001</v>
      </c>
      <c r="Q29" s="9">
        <v>143</v>
      </c>
      <c r="R29" s="9">
        <v>143.19999999999999</v>
      </c>
      <c r="S29" s="9">
        <v>143.30000000000001</v>
      </c>
      <c r="T29" s="9">
        <v>143.5</v>
      </c>
      <c r="U29" s="9">
        <v>143.69999999999999</v>
      </c>
      <c r="V29" s="9">
        <v>144</v>
      </c>
      <c r="W29" s="9">
        <v>144.19999999999999</v>
      </c>
      <c r="X29" s="9">
        <v>144.5</v>
      </c>
      <c r="Y29" s="9">
        <v>144.6</v>
      </c>
      <c r="Z29" s="9">
        <v>144.80000000000001</v>
      </c>
      <c r="AA29" s="9">
        <v>145.30000000000001</v>
      </c>
      <c r="AB29" s="9">
        <v>145.6</v>
      </c>
      <c r="AC29" s="9">
        <v>145.80000000000001</v>
      </c>
      <c r="AD29" s="9">
        <v>145.9</v>
      </c>
      <c r="AE29" s="9">
        <v>146</v>
      </c>
      <c r="AF29" s="9">
        <v>146.19999999999999</v>
      </c>
      <c r="AG29" s="9">
        <v>146.30000000000001</v>
      </c>
      <c r="AH29" s="9">
        <v>146.4</v>
      </c>
      <c r="AI29" s="9">
        <v>146.5</v>
      </c>
      <c r="AJ29" s="9">
        <v>146.69999999999999</v>
      </c>
      <c r="AK29" s="9">
        <v>146.80000000000001</v>
      </c>
      <c r="AL29" s="9">
        <v>147.1</v>
      </c>
      <c r="AM29" s="9">
        <v>147.19999999999999</v>
      </c>
      <c r="AN29" s="9">
        <v>147.30000000000001</v>
      </c>
      <c r="AO29" s="9">
        <v>147.5</v>
      </c>
      <c r="AP29" s="9">
        <v>147.6</v>
      </c>
      <c r="AQ29" s="9">
        <v>147.6</v>
      </c>
      <c r="AR29" s="9">
        <v>147.9</v>
      </c>
      <c r="AS29" s="9">
        <v>147.9</v>
      </c>
      <c r="AT29" s="9">
        <v>148.1</v>
      </c>
      <c r="AU29" s="9">
        <v>148.30000000000001</v>
      </c>
      <c r="AV29" s="9">
        <v>148.4</v>
      </c>
      <c r="AW29" s="9">
        <v>148.5</v>
      </c>
      <c r="AX29" s="9">
        <v>148.69999999999999</v>
      </c>
      <c r="AY29" s="9">
        <v>148.9</v>
      </c>
      <c r="AZ29" s="9">
        <v>148.9</v>
      </c>
      <c r="BA29" s="9">
        <v>149</v>
      </c>
      <c r="BB29" s="9">
        <v>149.1</v>
      </c>
      <c r="BC29" s="9">
        <v>149.30000000000001</v>
      </c>
      <c r="BD29" s="9">
        <v>149.5</v>
      </c>
      <c r="BE29" s="9">
        <v>149.6</v>
      </c>
      <c r="BF29" s="9">
        <v>149.69999999999999</v>
      </c>
      <c r="BG29" s="9">
        <v>149.9</v>
      </c>
      <c r="BH29" s="9">
        <v>150</v>
      </c>
      <c r="BI29" s="9">
        <v>150.19999999999999</v>
      </c>
      <c r="BJ29" s="9">
        <v>150.30000000000001</v>
      </c>
      <c r="BK29" s="9">
        <v>150.4</v>
      </c>
      <c r="BL29" s="9">
        <v>150.5</v>
      </c>
      <c r="BM29" s="9">
        <v>150.6</v>
      </c>
      <c r="BN29" s="9">
        <v>150.69999999999999</v>
      </c>
      <c r="BO29" s="9">
        <v>150.80000000000001</v>
      </c>
      <c r="BP29" s="9">
        <v>151</v>
      </c>
      <c r="BQ29" s="9">
        <v>151.19999999999999</v>
      </c>
      <c r="BR29" s="9">
        <v>151.30000000000001</v>
      </c>
      <c r="BS29" s="9">
        <v>151.5</v>
      </c>
      <c r="BT29" s="9">
        <v>151.5</v>
      </c>
      <c r="BU29" s="9">
        <v>151.6</v>
      </c>
      <c r="BV29" s="9">
        <v>151.69999999999999</v>
      </c>
      <c r="BW29" s="9">
        <v>151.9</v>
      </c>
      <c r="BX29" s="9">
        <v>152</v>
      </c>
      <c r="BY29" s="9">
        <v>152.1</v>
      </c>
      <c r="BZ29" s="9">
        <v>152.1</v>
      </c>
      <c r="CA29" s="9">
        <v>152.30000000000001</v>
      </c>
      <c r="CB29" s="9">
        <v>152.4</v>
      </c>
      <c r="CC29" s="9">
        <v>152.6</v>
      </c>
      <c r="CD29" s="9">
        <v>152.69999999999999</v>
      </c>
      <c r="CE29" s="9">
        <v>153</v>
      </c>
      <c r="CF29" s="9">
        <v>153.19999999999999</v>
      </c>
      <c r="CG29" s="9">
        <v>153.5</v>
      </c>
      <c r="CH29" s="9">
        <v>153.6</v>
      </c>
      <c r="CI29" s="9">
        <v>153.80000000000001</v>
      </c>
      <c r="CJ29" s="9">
        <v>154.1</v>
      </c>
      <c r="CK29" s="9">
        <v>154.4</v>
      </c>
      <c r="CL29" s="9">
        <v>154.6</v>
      </c>
      <c r="CM29" s="9">
        <v>154.69999999999999</v>
      </c>
      <c r="CN29" s="9">
        <v>154.9</v>
      </c>
      <c r="CO29" s="9">
        <v>155.30000000000001</v>
      </c>
      <c r="CP29" s="9">
        <v>155.5</v>
      </c>
      <c r="CQ29" s="9">
        <v>155.6</v>
      </c>
      <c r="CR29" s="9">
        <v>156.1</v>
      </c>
      <c r="CS29" s="9">
        <v>156.30000000000001</v>
      </c>
      <c r="CT29" s="9">
        <v>156.80000000000001</v>
      </c>
      <c r="CU29" s="9">
        <v>156.9</v>
      </c>
      <c r="CV29" s="9">
        <v>157.4</v>
      </c>
      <c r="CW29" s="9">
        <v>157.6</v>
      </c>
      <c r="CX29" s="9">
        <v>158.1</v>
      </c>
      <c r="CY29" s="9">
        <v>158.6</v>
      </c>
      <c r="CZ29" s="9">
        <v>159.80000000000001</v>
      </c>
      <c r="DA29" s="9">
        <v>160.6</v>
      </c>
      <c r="DB29" s="9">
        <v>161.19999999999999</v>
      </c>
    </row>
    <row r="30" spans="1:106">
      <c r="A30" s="1" t="s">
        <v>238</v>
      </c>
      <c r="B30" s="1" t="s">
        <v>239</v>
      </c>
      <c r="C30" s="1" t="s">
        <v>17</v>
      </c>
      <c r="D30" s="1" t="s">
        <v>206</v>
      </c>
      <c r="E30" s="6">
        <v>371</v>
      </c>
      <c r="F30" s="9">
        <v>76.16</v>
      </c>
      <c r="G30" s="9">
        <v>16.22</v>
      </c>
      <c r="H30" s="9">
        <v>48</v>
      </c>
      <c r="I30" s="9">
        <v>50.1</v>
      </c>
      <c r="J30" s="9">
        <v>52.8</v>
      </c>
      <c r="K30" s="9">
        <v>54.7</v>
      </c>
      <c r="L30" s="9">
        <v>55.7</v>
      </c>
      <c r="M30" s="9">
        <v>55.9</v>
      </c>
      <c r="N30" s="9">
        <v>56.9</v>
      </c>
      <c r="O30" s="9">
        <v>57.7</v>
      </c>
      <c r="P30" s="9">
        <v>58.5</v>
      </c>
      <c r="Q30" s="9">
        <v>58.7</v>
      </c>
      <c r="R30" s="9">
        <v>59</v>
      </c>
      <c r="S30" s="9">
        <v>59.9</v>
      </c>
      <c r="T30" s="9">
        <v>60.6</v>
      </c>
      <c r="U30" s="9">
        <v>61.3</v>
      </c>
      <c r="V30" s="9">
        <v>62</v>
      </c>
      <c r="W30" s="9">
        <v>62.3</v>
      </c>
      <c r="X30" s="9">
        <v>62.4</v>
      </c>
      <c r="Y30" s="9">
        <v>62.8</v>
      </c>
      <c r="Z30" s="9">
        <v>63.2</v>
      </c>
      <c r="AA30" s="9">
        <v>63.5</v>
      </c>
      <c r="AB30" s="9">
        <v>63.7</v>
      </c>
      <c r="AC30" s="9">
        <v>64</v>
      </c>
      <c r="AD30" s="9">
        <v>64.8</v>
      </c>
      <c r="AE30" s="9">
        <v>65.099999999999994</v>
      </c>
      <c r="AF30" s="9">
        <v>65.5</v>
      </c>
      <c r="AG30" s="9">
        <v>66</v>
      </c>
      <c r="AH30" s="9">
        <v>66</v>
      </c>
      <c r="AI30" s="9">
        <v>66.400000000000006</v>
      </c>
      <c r="AJ30" s="9">
        <v>66.7</v>
      </c>
      <c r="AK30" s="9">
        <v>67.099999999999994</v>
      </c>
      <c r="AL30" s="9">
        <v>67.3</v>
      </c>
      <c r="AM30" s="9">
        <v>67.599999999999994</v>
      </c>
      <c r="AN30" s="9">
        <v>67.7</v>
      </c>
      <c r="AO30" s="9">
        <v>68.099999999999994</v>
      </c>
      <c r="AP30" s="9">
        <v>68.599999999999994</v>
      </c>
      <c r="AQ30" s="9">
        <v>68.8</v>
      </c>
      <c r="AR30" s="9">
        <v>69</v>
      </c>
      <c r="AS30" s="9">
        <v>69.8</v>
      </c>
      <c r="AT30" s="9">
        <v>69.900000000000006</v>
      </c>
      <c r="AU30" s="9">
        <v>70.3</v>
      </c>
      <c r="AV30" s="9">
        <v>70.7</v>
      </c>
      <c r="AW30" s="9">
        <v>71.099999999999994</v>
      </c>
      <c r="AX30" s="9">
        <v>71.400000000000006</v>
      </c>
      <c r="AY30" s="9">
        <v>71.5</v>
      </c>
      <c r="AZ30" s="9">
        <v>71.900000000000006</v>
      </c>
      <c r="BA30" s="9">
        <v>71.900000000000006</v>
      </c>
      <c r="BB30" s="9">
        <v>72.400000000000006</v>
      </c>
      <c r="BC30" s="9">
        <v>72.5</v>
      </c>
      <c r="BD30" s="9">
        <v>72.7</v>
      </c>
      <c r="BE30" s="9">
        <v>73</v>
      </c>
      <c r="BF30" s="9">
        <v>73.2</v>
      </c>
      <c r="BG30" s="9">
        <v>73.3</v>
      </c>
      <c r="BH30" s="9">
        <v>73.8</v>
      </c>
      <c r="BI30" s="9">
        <v>74.3</v>
      </c>
      <c r="BJ30" s="9">
        <v>74.5</v>
      </c>
      <c r="BK30" s="9">
        <v>74.599999999999994</v>
      </c>
      <c r="BL30" s="9">
        <v>75</v>
      </c>
      <c r="BM30" s="9">
        <v>75.3</v>
      </c>
      <c r="BN30" s="9">
        <v>75.599999999999994</v>
      </c>
      <c r="BO30" s="9">
        <v>75.8</v>
      </c>
      <c r="BP30" s="9">
        <v>76.400000000000006</v>
      </c>
      <c r="BQ30" s="9">
        <v>76.900000000000006</v>
      </c>
      <c r="BR30" s="9">
        <v>77.5</v>
      </c>
      <c r="BS30" s="9">
        <v>78</v>
      </c>
      <c r="BT30" s="9">
        <v>78.2</v>
      </c>
      <c r="BU30" s="9">
        <v>79</v>
      </c>
      <c r="BV30" s="9">
        <v>79.7</v>
      </c>
      <c r="BW30" s="9">
        <v>79.7</v>
      </c>
      <c r="BX30" s="9">
        <v>80.099999999999994</v>
      </c>
      <c r="BY30" s="9">
        <v>80.400000000000006</v>
      </c>
      <c r="BZ30" s="9">
        <v>80.900000000000006</v>
      </c>
      <c r="CA30" s="9">
        <v>81.3</v>
      </c>
      <c r="CB30" s="9">
        <v>82.2</v>
      </c>
      <c r="CC30" s="9">
        <v>82.7</v>
      </c>
      <c r="CD30" s="9">
        <v>83.1</v>
      </c>
      <c r="CE30" s="9">
        <v>83.4</v>
      </c>
      <c r="CF30" s="9">
        <v>83.7</v>
      </c>
      <c r="CG30" s="9">
        <v>84.3</v>
      </c>
      <c r="CH30" s="9">
        <v>85.5</v>
      </c>
      <c r="CI30" s="9">
        <v>86.9</v>
      </c>
      <c r="CJ30" s="9">
        <v>88.2</v>
      </c>
      <c r="CK30" s="9">
        <v>89.1</v>
      </c>
      <c r="CL30" s="9">
        <v>89.7</v>
      </c>
      <c r="CM30" s="9">
        <v>90.7</v>
      </c>
      <c r="CN30" s="9">
        <v>91.3</v>
      </c>
      <c r="CO30" s="9">
        <v>92.6</v>
      </c>
      <c r="CP30" s="9">
        <v>93.6</v>
      </c>
      <c r="CQ30" s="9">
        <v>94.2</v>
      </c>
      <c r="CR30" s="9">
        <v>94.8</v>
      </c>
      <c r="CS30" s="9">
        <v>96.3</v>
      </c>
      <c r="CT30" s="9">
        <v>100.5</v>
      </c>
      <c r="CU30" s="9">
        <v>102.7</v>
      </c>
      <c r="CV30" s="9">
        <v>104.5</v>
      </c>
      <c r="CW30" s="9">
        <v>107</v>
      </c>
      <c r="CX30" s="9">
        <v>111.2</v>
      </c>
      <c r="CY30" s="9">
        <v>112.4</v>
      </c>
      <c r="CZ30" s="9">
        <v>114.7</v>
      </c>
      <c r="DA30" s="9">
        <v>121.6</v>
      </c>
      <c r="DB30" s="9">
        <v>127.1</v>
      </c>
    </row>
    <row r="31" spans="1:106">
      <c r="A31" s="1" t="s">
        <v>240</v>
      </c>
      <c r="B31" s="1" t="s">
        <v>239</v>
      </c>
      <c r="C31" s="1" t="s">
        <v>17</v>
      </c>
      <c r="D31" s="1" t="s">
        <v>208</v>
      </c>
      <c r="E31" s="6">
        <v>453</v>
      </c>
      <c r="F31" s="9">
        <v>78.14</v>
      </c>
      <c r="G31" s="9">
        <v>15.59</v>
      </c>
      <c r="H31" s="9">
        <v>51.2</v>
      </c>
      <c r="I31" s="9">
        <v>54.9</v>
      </c>
      <c r="J31" s="9">
        <v>55.8</v>
      </c>
      <c r="K31" s="9">
        <v>56.7</v>
      </c>
      <c r="L31" s="9">
        <v>58.2</v>
      </c>
      <c r="M31" s="9">
        <v>59.1</v>
      </c>
      <c r="N31" s="9">
        <v>59.2</v>
      </c>
      <c r="O31" s="9">
        <v>59.9</v>
      </c>
      <c r="P31" s="9">
        <v>60.3</v>
      </c>
      <c r="Q31" s="9">
        <v>60.7</v>
      </c>
      <c r="R31" s="9">
        <v>61.6</v>
      </c>
      <c r="S31" s="9">
        <v>62.3</v>
      </c>
      <c r="T31" s="9">
        <v>63.2</v>
      </c>
      <c r="U31" s="9">
        <v>63.7</v>
      </c>
      <c r="V31" s="9">
        <v>64.099999999999994</v>
      </c>
      <c r="W31" s="9">
        <v>64.3</v>
      </c>
      <c r="X31" s="9">
        <v>64.5</v>
      </c>
      <c r="Y31" s="9">
        <v>65.2</v>
      </c>
      <c r="Z31" s="9">
        <v>65.400000000000006</v>
      </c>
      <c r="AA31" s="9">
        <v>65.8</v>
      </c>
      <c r="AB31" s="9">
        <v>66.2</v>
      </c>
      <c r="AC31" s="9">
        <v>66.400000000000006</v>
      </c>
      <c r="AD31" s="9">
        <v>66.8</v>
      </c>
      <c r="AE31" s="9">
        <v>66.900000000000006</v>
      </c>
      <c r="AF31" s="9">
        <v>67</v>
      </c>
      <c r="AG31" s="9">
        <v>67.5</v>
      </c>
      <c r="AH31" s="9">
        <v>67.7</v>
      </c>
      <c r="AI31" s="9">
        <v>68.3</v>
      </c>
      <c r="AJ31" s="9">
        <v>69</v>
      </c>
      <c r="AK31" s="9">
        <v>69.400000000000006</v>
      </c>
      <c r="AL31" s="9">
        <v>69.599999999999994</v>
      </c>
      <c r="AM31" s="9">
        <v>69.7</v>
      </c>
      <c r="AN31" s="9">
        <v>70.400000000000006</v>
      </c>
      <c r="AO31" s="9">
        <v>70.5</v>
      </c>
      <c r="AP31" s="9">
        <v>70.7</v>
      </c>
      <c r="AQ31" s="9">
        <v>70.8</v>
      </c>
      <c r="AR31" s="9">
        <v>71.099999999999994</v>
      </c>
      <c r="AS31" s="9">
        <v>71.5</v>
      </c>
      <c r="AT31" s="9">
        <v>71.900000000000006</v>
      </c>
      <c r="AU31" s="9">
        <v>72.099999999999994</v>
      </c>
      <c r="AV31" s="9">
        <v>72.400000000000006</v>
      </c>
      <c r="AW31" s="9">
        <v>72.599999999999994</v>
      </c>
      <c r="AX31" s="9">
        <v>72.900000000000006</v>
      </c>
      <c r="AY31" s="9">
        <v>73.099999999999994</v>
      </c>
      <c r="AZ31" s="9">
        <v>73.400000000000006</v>
      </c>
      <c r="BA31" s="9">
        <v>74.099999999999994</v>
      </c>
      <c r="BB31" s="9">
        <v>74.3</v>
      </c>
      <c r="BC31" s="9">
        <v>74.599999999999994</v>
      </c>
      <c r="BD31" s="9">
        <v>74.8</v>
      </c>
      <c r="BE31" s="9">
        <v>75.3</v>
      </c>
      <c r="BF31" s="9">
        <v>75.400000000000006</v>
      </c>
      <c r="BG31" s="9">
        <v>76</v>
      </c>
      <c r="BH31" s="9">
        <v>76.400000000000006</v>
      </c>
      <c r="BI31" s="9">
        <v>76.5</v>
      </c>
      <c r="BJ31" s="9">
        <v>76.7</v>
      </c>
      <c r="BK31" s="9">
        <v>77.3</v>
      </c>
      <c r="BL31" s="9">
        <v>77.599999999999994</v>
      </c>
      <c r="BM31" s="9">
        <v>77.7</v>
      </c>
      <c r="BN31" s="9">
        <v>78.400000000000006</v>
      </c>
      <c r="BO31" s="9">
        <v>78.8</v>
      </c>
      <c r="BP31" s="9">
        <v>79.3</v>
      </c>
      <c r="BQ31" s="9">
        <v>80</v>
      </c>
      <c r="BR31" s="9">
        <v>80.599999999999994</v>
      </c>
      <c r="BS31" s="9">
        <v>80.900000000000006</v>
      </c>
      <c r="BT31" s="9">
        <v>81.5</v>
      </c>
      <c r="BU31" s="9">
        <v>82</v>
      </c>
      <c r="BV31" s="9">
        <v>82.5</v>
      </c>
      <c r="BW31" s="9">
        <v>83.1</v>
      </c>
      <c r="BX31" s="9">
        <v>83.4</v>
      </c>
      <c r="BY31" s="9">
        <v>83.7</v>
      </c>
      <c r="BZ31" s="9">
        <v>84.4</v>
      </c>
      <c r="CA31" s="9">
        <v>84.5</v>
      </c>
      <c r="CB31" s="9">
        <v>85.2</v>
      </c>
      <c r="CC31" s="9">
        <v>85.7</v>
      </c>
      <c r="CD31" s="9">
        <v>86.2</v>
      </c>
      <c r="CE31" s="9">
        <v>86.6</v>
      </c>
      <c r="CF31" s="9">
        <v>87.2</v>
      </c>
      <c r="CG31" s="9">
        <v>88.3</v>
      </c>
      <c r="CH31" s="9">
        <v>88.6</v>
      </c>
      <c r="CI31" s="9">
        <v>88.9</v>
      </c>
      <c r="CJ31" s="9">
        <v>89.7</v>
      </c>
      <c r="CK31" s="9">
        <v>90.4</v>
      </c>
      <c r="CL31" s="9">
        <v>91.6</v>
      </c>
      <c r="CM31" s="9">
        <v>91.9</v>
      </c>
      <c r="CN31" s="9">
        <v>92.7</v>
      </c>
      <c r="CO31" s="9">
        <v>94.2</v>
      </c>
      <c r="CP31" s="9">
        <v>95.7</v>
      </c>
      <c r="CQ31" s="9">
        <v>97.2</v>
      </c>
      <c r="CR31" s="9">
        <v>97.8</v>
      </c>
      <c r="CS31" s="9">
        <v>98.6</v>
      </c>
      <c r="CT31" s="9">
        <v>99.1</v>
      </c>
      <c r="CU31" s="9">
        <v>100.2</v>
      </c>
      <c r="CV31" s="9">
        <v>101.3</v>
      </c>
      <c r="CW31" s="9">
        <v>104.6</v>
      </c>
      <c r="CX31" s="9">
        <v>106.1</v>
      </c>
      <c r="CY31" s="9">
        <v>110.3</v>
      </c>
      <c r="CZ31" s="9">
        <v>112.5</v>
      </c>
      <c r="DA31" s="9">
        <v>118.2</v>
      </c>
      <c r="DB31" s="9">
        <v>130.6</v>
      </c>
    </row>
    <row r="32" spans="1:106">
      <c r="A32" s="1" t="s">
        <v>241</v>
      </c>
      <c r="B32" s="1" t="s">
        <v>239</v>
      </c>
      <c r="C32" s="1" t="s">
        <v>17</v>
      </c>
      <c r="D32" s="1" t="s">
        <v>210</v>
      </c>
      <c r="E32" s="6">
        <v>411</v>
      </c>
      <c r="F32" s="9">
        <v>78.62</v>
      </c>
      <c r="G32" s="9">
        <v>13.15</v>
      </c>
      <c r="H32" s="9">
        <v>51.2</v>
      </c>
      <c r="I32" s="9">
        <v>54.6</v>
      </c>
      <c r="J32" s="9">
        <v>57</v>
      </c>
      <c r="K32" s="9">
        <v>58.8</v>
      </c>
      <c r="L32" s="9">
        <v>60</v>
      </c>
      <c r="M32" s="9">
        <v>60.6</v>
      </c>
      <c r="N32" s="9">
        <v>62</v>
      </c>
      <c r="O32" s="9">
        <v>62.4</v>
      </c>
      <c r="P32" s="9">
        <v>63.9</v>
      </c>
      <c r="Q32" s="9">
        <v>64.099999999999994</v>
      </c>
      <c r="R32" s="9">
        <v>64.8</v>
      </c>
      <c r="S32" s="9">
        <v>65.099999999999994</v>
      </c>
      <c r="T32" s="9">
        <v>65.599999999999994</v>
      </c>
      <c r="U32" s="9">
        <v>66.099999999999994</v>
      </c>
      <c r="V32" s="9">
        <v>66.400000000000006</v>
      </c>
      <c r="W32" s="9">
        <v>66.7</v>
      </c>
      <c r="X32" s="9">
        <v>66.900000000000006</v>
      </c>
      <c r="Y32" s="9">
        <v>67.099999999999994</v>
      </c>
      <c r="Z32" s="9">
        <v>67.400000000000006</v>
      </c>
      <c r="AA32" s="9">
        <v>67.599999999999994</v>
      </c>
      <c r="AB32" s="9">
        <v>68.099999999999994</v>
      </c>
      <c r="AC32" s="9">
        <v>68.400000000000006</v>
      </c>
      <c r="AD32" s="9">
        <v>68.8</v>
      </c>
      <c r="AE32" s="9">
        <v>69.2</v>
      </c>
      <c r="AF32" s="9">
        <v>69.5</v>
      </c>
      <c r="AG32" s="9">
        <v>70</v>
      </c>
      <c r="AH32" s="9">
        <v>70.2</v>
      </c>
      <c r="AI32" s="9">
        <v>70.599999999999994</v>
      </c>
      <c r="AJ32" s="9">
        <v>70.8</v>
      </c>
      <c r="AK32" s="9">
        <v>71.099999999999994</v>
      </c>
      <c r="AL32" s="9">
        <v>71.3</v>
      </c>
      <c r="AM32" s="9">
        <v>71.599999999999994</v>
      </c>
      <c r="AN32" s="9">
        <v>72.3</v>
      </c>
      <c r="AO32" s="9">
        <v>72.5</v>
      </c>
      <c r="AP32" s="9">
        <v>72.8</v>
      </c>
      <c r="AQ32" s="9">
        <v>72.900000000000006</v>
      </c>
      <c r="AR32" s="9">
        <v>73.2</v>
      </c>
      <c r="AS32" s="9">
        <v>73.3</v>
      </c>
      <c r="AT32" s="9">
        <v>73.599999999999994</v>
      </c>
      <c r="AU32" s="9">
        <v>74.2</v>
      </c>
      <c r="AV32" s="9">
        <v>74.5</v>
      </c>
      <c r="AW32" s="9">
        <v>74.8</v>
      </c>
      <c r="AX32" s="9">
        <v>75.099999999999994</v>
      </c>
      <c r="AY32" s="9">
        <v>75.400000000000006</v>
      </c>
      <c r="AZ32" s="9">
        <v>75.7</v>
      </c>
      <c r="BA32" s="9">
        <v>75.900000000000006</v>
      </c>
      <c r="BB32" s="9">
        <v>76</v>
      </c>
      <c r="BC32" s="9">
        <v>76.5</v>
      </c>
      <c r="BD32" s="9">
        <v>76.7</v>
      </c>
      <c r="BE32" s="9">
        <v>76.900000000000006</v>
      </c>
      <c r="BF32" s="9">
        <v>77.3</v>
      </c>
      <c r="BG32" s="9">
        <v>77.7</v>
      </c>
      <c r="BH32" s="9">
        <v>78.400000000000006</v>
      </c>
      <c r="BI32" s="9">
        <v>78.599999999999994</v>
      </c>
      <c r="BJ32" s="9">
        <v>78.7</v>
      </c>
      <c r="BK32" s="9">
        <v>78.900000000000006</v>
      </c>
      <c r="BL32" s="9">
        <v>79.3</v>
      </c>
      <c r="BM32" s="9">
        <v>79.5</v>
      </c>
      <c r="BN32" s="9">
        <v>79.8</v>
      </c>
      <c r="BO32" s="9">
        <v>80</v>
      </c>
      <c r="BP32" s="9">
        <v>80.099999999999994</v>
      </c>
      <c r="BQ32" s="9">
        <v>80.5</v>
      </c>
      <c r="BR32" s="9">
        <v>81</v>
      </c>
      <c r="BS32" s="9">
        <v>81.3</v>
      </c>
      <c r="BT32" s="9">
        <v>81.599999999999994</v>
      </c>
      <c r="BU32" s="9">
        <v>82</v>
      </c>
      <c r="BV32" s="9">
        <v>82.3</v>
      </c>
      <c r="BW32" s="9">
        <v>82.8</v>
      </c>
      <c r="BX32" s="9">
        <v>83.2</v>
      </c>
      <c r="BY32" s="9">
        <v>83.5</v>
      </c>
      <c r="BZ32" s="9">
        <v>83.7</v>
      </c>
      <c r="CA32" s="9">
        <v>84.1</v>
      </c>
      <c r="CB32" s="9">
        <v>84.5</v>
      </c>
      <c r="CC32" s="9">
        <v>84.9</v>
      </c>
      <c r="CD32" s="9">
        <v>85.6</v>
      </c>
      <c r="CE32" s="9">
        <v>86.7</v>
      </c>
      <c r="CF32" s="9">
        <v>87.5</v>
      </c>
      <c r="CG32" s="9">
        <v>87.8</v>
      </c>
      <c r="CH32" s="9">
        <v>88.4</v>
      </c>
      <c r="CI32" s="9">
        <v>88.6</v>
      </c>
      <c r="CJ32" s="9">
        <v>89.4</v>
      </c>
      <c r="CK32" s="9">
        <v>90</v>
      </c>
      <c r="CL32" s="9">
        <v>90.8</v>
      </c>
      <c r="CM32" s="9">
        <v>91.2</v>
      </c>
      <c r="CN32" s="9">
        <v>91.6</v>
      </c>
      <c r="CO32" s="9">
        <v>92</v>
      </c>
      <c r="CP32" s="9">
        <v>92.8</v>
      </c>
      <c r="CQ32" s="9">
        <v>93.2</v>
      </c>
      <c r="CR32" s="9">
        <v>93.7</v>
      </c>
      <c r="CS32" s="9">
        <v>94.8</v>
      </c>
      <c r="CT32" s="9">
        <v>96.2</v>
      </c>
      <c r="CU32" s="9">
        <v>97.5</v>
      </c>
      <c r="CV32" s="9">
        <v>98.7</v>
      </c>
      <c r="CW32" s="9">
        <v>98.8</v>
      </c>
      <c r="CX32" s="9">
        <v>101.2</v>
      </c>
      <c r="CY32" s="9">
        <v>102</v>
      </c>
      <c r="CZ32" s="9">
        <v>104.7</v>
      </c>
      <c r="DA32" s="9">
        <v>110.4</v>
      </c>
      <c r="DB32" s="9">
        <v>117.2</v>
      </c>
    </row>
    <row r="33" spans="1:106">
      <c r="A33" s="1" t="s">
        <v>242</v>
      </c>
      <c r="B33" s="1" t="s">
        <v>239</v>
      </c>
      <c r="C33" s="1" t="s">
        <v>17</v>
      </c>
      <c r="D33" s="1" t="s">
        <v>212</v>
      </c>
      <c r="E33" s="6">
        <v>476</v>
      </c>
      <c r="F33" s="9">
        <v>78.97</v>
      </c>
      <c r="G33" s="9">
        <v>13.89</v>
      </c>
      <c r="H33" s="9">
        <v>50.7</v>
      </c>
      <c r="I33" s="9">
        <v>54.9</v>
      </c>
      <c r="J33" s="9">
        <v>57.3</v>
      </c>
      <c r="K33" s="9">
        <v>57.7</v>
      </c>
      <c r="L33" s="9">
        <v>58.7</v>
      </c>
      <c r="M33" s="9">
        <v>60.2</v>
      </c>
      <c r="N33" s="9">
        <v>61.5</v>
      </c>
      <c r="O33" s="9">
        <v>62</v>
      </c>
      <c r="P33" s="9">
        <v>62.1</v>
      </c>
      <c r="Q33" s="9">
        <v>63.3</v>
      </c>
      <c r="R33" s="9">
        <v>63.8</v>
      </c>
      <c r="S33" s="9">
        <v>64</v>
      </c>
      <c r="T33" s="9">
        <v>64.2</v>
      </c>
      <c r="U33" s="9">
        <v>64.5</v>
      </c>
      <c r="V33" s="9">
        <v>65.3</v>
      </c>
      <c r="W33" s="9">
        <v>65.400000000000006</v>
      </c>
      <c r="X33" s="9">
        <v>65.7</v>
      </c>
      <c r="Y33" s="9">
        <v>66.7</v>
      </c>
      <c r="Z33" s="9">
        <v>67</v>
      </c>
      <c r="AA33" s="9">
        <v>67.8</v>
      </c>
      <c r="AB33" s="9">
        <v>67.900000000000006</v>
      </c>
      <c r="AC33" s="9">
        <v>68.5</v>
      </c>
      <c r="AD33" s="9">
        <v>68.599999999999994</v>
      </c>
      <c r="AE33" s="9">
        <v>68.900000000000006</v>
      </c>
      <c r="AF33" s="9">
        <v>69.2</v>
      </c>
      <c r="AG33" s="9">
        <v>69.400000000000006</v>
      </c>
      <c r="AH33" s="9">
        <v>69.7</v>
      </c>
      <c r="AI33" s="9">
        <v>70.099999999999994</v>
      </c>
      <c r="AJ33" s="9">
        <v>70.8</v>
      </c>
      <c r="AK33" s="9">
        <v>71.099999999999994</v>
      </c>
      <c r="AL33" s="9">
        <v>71.5</v>
      </c>
      <c r="AM33" s="9">
        <v>71.8</v>
      </c>
      <c r="AN33" s="9">
        <v>72</v>
      </c>
      <c r="AO33" s="9">
        <v>72.400000000000006</v>
      </c>
      <c r="AP33" s="9">
        <v>72.599999999999994</v>
      </c>
      <c r="AQ33" s="9">
        <v>73.2</v>
      </c>
      <c r="AR33" s="9">
        <v>73.599999999999994</v>
      </c>
      <c r="AS33" s="9">
        <v>73.8</v>
      </c>
      <c r="AT33" s="9">
        <v>73.900000000000006</v>
      </c>
      <c r="AU33" s="9">
        <v>74.099999999999994</v>
      </c>
      <c r="AV33" s="9">
        <v>74.5</v>
      </c>
      <c r="AW33" s="9">
        <v>74.900000000000006</v>
      </c>
      <c r="AX33" s="9">
        <v>75.400000000000006</v>
      </c>
      <c r="AY33" s="9">
        <v>75.7</v>
      </c>
      <c r="AZ33" s="9">
        <v>76.099999999999994</v>
      </c>
      <c r="BA33" s="9">
        <v>76.3</v>
      </c>
      <c r="BB33" s="9">
        <v>76.7</v>
      </c>
      <c r="BC33" s="9">
        <v>77.099999999999994</v>
      </c>
      <c r="BD33" s="9">
        <v>77.599999999999994</v>
      </c>
      <c r="BE33" s="9">
        <v>77.8</v>
      </c>
      <c r="BF33" s="9">
        <v>78</v>
      </c>
      <c r="BG33" s="9">
        <v>78.099999999999994</v>
      </c>
      <c r="BH33" s="9">
        <v>78.3</v>
      </c>
      <c r="BI33" s="9">
        <v>78.5</v>
      </c>
      <c r="BJ33" s="9">
        <v>78.7</v>
      </c>
      <c r="BK33" s="9">
        <v>78.7</v>
      </c>
      <c r="BL33" s="9">
        <v>79.3</v>
      </c>
      <c r="BM33" s="9">
        <v>79.599999999999994</v>
      </c>
      <c r="BN33" s="9">
        <v>79.8</v>
      </c>
      <c r="BO33" s="9">
        <v>80.2</v>
      </c>
      <c r="BP33" s="9">
        <v>80.5</v>
      </c>
      <c r="BQ33" s="9">
        <v>81</v>
      </c>
      <c r="BR33" s="9">
        <v>81.5</v>
      </c>
      <c r="BS33" s="9">
        <v>82.1</v>
      </c>
      <c r="BT33" s="9">
        <v>82.3</v>
      </c>
      <c r="BU33" s="9">
        <v>82.8</v>
      </c>
      <c r="BV33" s="9">
        <v>83.1</v>
      </c>
      <c r="BW33" s="9">
        <v>83.5</v>
      </c>
      <c r="BX33" s="9">
        <v>83.9</v>
      </c>
      <c r="BY33" s="9">
        <v>84.4</v>
      </c>
      <c r="BZ33" s="9">
        <v>85</v>
      </c>
      <c r="CA33" s="9">
        <v>85.2</v>
      </c>
      <c r="CB33" s="9">
        <v>85.4</v>
      </c>
      <c r="CC33" s="9">
        <v>86</v>
      </c>
      <c r="CD33" s="9">
        <v>86.5</v>
      </c>
      <c r="CE33" s="9">
        <v>87</v>
      </c>
      <c r="CF33" s="9">
        <v>87.4</v>
      </c>
      <c r="CG33" s="9">
        <v>88.1</v>
      </c>
      <c r="CH33" s="9">
        <v>89.1</v>
      </c>
      <c r="CI33" s="9">
        <v>89.4</v>
      </c>
      <c r="CJ33" s="9">
        <v>89.6</v>
      </c>
      <c r="CK33" s="9">
        <v>90.7</v>
      </c>
      <c r="CL33" s="9">
        <v>92.1</v>
      </c>
      <c r="CM33" s="9">
        <v>92.7</v>
      </c>
      <c r="CN33" s="9">
        <v>93</v>
      </c>
      <c r="CO33" s="9">
        <v>93.7</v>
      </c>
      <c r="CP33" s="9">
        <v>94.7</v>
      </c>
      <c r="CQ33" s="9">
        <v>95.8</v>
      </c>
      <c r="CR33" s="9">
        <v>96.2</v>
      </c>
      <c r="CS33" s="9">
        <v>96.9</v>
      </c>
      <c r="CT33" s="9">
        <v>97.6</v>
      </c>
      <c r="CU33" s="9">
        <v>98.3</v>
      </c>
      <c r="CV33" s="9">
        <v>101.8</v>
      </c>
      <c r="CW33" s="9">
        <v>103.6</v>
      </c>
      <c r="CX33" s="9">
        <v>105.7</v>
      </c>
      <c r="CY33" s="9">
        <v>108.2</v>
      </c>
      <c r="CZ33" s="9">
        <v>110</v>
      </c>
      <c r="DA33" s="9">
        <v>112.9</v>
      </c>
      <c r="DB33" s="9">
        <v>118.3</v>
      </c>
    </row>
    <row r="34" spans="1:106">
      <c r="A34" s="1" t="s">
        <v>243</v>
      </c>
      <c r="B34" s="1" t="s">
        <v>239</v>
      </c>
      <c r="C34" s="1" t="s">
        <v>17</v>
      </c>
      <c r="D34" s="1" t="s">
        <v>214</v>
      </c>
      <c r="E34" s="6">
        <v>605</v>
      </c>
      <c r="F34" s="9">
        <v>79.38</v>
      </c>
      <c r="G34" s="9">
        <v>12.49</v>
      </c>
      <c r="H34" s="9">
        <v>54.3</v>
      </c>
      <c r="I34" s="9">
        <v>55.5</v>
      </c>
      <c r="J34" s="9">
        <v>58</v>
      </c>
      <c r="K34" s="9">
        <v>60</v>
      </c>
      <c r="L34" s="9">
        <v>60.8</v>
      </c>
      <c r="M34" s="9">
        <v>62</v>
      </c>
      <c r="N34" s="9">
        <v>62.8</v>
      </c>
      <c r="O34" s="9">
        <v>63.4</v>
      </c>
      <c r="P34" s="9">
        <v>64.8</v>
      </c>
      <c r="Q34" s="9">
        <v>65.099999999999994</v>
      </c>
      <c r="R34" s="9">
        <v>65.7</v>
      </c>
      <c r="S34" s="9">
        <v>66</v>
      </c>
      <c r="T34" s="9">
        <v>66.5</v>
      </c>
      <c r="U34" s="9">
        <v>66.900000000000006</v>
      </c>
      <c r="V34" s="9">
        <v>67.5</v>
      </c>
      <c r="W34" s="9">
        <v>68.099999999999994</v>
      </c>
      <c r="X34" s="9">
        <v>68.2</v>
      </c>
      <c r="Y34" s="9">
        <v>68.599999999999994</v>
      </c>
      <c r="Z34" s="9">
        <v>68.900000000000006</v>
      </c>
      <c r="AA34" s="9">
        <v>69.400000000000006</v>
      </c>
      <c r="AB34" s="9">
        <v>69.599999999999994</v>
      </c>
      <c r="AC34" s="9">
        <v>70</v>
      </c>
      <c r="AD34" s="9">
        <v>70.3</v>
      </c>
      <c r="AE34" s="9">
        <v>70.599999999999994</v>
      </c>
      <c r="AF34" s="9">
        <v>71</v>
      </c>
      <c r="AG34" s="9">
        <v>71.5</v>
      </c>
      <c r="AH34" s="9">
        <v>71.599999999999994</v>
      </c>
      <c r="AI34" s="9">
        <v>71.8</v>
      </c>
      <c r="AJ34" s="9">
        <v>71.900000000000006</v>
      </c>
      <c r="AK34" s="9">
        <v>72.099999999999994</v>
      </c>
      <c r="AL34" s="9">
        <v>72.5</v>
      </c>
      <c r="AM34" s="9">
        <v>72.599999999999994</v>
      </c>
      <c r="AN34" s="9">
        <v>72.900000000000006</v>
      </c>
      <c r="AO34" s="9">
        <v>73.099999999999994</v>
      </c>
      <c r="AP34" s="9">
        <v>73.400000000000006</v>
      </c>
      <c r="AQ34" s="9">
        <v>73.8</v>
      </c>
      <c r="AR34" s="9">
        <v>74.2</v>
      </c>
      <c r="AS34" s="9">
        <v>74.400000000000006</v>
      </c>
      <c r="AT34" s="9">
        <v>74.7</v>
      </c>
      <c r="AU34" s="9">
        <v>74.900000000000006</v>
      </c>
      <c r="AV34" s="9">
        <v>75.099999999999994</v>
      </c>
      <c r="AW34" s="9">
        <v>75.5</v>
      </c>
      <c r="AX34" s="9">
        <v>76</v>
      </c>
      <c r="AY34" s="9">
        <v>76.3</v>
      </c>
      <c r="AZ34" s="9">
        <v>76.400000000000006</v>
      </c>
      <c r="BA34" s="9">
        <v>76.8</v>
      </c>
      <c r="BB34" s="9">
        <v>76.900000000000006</v>
      </c>
      <c r="BC34" s="9">
        <v>77.2</v>
      </c>
      <c r="BD34" s="9">
        <v>77.5</v>
      </c>
      <c r="BE34" s="9">
        <v>77.900000000000006</v>
      </c>
      <c r="BF34" s="9">
        <v>78.2</v>
      </c>
      <c r="BG34" s="9">
        <v>78.2</v>
      </c>
      <c r="BH34" s="9">
        <v>78.7</v>
      </c>
      <c r="BI34" s="9">
        <v>79.3</v>
      </c>
      <c r="BJ34" s="9">
        <v>79.599999999999994</v>
      </c>
      <c r="BK34" s="9">
        <v>80</v>
      </c>
      <c r="BL34" s="9">
        <v>80.3</v>
      </c>
      <c r="BM34" s="9">
        <v>80.5</v>
      </c>
      <c r="BN34" s="9">
        <v>80.900000000000006</v>
      </c>
      <c r="BO34" s="9">
        <v>81.099999999999994</v>
      </c>
      <c r="BP34" s="9">
        <v>81.400000000000006</v>
      </c>
      <c r="BQ34" s="9">
        <v>81.900000000000006</v>
      </c>
      <c r="BR34" s="9">
        <v>82.3</v>
      </c>
      <c r="BS34" s="9">
        <v>82.8</v>
      </c>
      <c r="BT34" s="9">
        <v>82.9</v>
      </c>
      <c r="BU34" s="9">
        <v>83.4</v>
      </c>
      <c r="BV34" s="9">
        <v>84</v>
      </c>
      <c r="BW34" s="9">
        <v>84.3</v>
      </c>
      <c r="BX34" s="9">
        <v>84.5</v>
      </c>
      <c r="BY34" s="9">
        <v>84.7</v>
      </c>
      <c r="BZ34" s="9">
        <v>85.2</v>
      </c>
      <c r="CA34" s="9">
        <v>85.5</v>
      </c>
      <c r="CB34" s="9">
        <v>85.8</v>
      </c>
      <c r="CC34" s="9">
        <v>86.3</v>
      </c>
      <c r="CD34" s="9">
        <v>86.8</v>
      </c>
      <c r="CE34" s="9">
        <v>87.1</v>
      </c>
      <c r="CF34" s="9">
        <v>87.4</v>
      </c>
      <c r="CG34" s="9">
        <v>88.1</v>
      </c>
      <c r="CH34" s="9">
        <v>88.7</v>
      </c>
      <c r="CI34" s="9">
        <v>89.3</v>
      </c>
      <c r="CJ34" s="9">
        <v>89.7</v>
      </c>
      <c r="CK34" s="9">
        <v>90.2</v>
      </c>
      <c r="CL34" s="9">
        <v>91.1</v>
      </c>
      <c r="CM34" s="9">
        <v>91.6</v>
      </c>
      <c r="CN34" s="9">
        <v>92.4</v>
      </c>
      <c r="CO34" s="9">
        <v>92.7</v>
      </c>
      <c r="CP34" s="9">
        <v>93.1</v>
      </c>
      <c r="CQ34" s="9">
        <v>93.8</v>
      </c>
      <c r="CR34" s="9">
        <v>94.5</v>
      </c>
      <c r="CS34" s="9">
        <v>95.3</v>
      </c>
      <c r="CT34" s="9">
        <v>96</v>
      </c>
      <c r="CU34" s="9">
        <v>96.7</v>
      </c>
      <c r="CV34" s="9">
        <v>98.1</v>
      </c>
      <c r="CW34" s="9">
        <v>99</v>
      </c>
      <c r="CX34" s="9">
        <v>100.6</v>
      </c>
      <c r="CY34" s="9">
        <v>101.9</v>
      </c>
      <c r="CZ34" s="9">
        <v>106.2</v>
      </c>
      <c r="DA34" s="9">
        <v>109.9</v>
      </c>
      <c r="DB34" s="9">
        <v>114.3</v>
      </c>
    </row>
    <row r="35" spans="1:106">
      <c r="A35" s="1" t="s">
        <v>244</v>
      </c>
      <c r="B35" s="1" t="s">
        <v>239</v>
      </c>
      <c r="C35" s="1" t="s">
        <v>17</v>
      </c>
      <c r="D35" s="1" t="s">
        <v>216</v>
      </c>
      <c r="E35" s="6">
        <v>568</v>
      </c>
      <c r="F35" s="9">
        <v>76.91</v>
      </c>
      <c r="G35" s="9">
        <v>12.25</v>
      </c>
      <c r="H35" s="9">
        <v>52.9</v>
      </c>
      <c r="I35" s="9">
        <v>55.3</v>
      </c>
      <c r="J35" s="9">
        <v>56.8</v>
      </c>
      <c r="K35" s="9">
        <v>58</v>
      </c>
      <c r="L35" s="9">
        <v>58.6</v>
      </c>
      <c r="M35" s="9">
        <v>59.1</v>
      </c>
      <c r="N35" s="9">
        <v>60.5</v>
      </c>
      <c r="O35" s="9">
        <v>60.9</v>
      </c>
      <c r="P35" s="9">
        <v>61.4</v>
      </c>
      <c r="Q35" s="9">
        <v>61.7</v>
      </c>
      <c r="R35" s="9">
        <v>62.5</v>
      </c>
      <c r="S35" s="9">
        <v>63.6</v>
      </c>
      <c r="T35" s="9">
        <v>63.7</v>
      </c>
      <c r="U35" s="9">
        <v>63.9</v>
      </c>
      <c r="V35" s="9">
        <v>64.2</v>
      </c>
      <c r="W35" s="9">
        <v>64.900000000000006</v>
      </c>
      <c r="X35" s="9">
        <v>65.2</v>
      </c>
      <c r="Y35" s="9">
        <v>65.7</v>
      </c>
      <c r="Z35" s="9">
        <v>66.099999999999994</v>
      </c>
      <c r="AA35" s="9">
        <v>66.400000000000006</v>
      </c>
      <c r="AB35" s="9">
        <v>66.900000000000006</v>
      </c>
      <c r="AC35" s="9">
        <v>67.400000000000006</v>
      </c>
      <c r="AD35" s="9">
        <v>67.599999999999994</v>
      </c>
      <c r="AE35" s="9">
        <v>68.099999999999994</v>
      </c>
      <c r="AF35" s="9">
        <v>68.400000000000006</v>
      </c>
      <c r="AG35" s="9">
        <v>68.7</v>
      </c>
      <c r="AH35" s="9">
        <v>69.099999999999994</v>
      </c>
      <c r="AI35" s="9">
        <v>69.599999999999994</v>
      </c>
      <c r="AJ35" s="9">
        <v>69.900000000000006</v>
      </c>
      <c r="AK35" s="9">
        <v>70.099999999999994</v>
      </c>
      <c r="AL35" s="9">
        <v>70.400000000000006</v>
      </c>
      <c r="AM35" s="9">
        <v>70.900000000000006</v>
      </c>
      <c r="AN35" s="9">
        <v>71.400000000000006</v>
      </c>
      <c r="AO35" s="9">
        <v>71.8</v>
      </c>
      <c r="AP35" s="9">
        <v>72.099999999999994</v>
      </c>
      <c r="AQ35" s="9">
        <v>72.400000000000006</v>
      </c>
      <c r="AR35" s="9">
        <v>72.8</v>
      </c>
      <c r="AS35" s="9">
        <v>73</v>
      </c>
      <c r="AT35" s="9">
        <v>73.2</v>
      </c>
      <c r="AU35" s="9">
        <v>73.900000000000006</v>
      </c>
      <c r="AV35" s="9">
        <v>74.099999999999994</v>
      </c>
      <c r="AW35" s="9">
        <v>74.400000000000006</v>
      </c>
      <c r="AX35" s="9">
        <v>74.599999999999994</v>
      </c>
      <c r="AY35" s="9">
        <v>74.900000000000006</v>
      </c>
      <c r="AZ35" s="9">
        <v>74.900000000000006</v>
      </c>
      <c r="BA35" s="9">
        <v>75.2</v>
      </c>
      <c r="BB35" s="9">
        <v>75.400000000000006</v>
      </c>
      <c r="BC35" s="9">
        <v>75.599999999999994</v>
      </c>
      <c r="BD35" s="9">
        <v>75.8</v>
      </c>
      <c r="BE35" s="9">
        <v>76</v>
      </c>
      <c r="BF35" s="9">
        <v>76.3</v>
      </c>
      <c r="BG35" s="9">
        <v>76.7</v>
      </c>
      <c r="BH35" s="9">
        <v>77</v>
      </c>
      <c r="BI35" s="9">
        <v>77.2</v>
      </c>
      <c r="BJ35" s="9">
        <v>77.2</v>
      </c>
      <c r="BK35" s="9">
        <v>77.5</v>
      </c>
      <c r="BL35" s="9">
        <v>78</v>
      </c>
      <c r="BM35" s="9">
        <v>78.3</v>
      </c>
      <c r="BN35" s="9">
        <v>78.400000000000006</v>
      </c>
      <c r="BO35" s="9">
        <v>78.7</v>
      </c>
      <c r="BP35" s="9">
        <v>78.900000000000006</v>
      </c>
      <c r="BQ35" s="9">
        <v>79.099999999999994</v>
      </c>
      <c r="BR35" s="9">
        <v>79.400000000000006</v>
      </c>
      <c r="BS35" s="9">
        <v>79.599999999999994</v>
      </c>
      <c r="BT35" s="9">
        <v>79.8</v>
      </c>
      <c r="BU35" s="9">
        <v>80.5</v>
      </c>
      <c r="BV35" s="9">
        <v>80.599999999999994</v>
      </c>
      <c r="BW35" s="9">
        <v>80.900000000000006</v>
      </c>
      <c r="BX35" s="9">
        <v>81.2</v>
      </c>
      <c r="BY35" s="9">
        <v>81.7</v>
      </c>
      <c r="BZ35" s="9">
        <v>82</v>
      </c>
      <c r="CA35" s="9">
        <v>82.4</v>
      </c>
      <c r="CB35" s="9">
        <v>82.9</v>
      </c>
      <c r="CC35" s="9">
        <v>83.3</v>
      </c>
      <c r="CD35" s="9">
        <v>83.7</v>
      </c>
      <c r="CE35" s="9">
        <v>84</v>
      </c>
      <c r="CF35" s="9">
        <v>84.5</v>
      </c>
      <c r="CG35" s="9">
        <v>85.1</v>
      </c>
      <c r="CH35" s="9">
        <v>85.6</v>
      </c>
      <c r="CI35" s="9">
        <v>86.1</v>
      </c>
      <c r="CJ35" s="9">
        <v>86.5</v>
      </c>
      <c r="CK35" s="9">
        <v>86.7</v>
      </c>
      <c r="CL35" s="9">
        <v>86.9</v>
      </c>
      <c r="CM35" s="9">
        <v>87.3</v>
      </c>
      <c r="CN35" s="9">
        <v>88.1</v>
      </c>
      <c r="CO35" s="9">
        <v>88.8</v>
      </c>
      <c r="CP35" s="9">
        <v>89.5</v>
      </c>
      <c r="CQ35" s="9">
        <v>91.2</v>
      </c>
      <c r="CR35" s="9">
        <v>92.4</v>
      </c>
      <c r="CS35" s="9">
        <v>93</v>
      </c>
      <c r="CT35" s="9">
        <v>94.4</v>
      </c>
      <c r="CU35" s="9">
        <v>95.6</v>
      </c>
      <c r="CV35" s="9">
        <v>96.4</v>
      </c>
      <c r="CW35" s="9">
        <v>98.2</v>
      </c>
      <c r="CX35" s="9">
        <v>98.7</v>
      </c>
      <c r="CY35" s="9">
        <v>100</v>
      </c>
      <c r="CZ35" s="9">
        <v>102.7</v>
      </c>
      <c r="DA35" s="9">
        <v>107.3</v>
      </c>
      <c r="DB35" s="9">
        <v>113.1</v>
      </c>
    </row>
    <row r="36" spans="1:106">
      <c r="A36" s="1" t="s">
        <v>245</v>
      </c>
      <c r="B36" s="1" t="s">
        <v>239</v>
      </c>
      <c r="C36" s="1" t="s">
        <v>17</v>
      </c>
      <c r="D36" s="1" t="s">
        <v>218</v>
      </c>
      <c r="E36" s="6">
        <v>652</v>
      </c>
      <c r="F36" s="9">
        <v>74.11</v>
      </c>
      <c r="G36" s="9">
        <v>10.68</v>
      </c>
      <c r="H36" s="9">
        <v>50.4</v>
      </c>
      <c r="I36" s="9">
        <v>52.5</v>
      </c>
      <c r="J36" s="9">
        <v>56.1</v>
      </c>
      <c r="K36" s="9">
        <v>58.1</v>
      </c>
      <c r="L36" s="9">
        <v>58.6</v>
      </c>
      <c r="M36" s="9">
        <v>59.3</v>
      </c>
      <c r="N36" s="9">
        <v>60.2</v>
      </c>
      <c r="O36" s="9">
        <v>61.2</v>
      </c>
      <c r="P36" s="9">
        <v>61.7</v>
      </c>
      <c r="Q36" s="9">
        <v>62.1</v>
      </c>
      <c r="R36" s="9">
        <v>62.2</v>
      </c>
      <c r="S36" s="9">
        <v>62.7</v>
      </c>
      <c r="T36" s="9">
        <v>63.1</v>
      </c>
      <c r="U36" s="9">
        <v>63.3</v>
      </c>
      <c r="V36" s="9">
        <v>63.7</v>
      </c>
      <c r="W36" s="9">
        <v>63.9</v>
      </c>
      <c r="X36" s="9">
        <v>64.3</v>
      </c>
      <c r="Y36" s="9">
        <v>64.8</v>
      </c>
      <c r="Z36" s="9">
        <v>65.3</v>
      </c>
      <c r="AA36" s="9">
        <v>65.5</v>
      </c>
      <c r="AB36" s="9">
        <v>65.7</v>
      </c>
      <c r="AC36" s="9">
        <v>66</v>
      </c>
      <c r="AD36" s="9">
        <v>66.400000000000006</v>
      </c>
      <c r="AE36" s="9">
        <v>67</v>
      </c>
      <c r="AF36" s="9">
        <v>67.099999999999994</v>
      </c>
      <c r="AG36" s="9">
        <v>67.3</v>
      </c>
      <c r="AH36" s="9">
        <v>67.599999999999994</v>
      </c>
      <c r="AI36" s="9">
        <v>67.900000000000006</v>
      </c>
      <c r="AJ36" s="9">
        <v>68</v>
      </c>
      <c r="AK36" s="9">
        <v>68.2</v>
      </c>
      <c r="AL36" s="9">
        <v>68.599999999999994</v>
      </c>
      <c r="AM36" s="9">
        <v>68.7</v>
      </c>
      <c r="AN36" s="9">
        <v>68.900000000000006</v>
      </c>
      <c r="AO36" s="9">
        <v>69.400000000000006</v>
      </c>
      <c r="AP36" s="9">
        <v>69.599999999999994</v>
      </c>
      <c r="AQ36" s="9">
        <v>69.8</v>
      </c>
      <c r="AR36" s="9">
        <v>70.099999999999994</v>
      </c>
      <c r="AS36" s="9">
        <v>70.400000000000006</v>
      </c>
      <c r="AT36" s="9">
        <v>70.599999999999994</v>
      </c>
      <c r="AU36" s="9">
        <v>70.8</v>
      </c>
      <c r="AV36" s="9">
        <v>70.900000000000006</v>
      </c>
      <c r="AW36" s="9">
        <v>71.2</v>
      </c>
      <c r="AX36" s="9">
        <v>71.3</v>
      </c>
      <c r="AY36" s="9">
        <v>71.599999999999994</v>
      </c>
      <c r="AZ36" s="9">
        <v>71.8</v>
      </c>
      <c r="BA36" s="9">
        <v>72</v>
      </c>
      <c r="BB36" s="9">
        <v>72.5</v>
      </c>
      <c r="BC36" s="9">
        <v>72.7</v>
      </c>
      <c r="BD36" s="9">
        <v>72.8</v>
      </c>
      <c r="BE36" s="9">
        <v>73</v>
      </c>
      <c r="BF36" s="9">
        <v>73.3</v>
      </c>
      <c r="BG36" s="9">
        <v>73.400000000000006</v>
      </c>
      <c r="BH36" s="9">
        <v>73.7</v>
      </c>
      <c r="BI36" s="9">
        <v>73.900000000000006</v>
      </c>
      <c r="BJ36" s="9">
        <v>74.099999999999994</v>
      </c>
      <c r="BK36" s="9">
        <v>74.5</v>
      </c>
      <c r="BL36" s="9">
        <v>74.900000000000006</v>
      </c>
      <c r="BM36" s="9">
        <v>75.2</v>
      </c>
      <c r="BN36" s="9">
        <v>75.3</v>
      </c>
      <c r="BO36" s="9">
        <v>75.599999999999994</v>
      </c>
      <c r="BP36" s="9">
        <v>75.8</v>
      </c>
      <c r="BQ36" s="9">
        <v>76</v>
      </c>
      <c r="BR36" s="9">
        <v>76.3</v>
      </c>
      <c r="BS36" s="9">
        <v>76.5</v>
      </c>
      <c r="BT36" s="9">
        <v>76.7</v>
      </c>
      <c r="BU36" s="9">
        <v>76.900000000000006</v>
      </c>
      <c r="BV36" s="9">
        <v>77.2</v>
      </c>
      <c r="BW36" s="9">
        <v>77.5</v>
      </c>
      <c r="BX36" s="9">
        <v>77.599999999999994</v>
      </c>
      <c r="BY36" s="9">
        <v>78</v>
      </c>
      <c r="BZ36" s="9">
        <v>78.7</v>
      </c>
      <c r="CA36" s="9">
        <v>79.3</v>
      </c>
      <c r="CB36" s="9">
        <v>79.5</v>
      </c>
      <c r="CC36" s="9">
        <v>79.8</v>
      </c>
      <c r="CD36" s="9">
        <v>80.099999999999994</v>
      </c>
      <c r="CE36" s="9">
        <v>80.599999999999994</v>
      </c>
      <c r="CF36" s="9">
        <v>80.900000000000006</v>
      </c>
      <c r="CG36" s="9">
        <v>81.2</v>
      </c>
      <c r="CH36" s="9">
        <v>81.5</v>
      </c>
      <c r="CI36" s="9">
        <v>81.900000000000006</v>
      </c>
      <c r="CJ36" s="9">
        <v>82.8</v>
      </c>
      <c r="CK36" s="9">
        <v>83.2</v>
      </c>
      <c r="CL36" s="9">
        <v>83.8</v>
      </c>
      <c r="CM36" s="9">
        <v>84.3</v>
      </c>
      <c r="CN36" s="9">
        <v>84.9</v>
      </c>
      <c r="CO36" s="9">
        <v>85.3</v>
      </c>
      <c r="CP36" s="9">
        <v>86.2</v>
      </c>
      <c r="CQ36" s="9">
        <v>86.9</v>
      </c>
      <c r="CR36" s="9">
        <v>87.5</v>
      </c>
      <c r="CS36" s="9">
        <v>88.1</v>
      </c>
      <c r="CT36" s="9">
        <v>89</v>
      </c>
      <c r="CU36" s="9">
        <v>89.7</v>
      </c>
      <c r="CV36" s="9">
        <v>90.4</v>
      </c>
      <c r="CW36" s="9">
        <v>91.5</v>
      </c>
      <c r="CX36" s="9">
        <v>92.6</v>
      </c>
      <c r="CY36" s="9">
        <v>95.9</v>
      </c>
      <c r="CZ36" s="9">
        <v>99</v>
      </c>
      <c r="DA36" s="9">
        <v>99.9</v>
      </c>
      <c r="DB36" s="9">
        <v>106</v>
      </c>
    </row>
    <row r="37" spans="1:106">
      <c r="A37" s="1" t="s">
        <v>246</v>
      </c>
      <c r="B37" s="1" t="s">
        <v>239</v>
      </c>
      <c r="C37" s="1" t="s">
        <v>17</v>
      </c>
      <c r="D37" s="1" t="s">
        <v>220</v>
      </c>
      <c r="E37" s="6">
        <v>654</v>
      </c>
      <c r="F37" s="9">
        <v>72.78</v>
      </c>
      <c r="G37" s="9">
        <v>10.77</v>
      </c>
      <c r="H37" s="9">
        <v>48.6</v>
      </c>
      <c r="I37" s="9">
        <v>52.2</v>
      </c>
      <c r="J37" s="9">
        <v>54.2</v>
      </c>
      <c r="K37" s="9">
        <v>54.8</v>
      </c>
      <c r="L37" s="9">
        <v>55.9</v>
      </c>
      <c r="M37" s="9">
        <v>56.5</v>
      </c>
      <c r="N37" s="9">
        <v>57.2</v>
      </c>
      <c r="O37" s="9">
        <v>57.8</v>
      </c>
      <c r="P37" s="9">
        <v>59.3</v>
      </c>
      <c r="Q37" s="9">
        <v>59.7</v>
      </c>
      <c r="R37" s="9">
        <v>60</v>
      </c>
      <c r="S37" s="9">
        <v>60.5</v>
      </c>
      <c r="T37" s="9">
        <v>61.2</v>
      </c>
      <c r="U37" s="9">
        <v>61.5</v>
      </c>
      <c r="V37" s="9">
        <v>61.8</v>
      </c>
      <c r="W37" s="9">
        <v>62.3</v>
      </c>
      <c r="X37" s="9">
        <v>63</v>
      </c>
      <c r="Y37" s="9">
        <v>63.3</v>
      </c>
      <c r="Z37" s="9">
        <v>64</v>
      </c>
      <c r="AA37" s="9">
        <v>64.400000000000006</v>
      </c>
      <c r="AB37" s="9">
        <v>64.8</v>
      </c>
      <c r="AC37" s="9">
        <v>65.2</v>
      </c>
      <c r="AD37" s="9">
        <v>65.400000000000006</v>
      </c>
      <c r="AE37" s="9">
        <v>65.7</v>
      </c>
      <c r="AF37" s="9">
        <v>66</v>
      </c>
      <c r="AG37" s="9">
        <v>66.2</v>
      </c>
      <c r="AH37" s="9">
        <v>66.599999999999994</v>
      </c>
      <c r="AI37" s="9">
        <v>67</v>
      </c>
      <c r="AJ37" s="9">
        <v>67.3</v>
      </c>
      <c r="AK37" s="9">
        <v>67.7</v>
      </c>
      <c r="AL37" s="9">
        <v>67.900000000000006</v>
      </c>
      <c r="AM37" s="9">
        <v>68.2</v>
      </c>
      <c r="AN37" s="9">
        <v>68.5</v>
      </c>
      <c r="AO37" s="9">
        <v>68.8</v>
      </c>
      <c r="AP37" s="9">
        <v>69.099999999999994</v>
      </c>
      <c r="AQ37" s="9">
        <v>69.3</v>
      </c>
      <c r="AR37" s="9">
        <v>69.400000000000006</v>
      </c>
      <c r="AS37" s="9">
        <v>69.599999999999994</v>
      </c>
      <c r="AT37" s="9">
        <v>70</v>
      </c>
      <c r="AU37" s="9">
        <v>70.2</v>
      </c>
      <c r="AV37" s="9">
        <v>70.400000000000006</v>
      </c>
      <c r="AW37" s="9">
        <v>70.5</v>
      </c>
      <c r="AX37" s="9">
        <v>70.7</v>
      </c>
      <c r="AY37" s="9">
        <v>70.900000000000006</v>
      </c>
      <c r="AZ37" s="9">
        <v>71.099999999999994</v>
      </c>
      <c r="BA37" s="9">
        <v>71.5</v>
      </c>
      <c r="BB37" s="9">
        <v>71.7</v>
      </c>
      <c r="BC37" s="9">
        <v>71.900000000000006</v>
      </c>
      <c r="BD37" s="9">
        <v>72.099999999999994</v>
      </c>
      <c r="BE37" s="9">
        <v>72.3</v>
      </c>
      <c r="BF37" s="9">
        <v>72.599999999999994</v>
      </c>
      <c r="BG37" s="9">
        <v>72.900000000000006</v>
      </c>
      <c r="BH37" s="9">
        <v>73</v>
      </c>
      <c r="BI37" s="9">
        <v>73.2</v>
      </c>
      <c r="BJ37" s="9">
        <v>73.400000000000006</v>
      </c>
      <c r="BK37" s="9">
        <v>73.5</v>
      </c>
      <c r="BL37" s="9">
        <v>73.599999999999994</v>
      </c>
      <c r="BM37" s="9">
        <v>74.099999999999994</v>
      </c>
      <c r="BN37" s="9">
        <v>74.2</v>
      </c>
      <c r="BO37" s="9">
        <v>74.3</v>
      </c>
      <c r="BP37" s="9">
        <v>74.5</v>
      </c>
      <c r="BQ37" s="9">
        <v>74.900000000000006</v>
      </c>
      <c r="BR37" s="9">
        <v>75.400000000000006</v>
      </c>
      <c r="BS37" s="9">
        <v>75.5</v>
      </c>
      <c r="BT37" s="9">
        <v>76</v>
      </c>
      <c r="BU37" s="9">
        <v>76.2</v>
      </c>
      <c r="BV37" s="9">
        <v>76.3</v>
      </c>
      <c r="BW37" s="9">
        <v>76.7</v>
      </c>
      <c r="BX37" s="9">
        <v>77</v>
      </c>
      <c r="BY37" s="9">
        <v>77.2</v>
      </c>
      <c r="BZ37" s="9">
        <v>77.5</v>
      </c>
      <c r="CA37" s="9">
        <v>77.8</v>
      </c>
      <c r="CB37" s="9">
        <v>78.099999999999994</v>
      </c>
      <c r="CC37" s="9">
        <v>78.5</v>
      </c>
      <c r="CD37" s="9">
        <v>78.8</v>
      </c>
      <c r="CE37" s="9">
        <v>79.2</v>
      </c>
      <c r="CF37" s="9">
        <v>79.5</v>
      </c>
      <c r="CG37" s="9">
        <v>80</v>
      </c>
      <c r="CH37" s="9">
        <v>80.400000000000006</v>
      </c>
      <c r="CI37" s="9">
        <v>80.900000000000006</v>
      </c>
      <c r="CJ37" s="9">
        <v>81.400000000000006</v>
      </c>
      <c r="CK37" s="9">
        <v>82</v>
      </c>
      <c r="CL37" s="9">
        <v>82.4</v>
      </c>
      <c r="CM37" s="9">
        <v>82.6</v>
      </c>
      <c r="CN37" s="9">
        <v>82.9</v>
      </c>
      <c r="CO37" s="9">
        <v>83.5</v>
      </c>
      <c r="CP37" s="9">
        <v>83.9</v>
      </c>
      <c r="CQ37" s="9">
        <v>84.3</v>
      </c>
      <c r="CR37" s="9">
        <v>84.7</v>
      </c>
      <c r="CS37" s="9">
        <v>85.4</v>
      </c>
      <c r="CT37" s="9">
        <v>86.9</v>
      </c>
      <c r="CU37" s="9">
        <v>87.8</v>
      </c>
      <c r="CV37" s="9">
        <v>88.7</v>
      </c>
      <c r="CW37" s="9">
        <v>90</v>
      </c>
      <c r="CX37" s="9">
        <v>91.3</v>
      </c>
      <c r="CY37" s="9">
        <v>92.3</v>
      </c>
      <c r="CZ37" s="9">
        <v>94.7</v>
      </c>
      <c r="DA37" s="9">
        <v>97.4</v>
      </c>
      <c r="DB37" s="9">
        <v>104.9</v>
      </c>
    </row>
    <row r="38" spans="1:106">
      <c r="A38" s="1" t="s">
        <v>247</v>
      </c>
      <c r="B38" s="1" t="s">
        <v>239</v>
      </c>
      <c r="C38" s="1" t="s">
        <v>17</v>
      </c>
      <c r="D38" s="1" t="s">
        <v>222</v>
      </c>
      <c r="E38" s="6">
        <v>816</v>
      </c>
      <c r="F38" s="9">
        <v>69.73</v>
      </c>
      <c r="G38" s="9">
        <v>10</v>
      </c>
      <c r="H38" s="9">
        <v>48.9</v>
      </c>
      <c r="I38" s="9">
        <v>50.7</v>
      </c>
      <c r="J38" s="9">
        <v>52.7</v>
      </c>
      <c r="K38" s="9">
        <v>53.3</v>
      </c>
      <c r="L38" s="9">
        <v>54</v>
      </c>
      <c r="M38" s="9">
        <v>54.7</v>
      </c>
      <c r="N38" s="9">
        <v>55.7</v>
      </c>
      <c r="O38" s="9">
        <v>56.8</v>
      </c>
      <c r="P38" s="9">
        <v>57.3</v>
      </c>
      <c r="Q38" s="9">
        <v>57.6</v>
      </c>
      <c r="R38" s="9">
        <v>58.1</v>
      </c>
      <c r="S38" s="9">
        <v>58.4</v>
      </c>
      <c r="T38" s="9">
        <v>58.8</v>
      </c>
      <c r="U38" s="9">
        <v>58.9</v>
      </c>
      <c r="V38" s="9">
        <v>59.4</v>
      </c>
      <c r="W38" s="9">
        <v>59.6</v>
      </c>
      <c r="X38" s="9">
        <v>60.3</v>
      </c>
      <c r="Y38" s="9">
        <v>60.8</v>
      </c>
      <c r="Z38" s="9">
        <v>61</v>
      </c>
      <c r="AA38" s="9">
        <v>61.1</v>
      </c>
      <c r="AB38" s="9">
        <v>61.5</v>
      </c>
      <c r="AC38" s="9">
        <v>61.8</v>
      </c>
      <c r="AD38" s="9">
        <v>62.1</v>
      </c>
      <c r="AE38" s="9">
        <v>62.4</v>
      </c>
      <c r="AF38" s="9">
        <v>62.7</v>
      </c>
      <c r="AG38" s="9">
        <v>63.1</v>
      </c>
      <c r="AH38" s="9">
        <v>63.3</v>
      </c>
      <c r="AI38" s="9">
        <v>63.6</v>
      </c>
      <c r="AJ38" s="9">
        <v>64</v>
      </c>
      <c r="AK38" s="9">
        <v>64.400000000000006</v>
      </c>
      <c r="AL38" s="9">
        <v>64.7</v>
      </c>
      <c r="AM38" s="9">
        <v>64.900000000000006</v>
      </c>
      <c r="AN38" s="9">
        <v>65.3</v>
      </c>
      <c r="AO38" s="9">
        <v>65.400000000000006</v>
      </c>
      <c r="AP38" s="9">
        <v>65.599999999999994</v>
      </c>
      <c r="AQ38" s="9">
        <v>65.8</v>
      </c>
      <c r="AR38" s="9">
        <v>66.099999999999994</v>
      </c>
      <c r="AS38" s="9">
        <v>66.400000000000006</v>
      </c>
      <c r="AT38" s="9">
        <v>66.599999999999994</v>
      </c>
      <c r="AU38" s="9">
        <v>66.900000000000006</v>
      </c>
      <c r="AV38" s="9">
        <v>67.099999999999994</v>
      </c>
      <c r="AW38" s="9">
        <v>67.5</v>
      </c>
      <c r="AX38" s="9">
        <v>67.900000000000006</v>
      </c>
      <c r="AY38" s="9">
        <v>68</v>
      </c>
      <c r="AZ38" s="9">
        <v>68.3</v>
      </c>
      <c r="BA38" s="9">
        <v>68.5</v>
      </c>
      <c r="BB38" s="9">
        <v>68.8</v>
      </c>
      <c r="BC38" s="9">
        <v>69</v>
      </c>
      <c r="BD38" s="9">
        <v>69.2</v>
      </c>
      <c r="BE38" s="9">
        <v>69.400000000000006</v>
      </c>
      <c r="BF38" s="9">
        <v>69.5</v>
      </c>
      <c r="BG38" s="9">
        <v>69.599999999999994</v>
      </c>
      <c r="BH38" s="9">
        <v>69.900000000000006</v>
      </c>
      <c r="BI38" s="9">
        <v>70.099999999999994</v>
      </c>
      <c r="BJ38" s="9">
        <v>70.3</v>
      </c>
      <c r="BK38" s="9">
        <v>70.5</v>
      </c>
      <c r="BL38" s="9">
        <v>70.7</v>
      </c>
      <c r="BM38" s="9">
        <v>71</v>
      </c>
      <c r="BN38" s="9">
        <v>71.400000000000006</v>
      </c>
      <c r="BO38" s="9">
        <v>71.5</v>
      </c>
      <c r="BP38" s="9">
        <v>71.599999999999994</v>
      </c>
      <c r="BQ38" s="9">
        <v>71.900000000000006</v>
      </c>
      <c r="BR38" s="9">
        <v>72.099999999999994</v>
      </c>
      <c r="BS38" s="9">
        <v>72.5</v>
      </c>
      <c r="BT38" s="9">
        <v>72.900000000000006</v>
      </c>
      <c r="BU38" s="9">
        <v>73.2</v>
      </c>
      <c r="BV38" s="9">
        <v>73.599999999999994</v>
      </c>
      <c r="BW38" s="9">
        <v>74</v>
      </c>
      <c r="BX38" s="9">
        <v>74.3</v>
      </c>
      <c r="BY38" s="9">
        <v>74.599999999999994</v>
      </c>
      <c r="BZ38" s="9">
        <v>74.7</v>
      </c>
      <c r="CA38" s="9">
        <v>74.900000000000006</v>
      </c>
      <c r="CB38" s="9">
        <v>75.099999999999994</v>
      </c>
      <c r="CC38" s="9">
        <v>75.2</v>
      </c>
      <c r="CD38" s="9">
        <v>75.5</v>
      </c>
      <c r="CE38" s="9">
        <v>75.7</v>
      </c>
      <c r="CF38" s="9">
        <v>76.3</v>
      </c>
      <c r="CG38" s="9">
        <v>76.7</v>
      </c>
      <c r="CH38" s="9">
        <v>76.900000000000006</v>
      </c>
      <c r="CI38" s="9">
        <v>77.599999999999994</v>
      </c>
      <c r="CJ38" s="9">
        <v>78.099999999999994</v>
      </c>
      <c r="CK38" s="9">
        <v>78.8</v>
      </c>
      <c r="CL38" s="9">
        <v>79.099999999999994</v>
      </c>
      <c r="CM38" s="9">
        <v>79.5</v>
      </c>
      <c r="CN38" s="9">
        <v>80.2</v>
      </c>
      <c r="CO38" s="9">
        <v>80.900000000000006</v>
      </c>
      <c r="CP38" s="9">
        <v>81.099999999999994</v>
      </c>
      <c r="CQ38" s="9">
        <v>81.5</v>
      </c>
      <c r="CR38" s="9">
        <v>81.8</v>
      </c>
      <c r="CS38" s="9">
        <v>82.5</v>
      </c>
      <c r="CT38" s="9">
        <v>83.1</v>
      </c>
      <c r="CU38" s="9">
        <v>83.8</v>
      </c>
      <c r="CV38" s="9">
        <v>84.7</v>
      </c>
      <c r="CW38" s="9">
        <v>85.4</v>
      </c>
      <c r="CX38" s="9">
        <v>86.4</v>
      </c>
      <c r="CY38" s="9">
        <v>87.9</v>
      </c>
      <c r="CZ38" s="9">
        <v>89.8</v>
      </c>
      <c r="DA38" s="9">
        <v>91.7</v>
      </c>
      <c r="DB38" s="9">
        <v>96.9</v>
      </c>
    </row>
    <row r="39" spans="1:106">
      <c r="A39" s="1" t="s">
        <v>248</v>
      </c>
      <c r="B39" s="1" t="s">
        <v>239</v>
      </c>
      <c r="C39" s="1" t="s">
        <v>17</v>
      </c>
      <c r="D39" s="1" t="s">
        <v>224</v>
      </c>
      <c r="E39" s="6">
        <v>787</v>
      </c>
      <c r="F39" s="9">
        <v>68.430000000000007</v>
      </c>
      <c r="G39" s="9">
        <v>10</v>
      </c>
      <c r="H39" s="9">
        <v>47.1</v>
      </c>
      <c r="I39" s="9">
        <v>49</v>
      </c>
      <c r="J39" s="9">
        <v>50.4</v>
      </c>
      <c r="K39" s="9">
        <v>51.6</v>
      </c>
      <c r="L39" s="9">
        <v>52.5</v>
      </c>
      <c r="M39" s="9">
        <v>53.3</v>
      </c>
      <c r="N39" s="9">
        <v>53.9</v>
      </c>
      <c r="O39" s="9">
        <v>54.5</v>
      </c>
      <c r="P39" s="9">
        <v>55.2</v>
      </c>
      <c r="Q39" s="9">
        <v>56.2</v>
      </c>
      <c r="R39" s="9">
        <v>56.8</v>
      </c>
      <c r="S39" s="9">
        <v>57.2</v>
      </c>
      <c r="T39" s="9">
        <v>57.8</v>
      </c>
      <c r="U39" s="9">
        <v>58.3</v>
      </c>
      <c r="V39" s="9">
        <v>58.6</v>
      </c>
      <c r="W39" s="9">
        <v>59</v>
      </c>
      <c r="X39" s="9">
        <v>59.2</v>
      </c>
      <c r="Y39" s="9">
        <v>59.6</v>
      </c>
      <c r="Z39" s="9">
        <v>60</v>
      </c>
      <c r="AA39" s="9">
        <v>60.2</v>
      </c>
      <c r="AB39" s="9">
        <v>60.5</v>
      </c>
      <c r="AC39" s="9">
        <v>60.8</v>
      </c>
      <c r="AD39" s="9">
        <v>61</v>
      </c>
      <c r="AE39" s="9">
        <v>61.1</v>
      </c>
      <c r="AF39" s="9">
        <v>61.5</v>
      </c>
      <c r="AG39" s="9">
        <v>61.6</v>
      </c>
      <c r="AH39" s="9">
        <v>61.8</v>
      </c>
      <c r="AI39" s="9">
        <v>62</v>
      </c>
      <c r="AJ39" s="9">
        <v>62.6</v>
      </c>
      <c r="AK39" s="9">
        <v>63.1</v>
      </c>
      <c r="AL39" s="9">
        <v>63.3</v>
      </c>
      <c r="AM39" s="9">
        <v>63.6</v>
      </c>
      <c r="AN39" s="9">
        <v>63.9</v>
      </c>
      <c r="AO39" s="9">
        <v>64.099999999999994</v>
      </c>
      <c r="AP39" s="9">
        <v>64.400000000000006</v>
      </c>
      <c r="AQ39" s="9">
        <v>64.7</v>
      </c>
      <c r="AR39" s="9">
        <v>65.099999999999994</v>
      </c>
      <c r="AS39" s="9">
        <v>65.2</v>
      </c>
      <c r="AT39" s="9">
        <v>65.400000000000006</v>
      </c>
      <c r="AU39" s="9">
        <v>65.599999999999994</v>
      </c>
      <c r="AV39" s="9">
        <v>65.900000000000006</v>
      </c>
      <c r="AW39" s="9">
        <v>66.099999999999994</v>
      </c>
      <c r="AX39" s="9">
        <v>66.2</v>
      </c>
      <c r="AY39" s="9">
        <v>66.5</v>
      </c>
      <c r="AZ39" s="9">
        <v>66.900000000000006</v>
      </c>
      <c r="BA39" s="9">
        <v>67.099999999999994</v>
      </c>
      <c r="BB39" s="9">
        <v>67.3</v>
      </c>
      <c r="BC39" s="9">
        <v>67.7</v>
      </c>
      <c r="BD39" s="9">
        <v>68</v>
      </c>
      <c r="BE39" s="9">
        <v>68.2</v>
      </c>
      <c r="BF39" s="9">
        <v>68.400000000000006</v>
      </c>
      <c r="BG39" s="9">
        <v>68.599999999999994</v>
      </c>
      <c r="BH39" s="9">
        <v>68.900000000000006</v>
      </c>
      <c r="BI39" s="9">
        <v>69</v>
      </c>
      <c r="BJ39" s="9">
        <v>69.099999999999994</v>
      </c>
      <c r="BK39" s="9">
        <v>69.5</v>
      </c>
      <c r="BL39" s="9">
        <v>69.900000000000006</v>
      </c>
      <c r="BM39" s="9">
        <v>70.099999999999994</v>
      </c>
      <c r="BN39" s="9">
        <v>70.2</v>
      </c>
      <c r="BO39" s="9">
        <v>70.5</v>
      </c>
      <c r="BP39" s="9">
        <v>70.8</v>
      </c>
      <c r="BQ39" s="9">
        <v>71</v>
      </c>
      <c r="BR39" s="9">
        <v>71.400000000000006</v>
      </c>
      <c r="BS39" s="9">
        <v>71.8</v>
      </c>
      <c r="BT39" s="9">
        <v>72</v>
      </c>
      <c r="BU39" s="9">
        <v>72.099999999999994</v>
      </c>
      <c r="BV39" s="9">
        <v>72.3</v>
      </c>
      <c r="BW39" s="9">
        <v>72.7</v>
      </c>
      <c r="BX39" s="9">
        <v>73.099999999999994</v>
      </c>
      <c r="BY39" s="9">
        <v>73.3</v>
      </c>
      <c r="BZ39" s="9">
        <v>73.7</v>
      </c>
      <c r="CA39" s="9">
        <v>73.900000000000006</v>
      </c>
      <c r="CB39" s="9">
        <v>74.2</v>
      </c>
      <c r="CC39" s="9">
        <v>74.3</v>
      </c>
      <c r="CD39" s="9">
        <v>74.7</v>
      </c>
      <c r="CE39" s="9">
        <v>75</v>
      </c>
      <c r="CF39" s="9">
        <v>75.5</v>
      </c>
      <c r="CG39" s="9">
        <v>75.900000000000006</v>
      </c>
      <c r="CH39" s="9">
        <v>76.099999999999994</v>
      </c>
      <c r="CI39" s="9">
        <v>76.599999999999994</v>
      </c>
      <c r="CJ39" s="9">
        <v>77</v>
      </c>
      <c r="CK39" s="9">
        <v>77.400000000000006</v>
      </c>
      <c r="CL39" s="9">
        <v>77.7</v>
      </c>
      <c r="CM39" s="9">
        <v>77.900000000000006</v>
      </c>
      <c r="CN39" s="9">
        <v>78.400000000000006</v>
      </c>
      <c r="CO39" s="9">
        <v>78.8</v>
      </c>
      <c r="CP39" s="9">
        <v>79.3</v>
      </c>
      <c r="CQ39" s="9">
        <v>79.7</v>
      </c>
      <c r="CR39" s="9">
        <v>80.5</v>
      </c>
      <c r="CS39" s="9">
        <v>80.7</v>
      </c>
      <c r="CT39" s="9">
        <v>81.3</v>
      </c>
      <c r="CU39" s="9">
        <v>81.900000000000006</v>
      </c>
      <c r="CV39" s="9">
        <v>82.9</v>
      </c>
      <c r="CW39" s="9">
        <v>84.1</v>
      </c>
      <c r="CX39" s="9">
        <v>85</v>
      </c>
      <c r="CY39" s="9">
        <v>86.5</v>
      </c>
      <c r="CZ39" s="9">
        <v>88.2</v>
      </c>
      <c r="DA39" s="9">
        <v>90.6</v>
      </c>
      <c r="DB39" s="9">
        <v>94.9</v>
      </c>
    </row>
    <row r="40" spans="1:106">
      <c r="A40" s="1" t="s">
        <v>364</v>
      </c>
      <c r="B40" s="1" t="s">
        <v>239</v>
      </c>
      <c r="C40" s="1" t="s">
        <v>17</v>
      </c>
      <c r="D40" s="1" t="s">
        <v>356</v>
      </c>
      <c r="E40" s="6">
        <v>634</v>
      </c>
      <c r="F40" s="9">
        <v>65.8</v>
      </c>
      <c r="G40" s="9">
        <v>9.11</v>
      </c>
      <c r="H40" s="9">
        <v>45.2</v>
      </c>
      <c r="I40" s="9">
        <v>47.7</v>
      </c>
      <c r="J40" s="9">
        <v>48.4</v>
      </c>
      <c r="K40" s="9">
        <v>49.8</v>
      </c>
      <c r="L40" s="9">
        <v>50.9</v>
      </c>
      <c r="M40" s="9">
        <v>51.8</v>
      </c>
      <c r="N40" s="9">
        <v>52.1</v>
      </c>
      <c r="O40" s="9">
        <v>52.3</v>
      </c>
      <c r="P40" s="9">
        <v>53.1</v>
      </c>
      <c r="Q40" s="9">
        <v>53.7</v>
      </c>
      <c r="R40" s="9">
        <v>54.4</v>
      </c>
      <c r="S40" s="9">
        <v>55.3</v>
      </c>
      <c r="T40" s="9">
        <v>55.7</v>
      </c>
      <c r="U40" s="9">
        <v>55.9</v>
      </c>
      <c r="V40" s="9">
        <v>56.7</v>
      </c>
      <c r="W40" s="9">
        <v>57.1</v>
      </c>
      <c r="X40" s="9">
        <v>57.6</v>
      </c>
      <c r="Y40" s="9">
        <v>58</v>
      </c>
      <c r="Z40" s="9">
        <v>58.3</v>
      </c>
      <c r="AA40" s="9">
        <v>58.6</v>
      </c>
      <c r="AB40" s="9">
        <v>58.9</v>
      </c>
      <c r="AC40" s="9">
        <v>59.5</v>
      </c>
      <c r="AD40" s="9">
        <v>59.7</v>
      </c>
      <c r="AE40" s="9">
        <v>60</v>
      </c>
      <c r="AF40" s="9">
        <v>60.2</v>
      </c>
      <c r="AG40" s="9">
        <v>60.3</v>
      </c>
      <c r="AH40" s="9">
        <v>60.5</v>
      </c>
      <c r="AI40" s="9">
        <v>60.7</v>
      </c>
      <c r="AJ40" s="9">
        <v>60.9</v>
      </c>
      <c r="AK40" s="9">
        <v>61.2</v>
      </c>
      <c r="AL40" s="9">
        <v>61.3</v>
      </c>
      <c r="AM40" s="9">
        <v>61.6</v>
      </c>
      <c r="AN40" s="9">
        <v>61.7</v>
      </c>
      <c r="AO40" s="9">
        <v>62.3</v>
      </c>
      <c r="AP40" s="9">
        <v>62.4</v>
      </c>
      <c r="AQ40" s="9">
        <v>62.6</v>
      </c>
      <c r="AR40" s="9">
        <v>62.9</v>
      </c>
      <c r="AS40" s="9">
        <v>63.1</v>
      </c>
      <c r="AT40" s="9">
        <v>63.4</v>
      </c>
      <c r="AU40" s="9">
        <v>63.5</v>
      </c>
      <c r="AV40" s="9">
        <v>63.8</v>
      </c>
      <c r="AW40" s="9">
        <v>63.9</v>
      </c>
      <c r="AX40" s="9">
        <v>64.2</v>
      </c>
      <c r="AY40" s="9">
        <v>64.3</v>
      </c>
      <c r="AZ40" s="9">
        <v>64.400000000000006</v>
      </c>
      <c r="BA40" s="9">
        <v>64.599999999999994</v>
      </c>
      <c r="BB40" s="9">
        <v>64.8</v>
      </c>
      <c r="BC40" s="9">
        <v>65</v>
      </c>
      <c r="BD40" s="9">
        <v>65.099999999999994</v>
      </c>
      <c r="BE40" s="9">
        <v>65.3</v>
      </c>
      <c r="BF40" s="9">
        <v>65.5</v>
      </c>
      <c r="BG40" s="9">
        <v>65.599999999999994</v>
      </c>
      <c r="BH40" s="9">
        <v>65.900000000000006</v>
      </c>
      <c r="BI40" s="9">
        <v>66.3</v>
      </c>
      <c r="BJ40" s="9">
        <v>66.7</v>
      </c>
      <c r="BK40" s="9">
        <v>66.8</v>
      </c>
      <c r="BL40" s="9">
        <v>67</v>
      </c>
      <c r="BM40" s="9">
        <v>67.099999999999994</v>
      </c>
      <c r="BN40" s="9">
        <v>67.400000000000006</v>
      </c>
      <c r="BO40" s="9">
        <v>67.8</v>
      </c>
      <c r="BP40" s="9">
        <v>68.099999999999994</v>
      </c>
      <c r="BQ40" s="9">
        <v>68.2</v>
      </c>
      <c r="BR40" s="9">
        <v>68.5</v>
      </c>
      <c r="BS40" s="9">
        <v>68.7</v>
      </c>
      <c r="BT40" s="9">
        <v>68.900000000000006</v>
      </c>
      <c r="BU40" s="9">
        <v>69.2</v>
      </c>
      <c r="BV40" s="9">
        <v>69.5</v>
      </c>
      <c r="BW40" s="9">
        <v>69.7</v>
      </c>
      <c r="BX40" s="9">
        <v>70.099999999999994</v>
      </c>
      <c r="BY40" s="9">
        <v>70.400000000000006</v>
      </c>
      <c r="BZ40" s="9">
        <v>70.7</v>
      </c>
      <c r="CA40" s="9">
        <v>71</v>
      </c>
      <c r="CB40" s="9">
        <v>71.3</v>
      </c>
      <c r="CC40" s="9">
        <v>71.599999999999994</v>
      </c>
      <c r="CD40" s="9">
        <v>72</v>
      </c>
      <c r="CE40" s="9">
        <v>72.2</v>
      </c>
      <c r="CF40" s="9">
        <v>72.3</v>
      </c>
      <c r="CG40" s="9">
        <v>72.599999999999994</v>
      </c>
      <c r="CH40" s="9">
        <v>72.8</v>
      </c>
      <c r="CI40" s="9">
        <v>73.099999999999994</v>
      </c>
      <c r="CJ40" s="9">
        <v>73.599999999999994</v>
      </c>
      <c r="CK40" s="9">
        <v>74</v>
      </c>
      <c r="CL40" s="9">
        <v>74.099999999999994</v>
      </c>
      <c r="CM40" s="9">
        <v>74.5</v>
      </c>
      <c r="CN40" s="9">
        <v>74.900000000000006</v>
      </c>
      <c r="CO40" s="9">
        <v>75.400000000000006</v>
      </c>
      <c r="CP40" s="9">
        <v>75.5</v>
      </c>
      <c r="CQ40" s="9">
        <v>76</v>
      </c>
      <c r="CR40" s="9">
        <v>76.2</v>
      </c>
      <c r="CS40" s="9">
        <v>76.7</v>
      </c>
      <c r="CT40" s="9">
        <v>77.400000000000006</v>
      </c>
      <c r="CU40" s="9">
        <v>78.099999999999994</v>
      </c>
      <c r="CV40" s="9">
        <v>79.2</v>
      </c>
      <c r="CW40" s="9">
        <v>79.900000000000006</v>
      </c>
      <c r="CX40" s="9">
        <v>81.599999999999994</v>
      </c>
      <c r="CY40" s="9">
        <v>82.6</v>
      </c>
      <c r="CZ40" s="9">
        <v>84</v>
      </c>
      <c r="DA40" s="9">
        <v>85.7</v>
      </c>
      <c r="DB40" s="9">
        <v>86.8</v>
      </c>
    </row>
    <row r="41" spans="1:106">
      <c r="A41" s="1" t="s">
        <v>365</v>
      </c>
      <c r="B41" s="1" t="s">
        <v>239</v>
      </c>
      <c r="C41" s="1" t="s">
        <v>17</v>
      </c>
      <c r="D41" s="1" t="s">
        <v>358</v>
      </c>
      <c r="E41" s="6">
        <v>531</v>
      </c>
      <c r="F41" s="9">
        <v>65.97</v>
      </c>
      <c r="G41" s="9">
        <v>8.89</v>
      </c>
      <c r="H41" s="9">
        <v>45.9</v>
      </c>
      <c r="I41" s="9">
        <v>47.9</v>
      </c>
      <c r="J41" s="9">
        <v>50</v>
      </c>
      <c r="K41" s="9">
        <v>50.7</v>
      </c>
      <c r="L41" s="9">
        <v>52.3</v>
      </c>
      <c r="M41" s="9">
        <v>53.1</v>
      </c>
      <c r="N41" s="9">
        <v>54.2</v>
      </c>
      <c r="O41" s="9">
        <v>54.5</v>
      </c>
      <c r="P41" s="9">
        <v>54.9</v>
      </c>
      <c r="Q41" s="9">
        <v>55.1</v>
      </c>
      <c r="R41" s="9">
        <v>55.8</v>
      </c>
      <c r="S41" s="9">
        <v>56.1</v>
      </c>
      <c r="T41" s="9">
        <v>56.5</v>
      </c>
      <c r="U41" s="9">
        <v>56.7</v>
      </c>
      <c r="V41" s="9">
        <v>57.2</v>
      </c>
      <c r="W41" s="9">
        <v>57.5</v>
      </c>
      <c r="X41" s="9">
        <v>57.9</v>
      </c>
      <c r="Y41" s="9">
        <v>58.3</v>
      </c>
      <c r="Z41" s="9">
        <v>58.4</v>
      </c>
      <c r="AA41" s="9">
        <v>58.5</v>
      </c>
      <c r="AB41" s="9">
        <v>58.7</v>
      </c>
      <c r="AC41" s="9">
        <v>58.9</v>
      </c>
      <c r="AD41" s="9">
        <v>59.2</v>
      </c>
      <c r="AE41" s="9">
        <v>59.4</v>
      </c>
      <c r="AF41" s="9">
        <v>59.7</v>
      </c>
      <c r="AG41" s="9">
        <v>60</v>
      </c>
      <c r="AH41" s="9">
        <v>60.1</v>
      </c>
      <c r="AI41" s="9">
        <v>60.6</v>
      </c>
      <c r="AJ41" s="9">
        <v>60.9</v>
      </c>
      <c r="AK41" s="9">
        <v>61</v>
      </c>
      <c r="AL41" s="9">
        <v>61.2</v>
      </c>
      <c r="AM41" s="9">
        <v>61.5</v>
      </c>
      <c r="AN41" s="9">
        <v>61.6</v>
      </c>
      <c r="AO41" s="9">
        <v>61.8</v>
      </c>
      <c r="AP41" s="9">
        <v>61.9</v>
      </c>
      <c r="AQ41" s="9">
        <v>62.1</v>
      </c>
      <c r="AR41" s="9">
        <v>62.5</v>
      </c>
      <c r="AS41" s="9">
        <v>62.7</v>
      </c>
      <c r="AT41" s="9">
        <v>63.1</v>
      </c>
      <c r="AU41" s="9">
        <v>63.3</v>
      </c>
      <c r="AV41" s="9">
        <v>63.6</v>
      </c>
      <c r="AW41" s="9">
        <v>64</v>
      </c>
      <c r="AX41" s="9">
        <v>64.3</v>
      </c>
      <c r="AY41" s="9">
        <v>64.599999999999994</v>
      </c>
      <c r="AZ41" s="9">
        <v>64.8</v>
      </c>
      <c r="BA41" s="9">
        <v>65</v>
      </c>
      <c r="BB41" s="9">
        <v>65.2</v>
      </c>
      <c r="BC41" s="9">
        <v>65.3</v>
      </c>
      <c r="BD41" s="9">
        <v>65.5</v>
      </c>
      <c r="BE41" s="9">
        <v>65.8</v>
      </c>
      <c r="BF41" s="9">
        <v>66.099999999999994</v>
      </c>
      <c r="BG41" s="9">
        <v>66.5</v>
      </c>
      <c r="BH41" s="9">
        <v>66.599999999999994</v>
      </c>
      <c r="BI41" s="9">
        <v>66.900000000000006</v>
      </c>
      <c r="BJ41" s="9">
        <v>66.900000000000006</v>
      </c>
      <c r="BK41" s="9">
        <v>67</v>
      </c>
      <c r="BL41" s="9">
        <v>67</v>
      </c>
      <c r="BM41" s="9">
        <v>67.2</v>
      </c>
      <c r="BN41" s="9">
        <v>67.599999999999994</v>
      </c>
      <c r="BO41" s="9">
        <v>67.8</v>
      </c>
      <c r="BP41" s="9">
        <v>68</v>
      </c>
      <c r="BQ41" s="9">
        <v>68.2</v>
      </c>
      <c r="BR41" s="9">
        <v>68.2</v>
      </c>
      <c r="BS41" s="9">
        <v>68.400000000000006</v>
      </c>
      <c r="BT41" s="9">
        <v>68.5</v>
      </c>
      <c r="BU41" s="9">
        <v>68.7</v>
      </c>
      <c r="BV41" s="9">
        <v>68.8</v>
      </c>
      <c r="BW41" s="9">
        <v>69.099999999999994</v>
      </c>
      <c r="BX41" s="9">
        <v>69.7</v>
      </c>
      <c r="BY41" s="9">
        <v>69.900000000000006</v>
      </c>
      <c r="BZ41" s="9">
        <v>70.099999999999994</v>
      </c>
      <c r="CA41" s="9">
        <v>70.3</v>
      </c>
      <c r="CB41" s="9">
        <v>70.5</v>
      </c>
      <c r="CC41" s="9">
        <v>70.900000000000006</v>
      </c>
      <c r="CD41" s="9">
        <v>71.3</v>
      </c>
      <c r="CE41" s="9">
        <v>71.5</v>
      </c>
      <c r="CF41" s="9">
        <v>71.8</v>
      </c>
      <c r="CG41" s="9">
        <v>71.900000000000006</v>
      </c>
      <c r="CH41" s="9">
        <v>72.3</v>
      </c>
      <c r="CI41" s="9">
        <v>72.5</v>
      </c>
      <c r="CJ41" s="9">
        <v>72.5</v>
      </c>
      <c r="CK41" s="9">
        <v>72.900000000000006</v>
      </c>
      <c r="CL41" s="9">
        <v>73.400000000000006</v>
      </c>
      <c r="CM41" s="9">
        <v>74.2</v>
      </c>
      <c r="CN41" s="9">
        <v>75</v>
      </c>
      <c r="CO41" s="9">
        <v>75.400000000000006</v>
      </c>
      <c r="CP41" s="9">
        <v>76.099999999999994</v>
      </c>
      <c r="CQ41" s="9">
        <v>76.5</v>
      </c>
      <c r="CR41" s="9">
        <v>77.2</v>
      </c>
      <c r="CS41" s="9">
        <v>77.7</v>
      </c>
      <c r="CT41" s="9">
        <v>78.099999999999994</v>
      </c>
      <c r="CU41" s="9">
        <v>79</v>
      </c>
      <c r="CV41" s="9">
        <v>79.900000000000006</v>
      </c>
      <c r="CW41" s="9">
        <v>80.5</v>
      </c>
      <c r="CX41" s="9">
        <v>81.8</v>
      </c>
      <c r="CY41" s="9">
        <v>82.5</v>
      </c>
      <c r="CZ41" s="9">
        <v>84.4</v>
      </c>
      <c r="DA41" s="9">
        <v>86.1</v>
      </c>
      <c r="DB41" s="9">
        <v>88.5</v>
      </c>
    </row>
    <row r="42" spans="1:106">
      <c r="A42" s="1" t="s">
        <v>366</v>
      </c>
      <c r="B42" s="1" t="s">
        <v>239</v>
      </c>
      <c r="C42" s="1" t="s">
        <v>17</v>
      </c>
      <c r="D42" s="1" t="s">
        <v>360</v>
      </c>
      <c r="E42" s="6">
        <v>400</v>
      </c>
      <c r="F42" s="9">
        <v>62.01</v>
      </c>
      <c r="G42" s="9">
        <v>8.77</v>
      </c>
      <c r="H42" s="9">
        <v>42.8</v>
      </c>
      <c r="I42" s="9">
        <v>44.2</v>
      </c>
      <c r="J42" s="9">
        <v>44.8</v>
      </c>
      <c r="K42" s="9">
        <v>46.2</v>
      </c>
      <c r="L42" s="9">
        <v>47.5</v>
      </c>
      <c r="M42" s="9">
        <v>48.6</v>
      </c>
      <c r="N42" s="9">
        <v>49.4</v>
      </c>
      <c r="O42" s="9">
        <v>50</v>
      </c>
      <c r="P42" s="9">
        <v>50.5</v>
      </c>
      <c r="Q42" s="9">
        <v>51.7</v>
      </c>
      <c r="R42" s="9">
        <v>52.1</v>
      </c>
      <c r="S42" s="9">
        <v>52.7</v>
      </c>
      <c r="T42" s="9">
        <v>52.9</v>
      </c>
      <c r="U42" s="9">
        <v>53</v>
      </c>
      <c r="V42" s="9">
        <v>53.5</v>
      </c>
      <c r="W42" s="9">
        <v>53.6</v>
      </c>
      <c r="X42" s="9">
        <v>53.7</v>
      </c>
      <c r="Y42" s="9">
        <v>54.1</v>
      </c>
      <c r="Z42" s="9">
        <v>54.4</v>
      </c>
      <c r="AA42" s="9">
        <v>54.9</v>
      </c>
      <c r="AB42" s="9">
        <v>55.1</v>
      </c>
      <c r="AC42" s="9">
        <v>55.5</v>
      </c>
      <c r="AD42" s="9">
        <v>55.6</v>
      </c>
      <c r="AE42" s="9">
        <v>56</v>
      </c>
      <c r="AF42" s="9">
        <v>56.3</v>
      </c>
      <c r="AG42" s="9">
        <v>56.7</v>
      </c>
      <c r="AH42" s="9">
        <v>57</v>
      </c>
      <c r="AI42" s="9">
        <v>57.1</v>
      </c>
      <c r="AJ42" s="9">
        <v>57.5</v>
      </c>
      <c r="AK42" s="9">
        <v>57.5</v>
      </c>
      <c r="AL42" s="9">
        <v>57.7</v>
      </c>
      <c r="AM42" s="9">
        <v>58.1</v>
      </c>
      <c r="AN42" s="9">
        <v>58.2</v>
      </c>
      <c r="AO42" s="9">
        <v>58.5</v>
      </c>
      <c r="AP42" s="9">
        <v>58.8</v>
      </c>
      <c r="AQ42" s="9">
        <v>59.1</v>
      </c>
      <c r="AR42" s="9">
        <v>59.2</v>
      </c>
      <c r="AS42" s="9">
        <v>59.3</v>
      </c>
      <c r="AT42" s="9">
        <v>59.4</v>
      </c>
      <c r="AU42" s="9">
        <v>59.6</v>
      </c>
      <c r="AV42" s="9">
        <v>59.8</v>
      </c>
      <c r="AW42" s="9">
        <v>60</v>
      </c>
      <c r="AX42" s="9">
        <v>60</v>
      </c>
      <c r="AY42" s="9">
        <v>60.2</v>
      </c>
      <c r="AZ42" s="9">
        <v>60.4</v>
      </c>
      <c r="BA42" s="9">
        <v>60.6</v>
      </c>
      <c r="BB42" s="9">
        <v>60.8</v>
      </c>
      <c r="BC42" s="9">
        <v>61</v>
      </c>
      <c r="BD42" s="9">
        <v>61.3</v>
      </c>
      <c r="BE42" s="9">
        <v>61.6</v>
      </c>
      <c r="BF42" s="9">
        <v>62.1</v>
      </c>
      <c r="BG42" s="9">
        <v>62.1</v>
      </c>
      <c r="BH42" s="9">
        <v>62.4</v>
      </c>
      <c r="BI42" s="9">
        <v>62.6</v>
      </c>
      <c r="BJ42" s="9">
        <v>62.7</v>
      </c>
      <c r="BK42" s="9">
        <v>62.8</v>
      </c>
      <c r="BL42" s="9">
        <v>63</v>
      </c>
      <c r="BM42" s="9">
        <v>63.1</v>
      </c>
      <c r="BN42" s="9">
        <v>63.3</v>
      </c>
      <c r="BO42" s="9">
        <v>63.4</v>
      </c>
      <c r="BP42" s="9">
        <v>63.9</v>
      </c>
      <c r="BQ42" s="9">
        <v>64</v>
      </c>
      <c r="BR42" s="9">
        <v>64.2</v>
      </c>
      <c r="BS42" s="9">
        <v>64.599999999999994</v>
      </c>
      <c r="BT42" s="9">
        <v>64.8</v>
      </c>
      <c r="BU42" s="9">
        <v>65</v>
      </c>
      <c r="BV42" s="9">
        <v>65.3</v>
      </c>
      <c r="BW42" s="9">
        <v>65.5</v>
      </c>
      <c r="BX42" s="9">
        <v>66</v>
      </c>
      <c r="BY42" s="9">
        <v>66.2</v>
      </c>
      <c r="BZ42" s="9">
        <v>66.400000000000006</v>
      </c>
      <c r="CA42" s="9">
        <v>66.599999999999994</v>
      </c>
      <c r="CB42" s="9">
        <v>66.900000000000006</v>
      </c>
      <c r="CC42" s="9">
        <v>67.3</v>
      </c>
      <c r="CD42" s="9">
        <v>67.400000000000006</v>
      </c>
      <c r="CE42" s="9">
        <v>67.599999999999994</v>
      </c>
      <c r="CF42" s="9">
        <v>68.2</v>
      </c>
      <c r="CG42" s="9">
        <v>68.599999999999994</v>
      </c>
      <c r="CH42" s="9">
        <v>68.900000000000006</v>
      </c>
      <c r="CI42" s="9">
        <v>68.900000000000006</v>
      </c>
      <c r="CJ42" s="9">
        <v>69</v>
      </c>
      <c r="CK42" s="9">
        <v>69.8</v>
      </c>
      <c r="CL42" s="9">
        <v>70.3</v>
      </c>
      <c r="CM42" s="9">
        <v>70.400000000000006</v>
      </c>
      <c r="CN42" s="9">
        <v>70.900000000000006</v>
      </c>
      <c r="CO42" s="9">
        <v>71.3</v>
      </c>
      <c r="CP42" s="9">
        <v>71.599999999999994</v>
      </c>
      <c r="CQ42" s="9">
        <v>71.8</v>
      </c>
      <c r="CR42" s="9">
        <v>72.599999999999994</v>
      </c>
      <c r="CS42" s="9">
        <v>72.900000000000006</v>
      </c>
      <c r="CT42" s="9">
        <v>73.599999999999994</v>
      </c>
      <c r="CU42" s="9">
        <v>74.900000000000006</v>
      </c>
      <c r="CV42" s="9">
        <v>76</v>
      </c>
      <c r="CW42" s="9">
        <v>77</v>
      </c>
      <c r="CX42" s="9">
        <v>77.400000000000006</v>
      </c>
      <c r="CY42" s="9">
        <v>78.5</v>
      </c>
      <c r="CZ42" s="9">
        <v>78.8</v>
      </c>
      <c r="DA42" s="9">
        <v>79.400000000000006</v>
      </c>
      <c r="DB42" s="9">
        <v>82.1</v>
      </c>
    </row>
    <row r="43" spans="1:106">
      <c r="A43" s="1" t="s">
        <v>250</v>
      </c>
      <c r="B43" s="1" t="s">
        <v>239</v>
      </c>
      <c r="C43" s="1" t="s">
        <v>19</v>
      </c>
      <c r="D43" s="1" t="s">
        <v>206</v>
      </c>
      <c r="E43" s="6">
        <v>467</v>
      </c>
      <c r="F43" s="9">
        <v>58.53</v>
      </c>
      <c r="G43" s="9">
        <v>12.49</v>
      </c>
      <c r="H43" s="9">
        <v>39.6</v>
      </c>
      <c r="I43" s="9">
        <v>40.4</v>
      </c>
      <c r="J43" s="9">
        <v>41.7</v>
      </c>
      <c r="K43" s="9">
        <v>42.7</v>
      </c>
      <c r="L43" s="9">
        <v>43.4</v>
      </c>
      <c r="M43" s="9">
        <v>43.8</v>
      </c>
      <c r="N43" s="9">
        <v>44.2</v>
      </c>
      <c r="O43" s="9">
        <v>44.8</v>
      </c>
      <c r="P43" s="9">
        <v>45.3</v>
      </c>
      <c r="Q43" s="9">
        <v>45.7</v>
      </c>
      <c r="R43" s="9">
        <v>45.9</v>
      </c>
      <c r="S43" s="9">
        <v>46.4</v>
      </c>
      <c r="T43" s="9">
        <v>46.9</v>
      </c>
      <c r="U43" s="9">
        <v>47.1</v>
      </c>
      <c r="V43" s="9">
        <v>47.2</v>
      </c>
      <c r="W43" s="9">
        <v>47.5</v>
      </c>
      <c r="X43" s="9">
        <v>47.9</v>
      </c>
      <c r="Y43" s="9">
        <v>48.2</v>
      </c>
      <c r="Z43" s="9">
        <v>48.5</v>
      </c>
      <c r="AA43" s="9">
        <v>48.7</v>
      </c>
      <c r="AB43" s="9">
        <v>49</v>
      </c>
      <c r="AC43" s="9">
        <v>49.3</v>
      </c>
      <c r="AD43" s="9">
        <v>49.5</v>
      </c>
      <c r="AE43" s="9">
        <v>49.8</v>
      </c>
      <c r="AF43" s="9">
        <v>50.2</v>
      </c>
      <c r="AG43" s="9">
        <v>50.3</v>
      </c>
      <c r="AH43" s="9">
        <v>50.5</v>
      </c>
      <c r="AI43" s="9">
        <v>50.6</v>
      </c>
      <c r="AJ43" s="9">
        <v>50.8</v>
      </c>
      <c r="AK43" s="9">
        <v>50.8</v>
      </c>
      <c r="AL43" s="9">
        <v>51</v>
      </c>
      <c r="AM43" s="9">
        <v>51.4</v>
      </c>
      <c r="AN43" s="9">
        <v>51.5</v>
      </c>
      <c r="AO43" s="9">
        <v>51.6</v>
      </c>
      <c r="AP43" s="9">
        <v>51.7</v>
      </c>
      <c r="AQ43" s="9">
        <v>52</v>
      </c>
      <c r="AR43" s="9">
        <v>52.6</v>
      </c>
      <c r="AS43" s="9">
        <v>52.7</v>
      </c>
      <c r="AT43" s="9">
        <v>53</v>
      </c>
      <c r="AU43" s="9">
        <v>53.3</v>
      </c>
      <c r="AV43" s="9">
        <v>53.4</v>
      </c>
      <c r="AW43" s="9">
        <v>53.7</v>
      </c>
      <c r="AX43" s="9">
        <v>54.2</v>
      </c>
      <c r="AY43" s="9">
        <v>54.4</v>
      </c>
      <c r="AZ43" s="9">
        <v>54.9</v>
      </c>
      <c r="BA43" s="9">
        <v>55</v>
      </c>
      <c r="BB43" s="9">
        <v>55.3</v>
      </c>
      <c r="BC43" s="9">
        <v>55.6</v>
      </c>
      <c r="BD43" s="9">
        <v>56</v>
      </c>
      <c r="BE43" s="9">
        <v>56.2</v>
      </c>
      <c r="BF43" s="9">
        <v>56.3</v>
      </c>
      <c r="BG43" s="9">
        <v>56.6</v>
      </c>
      <c r="BH43" s="9">
        <v>57</v>
      </c>
      <c r="BI43" s="9">
        <v>57.5</v>
      </c>
      <c r="BJ43" s="9">
        <v>57.8</v>
      </c>
      <c r="BK43" s="9">
        <v>58</v>
      </c>
      <c r="BL43" s="9">
        <v>58.3</v>
      </c>
      <c r="BM43" s="9">
        <v>58.6</v>
      </c>
      <c r="BN43" s="9">
        <v>58.9</v>
      </c>
      <c r="BO43" s="9">
        <v>59.1</v>
      </c>
      <c r="BP43" s="9">
        <v>59.8</v>
      </c>
      <c r="BQ43" s="9">
        <v>60.2</v>
      </c>
      <c r="BR43" s="9">
        <v>60.3</v>
      </c>
      <c r="BS43" s="9">
        <v>60.5</v>
      </c>
      <c r="BT43" s="9">
        <v>60.7</v>
      </c>
      <c r="BU43" s="9">
        <v>61.3</v>
      </c>
      <c r="BV43" s="9">
        <v>61.9</v>
      </c>
      <c r="BW43" s="9">
        <v>62.1</v>
      </c>
      <c r="BX43" s="9">
        <v>62.6</v>
      </c>
      <c r="BY43" s="9">
        <v>62.9</v>
      </c>
      <c r="BZ43" s="9">
        <v>63</v>
      </c>
      <c r="CA43" s="9">
        <v>63.3</v>
      </c>
      <c r="CB43" s="9">
        <v>63.4</v>
      </c>
      <c r="CC43" s="9">
        <v>63.7</v>
      </c>
      <c r="CD43" s="9">
        <v>64.099999999999994</v>
      </c>
      <c r="CE43" s="9">
        <v>64.8</v>
      </c>
      <c r="CF43" s="9">
        <v>65.2</v>
      </c>
      <c r="CG43" s="9">
        <v>65.5</v>
      </c>
      <c r="CH43" s="9">
        <v>66</v>
      </c>
      <c r="CI43" s="9">
        <v>66.400000000000006</v>
      </c>
      <c r="CJ43" s="9">
        <v>67</v>
      </c>
      <c r="CK43" s="9">
        <v>67.7</v>
      </c>
      <c r="CL43" s="9">
        <v>68</v>
      </c>
      <c r="CM43" s="9">
        <v>68.599999999999994</v>
      </c>
      <c r="CN43" s="9">
        <v>69.8</v>
      </c>
      <c r="CO43" s="9">
        <v>70.2</v>
      </c>
      <c r="CP43" s="9">
        <v>71.7</v>
      </c>
      <c r="CQ43" s="9">
        <v>72</v>
      </c>
      <c r="CR43" s="9">
        <v>72.2</v>
      </c>
      <c r="CS43" s="9">
        <v>73.400000000000006</v>
      </c>
      <c r="CT43" s="9">
        <v>74.2</v>
      </c>
      <c r="CU43" s="9">
        <v>76.400000000000006</v>
      </c>
      <c r="CV43" s="9">
        <v>78.3</v>
      </c>
      <c r="CW43" s="9">
        <v>80.599999999999994</v>
      </c>
      <c r="CX43" s="9">
        <v>83.7</v>
      </c>
      <c r="CY43" s="9">
        <v>84.7</v>
      </c>
      <c r="CZ43" s="9">
        <v>87.9</v>
      </c>
      <c r="DA43" s="9">
        <v>92.1</v>
      </c>
      <c r="DB43" s="9">
        <v>92.3</v>
      </c>
    </row>
    <row r="44" spans="1:106">
      <c r="A44" s="1" t="s">
        <v>251</v>
      </c>
      <c r="B44" s="1" t="s">
        <v>239</v>
      </c>
      <c r="C44" s="1" t="s">
        <v>19</v>
      </c>
      <c r="D44" s="1" t="s">
        <v>208</v>
      </c>
      <c r="E44" s="6">
        <v>518</v>
      </c>
      <c r="F44" s="9">
        <v>59.09</v>
      </c>
      <c r="G44" s="9">
        <v>12.57</v>
      </c>
      <c r="H44" s="9">
        <v>40.700000000000003</v>
      </c>
      <c r="I44" s="9">
        <v>42.1</v>
      </c>
      <c r="J44" s="9">
        <v>43.8</v>
      </c>
      <c r="K44" s="9">
        <v>44.7</v>
      </c>
      <c r="L44" s="9">
        <v>45.1</v>
      </c>
      <c r="M44" s="9">
        <v>45.5</v>
      </c>
      <c r="N44" s="9">
        <v>45.9</v>
      </c>
      <c r="O44" s="9">
        <v>46.3</v>
      </c>
      <c r="P44" s="9">
        <v>46.8</v>
      </c>
      <c r="Q44" s="9">
        <v>47</v>
      </c>
      <c r="R44" s="9">
        <v>47.2</v>
      </c>
      <c r="S44" s="9">
        <v>47.6</v>
      </c>
      <c r="T44" s="9">
        <v>47.8</v>
      </c>
      <c r="U44" s="9">
        <v>48.5</v>
      </c>
      <c r="V44" s="9">
        <v>48.6</v>
      </c>
      <c r="W44" s="9">
        <v>48.8</v>
      </c>
      <c r="X44" s="9">
        <v>49</v>
      </c>
      <c r="Y44" s="9">
        <v>49.2</v>
      </c>
      <c r="Z44" s="9">
        <v>49.3</v>
      </c>
      <c r="AA44" s="9">
        <v>49.7</v>
      </c>
      <c r="AB44" s="9">
        <v>49.9</v>
      </c>
      <c r="AC44" s="9">
        <v>50.2</v>
      </c>
      <c r="AD44" s="9">
        <v>50.5</v>
      </c>
      <c r="AE44" s="9">
        <v>50.7</v>
      </c>
      <c r="AF44" s="9">
        <v>50.9</v>
      </c>
      <c r="AG44" s="9">
        <v>51</v>
      </c>
      <c r="AH44" s="9">
        <v>51.1</v>
      </c>
      <c r="AI44" s="9">
        <v>51.3</v>
      </c>
      <c r="AJ44" s="9">
        <v>51.6</v>
      </c>
      <c r="AK44" s="9">
        <v>51.9</v>
      </c>
      <c r="AL44" s="9">
        <v>52.1</v>
      </c>
      <c r="AM44" s="9">
        <v>52.3</v>
      </c>
      <c r="AN44" s="9">
        <v>52.4</v>
      </c>
      <c r="AO44" s="9">
        <v>52.5</v>
      </c>
      <c r="AP44" s="9">
        <v>52.7</v>
      </c>
      <c r="AQ44" s="9">
        <v>53.1</v>
      </c>
      <c r="AR44" s="9">
        <v>53.3</v>
      </c>
      <c r="AS44" s="9">
        <v>53.5</v>
      </c>
      <c r="AT44" s="9">
        <v>53.8</v>
      </c>
      <c r="AU44" s="9">
        <v>53.9</v>
      </c>
      <c r="AV44" s="9">
        <v>54.4</v>
      </c>
      <c r="AW44" s="9">
        <v>54.5</v>
      </c>
      <c r="AX44" s="9">
        <v>54.6</v>
      </c>
      <c r="AY44" s="9">
        <v>54.9</v>
      </c>
      <c r="AZ44" s="9">
        <v>55.1</v>
      </c>
      <c r="BA44" s="9">
        <v>55.5</v>
      </c>
      <c r="BB44" s="9">
        <v>55.8</v>
      </c>
      <c r="BC44" s="9">
        <v>56</v>
      </c>
      <c r="BD44" s="9">
        <v>56.1</v>
      </c>
      <c r="BE44" s="9">
        <v>56.4</v>
      </c>
      <c r="BF44" s="9">
        <v>56.6</v>
      </c>
      <c r="BG44" s="9">
        <v>56.8</v>
      </c>
      <c r="BH44" s="9">
        <v>57.1</v>
      </c>
      <c r="BI44" s="9">
        <v>57.2</v>
      </c>
      <c r="BJ44" s="9">
        <v>57.6</v>
      </c>
      <c r="BK44" s="9">
        <v>57.8</v>
      </c>
      <c r="BL44" s="9">
        <v>58</v>
      </c>
      <c r="BM44" s="9">
        <v>58.2</v>
      </c>
      <c r="BN44" s="9">
        <v>58.6</v>
      </c>
      <c r="BO44" s="9">
        <v>59</v>
      </c>
      <c r="BP44" s="9">
        <v>59.4</v>
      </c>
      <c r="BQ44" s="9">
        <v>59.6</v>
      </c>
      <c r="BR44" s="9">
        <v>59.9</v>
      </c>
      <c r="BS44" s="9">
        <v>60.2</v>
      </c>
      <c r="BT44" s="9">
        <v>60.3</v>
      </c>
      <c r="BU44" s="9">
        <v>60.6</v>
      </c>
      <c r="BV44" s="9">
        <v>61</v>
      </c>
      <c r="BW44" s="9">
        <v>61.1</v>
      </c>
      <c r="BX44" s="9">
        <v>61.6</v>
      </c>
      <c r="BY44" s="9">
        <v>61.9</v>
      </c>
      <c r="BZ44" s="9">
        <v>62.3</v>
      </c>
      <c r="CA44" s="9">
        <v>62.7</v>
      </c>
      <c r="CB44" s="9">
        <v>62.9</v>
      </c>
      <c r="CC44" s="9">
        <v>63.3</v>
      </c>
      <c r="CD44" s="9">
        <v>63.8</v>
      </c>
      <c r="CE44" s="9">
        <v>64.599999999999994</v>
      </c>
      <c r="CF44" s="9">
        <v>64.900000000000006</v>
      </c>
      <c r="CG44" s="9">
        <v>65.099999999999994</v>
      </c>
      <c r="CH44" s="9">
        <v>65.8</v>
      </c>
      <c r="CI44" s="9">
        <v>66.7</v>
      </c>
      <c r="CJ44" s="9">
        <v>67.3</v>
      </c>
      <c r="CK44" s="9">
        <v>67.7</v>
      </c>
      <c r="CL44" s="9">
        <v>68.099999999999994</v>
      </c>
      <c r="CM44" s="9">
        <v>68.5</v>
      </c>
      <c r="CN44" s="9">
        <v>69.2</v>
      </c>
      <c r="CO44" s="9">
        <v>69.599999999999994</v>
      </c>
      <c r="CP44" s="9">
        <v>70.599999999999994</v>
      </c>
      <c r="CQ44" s="9">
        <v>71</v>
      </c>
      <c r="CR44" s="9">
        <v>72.5</v>
      </c>
      <c r="CS44" s="9">
        <v>73.400000000000006</v>
      </c>
      <c r="CT44" s="9">
        <v>75.599999999999994</v>
      </c>
      <c r="CU44" s="9">
        <v>77.5</v>
      </c>
      <c r="CV44" s="9">
        <v>78.3</v>
      </c>
      <c r="CW44" s="9">
        <v>80.5</v>
      </c>
      <c r="CX44" s="9">
        <v>83.3</v>
      </c>
      <c r="CY44" s="9">
        <v>86.3</v>
      </c>
      <c r="CZ44" s="9">
        <v>91.1</v>
      </c>
      <c r="DA44" s="9">
        <v>97.1</v>
      </c>
      <c r="DB44" s="9">
        <v>107.6</v>
      </c>
    </row>
    <row r="45" spans="1:106">
      <c r="A45" s="1" t="s">
        <v>252</v>
      </c>
      <c r="B45" s="1" t="s">
        <v>239</v>
      </c>
      <c r="C45" s="1" t="s">
        <v>19</v>
      </c>
      <c r="D45" s="1" t="s">
        <v>210</v>
      </c>
      <c r="E45" s="6">
        <v>507</v>
      </c>
      <c r="F45" s="9">
        <v>61.12</v>
      </c>
      <c r="G45" s="9">
        <v>12.17</v>
      </c>
      <c r="H45" s="9">
        <v>42.8</v>
      </c>
      <c r="I45" s="9">
        <v>43.3</v>
      </c>
      <c r="J45" s="9">
        <v>44</v>
      </c>
      <c r="K45" s="9">
        <v>45.3</v>
      </c>
      <c r="L45" s="9">
        <v>45.8</v>
      </c>
      <c r="M45" s="9">
        <v>46.9</v>
      </c>
      <c r="N45" s="9">
        <v>47.1</v>
      </c>
      <c r="O45" s="9">
        <v>47.4</v>
      </c>
      <c r="P45" s="9">
        <v>47.6</v>
      </c>
      <c r="Q45" s="9">
        <v>48.2</v>
      </c>
      <c r="R45" s="9">
        <v>48.9</v>
      </c>
      <c r="S45" s="9">
        <v>49.2</v>
      </c>
      <c r="T45" s="9">
        <v>49.3</v>
      </c>
      <c r="U45" s="9">
        <v>49.7</v>
      </c>
      <c r="V45" s="9">
        <v>49.8</v>
      </c>
      <c r="W45" s="9">
        <v>50</v>
      </c>
      <c r="X45" s="9">
        <v>50.3</v>
      </c>
      <c r="Y45" s="9">
        <v>50.5</v>
      </c>
      <c r="Z45" s="9">
        <v>50.8</v>
      </c>
      <c r="AA45" s="9">
        <v>51.2</v>
      </c>
      <c r="AB45" s="9">
        <v>51.5</v>
      </c>
      <c r="AC45" s="9">
        <v>51.8</v>
      </c>
      <c r="AD45" s="9">
        <v>51.9</v>
      </c>
      <c r="AE45" s="9">
        <v>52.3</v>
      </c>
      <c r="AF45" s="9">
        <v>52.5</v>
      </c>
      <c r="AG45" s="9">
        <v>52.7</v>
      </c>
      <c r="AH45" s="9">
        <v>53.2</v>
      </c>
      <c r="AI45" s="9">
        <v>53.6</v>
      </c>
      <c r="AJ45" s="9">
        <v>53.9</v>
      </c>
      <c r="AK45" s="9">
        <v>54</v>
      </c>
      <c r="AL45" s="9">
        <v>54.5</v>
      </c>
      <c r="AM45" s="9">
        <v>54.9</v>
      </c>
      <c r="AN45" s="9">
        <v>55.2</v>
      </c>
      <c r="AO45" s="9">
        <v>55.3</v>
      </c>
      <c r="AP45" s="9">
        <v>55.5</v>
      </c>
      <c r="AQ45" s="9">
        <v>55.7</v>
      </c>
      <c r="AR45" s="9">
        <v>55.9</v>
      </c>
      <c r="AS45" s="9">
        <v>56.1</v>
      </c>
      <c r="AT45" s="9">
        <v>56.2</v>
      </c>
      <c r="AU45" s="9">
        <v>56.3</v>
      </c>
      <c r="AV45" s="9">
        <v>56.5</v>
      </c>
      <c r="AW45" s="9">
        <v>56.8</v>
      </c>
      <c r="AX45" s="9">
        <v>57</v>
      </c>
      <c r="AY45" s="9">
        <v>57.2</v>
      </c>
      <c r="AZ45" s="9">
        <v>57.5</v>
      </c>
      <c r="BA45" s="9">
        <v>57.7</v>
      </c>
      <c r="BB45" s="9">
        <v>57.9</v>
      </c>
      <c r="BC45" s="9">
        <v>58</v>
      </c>
      <c r="BD45" s="9">
        <v>58.5</v>
      </c>
      <c r="BE45" s="9">
        <v>58.7</v>
      </c>
      <c r="BF45" s="9">
        <v>59</v>
      </c>
      <c r="BG45" s="9">
        <v>59.2</v>
      </c>
      <c r="BH45" s="9">
        <v>59.6</v>
      </c>
      <c r="BI45" s="9">
        <v>59.9</v>
      </c>
      <c r="BJ45" s="9">
        <v>60.1</v>
      </c>
      <c r="BK45" s="9">
        <v>60.2</v>
      </c>
      <c r="BL45" s="9">
        <v>60.3</v>
      </c>
      <c r="BM45" s="9">
        <v>60.6</v>
      </c>
      <c r="BN45" s="9">
        <v>61.2</v>
      </c>
      <c r="BO45" s="9">
        <v>61.5</v>
      </c>
      <c r="BP45" s="9">
        <v>61.8</v>
      </c>
      <c r="BQ45" s="9">
        <v>62.1</v>
      </c>
      <c r="BR45" s="9">
        <v>62.4</v>
      </c>
      <c r="BS45" s="9">
        <v>62.5</v>
      </c>
      <c r="BT45" s="9">
        <v>62.9</v>
      </c>
      <c r="BU45" s="9">
        <v>63.3</v>
      </c>
      <c r="BV45" s="9">
        <v>63.6</v>
      </c>
      <c r="BW45" s="9">
        <v>64.099999999999994</v>
      </c>
      <c r="BX45" s="9">
        <v>64.5</v>
      </c>
      <c r="BY45" s="9">
        <v>64.900000000000006</v>
      </c>
      <c r="BZ45" s="9">
        <v>65.3</v>
      </c>
      <c r="CA45" s="9">
        <v>65.7</v>
      </c>
      <c r="CB45" s="9">
        <v>66.2</v>
      </c>
      <c r="CC45" s="9">
        <v>66.599999999999994</v>
      </c>
      <c r="CD45" s="9">
        <v>66.7</v>
      </c>
      <c r="CE45" s="9">
        <v>67.099999999999994</v>
      </c>
      <c r="CF45" s="9">
        <v>67.5</v>
      </c>
      <c r="CG45" s="9">
        <v>67.7</v>
      </c>
      <c r="CH45" s="9">
        <v>68.2</v>
      </c>
      <c r="CI45" s="9">
        <v>68.400000000000006</v>
      </c>
      <c r="CJ45" s="9">
        <v>68.599999999999994</v>
      </c>
      <c r="CK45" s="9">
        <v>69.099999999999994</v>
      </c>
      <c r="CL45" s="9">
        <v>70.099999999999994</v>
      </c>
      <c r="CM45" s="9">
        <v>71.2</v>
      </c>
      <c r="CN45" s="9">
        <v>72.3</v>
      </c>
      <c r="CO45" s="9">
        <v>72.900000000000006</v>
      </c>
      <c r="CP45" s="9">
        <v>74.5</v>
      </c>
      <c r="CQ45" s="9">
        <v>74.900000000000006</v>
      </c>
      <c r="CR45" s="9">
        <v>75.599999999999994</v>
      </c>
      <c r="CS45" s="9">
        <v>76.400000000000006</v>
      </c>
      <c r="CT45" s="9">
        <v>78</v>
      </c>
      <c r="CU45" s="9">
        <v>80.099999999999994</v>
      </c>
      <c r="CV45" s="9">
        <v>81.599999999999994</v>
      </c>
      <c r="CW45" s="9">
        <v>83.6</v>
      </c>
      <c r="CX45" s="9">
        <v>85.2</v>
      </c>
      <c r="CY45" s="9">
        <v>89.2</v>
      </c>
      <c r="CZ45" s="9">
        <v>91.7</v>
      </c>
      <c r="DA45" s="9">
        <v>93.2</v>
      </c>
      <c r="DB45" s="9">
        <v>99.6</v>
      </c>
    </row>
    <row r="46" spans="1:106">
      <c r="A46" s="1" t="s">
        <v>253</v>
      </c>
      <c r="B46" s="1" t="s">
        <v>239</v>
      </c>
      <c r="C46" s="1" t="s">
        <v>19</v>
      </c>
      <c r="D46" s="1" t="s">
        <v>212</v>
      </c>
      <c r="E46" s="6">
        <v>587</v>
      </c>
      <c r="F46" s="9">
        <v>59.83</v>
      </c>
      <c r="G46" s="9">
        <v>11.09</v>
      </c>
      <c r="H46" s="9">
        <v>43.4</v>
      </c>
      <c r="I46" s="9">
        <v>44.8</v>
      </c>
      <c r="J46" s="9">
        <v>45.4</v>
      </c>
      <c r="K46" s="9">
        <v>45.9</v>
      </c>
      <c r="L46" s="9">
        <v>46.5</v>
      </c>
      <c r="M46" s="9">
        <v>46.7</v>
      </c>
      <c r="N46" s="9">
        <v>47.1</v>
      </c>
      <c r="O46" s="9">
        <v>47.5</v>
      </c>
      <c r="P46" s="9">
        <v>47.5</v>
      </c>
      <c r="Q46" s="9">
        <v>47.8</v>
      </c>
      <c r="R46" s="9">
        <v>48.2</v>
      </c>
      <c r="S46" s="9">
        <v>48.5</v>
      </c>
      <c r="T46" s="9">
        <v>48.7</v>
      </c>
      <c r="U46" s="9">
        <v>49.1</v>
      </c>
      <c r="V46" s="9">
        <v>49.4</v>
      </c>
      <c r="W46" s="9">
        <v>49.6</v>
      </c>
      <c r="X46" s="9">
        <v>49.8</v>
      </c>
      <c r="Y46" s="9">
        <v>50.6</v>
      </c>
      <c r="Z46" s="9">
        <v>50.8</v>
      </c>
      <c r="AA46" s="9">
        <v>51</v>
      </c>
      <c r="AB46" s="9">
        <v>51.2</v>
      </c>
      <c r="AC46" s="9">
        <v>51.3</v>
      </c>
      <c r="AD46" s="9">
        <v>51.6</v>
      </c>
      <c r="AE46" s="9">
        <v>51.9</v>
      </c>
      <c r="AF46" s="9">
        <v>52.1</v>
      </c>
      <c r="AG46" s="9">
        <v>52.3</v>
      </c>
      <c r="AH46" s="9">
        <v>52.4</v>
      </c>
      <c r="AI46" s="9">
        <v>52.7</v>
      </c>
      <c r="AJ46" s="9">
        <v>52.8</v>
      </c>
      <c r="AK46" s="9">
        <v>53</v>
      </c>
      <c r="AL46" s="9">
        <v>53.3</v>
      </c>
      <c r="AM46" s="9">
        <v>53.5</v>
      </c>
      <c r="AN46" s="9">
        <v>53.7</v>
      </c>
      <c r="AO46" s="9">
        <v>53.8</v>
      </c>
      <c r="AP46" s="9">
        <v>54.1</v>
      </c>
      <c r="AQ46" s="9">
        <v>54.4</v>
      </c>
      <c r="AR46" s="9">
        <v>54.7</v>
      </c>
      <c r="AS46" s="9">
        <v>54.8</v>
      </c>
      <c r="AT46" s="9">
        <v>54.9</v>
      </c>
      <c r="AU46" s="9">
        <v>55</v>
      </c>
      <c r="AV46" s="9">
        <v>55.3</v>
      </c>
      <c r="AW46" s="9">
        <v>55.5</v>
      </c>
      <c r="AX46" s="9">
        <v>55.7</v>
      </c>
      <c r="AY46" s="9">
        <v>55.8</v>
      </c>
      <c r="AZ46" s="9">
        <v>55.9</v>
      </c>
      <c r="BA46" s="9">
        <v>56.2</v>
      </c>
      <c r="BB46" s="9">
        <v>56.5</v>
      </c>
      <c r="BC46" s="9">
        <v>56.7</v>
      </c>
      <c r="BD46" s="9">
        <v>56.9</v>
      </c>
      <c r="BE46" s="9">
        <v>57.2</v>
      </c>
      <c r="BF46" s="9">
        <v>57.3</v>
      </c>
      <c r="BG46" s="9">
        <v>57.5</v>
      </c>
      <c r="BH46" s="9">
        <v>58</v>
      </c>
      <c r="BI46" s="9">
        <v>58.3</v>
      </c>
      <c r="BJ46" s="9">
        <v>58.4</v>
      </c>
      <c r="BK46" s="9">
        <v>58.8</v>
      </c>
      <c r="BL46" s="9">
        <v>59.2</v>
      </c>
      <c r="BM46" s="9">
        <v>59.6</v>
      </c>
      <c r="BN46" s="9">
        <v>60</v>
      </c>
      <c r="BO46" s="9">
        <v>60.3</v>
      </c>
      <c r="BP46" s="9">
        <v>60.8</v>
      </c>
      <c r="BQ46" s="9">
        <v>61</v>
      </c>
      <c r="BR46" s="9">
        <v>61.2</v>
      </c>
      <c r="BS46" s="9">
        <v>61.6</v>
      </c>
      <c r="BT46" s="9">
        <v>62</v>
      </c>
      <c r="BU46" s="9">
        <v>62.3</v>
      </c>
      <c r="BV46" s="9">
        <v>62.7</v>
      </c>
      <c r="BW46" s="9">
        <v>62.9</v>
      </c>
      <c r="BX46" s="9">
        <v>63.2</v>
      </c>
      <c r="BY46" s="9">
        <v>63.8</v>
      </c>
      <c r="BZ46" s="9">
        <v>64.3</v>
      </c>
      <c r="CA46" s="9">
        <v>64.5</v>
      </c>
      <c r="CB46" s="9">
        <v>64.8</v>
      </c>
      <c r="CC46" s="9">
        <v>65.099999999999994</v>
      </c>
      <c r="CD46" s="9">
        <v>65.3</v>
      </c>
      <c r="CE46" s="9">
        <v>65.599999999999994</v>
      </c>
      <c r="CF46" s="9">
        <v>66.2</v>
      </c>
      <c r="CG46" s="9">
        <v>66.7</v>
      </c>
      <c r="CH46" s="9">
        <v>66.900000000000006</v>
      </c>
      <c r="CI46" s="9">
        <v>67.7</v>
      </c>
      <c r="CJ46" s="9">
        <v>68.099999999999994</v>
      </c>
      <c r="CK46" s="9">
        <v>69.099999999999994</v>
      </c>
      <c r="CL46" s="9">
        <v>69.900000000000006</v>
      </c>
      <c r="CM46" s="9">
        <v>70.2</v>
      </c>
      <c r="CN46" s="9">
        <v>71.3</v>
      </c>
      <c r="CO46" s="9">
        <v>72</v>
      </c>
      <c r="CP46" s="9">
        <v>73.099999999999994</v>
      </c>
      <c r="CQ46" s="9">
        <v>73.3</v>
      </c>
      <c r="CR46" s="9">
        <v>73.900000000000006</v>
      </c>
      <c r="CS46" s="9">
        <v>74.8</v>
      </c>
      <c r="CT46" s="9">
        <v>76.3</v>
      </c>
      <c r="CU46" s="9">
        <v>77.2</v>
      </c>
      <c r="CV46" s="9">
        <v>78.599999999999994</v>
      </c>
      <c r="CW46" s="9">
        <v>79.8</v>
      </c>
      <c r="CX46" s="9">
        <v>80.8</v>
      </c>
      <c r="CY46" s="9">
        <v>82.5</v>
      </c>
      <c r="CZ46" s="9">
        <v>84.3</v>
      </c>
      <c r="DA46" s="9">
        <v>85.7</v>
      </c>
      <c r="DB46" s="9">
        <v>90.2</v>
      </c>
    </row>
    <row r="47" spans="1:106">
      <c r="A47" s="1" t="s">
        <v>254</v>
      </c>
      <c r="B47" s="1" t="s">
        <v>239</v>
      </c>
      <c r="C47" s="1" t="s">
        <v>19</v>
      </c>
      <c r="D47" s="1" t="s">
        <v>214</v>
      </c>
      <c r="E47" s="6">
        <v>829</v>
      </c>
      <c r="F47" s="9">
        <v>60.56</v>
      </c>
      <c r="G47" s="9">
        <v>11.4</v>
      </c>
      <c r="H47" s="9">
        <v>43.3</v>
      </c>
      <c r="I47" s="9">
        <v>44.1</v>
      </c>
      <c r="J47" s="9">
        <v>45</v>
      </c>
      <c r="K47" s="9">
        <v>45.8</v>
      </c>
      <c r="L47" s="9">
        <v>46.2</v>
      </c>
      <c r="M47" s="9">
        <v>47</v>
      </c>
      <c r="N47" s="9">
        <v>47.4</v>
      </c>
      <c r="O47" s="9">
        <v>47.8</v>
      </c>
      <c r="P47" s="9">
        <v>48</v>
      </c>
      <c r="Q47" s="9">
        <v>48.1</v>
      </c>
      <c r="R47" s="9">
        <v>48.4</v>
      </c>
      <c r="S47" s="9">
        <v>48.8</v>
      </c>
      <c r="T47" s="9">
        <v>49.1</v>
      </c>
      <c r="U47" s="9">
        <v>49.2</v>
      </c>
      <c r="V47" s="9">
        <v>49.7</v>
      </c>
      <c r="W47" s="9">
        <v>49.9</v>
      </c>
      <c r="X47" s="9">
        <v>50.3</v>
      </c>
      <c r="Y47" s="9">
        <v>50.4</v>
      </c>
      <c r="Z47" s="9">
        <v>50.7</v>
      </c>
      <c r="AA47" s="9">
        <v>51</v>
      </c>
      <c r="AB47" s="9">
        <v>51.3</v>
      </c>
      <c r="AC47" s="9">
        <v>51.5</v>
      </c>
      <c r="AD47" s="9">
        <v>51.7</v>
      </c>
      <c r="AE47" s="9">
        <v>52</v>
      </c>
      <c r="AF47" s="9">
        <v>52.2</v>
      </c>
      <c r="AG47" s="9">
        <v>52.4</v>
      </c>
      <c r="AH47" s="9">
        <v>52.8</v>
      </c>
      <c r="AI47" s="9">
        <v>53.1</v>
      </c>
      <c r="AJ47" s="9">
        <v>53.3</v>
      </c>
      <c r="AK47" s="9">
        <v>53.4</v>
      </c>
      <c r="AL47" s="9">
        <v>53.6</v>
      </c>
      <c r="AM47" s="9">
        <v>53.9</v>
      </c>
      <c r="AN47" s="9">
        <v>54.3</v>
      </c>
      <c r="AO47" s="9">
        <v>54.5</v>
      </c>
      <c r="AP47" s="9">
        <v>54.6</v>
      </c>
      <c r="AQ47" s="9">
        <v>54.8</v>
      </c>
      <c r="AR47" s="9">
        <v>55.1</v>
      </c>
      <c r="AS47" s="9">
        <v>55.1</v>
      </c>
      <c r="AT47" s="9">
        <v>55.2</v>
      </c>
      <c r="AU47" s="9">
        <v>55.7</v>
      </c>
      <c r="AV47" s="9">
        <v>56</v>
      </c>
      <c r="AW47" s="9">
        <v>56.4</v>
      </c>
      <c r="AX47" s="9">
        <v>56.6</v>
      </c>
      <c r="AY47" s="9">
        <v>57.1</v>
      </c>
      <c r="AZ47" s="9">
        <v>57.3</v>
      </c>
      <c r="BA47" s="9">
        <v>57.4</v>
      </c>
      <c r="BB47" s="9">
        <v>57.7</v>
      </c>
      <c r="BC47" s="9">
        <v>57.9</v>
      </c>
      <c r="BD47" s="9">
        <v>58.1</v>
      </c>
      <c r="BE47" s="9">
        <v>58.5</v>
      </c>
      <c r="BF47" s="9">
        <v>58.9</v>
      </c>
      <c r="BG47" s="9">
        <v>59.2</v>
      </c>
      <c r="BH47" s="9">
        <v>59.5</v>
      </c>
      <c r="BI47" s="9">
        <v>59.6</v>
      </c>
      <c r="BJ47" s="9">
        <v>60</v>
      </c>
      <c r="BK47" s="9">
        <v>60.2</v>
      </c>
      <c r="BL47" s="9">
        <v>60.5</v>
      </c>
      <c r="BM47" s="9">
        <v>60.8</v>
      </c>
      <c r="BN47" s="9">
        <v>61.1</v>
      </c>
      <c r="BO47" s="9">
        <v>61.2</v>
      </c>
      <c r="BP47" s="9">
        <v>61.5</v>
      </c>
      <c r="BQ47" s="9">
        <v>61.9</v>
      </c>
      <c r="BR47" s="9">
        <v>62</v>
      </c>
      <c r="BS47" s="9">
        <v>62.3</v>
      </c>
      <c r="BT47" s="9">
        <v>62.8</v>
      </c>
      <c r="BU47" s="9">
        <v>63.2</v>
      </c>
      <c r="BV47" s="9">
        <v>63.5</v>
      </c>
      <c r="BW47" s="9">
        <v>63.7</v>
      </c>
      <c r="BX47" s="9">
        <v>64.099999999999994</v>
      </c>
      <c r="BY47" s="9">
        <v>64.3</v>
      </c>
      <c r="BZ47" s="9">
        <v>64.8</v>
      </c>
      <c r="CA47" s="9">
        <v>65.099999999999994</v>
      </c>
      <c r="CB47" s="9">
        <v>65.599999999999994</v>
      </c>
      <c r="CC47" s="9">
        <v>66.2</v>
      </c>
      <c r="CD47" s="9">
        <v>66.400000000000006</v>
      </c>
      <c r="CE47" s="9">
        <v>66.900000000000006</v>
      </c>
      <c r="CF47" s="9">
        <v>67.099999999999994</v>
      </c>
      <c r="CG47" s="9">
        <v>68</v>
      </c>
      <c r="CH47" s="9">
        <v>68.400000000000006</v>
      </c>
      <c r="CI47" s="9">
        <v>68.599999999999994</v>
      </c>
      <c r="CJ47" s="9">
        <v>69.099999999999994</v>
      </c>
      <c r="CK47" s="9">
        <v>69.8</v>
      </c>
      <c r="CL47" s="9">
        <v>70</v>
      </c>
      <c r="CM47" s="9">
        <v>70.5</v>
      </c>
      <c r="CN47" s="9">
        <v>70.900000000000006</v>
      </c>
      <c r="CO47" s="9">
        <v>71.7</v>
      </c>
      <c r="CP47" s="9">
        <v>71.900000000000006</v>
      </c>
      <c r="CQ47" s="9">
        <v>73.099999999999994</v>
      </c>
      <c r="CR47" s="9">
        <v>74.7</v>
      </c>
      <c r="CS47" s="9">
        <v>75.5</v>
      </c>
      <c r="CT47" s="9">
        <v>76.7</v>
      </c>
      <c r="CU47" s="9">
        <v>78.3</v>
      </c>
      <c r="CV47" s="9">
        <v>80.5</v>
      </c>
      <c r="CW47" s="9">
        <v>81.599999999999994</v>
      </c>
      <c r="CX47" s="9">
        <v>82.5</v>
      </c>
      <c r="CY47" s="9">
        <v>86</v>
      </c>
      <c r="CZ47" s="9">
        <v>88</v>
      </c>
      <c r="DA47" s="9">
        <v>91.1</v>
      </c>
      <c r="DB47" s="9">
        <v>96.1</v>
      </c>
    </row>
    <row r="48" spans="1:106">
      <c r="A48" s="1" t="s">
        <v>255</v>
      </c>
      <c r="B48" s="1" t="s">
        <v>239</v>
      </c>
      <c r="C48" s="1" t="s">
        <v>19</v>
      </c>
      <c r="D48" s="1" t="s">
        <v>216</v>
      </c>
      <c r="E48" s="6">
        <v>766</v>
      </c>
      <c r="F48" s="9">
        <v>59.97</v>
      </c>
      <c r="G48" s="9">
        <v>10.68</v>
      </c>
      <c r="H48" s="9">
        <v>41.9</v>
      </c>
      <c r="I48" s="9">
        <v>43.9</v>
      </c>
      <c r="J48" s="9">
        <v>44.6</v>
      </c>
      <c r="K48" s="9">
        <v>45.5</v>
      </c>
      <c r="L48" s="9">
        <v>46.4</v>
      </c>
      <c r="M48" s="9">
        <v>47.1</v>
      </c>
      <c r="N48" s="9">
        <v>47.5</v>
      </c>
      <c r="O48" s="9">
        <v>47.8</v>
      </c>
      <c r="P48" s="9">
        <v>48.3</v>
      </c>
      <c r="Q48" s="9">
        <v>48.6</v>
      </c>
      <c r="R48" s="9">
        <v>49</v>
      </c>
      <c r="S48" s="9">
        <v>49.2</v>
      </c>
      <c r="T48" s="9">
        <v>49.6</v>
      </c>
      <c r="U48" s="9">
        <v>49.7</v>
      </c>
      <c r="V48" s="9">
        <v>50</v>
      </c>
      <c r="W48" s="9">
        <v>50.1</v>
      </c>
      <c r="X48" s="9">
        <v>50.5</v>
      </c>
      <c r="Y48" s="9">
        <v>50.7</v>
      </c>
      <c r="Z48" s="9">
        <v>50.9</v>
      </c>
      <c r="AA48" s="9">
        <v>51.2</v>
      </c>
      <c r="AB48" s="9">
        <v>51.4</v>
      </c>
      <c r="AC48" s="9">
        <v>51.6</v>
      </c>
      <c r="AD48" s="9">
        <v>51.9</v>
      </c>
      <c r="AE48" s="9">
        <v>52.4</v>
      </c>
      <c r="AF48" s="9">
        <v>52.7</v>
      </c>
      <c r="AG48" s="9">
        <v>53.1</v>
      </c>
      <c r="AH48" s="9">
        <v>53.3</v>
      </c>
      <c r="AI48" s="9">
        <v>53.5</v>
      </c>
      <c r="AJ48" s="9">
        <v>53.7</v>
      </c>
      <c r="AK48" s="9">
        <v>54</v>
      </c>
      <c r="AL48" s="9">
        <v>54.2</v>
      </c>
      <c r="AM48" s="9">
        <v>54.3</v>
      </c>
      <c r="AN48" s="9">
        <v>54.4</v>
      </c>
      <c r="AO48" s="9">
        <v>54.6</v>
      </c>
      <c r="AP48" s="9">
        <v>54.9</v>
      </c>
      <c r="AQ48" s="9">
        <v>55.1</v>
      </c>
      <c r="AR48" s="9">
        <v>55.4</v>
      </c>
      <c r="AS48" s="9">
        <v>55.5</v>
      </c>
      <c r="AT48" s="9">
        <v>55.7</v>
      </c>
      <c r="AU48" s="9">
        <v>55.9</v>
      </c>
      <c r="AV48" s="9">
        <v>56.1</v>
      </c>
      <c r="AW48" s="9">
        <v>56.4</v>
      </c>
      <c r="AX48" s="9">
        <v>56.6</v>
      </c>
      <c r="AY48" s="9">
        <v>56.8</v>
      </c>
      <c r="AZ48" s="9">
        <v>57</v>
      </c>
      <c r="BA48" s="9">
        <v>57.3</v>
      </c>
      <c r="BB48" s="9">
        <v>57.4</v>
      </c>
      <c r="BC48" s="9">
        <v>57.8</v>
      </c>
      <c r="BD48" s="9">
        <v>58</v>
      </c>
      <c r="BE48" s="9">
        <v>58.2</v>
      </c>
      <c r="BF48" s="9">
        <v>58.3</v>
      </c>
      <c r="BG48" s="9">
        <v>58.4</v>
      </c>
      <c r="BH48" s="9">
        <v>58.7</v>
      </c>
      <c r="BI48" s="9">
        <v>58.9</v>
      </c>
      <c r="BJ48" s="9">
        <v>59.1</v>
      </c>
      <c r="BK48" s="9">
        <v>59.4</v>
      </c>
      <c r="BL48" s="9">
        <v>59.6</v>
      </c>
      <c r="BM48" s="9">
        <v>59.7</v>
      </c>
      <c r="BN48" s="9">
        <v>59.8</v>
      </c>
      <c r="BO48" s="9">
        <v>60.1</v>
      </c>
      <c r="BP48" s="9">
        <v>60.3</v>
      </c>
      <c r="BQ48" s="9">
        <v>60.8</v>
      </c>
      <c r="BR48" s="9">
        <v>61</v>
      </c>
      <c r="BS48" s="9">
        <v>61.3</v>
      </c>
      <c r="BT48" s="9">
        <v>61.5</v>
      </c>
      <c r="BU48" s="9">
        <v>61.8</v>
      </c>
      <c r="BV48" s="9">
        <v>62</v>
      </c>
      <c r="BW48" s="9">
        <v>62.4</v>
      </c>
      <c r="BX48" s="9">
        <v>62.7</v>
      </c>
      <c r="BY48" s="9">
        <v>63.1</v>
      </c>
      <c r="BZ48" s="9">
        <v>63.4</v>
      </c>
      <c r="CA48" s="9">
        <v>63.8</v>
      </c>
      <c r="CB48" s="9">
        <v>64.099999999999994</v>
      </c>
      <c r="CC48" s="9">
        <v>64.5</v>
      </c>
      <c r="CD48" s="9">
        <v>64.900000000000006</v>
      </c>
      <c r="CE48" s="9">
        <v>65.3</v>
      </c>
      <c r="CF48" s="9">
        <v>65.599999999999994</v>
      </c>
      <c r="CG48" s="9">
        <v>66.099999999999994</v>
      </c>
      <c r="CH48" s="9">
        <v>66.5</v>
      </c>
      <c r="CI48" s="9">
        <v>67.3</v>
      </c>
      <c r="CJ48" s="9">
        <v>68</v>
      </c>
      <c r="CK48" s="9">
        <v>68.599999999999994</v>
      </c>
      <c r="CL48" s="9">
        <v>68.8</v>
      </c>
      <c r="CM48" s="9">
        <v>69.2</v>
      </c>
      <c r="CN48" s="9">
        <v>69.7</v>
      </c>
      <c r="CO48" s="9">
        <v>70.7</v>
      </c>
      <c r="CP48" s="9">
        <v>72.3</v>
      </c>
      <c r="CQ48" s="9">
        <v>72.7</v>
      </c>
      <c r="CR48" s="9">
        <v>73.7</v>
      </c>
      <c r="CS48" s="9">
        <v>74.3</v>
      </c>
      <c r="CT48" s="9">
        <v>75.900000000000006</v>
      </c>
      <c r="CU48" s="9">
        <v>76.400000000000006</v>
      </c>
      <c r="CV48" s="9">
        <v>77.400000000000006</v>
      </c>
      <c r="CW48" s="9">
        <v>79.599999999999994</v>
      </c>
      <c r="CX48" s="9">
        <v>81.599999999999994</v>
      </c>
      <c r="CY48" s="9">
        <v>82.8</v>
      </c>
      <c r="CZ48" s="9">
        <v>85.9</v>
      </c>
      <c r="DA48" s="9">
        <v>87.7</v>
      </c>
      <c r="DB48" s="9">
        <v>92.6</v>
      </c>
    </row>
    <row r="49" spans="1:106">
      <c r="A49" s="1" t="s">
        <v>256</v>
      </c>
      <c r="B49" s="1" t="s">
        <v>239</v>
      </c>
      <c r="C49" s="1" t="s">
        <v>19</v>
      </c>
      <c r="D49" s="1" t="s">
        <v>218</v>
      </c>
      <c r="E49" s="6">
        <v>951</v>
      </c>
      <c r="F49" s="9">
        <v>59.3</v>
      </c>
      <c r="G49" s="9">
        <v>9.59</v>
      </c>
      <c r="H49" s="9">
        <v>42.7</v>
      </c>
      <c r="I49" s="9">
        <v>43.8</v>
      </c>
      <c r="J49" s="9">
        <v>45.1</v>
      </c>
      <c r="K49" s="9">
        <v>45.8</v>
      </c>
      <c r="L49" s="9">
        <v>46.5</v>
      </c>
      <c r="M49" s="9">
        <v>47.1</v>
      </c>
      <c r="N49" s="9">
        <v>47.7</v>
      </c>
      <c r="O49" s="9">
        <v>47.9</v>
      </c>
      <c r="P49" s="9">
        <v>48.2</v>
      </c>
      <c r="Q49" s="9">
        <v>48.5</v>
      </c>
      <c r="R49" s="9">
        <v>48.7</v>
      </c>
      <c r="S49" s="9">
        <v>49.3</v>
      </c>
      <c r="T49" s="9">
        <v>49.6</v>
      </c>
      <c r="U49" s="9">
        <v>49.7</v>
      </c>
      <c r="V49" s="9">
        <v>50</v>
      </c>
      <c r="W49" s="9">
        <v>50.2</v>
      </c>
      <c r="X49" s="9">
        <v>50.5</v>
      </c>
      <c r="Y49" s="9">
        <v>50.8</v>
      </c>
      <c r="Z49" s="9">
        <v>51.1</v>
      </c>
      <c r="AA49" s="9">
        <v>51.2</v>
      </c>
      <c r="AB49" s="9">
        <v>51.4</v>
      </c>
      <c r="AC49" s="9">
        <v>51.7</v>
      </c>
      <c r="AD49" s="9">
        <v>51.8</v>
      </c>
      <c r="AE49" s="9">
        <v>51.9</v>
      </c>
      <c r="AF49" s="9">
        <v>52.2</v>
      </c>
      <c r="AG49" s="9">
        <v>52.5</v>
      </c>
      <c r="AH49" s="9">
        <v>52.8</v>
      </c>
      <c r="AI49" s="9">
        <v>53</v>
      </c>
      <c r="AJ49" s="9">
        <v>53.2</v>
      </c>
      <c r="AK49" s="9">
        <v>53.5</v>
      </c>
      <c r="AL49" s="9">
        <v>53.8</v>
      </c>
      <c r="AM49" s="9">
        <v>54.1</v>
      </c>
      <c r="AN49" s="9">
        <v>54.4</v>
      </c>
      <c r="AO49" s="9">
        <v>54.5</v>
      </c>
      <c r="AP49" s="9">
        <v>54.7</v>
      </c>
      <c r="AQ49" s="9">
        <v>54.8</v>
      </c>
      <c r="AR49" s="9">
        <v>55.1</v>
      </c>
      <c r="AS49" s="9">
        <v>55.5</v>
      </c>
      <c r="AT49" s="9">
        <v>55.7</v>
      </c>
      <c r="AU49" s="9">
        <v>55.8</v>
      </c>
      <c r="AV49" s="9">
        <v>55.9</v>
      </c>
      <c r="AW49" s="9">
        <v>56</v>
      </c>
      <c r="AX49" s="9">
        <v>56.3</v>
      </c>
      <c r="AY49" s="9">
        <v>56.5</v>
      </c>
      <c r="AZ49" s="9">
        <v>56.7</v>
      </c>
      <c r="BA49" s="9">
        <v>56.9</v>
      </c>
      <c r="BB49" s="9">
        <v>57.1</v>
      </c>
      <c r="BC49" s="9">
        <v>57.3</v>
      </c>
      <c r="BD49" s="9">
        <v>57.7</v>
      </c>
      <c r="BE49" s="9">
        <v>57.9</v>
      </c>
      <c r="BF49" s="9">
        <v>58.1</v>
      </c>
      <c r="BG49" s="9">
        <v>58.5</v>
      </c>
      <c r="BH49" s="9">
        <v>58.7</v>
      </c>
      <c r="BI49" s="9">
        <v>59</v>
      </c>
      <c r="BJ49" s="9">
        <v>59.2</v>
      </c>
      <c r="BK49" s="9">
        <v>59.3</v>
      </c>
      <c r="BL49" s="9">
        <v>59.4</v>
      </c>
      <c r="BM49" s="9">
        <v>59.7</v>
      </c>
      <c r="BN49" s="9">
        <v>60</v>
      </c>
      <c r="BO49" s="9">
        <v>60.2</v>
      </c>
      <c r="BP49" s="9">
        <v>60.5</v>
      </c>
      <c r="BQ49" s="9">
        <v>60.8</v>
      </c>
      <c r="BR49" s="9">
        <v>61</v>
      </c>
      <c r="BS49" s="9">
        <v>61.2</v>
      </c>
      <c r="BT49" s="9">
        <v>61.4</v>
      </c>
      <c r="BU49" s="9">
        <v>61.9</v>
      </c>
      <c r="BV49" s="9">
        <v>62.2</v>
      </c>
      <c r="BW49" s="9">
        <v>62.4</v>
      </c>
      <c r="BX49" s="9">
        <v>62.7</v>
      </c>
      <c r="BY49" s="9">
        <v>62.8</v>
      </c>
      <c r="BZ49" s="9">
        <v>63.1</v>
      </c>
      <c r="CA49" s="9">
        <v>63.3</v>
      </c>
      <c r="CB49" s="9">
        <v>63.7</v>
      </c>
      <c r="CC49" s="9">
        <v>64</v>
      </c>
      <c r="CD49" s="9">
        <v>64.099999999999994</v>
      </c>
      <c r="CE49" s="9">
        <v>64.5</v>
      </c>
      <c r="CF49" s="9">
        <v>64.599999999999994</v>
      </c>
      <c r="CG49" s="9">
        <v>64.900000000000006</v>
      </c>
      <c r="CH49" s="9">
        <v>65.5</v>
      </c>
      <c r="CI49" s="9">
        <v>65.8</v>
      </c>
      <c r="CJ49" s="9">
        <v>66.2</v>
      </c>
      <c r="CK49" s="9">
        <v>67</v>
      </c>
      <c r="CL49" s="9">
        <v>67.400000000000006</v>
      </c>
      <c r="CM49" s="9">
        <v>68</v>
      </c>
      <c r="CN49" s="9">
        <v>68.3</v>
      </c>
      <c r="CO49" s="9">
        <v>68.8</v>
      </c>
      <c r="CP49" s="9">
        <v>69.5</v>
      </c>
      <c r="CQ49" s="9">
        <v>70.2</v>
      </c>
      <c r="CR49" s="9">
        <v>71.099999999999994</v>
      </c>
      <c r="CS49" s="9">
        <v>71.7</v>
      </c>
      <c r="CT49" s="9">
        <v>73.099999999999994</v>
      </c>
      <c r="CU49" s="9">
        <v>73.7</v>
      </c>
      <c r="CV49" s="9">
        <v>75.099999999999994</v>
      </c>
      <c r="CW49" s="9">
        <v>75.900000000000006</v>
      </c>
      <c r="CX49" s="9">
        <v>77.8</v>
      </c>
      <c r="CY49" s="9">
        <v>79.8</v>
      </c>
      <c r="CZ49" s="9">
        <v>81.8</v>
      </c>
      <c r="DA49" s="9">
        <v>85.9</v>
      </c>
      <c r="DB49" s="9">
        <v>89.3</v>
      </c>
    </row>
    <row r="50" spans="1:106">
      <c r="A50" s="1" t="s">
        <v>257</v>
      </c>
      <c r="B50" s="1" t="s">
        <v>239</v>
      </c>
      <c r="C50" s="1" t="s">
        <v>19</v>
      </c>
      <c r="D50" s="1" t="s">
        <v>220</v>
      </c>
      <c r="E50" s="6">
        <v>896</v>
      </c>
      <c r="F50" s="9">
        <v>59.29</v>
      </c>
      <c r="G50" s="9">
        <v>9.43</v>
      </c>
      <c r="H50" s="9">
        <v>41.7</v>
      </c>
      <c r="I50" s="9">
        <v>43.3</v>
      </c>
      <c r="J50" s="9">
        <v>45.3</v>
      </c>
      <c r="K50" s="9">
        <v>45.8</v>
      </c>
      <c r="L50" s="9">
        <v>46.2</v>
      </c>
      <c r="M50" s="9">
        <v>46.6</v>
      </c>
      <c r="N50" s="9">
        <v>47.2</v>
      </c>
      <c r="O50" s="9">
        <v>47.6</v>
      </c>
      <c r="P50" s="9">
        <v>47.7</v>
      </c>
      <c r="Q50" s="9">
        <v>48.2</v>
      </c>
      <c r="R50" s="9">
        <v>48.6</v>
      </c>
      <c r="S50" s="9">
        <v>49</v>
      </c>
      <c r="T50" s="9">
        <v>49.3</v>
      </c>
      <c r="U50" s="9">
        <v>49.8</v>
      </c>
      <c r="V50" s="9">
        <v>50.2</v>
      </c>
      <c r="W50" s="9">
        <v>50.6</v>
      </c>
      <c r="X50" s="9">
        <v>50.8</v>
      </c>
      <c r="Y50" s="9">
        <v>51.1</v>
      </c>
      <c r="Z50" s="9">
        <v>51.5</v>
      </c>
      <c r="AA50" s="9">
        <v>51.9</v>
      </c>
      <c r="AB50" s="9">
        <v>52.3</v>
      </c>
      <c r="AC50" s="9">
        <v>52.4</v>
      </c>
      <c r="AD50" s="9">
        <v>52.7</v>
      </c>
      <c r="AE50" s="9">
        <v>52.9</v>
      </c>
      <c r="AF50" s="9">
        <v>53.1</v>
      </c>
      <c r="AG50" s="9">
        <v>53.4</v>
      </c>
      <c r="AH50" s="9">
        <v>53.6</v>
      </c>
      <c r="AI50" s="9">
        <v>53.8</v>
      </c>
      <c r="AJ50" s="9">
        <v>54.1</v>
      </c>
      <c r="AK50" s="9">
        <v>54.2</v>
      </c>
      <c r="AL50" s="9">
        <v>54.4</v>
      </c>
      <c r="AM50" s="9">
        <v>54.8</v>
      </c>
      <c r="AN50" s="9">
        <v>54.9</v>
      </c>
      <c r="AO50" s="9">
        <v>55.1</v>
      </c>
      <c r="AP50" s="9">
        <v>55.2</v>
      </c>
      <c r="AQ50" s="9">
        <v>55.4</v>
      </c>
      <c r="AR50" s="9">
        <v>55.5</v>
      </c>
      <c r="AS50" s="9">
        <v>55.7</v>
      </c>
      <c r="AT50" s="9">
        <v>55.8</v>
      </c>
      <c r="AU50" s="9">
        <v>56</v>
      </c>
      <c r="AV50" s="9">
        <v>56.2</v>
      </c>
      <c r="AW50" s="9">
        <v>56.3</v>
      </c>
      <c r="AX50" s="9">
        <v>56.6</v>
      </c>
      <c r="AY50" s="9">
        <v>56.7</v>
      </c>
      <c r="AZ50" s="9">
        <v>57</v>
      </c>
      <c r="BA50" s="9">
        <v>57.3</v>
      </c>
      <c r="BB50" s="9">
        <v>57.5</v>
      </c>
      <c r="BC50" s="9">
        <v>57.8</v>
      </c>
      <c r="BD50" s="9">
        <v>57.9</v>
      </c>
      <c r="BE50" s="9">
        <v>58.3</v>
      </c>
      <c r="BF50" s="9">
        <v>58.5</v>
      </c>
      <c r="BG50" s="9">
        <v>58.9</v>
      </c>
      <c r="BH50" s="9">
        <v>59.2</v>
      </c>
      <c r="BI50" s="9">
        <v>59.4</v>
      </c>
      <c r="BJ50" s="9">
        <v>59.6</v>
      </c>
      <c r="BK50" s="9">
        <v>59.9</v>
      </c>
      <c r="BL50" s="9">
        <v>60.1</v>
      </c>
      <c r="BM50" s="9">
        <v>60.2</v>
      </c>
      <c r="BN50" s="9">
        <v>60.4</v>
      </c>
      <c r="BO50" s="9">
        <v>60.5</v>
      </c>
      <c r="BP50" s="9">
        <v>60.8</v>
      </c>
      <c r="BQ50" s="9">
        <v>61</v>
      </c>
      <c r="BR50" s="9">
        <v>61.1</v>
      </c>
      <c r="BS50" s="9">
        <v>61.3</v>
      </c>
      <c r="BT50" s="9">
        <v>61.4</v>
      </c>
      <c r="BU50" s="9">
        <v>61.6</v>
      </c>
      <c r="BV50" s="9">
        <v>62</v>
      </c>
      <c r="BW50" s="9">
        <v>62.4</v>
      </c>
      <c r="BX50" s="9">
        <v>62.5</v>
      </c>
      <c r="BY50" s="9">
        <v>62.7</v>
      </c>
      <c r="BZ50" s="9">
        <v>63</v>
      </c>
      <c r="CA50" s="9">
        <v>63.5</v>
      </c>
      <c r="CB50" s="9">
        <v>63.7</v>
      </c>
      <c r="CC50" s="9">
        <v>64.2</v>
      </c>
      <c r="CD50" s="9">
        <v>64.599999999999994</v>
      </c>
      <c r="CE50" s="9">
        <v>64.7</v>
      </c>
      <c r="CF50" s="9">
        <v>64.900000000000006</v>
      </c>
      <c r="CG50" s="9">
        <v>65.2</v>
      </c>
      <c r="CH50" s="9">
        <v>65.5</v>
      </c>
      <c r="CI50" s="9">
        <v>65.8</v>
      </c>
      <c r="CJ50" s="9">
        <v>66</v>
      </c>
      <c r="CK50" s="9">
        <v>66.400000000000006</v>
      </c>
      <c r="CL50" s="9">
        <v>66.7</v>
      </c>
      <c r="CM50" s="9">
        <v>67.099999999999994</v>
      </c>
      <c r="CN50" s="9">
        <v>67.900000000000006</v>
      </c>
      <c r="CO50" s="9">
        <v>68.099999999999994</v>
      </c>
      <c r="CP50" s="9">
        <v>69.099999999999994</v>
      </c>
      <c r="CQ50" s="9">
        <v>69.5</v>
      </c>
      <c r="CR50" s="9">
        <v>70.2</v>
      </c>
      <c r="CS50" s="9">
        <v>70.900000000000006</v>
      </c>
      <c r="CT50" s="9">
        <v>71.7</v>
      </c>
      <c r="CU50" s="9">
        <v>72.599999999999994</v>
      </c>
      <c r="CV50" s="9">
        <v>73.7</v>
      </c>
      <c r="CW50" s="9">
        <v>74</v>
      </c>
      <c r="CX50" s="9">
        <v>75.5</v>
      </c>
      <c r="CY50" s="9">
        <v>77</v>
      </c>
      <c r="CZ50" s="9">
        <v>80.099999999999994</v>
      </c>
      <c r="DA50" s="9">
        <v>81.599999999999994</v>
      </c>
      <c r="DB50" s="9">
        <v>88.8</v>
      </c>
    </row>
    <row r="51" spans="1:106">
      <c r="A51" s="1" t="s">
        <v>258</v>
      </c>
      <c r="B51" s="1" t="s">
        <v>239</v>
      </c>
      <c r="C51" s="1" t="s">
        <v>19</v>
      </c>
      <c r="D51" s="1" t="s">
        <v>222</v>
      </c>
      <c r="E51" s="6">
        <v>1098</v>
      </c>
      <c r="F51" s="9">
        <v>58.85</v>
      </c>
      <c r="G51" s="9">
        <v>9</v>
      </c>
      <c r="H51" s="9">
        <v>41</v>
      </c>
      <c r="I51" s="9">
        <v>43</v>
      </c>
      <c r="J51" s="9">
        <v>43.9</v>
      </c>
      <c r="K51" s="9">
        <v>44.7</v>
      </c>
      <c r="L51" s="9">
        <v>46.2</v>
      </c>
      <c r="M51" s="9">
        <v>47</v>
      </c>
      <c r="N51" s="9">
        <v>47.3</v>
      </c>
      <c r="O51" s="9">
        <v>47.8</v>
      </c>
      <c r="P51" s="9">
        <v>48.2</v>
      </c>
      <c r="Q51" s="9">
        <v>48.6</v>
      </c>
      <c r="R51" s="9">
        <v>48.9</v>
      </c>
      <c r="S51" s="9">
        <v>49.2</v>
      </c>
      <c r="T51" s="9">
        <v>49.5</v>
      </c>
      <c r="U51" s="9">
        <v>49.7</v>
      </c>
      <c r="V51" s="9">
        <v>49.9</v>
      </c>
      <c r="W51" s="9">
        <v>50.3</v>
      </c>
      <c r="X51" s="9">
        <v>50.5</v>
      </c>
      <c r="Y51" s="9">
        <v>50.7</v>
      </c>
      <c r="Z51" s="9">
        <v>50.9</v>
      </c>
      <c r="AA51" s="9">
        <v>51.1</v>
      </c>
      <c r="AB51" s="9">
        <v>51.5</v>
      </c>
      <c r="AC51" s="9">
        <v>51.7</v>
      </c>
      <c r="AD51" s="9">
        <v>52</v>
      </c>
      <c r="AE51" s="9">
        <v>52.2</v>
      </c>
      <c r="AF51" s="9">
        <v>52.3</v>
      </c>
      <c r="AG51" s="9">
        <v>52.6</v>
      </c>
      <c r="AH51" s="9">
        <v>52.7</v>
      </c>
      <c r="AI51" s="9">
        <v>52.9</v>
      </c>
      <c r="AJ51" s="9">
        <v>53.2</v>
      </c>
      <c r="AK51" s="9">
        <v>53.5</v>
      </c>
      <c r="AL51" s="9">
        <v>53.8</v>
      </c>
      <c r="AM51" s="9">
        <v>54</v>
      </c>
      <c r="AN51" s="9">
        <v>54.2</v>
      </c>
      <c r="AO51" s="9">
        <v>54.3</v>
      </c>
      <c r="AP51" s="9">
        <v>54.6</v>
      </c>
      <c r="AQ51" s="9">
        <v>54.8</v>
      </c>
      <c r="AR51" s="9">
        <v>55</v>
      </c>
      <c r="AS51" s="9">
        <v>55.2</v>
      </c>
      <c r="AT51" s="9">
        <v>55.3</v>
      </c>
      <c r="AU51" s="9">
        <v>55.6</v>
      </c>
      <c r="AV51" s="9">
        <v>55.8</v>
      </c>
      <c r="AW51" s="9">
        <v>56.2</v>
      </c>
      <c r="AX51" s="9">
        <v>56.4</v>
      </c>
      <c r="AY51" s="9">
        <v>56.6</v>
      </c>
      <c r="AZ51" s="9">
        <v>56.9</v>
      </c>
      <c r="BA51" s="9">
        <v>57.1</v>
      </c>
      <c r="BB51" s="9">
        <v>57.2</v>
      </c>
      <c r="BC51" s="9">
        <v>57.4</v>
      </c>
      <c r="BD51" s="9">
        <v>57.6</v>
      </c>
      <c r="BE51" s="9">
        <v>57.8</v>
      </c>
      <c r="BF51" s="9">
        <v>58.2</v>
      </c>
      <c r="BG51" s="9">
        <v>58.4</v>
      </c>
      <c r="BH51" s="9">
        <v>58.6</v>
      </c>
      <c r="BI51" s="9">
        <v>58.8</v>
      </c>
      <c r="BJ51" s="9">
        <v>59.2</v>
      </c>
      <c r="BK51" s="9">
        <v>59.6</v>
      </c>
      <c r="BL51" s="9">
        <v>59.6</v>
      </c>
      <c r="BM51" s="9">
        <v>59.9</v>
      </c>
      <c r="BN51" s="9">
        <v>60</v>
      </c>
      <c r="BO51" s="9">
        <v>60.4</v>
      </c>
      <c r="BP51" s="9">
        <v>60.5</v>
      </c>
      <c r="BQ51" s="9">
        <v>60.8</v>
      </c>
      <c r="BR51" s="9">
        <v>61</v>
      </c>
      <c r="BS51" s="9">
        <v>61.2</v>
      </c>
      <c r="BT51" s="9">
        <v>61.5</v>
      </c>
      <c r="BU51" s="9">
        <v>61.6</v>
      </c>
      <c r="BV51" s="9">
        <v>61.8</v>
      </c>
      <c r="BW51" s="9">
        <v>62.3</v>
      </c>
      <c r="BX51" s="9">
        <v>62.5</v>
      </c>
      <c r="BY51" s="9">
        <v>62.7</v>
      </c>
      <c r="BZ51" s="9">
        <v>62.9</v>
      </c>
      <c r="CA51" s="9">
        <v>63.2</v>
      </c>
      <c r="CB51" s="9">
        <v>63.4</v>
      </c>
      <c r="CC51" s="9">
        <v>63.8</v>
      </c>
      <c r="CD51" s="9">
        <v>64.3</v>
      </c>
      <c r="CE51" s="9">
        <v>64.5</v>
      </c>
      <c r="CF51" s="9">
        <v>64.900000000000006</v>
      </c>
      <c r="CG51" s="9">
        <v>65.099999999999994</v>
      </c>
      <c r="CH51" s="9">
        <v>65.400000000000006</v>
      </c>
      <c r="CI51" s="9">
        <v>65.8</v>
      </c>
      <c r="CJ51" s="9">
        <v>66.099999999999994</v>
      </c>
      <c r="CK51" s="9">
        <v>66.5</v>
      </c>
      <c r="CL51" s="9">
        <v>67.099999999999994</v>
      </c>
      <c r="CM51" s="9">
        <v>67.599999999999994</v>
      </c>
      <c r="CN51" s="9">
        <v>67.900000000000006</v>
      </c>
      <c r="CO51" s="9">
        <v>68.400000000000006</v>
      </c>
      <c r="CP51" s="9">
        <v>68.900000000000006</v>
      </c>
      <c r="CQ51" s="9">
        <v>69.7</v>
      </c>
      <c r="CR51" s="9">
        <v>70.2</v>
      </c>
      <c r="CS51" s="9">
        <v>70.7</v>
      </c>
      <c r="CT51" s="9">
        <v>71.400000000000006</v>
      </c>
      <c r="CU51" s="9">
        <v>72.5</v>
      </c>
      <c r="CV51" s="9">
        <v>73.2</v>
      </c>
      <c r="CW51" s="9">
        <v>74</v>
      </c>
      <c r="CX51" s="9">
        <v>74.3</v>
      </c>
      <c r="CY51" s="9">
        <v>76</v>
      </c>
      <c r="CZ51" s="9">
        <v>77.3</v>
      </c>
      <c r="DA51" s="9">
        <v>79.599999999999994</v>
      </c>
      <c r="DB51" s="9">
        <v>83</v>
      </c>
    </row>
    <row r="52" spans="1:106">
      <c r="A52" s="1" t="s">
        <v>259</v>
      </c>
      <c r="B52" s="1" t="s">
        <v>239</v>
      </c>
      <c r="C52" s="1" t="s">
        <v>19</v>
      </c>
      <c r="D52" s="1" t="s">
        <v>224</v>
      </c>
      <c r="E52" s="6">
        <v>1022</v>
      </c>
      <c r="F52" s="9">
        <v>58.37</v>
      </c>
      <c r="G52" s="9">
        <v>8.94</v>
      </c>
      <c r="H52" s="9">
        <v>40.4</v>
      </c>
      <c r="I52" s="9">
        <v>41.9</v>
      </c>
      <c r="J52" s="9">
        <v>43.6</v>
      </c>
      <c r="K52" s="9">
        <v>44.2</v>
      </c>
      <c r="L52" s="9">
        <v>45.3</v>
      </c>
      <c r="M52" s="9">
        <v>46</v>
      </c>
      <c r="N52" s="9">
        <v>46.6</v>
      </c>
      <c r="O52" s="9">
        <v>47.1</v>
      </c>
      <c r="P52" s="9">
        <v>47.6</v>
      </c>
      <c r="Q52" s="9">
        <v>48.2</v>
      </c>
      <c r="R52" s="9">
        <v>48.7</v>
      </c>
      <c r="S52" s="9">
        <v>48.9</v>
      </c>
      <c r="T52" s="9">
        <v>49.2</v>
      </c>
      <c r="U52" s="9">
        <v>49.6</v>
      </c>
      <c r="V52" s="9">
        <v>49.8</v>
      </c>
      <c r="W52" s="9">
        <v>50.1</v>
      </c>
      <c r="X52" s="9">
        <v>50.4</v>
      </c>
      <c r="Y52" s="9">
        <v>50.6</v>
      </c>
      <c r="Z52" s="9">
        <v>50.9</v>
      </c>
      <c r="AA52" s="9">
        <v>51.2</v>
      </c>
      <c r="AB52" s="9">
        <v>51.5</v>
      </c>
      <c r="AC52" s="9">
        <v>51.8</v>
      </c>
      <c r="AD52" s="9">
        <v>51.9</v>
      </c>
      <c r="AE52" s="9">
        <v>52.3</v>
      </c>
      <c r="AF52" s="9">
        <v>52.5</v>
      </c>
      <c r="AG52" s="9">
        <v>52.8</v>
      </c>
      <c r="AH52" s="9">
        <v>52.9</v>
      </c>
      <c r="AI52" s="9">
        <v>53</v>
      </c>
      <c r="AJ52" s="9">
        <v>53.3</v>
      </c>
      <c r="AK52" s="9">
        <v>53.4</v>
      </c>
      <c r="AL52" s="9">
        <v>53.6</v>
      </c>
      <c r="AM52" s="9">
        <v>53.7</v>
      </c>
      <c r="AN52" s="9">
        <v>53.9</v>
      </c>
      <c r="AO52" s="9">
        <v>54.2</v>
      </c>
      <c r="AP52" s="9">
        <v>54.4</v>
      </c>
      <c r="AQ52" s="9">
        <v>54.6</v>
      </c>
      <c r="AR52" s="9">
        <v>54.8</v>
      </c>
      <c r="AS52" s="9">
        <v>54.9</v>
      </c>
      <c r="AT52" s="9">
        <v>55.3</v>
      </c>
      <c r="AU52" s="9">
        <v>55.6</v>
      </c>
      <c r="AV52" s="9">
        <v>56</v>
      </c>
      <c r="AW52" s="9">
        <v>56.2</v>
      </c>
      <c r="AX52" s="9">
        <v>56.4</v>
      </c>
      <c r="AY52" s="9">
        <v>56.5</v>
      </c>
      <c r="AZ52" s="9">
        <v>56.8</v>
      </c>
      <c r="BA52" s="9">
        <v>56.9</v>
      </c>
      <c r="BB52" s="9">
        <v>57</v>
      </c>
      <c r="BC52" s="9">
        <v>57.2</v>
      </c>
      <c r="BD52" s="9">
        <v>57.6</v>
      </c>
      <c r="BE52" s="9">
        <v>57.8</v>
      </c>
      <c r="BF52" s="9">
        <v>58</v>
      </c>
      <c r="BG52" s="9">
        <v>58.4</v>
      </c>
      <c r="BH52" s="9">
        <v>58.6</v>
      </c>
      <c r="BI52" s="9">
        <v>58.8</v>
      </c>
      <c r="BJ52" s="9">
        <v>59.1</v>
      </c>
      <c r="BK52" s="9">
        <v>59.2</v>
      </c>
      <c r="BL52" s="9">
        <v>59.5</v>
      </c>
      <c r="BM52" s="9">
        <v>59.7</v>
      </c>
      <c r="BN52" s="9">
        <v>60</v>
      </c>
      <c r="BO52" s="9">
        <v>60</v>
      </c>
      <c r="BP52" s="9">
        <v>60.2</v>
      </c>
      <c r="BQ52" s="9">
        <v>60.4</v>
      </c>
      <c r="BR52" s="9">
        <v>60.5</v>
      </c>
      <c r="BS52" s="9">
        <v>60.7</v>
      </c>
      <c r="BT52" s="9">
        <v>60.9</v>
      </c>
      <c r="BU52" s="9">
        <v>61.2</v>
      </c>
      <c r="BV52" s="9">
        <v>61.4</v>
      </c>
      <c r="BW52" s="9">
        <v>61.6</v>
      </c>
      <c r="BX52" s="9">
        <v>61.8</v>
      </c>
      <c r="BY52" s="9">
        <v>62</v>
      </c>
      <c r="BZ52" s="9">
        <v>62.3</v>
      </c>
      <c r="CA52" s="9">
        <v>62.7</v>
      </c>
      <c r="CB52" s="9">
        <v>62.9</v>
      </c>
      <c r="CC52" s="9">
        <v>63</v>
      </c>
      <c r="CD52" s="9">
        <v>63.3</v>
      </c>
      <c r="CE52" s="9">
        <v>63.5</v>
      </c>
      <c r="CF52" s="9">
        <v>63.7</v>
      </c>
      <c r="CG52" s="9">
        <v>63.9</v>
      </c>
      <c r="CH52" s="9">
        <v>64.099999999999994</v>
      </c>
      <c r="CI52" s="9">
        <v>64.400000000000006</v>
      </c>
      <c r="CJ52" s="9">
        <v>64.8</v>
      </c>
      <c r="CK52" s="9">
        <v>65.2</v>
      </c>
      <c r="CL52" s="9">
        <v>65.3</v>
      </c>
      <c r="CM52" s="9">
        <v>65.5</v>
      </c>
      <c r="CN52" s="9">
        <v>66.2</v>
      </c>
      <c r="CO52" s="9">
        <v>66.599999999999994</v>
      </c>
      <c r="CP52" s="9">
        <v>67.5</v>
      </c>
      <c r="CQ52" s="9">
        <v>68.099999999999994</v>
      </c>
      <c r="CR52" s="9">
        <v>68.8</v>
      </c>
      <c r="CS52" s="9">
        <v>69.3</v>
      </c>
      <c r="CT52" s="9">
        <v>70.400000000000006</v>
      </c>
      <c r="CU52" s="9">
        <v>71.099999999999994</v>
      </c>
      <c r="CV52" s="9">
        <v>71.8</v>
      </c>
      <c r="CW52" s="9">
        <v>72.599999999999994</v>
      </c>
      <c r="CX52" s="9">
        <v>74</v>
      </c>
      <c r="CY52" s="9">
        <v>75.5</v>
      </c>
      <c r="CZ52" s="9">
        <v>77.5</v>
      </c>
      <c r="DA52" s="9">
        <v>79.400000000000006</v>
      </c>
      <c r="DB52" s="9">
        <v>81.2</v>
      </c>
    </row>
    <row r="53" spans="1:106">
      <c r="A53" s="1" t="s">
        <v>367</v>
      </c>
      <c r="B53" s="1" t="s">
        <v>239</v>
      </c>
      <c r="C53" s="1" t="s">
        <v>19</v>
      </c>
      <c r="D53" s="1" t="s">
        <v>356</v>
      </c>
      <c r="E53" s="6">
        <v>796</v>
      </c>
      <c r="F53" s="9">
        <v>57.43</v>
      </c>
      <c r="G53" s="9">
        <v>8.77</v>
      </c>
      <c r="H53" s="9">
        <v>37.299999999999997</v>
      </c>
      <c r="I53" s="9">
        <v>39</v>
      </c>
      <c r="J53" s="9">
        <v>41</v>
      </c>
      <c r="K53" s="9">
        <v>43.4</v>
      </c>
      <c r="L53" s="9">
        <v>44.2</v>
      </c>
      <c r="M53" s="9">
        <v>44.8</v>
      </c>
      <c r="N53" s="9">
        <v>45.6</v>
      </c>
      <c r="O53" s="9">
        <v>46.3</v>
      </c>
      <c r="P53" s="9">
        <v>47.3</v>
      </c>
      <c r="Q53" s="9">
        <v>47.6</v>
      </c>
      <c r="R53" s="9">
        <v>47.8</v>
      </c>
      <c r="S53" s="9">
        <v>48.2</v>
      </c>
      <c r="T53" s="9">
        <v>48.4</v>
      </c>
      <c r="U53" s="9">
        <v>48.6</v>
      </c>
      <c r="V53" s="9">
        <v>48.8</v>
      </c>
      <c r="W53" s="9">
        <v>49.1</v>
      </c>
      <c r="X53" s="9">
        <v>49.4</v>
      </c>
      <c r="Y53" s="9">
        <v>49.5</v>
      </c>
      <c r="Z53" s="9">
        <v>49.6</v>
      </c>
      <c r="AA53" s="9">
        <v>49.9</v>
      </c>
      <c r="AB53" s="9">
        <v>50.1</v>
      </c>
      <c r="AC53" s="9">
        <v>50.5</v>
      </c>
      <c r="AD53" s="9">
        <v>50.8</v>
      </c>
      <c r="AE53" s="9">
        <v>51</v>
      </c>
      <c r="AF53" s="9">
        <v>51.3</v>
      </c>
      <c r="AG53" s="9">
        <v>51.7</v>
      </c>
      <c r="AH53" s="9">
        <v>51.9</v>
      </c>
      <c r="AI53" s="9">
        <v>52.1</v>
      </c>
      <c r="AJ53" s="9">
        <v>52.2</v>
      </c>
      <c r="AK53" s="9">
        <v>52.5</v>
      </c>
      <c r="AL53" s="9">
        <v>52.8</v>
      </c>
      <c r="AM53" s="9">
        <v>52.9</v>
      </c>
      <c r="AN53" s="9">
        <v>53.2</v>
      </c>
      <c r="AO53" s="9">
        <v>53.3</v>
      </c>
      <c r="AP53" s="9">
        <v>53.6</v>
      </c>
      <c r="AQ53" s="9">
        <v>53.8</v>
      </c>
      <c r="AR53" s="9">
        <v>54</v>
      </c>
      <c r="AS53" s="9">
        <v>54.2</v>
      </c>
      <c r="AT53" s="9">
        <v>54.5</v>
      </c>
      <c r="AU53" s="9">
        <v>54.8</v>
      </c>
      <c r="AV53" s="9">
        <v>55.1</v>
      </c>
      <c r="AW53" s="9">
        <v>55.3</v>
      </c>
      <c r="AX53" s="9">
        <v>55.5</v>
      </c>
      <c r="AY53" s="9">
        <v>55.7</v>
      </c>
      <c r="AZ53" s="9">
        <v>55.9</v>
      </c>
      <c r="BA53" s="9">
        <v>56.1</v>
      </c>
      <c r="BB53" s="9">
        <v>56.2</v>
      </c>
      <c r="BC53" s="9">
        <v>56.6</v>
      </c>
      <c r="BD53" s="9">
        <v>56.7</v>
      </c>
      <c r="BE53" s="9">
        <v>57</v>
      </c>
      <c r="BF53" s="9">
        <v>57.2</v>
      </c>
      <c r="BG53" s="9">
        <v>57.4</v>
      </c>
      <c r="BH53" s="9">
        <v>57.7</v>
      </c>
      <c r="BI53" s="9">
        <v>58</v>
      </c>
      <c r="BJ53" s="9">
        <v>58.3</v>
      </c>
      <c r="BK53" s="9">
        <v>58.5</v>
      </c>
      <c r="BL53" s="9">
        <v>58.7</v>
      </c>
      <c r="BM53" s="9">
        <v>58.8</v>
      </c>
      <c r="BN53" s="9">
        <v>59.1</v>
      </c>
      <c r="BO53" s="9">
        <v>59.2</v>
      </c>
      <c r="BP53" s="9">
        <v>59.3</v>
      </c>
      <c r="BQ53" s="9">
        <v>59.5</v>
      </c>
      <c r="BR53" s="9">
        <v>59.7</v>
      </c>
      <c r="BS53" s="9">
        <v>60.2</v>
      </c>
      <c r="BT53" s="9">
        <v>60.3</v>
      </c>
      <c r="BU53" s="9">
        <v>60.6</v>
      </c>
      <c r="BV53" s="9">
        <v>60.8</v>
      </c>
      <c r="BW53" s="9">
        <v>61.1</v>
      </c>
      <c r="BX53" s="9">
        <v>61.4</v>
      </c>
      <c r="BY53" s="9">
        <v>61.5</v>
      </c>
      <c r="BZ53" s="9">
        <v>61.9</v>
      </c>
      <c r="CA53" s="9">
        <v>62</v>
      </c>
      <c r="CB53" s="9">
        <v>62.1</v>
      </c>
      <c r="CC53" s="9">
        <v>62.4</v>
      </c>
      <c r="CD53" s="9">
        <v>62.7</v>
      </c>
      <c r="CE53" s="9">
        <v>62.8</v>
      </c>
      <c r="CF53" s="9">
        <v>63.2</v>
      </c>
      <c r="CG53" s="9">
        <v>63.4</v>
      </c>
      <c r="CH53" s="9">
        <v>63.9</v>
      </c>
      <c r="CI53" s="9">
        <v>64.3</v>
      </c>
      <c r="CJ53" s="9">
        <v>65.099999999999994</v>
      </c>
      <c r="CK53" s="9">
        <v>65.5</v>
      </c>
      <c r="CL53" s="9">
        <v>65.900000000000006</v>
      </c>
      <c r="CM53" s="9">
        <v>66.400000000000006</v>
      </c>
      <c r="CN53" s="9">
        <v>66.599999999999994</v>
      </c>
      <c r="CO53" s="9">
        <v>67.099999999999994</v>
      </c>
      <c r="CP53" s="9">
        <v>67.7</v>
      </c>
      <c r="CQ53" s="9">
        <v>68.3</v>
      </c>
      <c r="CR53" s="9">
        <v>68.8</v>
      </c>
      <c r="CS53" s="9">
        <v>69.3</v>
      </c>
      <c r="CT53" s="9">
        <v>69.900000000000006</v>
      </c>
      <c r="CU53" s="9">
        <v>70.400000000000006</v>
      </c>
      <c r="CV53" s="9">
        <v>70.900000000000006</v>
      </c>
      <c r="CW53" s="9">
        <v>71.3</v>
      </c>
      <c r="CX53" s="9">
        <v>71.5</v>
      </c>
      <c r="CY53" s="9">
        <v>72.400000000000006</v>
      </c>
      <c r="CZ53" s="9">
        <v>74</v>
      </c>
      <c r="DA53" s="9">
        <v>75.5</v>
      </c>
      <c r="DB53" s="9">
        <v>77.7</v>
      </c>
    </row>
    <row r="54" spans="1:106">
      <c r="A54" s="1" t="s">
        <v>368</v>
      </c>
      <c r="B54" s="1" t="s">
        <v>239</v>
      </c>
      <c r="C54" s="1" t="s">
        <v>19</v>
      </c>
      <c r="D54" s="1" t="s">
        <v>358</v>
      </c>
      <c r="E54" s="6">
        <v>627</v>
      </c>
      <c r="F54" s="9">
        <v>56.58</v>
      </c>
      <c r="G54" s="9">
        <v>8.06</v>
      </c>
      <c r="H54" s="9">
        <v>39.4</v>
      </c>
      <c r="I54" s="9">
        <v>41.7</v>
      </c>
      <c r="J54" s="9">
        <v>43.3</v>
      </c>
      <c r="K54" s="9">
        <v>44.2</v>
      </c>
      <c r="L54" s="9">
        <v>44.6</v>
      </c>
      <c r="M54" s="9">
        <v>45</v>
      </c>
      <c r="N54" s="9">
        <v>45.4</v>
      </c>
      <c r="O54" s="9">
        <v>46.1</v>
      </c>
      <c r="P54" s="9">
        <v>46.8</v>
      </c>
      <c r="Q54" s="9">
        <v>47.2</v>
      </c>
      <c r="R54" s="9">
        <v>47.5</v>
      </c>
      <c r="S54" s="9">
        <v>47.8</v>
      </c>
      <c r="T54" s="9">
        <v>48.2</v>
      </c>
      <c r="U54" s="9">
        <v>48.5</v>
      </c>
      <c r="V54" s="9">
        <v>48.7</v>
      </c>
      <c r="W54" s="9">
        <v>49</v>
      </c>
      <c r="X54" s="9">
        <v>49.3</v>
      </c>
      <c r="Y54" s="9">
        <v>49.5</v>
      </c>
      <c r="Z54" s="9">
        <v>49.8</v>
      </c>
      <c r="AA54" s="9">
        <v>50</v>
      </c>
      <c r="AB54" s="9">
        <v>50.2</v>
      </c>
      <c r="AC54" s="9">
        <v>50.3</v>
      </c>
      <c r="AD54" s="9">
        <v>50.7</v>
      </c>
      <c r="AE54" s="9">
        <v>50.8</v>
      </c>
      <c r="AF54" s="9">
        <v>50.8</v>
      </c>
      <c r="AG54" s="9">
        <v>51.2</v>
      </c>
      <c r="AH54" s="9">
        <v>51.3</v>
      </c>
      <c r="AI54" s="9">
        <v>51.4</v>
      </c>
      <c r="AJ54" s="9">
        <v>51.8</v>
      </c>
      <c r="AK54" s="9">
        <v>51.9</v>
      </c>
      <c r="AL54" s="9">
        <v>52</v>
      </c>
      <c r="AM54" s="9">
        <v>52.3</v>
      </c>
      <c r="AN54" s="9">
        <v>52.4</v>
      </c>
      <c r="AO54" s="9">
        <v>52.9</v>
      </c>
      <c r="AP54" s="9">
        <v>53.2</v>
      </c>
      <c r="AQ54" s="9">
        <v>53.4</v>
      </c>
      <c r="AR54" s="9">
        <v>53.7</v>
      </c>
      <c r="AS54" s="9">
        <v>54.1</v>
      </c>
      <c r="AT54" s="9">
        <v>54.1</v>
      </c>
      <c r="AU54" s="9">
        <v>54.3</v>
      </c>
      <c r="AV54" s="9">
        <v>54.4</v>
      </c>
      <c r="AW54" s="9">
        <v>54.4</v>
      </c>
      <c r="AX54" s="9">
        <v>54.6</v>
      </c>
      <c r="AY54" s="9">
        <v>54.8</v>
      </c>
      <c r="AZ54" s="9">
        <v>55.1</v>
      </c>
      <c r="BA54" s="9">
        <v>55.2</v>
      </c>
      <c r="BB54" s="9">
        <v>55.5</v>
      </c>
      <c r="BC54" s="9">
        <v>55.7</v>
      </c>
      <c r="BD54" s="9">
        <v>56</v>
      </c>
      <c r="BE54" s="9">
        <v>56.1</v>
      </c>
      <c r="BF54" s="9">
        <v>56.2</v>
      </c>
      <c r="BG54" s="9">
        <v>56.4</v>
      </c>
      <c r="BH54" s="9">
        <v>56.5</v>
      </c>
      <c r="BI54" s="9">
        <v>56.6</v>
      </c>
      <c r="BJ54" s="9">
        <v>56.7</v>
      </c>
      <c r="BK54" s="9">
        <v>57</v>
      </c>
      <c r="BL54" s="9">
        <v>57.2</v>
      </c>
      <c r="BM54" s="9">
        <v>57.4</v>
      </c>
      <c r="BN54" s="9">
        <v>57.5</v>
      </c>
      <c r="BO54" s="9">
        <v>57.7</v>
      </c>
      <c r="BP54" s="9">
        <v>58</v>
      </c>
      <c r="BQ54" s="9">
        <v>58</v>
      </c>
      <c r="BR54" s="9">
        <v>58.3</v>
      </c>
      <c r="BS54" s="9">
        <v>58.5</v>
      </c>
      <c r="BT54" s="9">
        <v>58.8</v>
      </c>
      <c r="BU54" s="9">
        <v>59</v>
      </c>
      <c r="BV54" s="9">
        <v>59.2</v>
      </c>
      <c r="BW54" s="9">
        <v>59.6</v>
      </c>
      <c r="BX54" s="9">
        <v>59.7</v>
      </c>
      <c r="BY54" s="9">
        <v>59.9</v>
      </c>
      <c r="BZ54" s="9">
        <v>60</v>
      </c>
      <c r="CA54" s="9">
        <v>60.3</v>
      </c>
      <c r="CB54" s="9">
        <v>60.3</v>
      </c>
      <c r="CC54" s="9">
        <v>60.6</v>
      </c>
      <c r="CD54" s="9">
        <v>61.2</v>
      </c>
      <c r="CE54" s="9">
        <v>61.6</v>
      </c>
      <c r="CF54" s="9">
        <v>61.9</v>
      </c>
      <c r="CG54" s="9">
        <v>62</v>
      </c>
      <c r="CH54" s="9">
        <v>62.1</v>
      </c>
      <c r="CI54" s="9">
        <v>62.5</v>
      </c>
      <c r="CJ54" s="9">
        <v>62.8</v>
      </c>
      <c r="CK54" s="9">
        <v>63.1</v>
      </c>
      <c r="CL54" s="9">
        <v>63.6</v>
      </c>
      <c r="CM54" s="9">
        <v>64.099999999999994</v>
      </c>
      <c r="CN54" s="9">
        <v>64.599999999999994</v>
      </c>
      <c r="CO54" s="9">
        <v>65.5</v>
      </c>
      <c r="CP54" s="9">
        <v>65.900000000000006</v>
      </c>
      <c r="CQ54" s="9">
        <v>66.2</v>
      </c>
      <c r="CR54" s="9">
        <v>66.7</v>
      </c>
      <c r="CS54" s="9">
        <v>67.2</v>
      </c>
      <c r="CT54" s="9">
        <v>68.2</v>
      </c>
      <c r="CU54" s="9">
        <v>68.599999999999994</v>
      </c>
      <c r="CV54" s="9">
        <v>69.5</v>
      </c>
      <c r="CW54" s="9">
        <v>70</v>
      </c>
      <c r="CX54" s="9">
        <v>71.3</v>
      </c>
      <c r="CY54" s="9">
        <v>71.900000000000006</v>
      </c>
      <c r="CZ54" s="9">
        <v>72.5</v>
      </c>
      <c r="DA54" s="9">
        <v>74.900000000000006</v>
      </c>
      <c r="DB54" s="9">
        <v>76.8</v>
      </c>
    </row>
    <row r="55" spans="1:106">
      <c r="A55" s="1" t="s">
        <v>369</v>
      </c>
      <c r="B55" s="1" t="s">
        <v>239</v>
      </c>
      <c r="C55" s="1" t="s">
        <v>19</v>
      </c>
      <c r="D55" s="1" t="s">
        <v>360</v>
      </c>
      <c r="E55" s="6">
        <v>611</v>
      </c>
      <c r="F55" s="9">
        <v>53.97</v>
      </c>
      <c r="G55" s="9">
        <v>9.11</v>
      </c>
      <c r="H55" s="9">
        <v>35</v>
      </c>
      <c r="I55" s="9">
        <v>37.4</v>
      </c>
      <c r="J55" s="9">
        <v>38.4</v>
      </c>
      <c r="K55" s="9">
        <v>39.4</v>
      </c>
      <c r="L55" s="9">
        <v>39.9</v>
      </c>
      <c r="M55" s="9">
        <v>40.799999999999997</v>
      </c>
      <c r="N55" s="9">
        <v>41.7</v>
      </c>
      <c r="O55" s="9">
        <v>42.1</v>
      </c>
      <c r="P55" s="9">
        <v>42.3</v>
      </c>
      <c r="Q55" s="9">
        <v>42.8</v>
      </c>
      <c r="R55" s="9">
        <v>43.2</v>
      </c>
      <c r="S55" s="9">
        <v>43.6</v>
      </c>
      <c r="T55" s="9">
        <v>43.9</v>
      </c>
      <c r="U55" s="9">
        <v>44.2</v>
      </c>
      <c r="V55" s="9">
        <v>44.5</v>
      </c>
      <c r="W55" s="9">
        <v>44.9</v>
      </c>
      <c r="X55" s="9">
        <v>45.2</v>
      </c>
      <c r="Y55" s="9">
        <v>45.4</v>
      </c>
      <c r="Z55" s="9">
        <v>45.6</v>
      </c>
      <c r="AA55" s="9">
        <v>46</v>
      </c>
      <c r="AB55" s="9">
        <v>46.1</v>
      </c>
      <c r="AC55" s="9">
        <v>46.6</v>
      </c>
      <c r="AD55" s="9">
        <v>47</v>
      </c>
      <c r="AE55" s="9">
        <v>47.1</v>
      </c>
      <c r="AF55" s="9">
        <v>47.3</v>
      </c>
      <c r="AG55" s="9">
        <v>47.7</v>
      </c>
      <c r="AH55" s="9">
        <v>48.1</v>
      </c>
      <c r="AI55" s="9">
        <v>48.2</v>
      </c>
      <c r="AJ55" s="9">
        <v>48.6</v>
      </c>
      <c r="AK55" s="9">
        <v>48.8</v>
      </c>
      <c r="AL55" s="9">
        <v>49</v>
      </c>
      <c r="AM55" s="9">
        <v>49.2</v>
      </c>
      <c r="AN55" s="9">
        <v>49.7</v>
      </c>
      <c r="AO55" s="9">
        <v>50.1</v>
      </c>
      <c r="AP55" s="9">
        <v>50.3</v>
      </c>
      <c r="AQ55" s="9">
        <v>50.4</v>
      </c>
      <c r="AR55" s="9">
        <v>50.6</v>
      </c>
      <c r="AS55" s="9">
        <v>50.8</v>
      </c>
      <c r="AT55" s="9">
        <v>51.2</v>
      </c>
      <c r="AU55" s="9">
        <v>51.5</v>
      </c>
      <c r="AV55" s="9">
        <v>51.8</v>
      </c>
      <c r="AW55" s="9">
        <v>51.9</v>
      </c>
      <c r="AX55" s="9">
        <v>52.1</v>
      </c>
      <c r="AY55" s="9">
        <v>52.4</v>
      </c>
      <c r="AZ55" s="9">
        <v>52.4</v>
      </c>
      <c r="BA55" s="9">
        <v>52.8</v>
      </c>
      <c r="BB55" s="9">
        <v>53.1</v>
      </c>
      <c r="BC55" s="9">
        <v>53.5</v>
      </c>
      <c r="BD55" s="9">
        <v>53.8</v>
      </c>
      <c r="BE55" s="9">
        <v>54</v>
      </c>
      <c r="BF55" s="9">
        <v>54.3</v>
      </c>
      <c r="BG55" s="9">
        <v>54.6</v>
      </c>
      <c r="BH55" s="9">
        <v>54.7</v>
      </c>
      <c r="BI55" s="9">
        <v>54.8</v>
      </c>
      <c r="BJ55" s="9">
        <v>55.1</v>
      </c>
      <c r="BK55" s="9">
        <v>55.3</v>
      </c>
      <c r="BL55" s="9">
        <v>55.5</v>
      </c>
      <c r="BM55" s="9">
        <v>55.8</v>
      </c>
      <c r="BN55" s="9">
        <v>56</v>
      </c>
      <c r="BO55" s="9">
        <v>56.2</v>
      </c>
      <c r="BP55" s="9">
        <v>56.2</v>
      </c>
      <c r="BQ55" s="9">
        <v>56.5</v>
      </c>
      <c r="BR55" s="9">
        <v>56.6</v>
      </c>
      <c r="BS55" s="9">
        <v>56.9</v>
      </c>
      <c r="BT55" s="9">
        <v>57.2</v>
      </c>
      <c r="BU55" s="9">
        <v>57.3</v>
      </c>
      <c r="BV55" s="9">
        <v>57.4</v>
      </c>
      <c r="BW55" s="9">
        <v>57.9</v>
      </c>
      <c r="BX55" s="9">
        <v>58.2</v>
      </c>
      <c r="BY55" s="9">
        <v>58.5</v>
      </c>
      <c r="BZ55" s="9">
        <v>58.8</v>
      </c>
      <c r="CA55" s="9">
        <v>58.9</v>
      </c>
      <c r="CB55" s="9">
        <v>59.1</v>
      </c>
      <c r="CC55" s="9">
        <v>59.3</v>
      </c>
      <c r="CD55" s="9">
        <v>59.8</v>
      </c>
      <c r="CE55" s="9">
        <v>60</v>
      </c>
      <c r="CF55" s="9">
        <v>60.2</v>
      </c>
      <c r="CG55" s="9">
        <v>60.3</v>
      </c>
      <c r="CH55" s="9">
        <v>60.7</v>
      </c>
      <c r="CI55" s="9">
        <v>61.3</v>
      </c>
      <c r="CJ55" s="9">
        <v>61.8</v>
      </c>
      <c r="CK55" s="9">
        <v>62</v>
      </c>
      <c r="CL55" s="9">
        <v>62.2</v>
      </c>
      <c r="CM55" s="9">
        <v>62.4</v>
      </c>
      <c r="CN55" s="9">
        <v>62.7</v>
      </c>
      <c r="CO55" s="9">
        <v>62.9</v>
      </c>
      <c r="CP55" s="9">
        <v>63.1</v>
      </c>
      <c r="CQ55" s="9">
        <v>63.6</v>
      </c>
      <c r="CR55" s="9">
        <v>64.3</v>
      </c>
      <c r="CS55" s="9">
        <v>65</v>
      </c>
      <c r="CT55" s="9">
        <v>65.400000000000006</v>
      </c>
      <c r="CU55" s="9">
        <v>66</v>
      </c>
      <c r="CV55" s="9">
        <v>66.7</v>
      </c>
      <c r="CW55" s="9">
        <v>67.599999999999994</v>
      </c>
      <c r="CX55" s="9">
        <v>68</v>
      </c>
      <c r="CY55" s="9">
        <v>70.2</v>
      </c>
      <c r="CZ55" s="9">
        <v>71.099999999999994</v>
      </c>
      <c r="DA55" s="9">
        <v>74.5</v>
      </c>
      <c r="DB55" s="9">
        <v>79.3</v>
      </c>
    </row>
    <row r="56" spans="1:106">
      <c r="A56" s="1" t="s">
        <v>370</v>
      </c>
      <c r="B56" s="1" t="s">
        <v>371</v>
      </c>
      <c r="C56" s="1" t="s">
        <v>17</v>
      </c>
      <c r="D56" s="1" t="s">
        <v>206</v>
      </c>
      <c r="E56" s="6">
        <v>370</v>
      </c>
      <c r="F56" s="9">
        <v>24.79</v>
      </c>
      <c r="G56" s="9">
        <v>5</v>
      </c>
      <c r="H56" s="9">
        <v>16.43</v>
      </c>
      <c r="I56" s="9">
        <v>17.28</v>
      </c>
      <c r="J56" s="9">
        <v>18.02</v>
      </c>
      <c r="K56" s="9">
        <v>18.27</v>
      </c>
      <c r="L56" s="9">
        <v>18.489999999999998</v>
      </c>
      <c r="M56" s="9">
        <v>18.920000000000002</v>
      </c>
      <c r="N56" s="9">
        <v>19.010000000000002</v>
      </c>
      <c r="O56" s="9">
        <v>19.170000000000002</v>
      </c>
      <c r="P56" s="9">
        <v>19.48</v>
      </c>
      <c r="Q56" s="9">
        <v>19.64</v>
      </c>
      <c r="R56" s="9">
        <v>19.77</v>
      </c>
      <c r="S56" s="9">
        <v>19.82</v>
      </c>
      <c r="T56" s="9">
        <v>19.93</v>
      </c>
      <c r="U56" s="9">
        <v>20.38</v>
      </c>
      <c r="V56" s="9">
        <v>20.47</v>
      </c>
      <c r="W56" s="9">
        <v>20.51</v>
      </c>
      <c r="X56" s="9">
        <v>20.56</v>
      </c>
      <c r="Y56" s="9">
        <v>20.72</v>
      </c>
      <c r="Z56" s="9">
        <v>20.76</v>
      </c>
      <c r="AA56" s="9">
        <v>20.79</v>
      </c>
      <c r="AB56" s="9">
        <v>20.97</v>
      </c>
      <c r="AC56" s="9">
        <v>21.08</v>
      </c>
      <c r="AD56" s="9">
        <v>21.13</v>
      </c>
      <c r="AE56" s="9">
        <v>21.32</v>
      </c>
      <c r="AF56" s="9">
        <v>21.37</v>
      </c>
      <c r="AG56" s="9">
        <v>21.43</v>
      </c>
      <c r="AH56" s="9">
        <v>21.5</v>
      </c>
      <c r="AI56" s="9">
        <v>21.64</v>
      </c>
      <c r="AJ56" s="9">
        <v>21.72</v>
      </c>
      <c r="AK56" s="9">
        <v>21.81</v>
      </c>
      <c r="AL56" s="9">
        <v>21.93</v>
      </c>
      <c r="AM56" s="9">
        <v>22.03</v>
      </c>
      <c r="AN56" s="9">
        <v>22.1</v>
      </c>
      <c r="AO56" s="9">
        <v>22.26</v>
      </c>
      <c r="AP56" s="9">
        <v>22.36</v>
      </c>
      <c r="AQ56" s="9">
        <v>22.47</v>
      </c>
      <c r="AR56" s="9">
        <v>22.51</v>
      </c>
      <c r="AS56" s="9">
        <v>22.66</v>
      </c>
      <c r="AT56" s="9">
        <v>22.73</v>
      </c>
      <c r="AU56" s="9">
        <v>22.75</v>
      </c>
      <c r="AV56" s="9">
        <v>22.87</v>
      </c>
      <c r="AW56" s="9">
        <v>22.93</v>
      </c>
      <c r="AX56" s="9">
        <v>23.07</v>
      </c>
      <c r="AY56" s="9">
        <v>23.19</v>
      </c>
      <c r="AZ56" s="9">
        <v>23.27</v>
      </c>
      <c r="BA56" s="9">
        <v>23.35</v>
      </c>
      <c r="BB56" s="9">
        <v>23.47</v>
      </c>
      <c r="BC56" s="9">
        <v>23.59</v>
      </c>
      <c r="BD56" s="9">
        <v>23.68</v>
      </c>
      <c r="BE56" s="9">
        <v>23.72</v>
      </c>
      <c r="BF56" s="9">
        <v>23.79</v>
      </c>
      <c r="BG56" s="9">
        <v>23.83</v>
      </c>
      <c r="BH56" s="9">
        <v>23.92</v>
      </c>
      <c r="BI56" s="9">
        <v>24.18</v>
      </c>
      <c r="BJ56" s="9">
        <v>24.29</v>
      </c>
      <c r="BK56" s="9">
        <v>24.41</v>
      </c>
      <c r="BL56" s="9">
        <v>24.49</v>
      </c>
      <c r="BM56" s="9">
        <v>24.51</v>
      </c>
      <c r="BN56" s="9">
        <v>24.54</v>
      </c>
      <c r="BO56" s="9">
        <v>24.65</v>
      </c>
      <c r="BP56" s="9">
        <v>24.79</v>
      </c>
      <c r="BQ56" s="9">
        <v>24.95</v>
      </c>
      <c r="BR56" s="9">
        <v>25</v>
      </c>
      <c r="BS56" s="9">
        <v>25.18</v>
      </c>
      <c r="BT56" s="9">
        <v>25.35</v>
      </c>
      <c r="BU56" s="9">
        <v>25.55</v>
      </c>
      <c r="BV56" s="9">
        <v>25.7</v>
      </c>
      <c r="BW56" s="9">
        <v>25.88</v>
      </c>
      <c r="BX56" s="9">
        <v>25.94</v>
      </c>
      <c r="BY56" s="9">
        <v>26.23</v>
      </c>
      <c r="BZ56" s="9">
        <v>26.24</v>
      </c>
      <c r="CA56" s="9">
        <v>26.39</v>
      </c>
      <c r="CB56" s="9">
        <v>26.58</v>
      </c>
      <c r="CC56" s="9">
        <v>26.77</v>
      </c>
      <c r="CD56" s="9">
        <v>26.94</v>
      </c>
      <c r="CE56" s="9">
        <v>27.11</v>
      </c>
      <c r="CF56" s="9">
        <v>27.33</v>
      </c>
      <c r="CG56" s="9">
        <v>27.48</v>
      </c>
      <c r="CH56" s="9">
        <v>27.81</v>
      </c>
      <c r="CI56" s="9">
        <v>27.92</v>
      </c>
      <c r="CJ56" s="9">
        <v>28.15</v>
      </c>
      <c r="CK56" s="9">
        <v>28.47</v>
      </c>
      <c r="CL56" s="9">
        <v>28.93</v>
      </c>
      <c r="CM56" s="9">
        <v>29.14</v>
      </c>
      <c r="CN56" s="9">
        <v>29.5</v>
      </c>
      <c r="CO56" s="9">
        <v>29.81</v>
      </c>
      <c r="CP56" s="9">
        <v>30.34</v>
      </c>
      <c r="CQ56" s="9">
        <v>31.14</v>
      </c>
      <c r="CR56" s="9">
        <v>31.3</v>
      </c>
      <c r="CS56" s="9">
        <v>31.77</v>
      </c>
      <c r="CT56" s="9">
        <v>32.26</v>
      </c>
      <c r="CU56" s="9">
        <v>32.520000000000003</v>
      </c>
      <c r="CV56" s="9">
        <v>34.07</v>
      </c>
      <c r="CW56" s="9">
        <v>34.69</v>
      </c>
      <c r="CX56" s="9">
        <v>35.33</v>
      </c>
      <c r="CY56" s="9">
        <v>35.72</v>
      </c>
      <c r="CZ56" s="9">
        <v>37.32</v>
      </c>
      <c r="DA56" s="9">
        <v>38.08</v>
      </c>
      <c r="DB56" s="9">
        <v>39.67</v>
      </c>
    </row>
    <row r="57" spans="1:106">
      <c r="A57" s="1" t="s">
        <v>372</v>
      </c>
      <c r="B57" s="1" t="s">
        <v>371</v>
      </c>
      <c r="C57" s="1" t="s">
        <v>17</v>
      </c>
      <c r="D57" s="1" t="s">
        <v>208</v>
      </c>
      <c r="E57" s="6">
        <v>453</v>
      </c>
      <c r="F57" s="9">
        <v>25.54</v>
      </c>
      <c r="G57" s="9">
        <v>4.3600000000000003</v>
      </c>
      <c r="H57" s="9">
        <v>18.07</v>
      </c>
      <c r="I57" s="9">
        <v>18.71</v>
      </c>
      <c r="J57" s="9">
        <v>19.27</v>
      </c>
      <c r="K57" s="9">
        <v>19.63</v>
      </c>
      <c r="L57" s="9">
        <v>19.82</v>
      </c>
      <c r="M57" s="9">
        <v>20.04</v>
      </c>
      <c r="N57" s="9">
        <v>20.190000000000001</v>
      </c>
      <c r="O57" s="9">
        <v>20.53</v>
      </c>
      <c r="P57" s="9">
        <v>20.61</v>
      </c>
      <c r="Q57" s="9">
        <v>20.76</v>
      </c>
      <c r="R57" s="9">
        <v>20.83</v>
      </c>
      <c r="S57" s="9">
        <v>20.86</v>
      </c>
      <c r="T57" s="9">
        <v>21</v>
      </c>
      <c r="U57" s="9">
        <v>21.08</v>
      </c>
      <c r="V57" s="9">
        <v>21.13</v>
      </c>
      <c r="W57" s="9">
        <v>21.29</v>
      </c>
      <c r="X57" s="9">
        <v>21.43</v>
      </c>
      <c r="Y57" s="9">
        <v>21.51</v>
      </c>
      <c r="Z57" s="9">
        <v>21.6</v>
      </c>
      <c r="AA57" s="9">
        <v>21.79</v>
      </c>
      <c r="AB57" s="9">
        <v>21.87</v>
      </c>
      <c r="AC57" s="9">
        <v>21.95</v>
      </c>
      <c r="AD57" s="9">
        <v>22.17</v>
      </c>
      <c r="AE57" s="9">
        <v>22.27</v>
      </c>
      <c r="AF57" s="9">
        <v>22.35</v>
      </c>
      <c r="AG57" s="9">
        <v>22.46</v>
      </c>
      <c r="AH57" s="9">
        <v>22.58</v>
      </c>
      <c r="AI57" s="9">
        <v>22.73</v>
      </c>
      <c r="AJ57" s="9">
        <v>22.96</v>
      </c>
      <c r="AK57" s="9">
        <v>23.04</v>
      </c>
      <c r="AL57" s="9">
        <v>23.15</v>
      </c>
      <c r="AM57" s="9">
        <v>23.21</v>
      </c>
      <c r="AN57" s="9">
        <v>23.35</v>
      </c>
      <c r="AO57" s="9">
        <v>23.48</v>
      </c>
      <c r="AP57" s="9">
        <v>23.55</v>
      </c>
      <c r="AQ57" s="9">
        <v>23.61</v>
      </c>
      <c r="AR57" s="9">
        <v>23.7</v>
      </c>
      <c r="AS57" s="9">
        <v>23.75</v>
      </c>
      <c r="AT57" s="9">
        <v>23.79</v>
      </c>
      <c r="AU57" s="9">
        <v>23.88</v>
      </c>
      <c r="AV57" s="9">
        <v>23.98</v>
      </c>
      <c r="AW57" s="9">
        <v>24.17</v>
      </c>
      <c r="AX57" s="9">
        <v>24.24</v>
      </c>
      <c r="AY57" s="9">
        <v>24.25</v>
      </c>
      <c r="AZ57" s="9">
        <v>24.38</v>
      </c>
      <c r="BA57" s="9">
        <v>24.47</v>
      </c>
      <c r="BB57" s="9">
        <v>24.51</v>
      </c>
      <c r="BC57" s="9">
        <v>24.58</v>
      </c>
      <c r="BD57" s="9">
        <v>24.71</v>
      </c>
      <c r="BE57" s="9">
        <v>24.82</v>
      </c>
      <c r="BF57" s="9">
        <v>25.05</v>
      </c>
      <c r="BG57" s="9">
        <v>25.14</v>
      </c>
      <c r="BH57" s="9">
        <v>25.3</v>
      </c>
      <c r="BI57" s="9">
        <v>25.35</v>
      </c>
      <c r="BJ57" s="9">
        <v>25.43</v>
      </c>
      <c r="BK57" s="9">
        <v>25.51</v>
      </c>
      <c r="BL57" s="9">
        <v>25.6</v>
      </c>
      <c r="BM57" s="9">
        <v>25.66</v>
      </c>
      <c r="BN57" s="9">
        <v>25.78</v>
      </c>
      <c r="BO57" s="9">
        <v>25.85</v>
      </c>
      <c r="BP57" s="9">
        <v>25.97</v>
      </c>
      <c r="BQ57" s="9">
        <v>26.03</v>
      </c>
      <c r="BR57" s="9">
        <v>26.19</v>
      </c>
      <c r="BS57" s="9">
        <v>26.33</v>
      </c>
      <c r="BT57" s="9">
        <v>26.43</v>
      </c>
      <c r="BU57" s="9">
        <v>26.56</v>
      </c>
      <c r="BV57" s="9">
        <v>26.72</v>
      </c>
      <c r="BW57" s="9">
        <v>26.81</v>
      </c>
      <c r="BX57" s="9">
        <v>26.89</v>
      </c>
      <c r="BY57" s="9">
        <v>26.97</v>
      </c>
      <c r="BZ57" s="9">
        <v>27.05</v>
      </c>
      <c r="CA57" s="9">
        <v>27.13</v>
      </c>
      <c r="CB57" s="9">
        <v>27.28</v>
      </c>
      <c r="CC57" s="9">
        <v>27.47</v>
      </c>
      <c r="CD57" s="9">
        <v>27.71</v>
      </c>
      <c r="CE57" s="9">
        <v>27.91</v>
      </c>
      <c r="CF57" s="9">
        <v>28.04</v>
      </c>
      <c r="CG57" s="9">
        <v>28.37</v>
      </c>
      <c r="CH57" s="9">
        <v>28.63</v>
      </c>
      <c r="CI57" s="9">
        <v>28.8</v>
      </c>
      <c r="CJ57" s="9">
        <v>29.09</v>
      </c>
      <c r="CK57" s="9">
        <v>29.37</v>
      </c>
      <c r="CL57" s="9">
        <v>29.47</v>
      </c>
      <c r="CM57" s="9">
        <v>29.79</v>
      </c>
      <c r="CN57" s="9">
        <v>29.92</v>
      </c>
      <c r="CO57" s="9">
        <v>30.03</v>
      </c>
      <c r="CP57" s="9">
        <v>30.53</v>
      </c>
      <c r="CQ57" s="9">
        <v>30.68</v>
      </c>
      <c r="CR57" s="9">
        <v>30.92</v>
      </c>
      <c r="CS57" s="9">
        <v>31.17</v>
      </c>
      <c r="CT57" s="9">
        <v>31.4</v>
      </c>
      <c r="CU57" s="9">
        <v>31.66</v>
      </c>
      <c r="CV57" s="9">
        <v>32.35</v>
      </c>
      <c r="CW57" s="9">
        <v>32.69</v>
      </c>
      <c r="CX57" s="9">
        <v>33.64</v>
      </c>
      <c r="CY57" s="9">
        <v>34.36</v>
      </c>
      <c r="CZ57" s="9">
        <v>35.49</v>
      </c>
      <c r="DA57" s="9">
        <v>36.78</v>
      </c>
      <c r="DB57" s="9">
        <v>39.24</v>
      </c>
    </row>
    <row r="58" spans="1:106">
      <c r="A58" s="1" t="s">
        <v>373</v>
      </c>
      <c r="B58" s="1" t="s">
        <v>371</v>
      </c>
      <c r="C58" s="1" t="s">
        <v>17</v>
      </c>
      <c r="D58" s="1" t="s">
        <v>210</v>
      </c>
      <c r="E58" s="6">
        <v>411</v>
      </c>
      <c r="F58" s="9">
        <v>25.72</v>
      </c>
      <c r="G58" s="9">
        <v>4</v>
      </c>
      <c r="H58" s="9">
        <v>17.170000000000002</v>
      </c>
      <c r="I58" s="9">
        <v>18.32</v>
      </c>
      <c r="J58" s="9">
        <v>18.989999999999998</v>
      </c>
      <c r="K58" s="9">
        <v>19.8</v>
      </c>
      <c r="L58" s="9">
        <v>20.36</v>
      </c>
      <c r="M58" s="9">
        <v>20.48</v>
      </c>
      <c r="N58" s="9">
        <v>20.83</v>
      </c>
      <c r="O58" s="9">
        <v>20.95</v>
      </c>
      <c r="P58" s="9">
        <v>21.21</v>
      </c>
      <c r="Q58" s="9">
        <v>21.29</v>
      </c>
      <c r="R58" s="9">
        <v>21.48</v>
      </c>
      <c r="S58" s="9">
        <v>21.61</v>
      </c>
      <c r="T58" s="9">
        <v>21.79</v>
      </c>
      <c r="U58" s="9">
        <v>21.89</v>
      </c>
      <c r="V58" s="9">
        <v>22</v>
      </c>
      <c r="W58" s="9">
        <v>22.05</v>
      </c>
      <c r="X58" s="9">
        <v>22.13</v>
      </c>
      <c r="Y58" s="9">
        <v>22.22</v>
      </c>
      <c r="Z58" s="9">
        <v>22.36</v>
      </c>
      <c r="AA58" s="9">
        <v>22.48</v>
      </c>
      <c r="AB58" s="9">
        <v>22.53</v>
      </c>
      <c r="AC58" s="9">
        <v>22.64</v>
      </c>
      <c r="AD58" s="9">
        <v>22.69</v>
      </c>
      <c r="AE58" s="9">
        <v>22.75</v>
      </c>
      <c r="AF58" s="9">
        <v>22.89</v>
      </c>
      <c r="AG58" s="9">
        <v>22.99</v>
      </c>
      <c r="AH58" s="9">
        <v>23.06</v>
      </c>
      <c r="AI58" s="9">
        <v>23.12</v>
      </c>
      <c r="AJ58" s="9">
        <v>23.36</v>
      </c>
      <c r="AK58" s="9">
        <v>23.54</v>
      </c>
      <c r="AL58" s="9">
        <v>23.56</v>
      </c>
      <c r="AM58" s="9">
        <v>23.69</v>
      </c>
      <c r="AN58" s="9">
        <v>23.75</v>
      </c>
      <c r="AO58" s="9">
        <v>23.84</v>
      </c>
      <c r="AP58" s="9">
        <v>23.9</v>
      </c>
      <c r="AQ58" s="9">
        <v>24.01</v>
      </c>
      <c r="AR58" s="9">
        <v>24.06</v>
      </c>
      <c r="AS58" s="9">
        <v>24.12</v>
      </c>
      <c r="AT58" s="9">
        <v>24.2</v>
      </c>
      <c r="AU58" s="9">
        <v>24.26</v>
      </c>
      <c r="AV58" s="9">
        <v>24.28</v>
      </c>
      <c r="AW58" s="9">
        <v>24.31</v>
      </c>
      <c r="AX58" s="9">
        <v>24.41</v>
      </c>
      <c r="AY58" s="9">
        <v>24.52</v>
      </c>
      <c r="AZ58" s="9">
        <v>24.6</v>
      </c>
      <c r="BA58" s="9">
        <v>24.67</v>
      </c>
      <c r="BB58" s="9">
        <v>24.95</v>
      </c>
      <c r="BC58" s="9">
        <v>25.01</v>
      </c>
      <c r="BD58" s="9">
        <v>25.11</v>
      </c>
      <c r="BE58" s="9">
        <v>25.15</v>
      </c>
      <c r="BF58" s="9">
        <v>25.26</v>
      </c>
      <c r="BG58" s="9">
        <v>25.4</v>
      </c>
      <c r="BH58" s="9">
        <v>25.45</v>
      </c>
      <c r="BI58" s="9">
        <v>25.49</v>
      </c>
      <c r="BJ58" s="9">
        <v>25.68</v>
      </c>
      <c r="BK58" s="9">
        <v>25.76</v>
      </c>
      <c r="BL58" s="9">
        <v>25.81</v>
      </c>
      <c r="BM58" s="9">
        <v>25.95</v>
      </c>
      <c r="BN58" s="9">
        <v>26.16</v>
      </c>
      <c r="BO58" s="9">
        <v>26.23</v>
      </c>
      <c r="BP58" s="9">
        <v>26.38</v>
      </c>
      <c r="BQ58" s="9">
        <v>26.55</v>
      </c>
      <c r="BR58" s="9">
        <v>26.66</v>
      </c>
      <c r="BS58" s="9">
        <v>26.74</v>
      </c>
      <c r="BT58" s="9">
        <v>26.84</v>
      </c>
      <c r="BU58" s="9">
        <v>26.87</v>
      </c>
      <c r="BV58" s="9">
        <v>26.96</v>
      </c>
      <c r="BW58" s="9">
        <v>26.99</v>
      </c>
      <c r="BX58" s="9">
        <v>27.12</v>
      </c>
      <c r="BY58" s="9">
        <v>27.18</v>
      </c>
      <c r="BZ58" s="9">
        <v>27.29</v>
      </c>
      <c r="CA58" s="9">
        <v>27.52</v>
      </c>
      <c r="CB58" s="9">
        <v>27.68</v>
      </c>
      <c r="CC58" s="9">
        <v>27.98</v>
      </c>
      <c r="CD58" s="9">
        <v>28.07</v>
      </c>
      <c r="CE58" s="9">
        <v>28.14</v>
      </c>
      <c r="CF58" s="9">
        <v>28.29</v>
      </c>
      <c r="CG58" s="9">
        <v>28.41</v>
      </c>
      <c r="CH58" s="9">
        <v>28.56</v>
      </c>
      <c r="CI58" s="9">
        <v>28.74</v>
      </c>
      <c r="CJ58" s="9">
        <v>28.9</v>
      </c>
      <c r="CK58" s="9">
        <v>29.01</v>
      </c>
      <c r="CL58" s="9">
        <v>29.11</v>
      </c>
      <c r="CM58" s="9">
        <v>29.32</v>
      </c>
      <c r="CN58" s="9">
        <v>29.41</v>
      </c>
      <c r="CO58" s="9">
        <v>29.73</v>
      </c>
      <c r="CP58" s="9">
        <v>29.86</v>
      </c>
      <c r="CQ58" s="9">
        <v>30.38</v>
      </c>
      <c r="CR58" s="9">
        <v>30.65</v>
      </c>
      <c r="CS58" s="9">
        <v>31.03</v>
      </c>
      <c r="CT58" s="9">
        <v>31.35</v>
      </c>
      <c r="CU58" s="9">
        <v>31.54</v>
      </c>
      <c r="CV58" s="9">
        <v>31.99</v>
      </c>
      <c r="CW58" s="9">
        <v>32.4</v>
      </c>
      <c r="CX58" s="9">
        <v>32.93</v>
      </c>
      <c r="CY58" s="9">
        <v>33.11</v>
      </c>
      <c r="CZ58" s="9">
        <v>34.11</v>
      </c>
      <c r="DA58" s="9">
        <v>34.9</v>
      </c>
      <c r="DB58" s="9">
        <v>36.32</v>
      </c>
    </row>
    <row r="59" spans="1:106">
      <c r="A59" s="1" t="s">
        <v>374</v>
      </c>
      <c r="B59" s="1" t="s">
        <v>371</v>
      </c>
      <c r="C59" s="1" t="s">
        <v>17</v>
      </c>
      <c r="D59" s="1" t="s">
        <v>212</v>
      </c>
      <c r="E59" s="6">
        <v>476</v>
      </c>
      <c r="F59" s="9">
        <v>25.76</v>
      </c>
      <c r="G59" s="9">
        <v>4.12</v>
      </c>
      <c r="H59" s="9">
        <v>17.34</v>
      </c>
      <c r="I59" s="9">
        <v>18.27</v>
      </c>
      <c r="J59" s="9">
        <v>19.05</v>
      </c>
      <c r="K59" s="9">
        <v>19.41</v>
      </c>
      <c r="L59" s="9">
        <v>19.71</v>
      </c>
      <c r="M59" s="9">
        <v>20.22</v>
      </c>
      <c r="N59" s="9">
        <v>20.46</v>
      </c>
      <c r="O59" s="9">
        <v>20.57</v>
      </c>
      <c r="P59" s="9">
        <v>21</v>
      </c>
      <c r="Q59" s="9">
        <v>21.29</v>
      </c>
      <c r="R59" s="9">
        <v>21.54</v>
      </c>
      <c r="S59" s="9">
        <v>21.7</v>
      </c>
      <c r="T59" s="9">
        <v>21.78</v>
      </c>
      <c r="U59" s="9">
        <v>21.99</v>
      </c>
      <c r="V59" s="9">
        <v>22.05</v>
      </c>
      <c r="W59" s="9">
        <v>22.08</v>
      </c>
      <c r="X59" s="9">
        <v>22.12</v>
      </c>
      <c r="Y59" s="9">
        <v>22.15</v>
      </c>
      <c r="Z59" s="9">
        <v>22.36</v>
      </c>
      <c r="AA59" s="9">
        <v>22.43</v>
      </c>
      <c r="AB59" s="9">
        <v>22.54</v>
      </c>
      <c r="AC59" s="9">
        <v>22.68</v>
      </c>
      <c r="AD59" s="9">
        <v>22.76</v>
      </c>
      <c r="AE59" s="9">
        <v>22.77</v>
      </c>
      <c r="AF59" s="9">
        <v>22.87</v>
      </c>
      <c r="AG59" s="9">
        <v>22.92</v>
      </c>
      <c r="AH59" s="9">
        <v>23</v>
      </c>
      <c r="AI59" s="9">
        <v>23.11</v>
      </c>
      <c r="AJ59" s="9">
        <v>23.22</v>
      </c>
      <c r="AK59" s="9">
        <v>23.35</v>
      </c>
      <c r="AL59" s="9">
        <v>23.41</v>
      </c>
      <c r="AM59" s="9">
        <v>23.49</v>
      </c>
      <c r="AN59" s="9">
        <v>23.6</v>
      </c>
      <c r="AO59" s="9">
        <v>23.69</v>
      </c>
      <c r="AP59" s="9">
        <v>23.76</v>
      </c>
      <c r="AQ59" s="9">
        <v>23.9</v>
      </c>
      <c r="AR59" s="9">
        <v>24.03</v>
      </c>
      <c r="AS59" s="9">
        <v>24.1</v>
      </c>
      <c r="AT59" s="9">
        <v>24.19</v>
      </c>
      <c r="AU59" s="9">
        <v>24.28</v>
      </c>
      <c r="AV59" s="9">
        <v>24.4</v>
      </c>
      <c r="AW59" s="9">
        <v>24.43</v>
      </c>
      <c r="AX59" s="9">
        <v>24.5</v>
      </c>
      <c r="AY59" s="9">
        <v>24.57</v>
      </c>
      <c r="AZ59" s="9">
        <v>24.73</v>
      </c>
      <c r="BA59" s="9">
        <v>24.76</v>
      </c>
      <c r="BB59" s="9">
        <v>24.85</v>
      </c>
      <c r="BC59" s="9">
        <v>24.89</v>
      </c>
      <c r="BD59" s="9">
        <v>24.95</v>
      </c>
      <c r="BE59" s="9">
        <v>25.07</v>
      </c>
      <c r="BF59" s="9">
        <v>25.13</v>
      </c>
      <c r="BG59" s="9">
        <v>25.23</v>
      </c>
      <c r="BH59" s="9">
        <v>25.35</v>
      </c>
      <c r="BI59" s="9">
        <v>25.4</v>
      </c>
      <c r="BJ59" s="9">
        <v>25.47</v>
      </c>
      <c r="BK59" s="9">
        <v>25.67</v>
      </c>
      <c r="BL59" s="9">
        <v>25.73</v>
      </c>
      <c r="BM59" s="9">
        <v>25.79</v>
      </c>
      <c r="BN59" s="9">
        <v>25.91</v>
      </c>
      <c r="BO59" s="9">
        <v>26.12</v>
      </c>
      <c r="BP59" s="9">
        <v>26.22</v>
      </c>
      <c r="BQ59" s="9">
        <v>26.32</v>
      </c>
      <c r="BR59" s="9">
        <v>26.47</v>
      </c>
      <c r="BS59" s="9">
        <v>26.62</v>
      </c>
      <c r="BT59" s="9">
        <v>26.85</v>
      </c>
      <c r="BU59" s="9">
        <v>26.98</v>
      </c>
      <c r="BV59" s="9">
        <v>27.08</v>
      </c>
      <c r="BW59" s="9">
        <v>27.25</v>
      </c>
      <c r="BX59" s="9">
        <v>27.29</v>
      </c>
      <c r="BY59" s="9">
        <v>27.37</v>
      </c>
      <c r="BZ59" s="9">
        <v>27.54</v>
      </c>
      <c r="CA59" s="9">
        <v>27.56</v>
      </c>
      <c r="CB59" s="9">
        <v>27.84</v>
      </c>
      <c r="CC59" s="9">
        <v>28.02</v>
      </c>
      <c r="CD59" s="9">
        <v>28.15</v>
      </c>
      <c r="CE59" s="9">
        <v>28.3</v>
      </c>
      <c r="CF59" s="9">
        <v>28.4</v>
      </c>
      <c r="CG59" s="9">
        <v>28.47</v>
      </c>
      <c r="CH59" s="9">
        <v>28.79</v>
      </c>
      <c r="CI59" s="9">
        <v>28.83</v>
      </c>
      <c r="CJ59" s="9">
        <v>29.23</v>
      </c>
      <c r="CK59" s="9">
        <v>29.4</v>
      </c>
      <c r="CL59" s="9">
        <v>29.55</v>
      </c>
      <c r="CM59" s="9">
        <v>29.76</v>
      </c>
      <c r="CN59" s="9">
        <v>29.93</v>
      </c>
      <c r="CO59" s="9">
        <v>30.23</v>
      </c>
      <c r="CP59" s="9">
        <v>30.51</v>
      </c>
      <c r="CQ59" s="9">
        <v>30.75</v>
      </c>
      <c r="CR59" s="9">
        <v>30.88</v>
      </c>
      <c r="CS59" s="9">
        <v>31.25</v>
      </c>
      <c r="CT59" s="9">
        <v>31.58</v>
      </c>
      <c r="CU59" s="9">
        <v>31.89</v>
      </c>
      <c r="CV59" s="9">
        <v>32.159999999999997</v>
      </c>
      <c r="CW59" s="9">
        <v>32.83</v>
      </c>
      <c r="CX59" s="9">
        <v>33.520000000000003</v>
      </c>
      <c r="CY59" s="9">
        <v>33.64</v>
      </c>
      <c r="CZ59" s="9">
        <v>34.549999999999997</v>
      </c>
      <c r="DA59" s="9">
        <v>35.4</v>
      </c>
      <c r="DB59" s="9">
        <v>38.03</v>
      </c>
    </row>
    <row r="60" spans="1:106">
      <c r="A60" s="1" t="s">
        <v>375</v>
      </c>
      <c r="B60" s="1" t="s">
        <v>371</v>
      </c>
      <c r="C60" s="1" t="s">
        <v>17</v>
      </c>
      <c r="D60" s="1" t="s">
        <v>214</v>
      </c>
      <c r="E60" s="6">
        <v>604</v>
      </c>
      <c r="F60" s="9">
        <v>25.84</v>
      </c>
      <c r="G60" s="9">
        <v>3.61</v>
      </c>
      <c r="H60" s="9">
        <v>18.47</v>
      </c>
      <c r="I60" s="9">
        <v>19.11</v>
      </c>
      <c r="J60" s="9">
        <v>19.79</v>
      </c>
      <c r="K60" s="9">
        <v>20.02</v>
      </c>
      <c r="L60" s="9">
        <v>20.61</v>
      </c>
      <c r="M60" s="9">
        <v>20.91</v>
      </c>
      <c r="N60" s="9">
        <v>21.16</v>
      </c>
      <c r="O60" s="9">
        <v>21.34</v>
      </c>
      <c r="P60" s="9">
        <v>21.49</v>
      </c>
      <c r="Q60" s="9">
        <v>21.57</v>
      </c>
      <c r="R60" s="9">
        <v>21.64</v>
      </c>
      <c r="S60" s="9">
        <v>21.79</v>
      </c>
      <c r="T60" s="9">
        <v>21.95</v>
      </c>
      <c r="U60" s="9">
        <v>22.14</v>
      </c>
      <c r="V60" s="9">
        <v>22.31</v>
      </c>
      <c r="W60" s="9">
        <v>22.45</v>
      </c>
      <c r="X60" s="9">
        <v>22.55</v>
      </c>
      <c r="Y60" s="9">
        <v>22.75</v>
      </c>
      <c r="Z60" s="9">
        <v>22.87</v>
      </c>
      <c r="AA60" s="9">
        <v>22.99</v>
      </c>
      <c r="AB60" s="9">
        <v>23.17</v>
      </c>
      <c r="AC60" s="9">
        <v>23.2</v>
      </c>
      <c r="AD60" s="9">
        <v>23.28</v>
      </c>
      <c r="AE60" s="9">
        <v>23.37</v>
      </c>
      <c r="AF60" s="9">
        <v>23.44</v>
      </c>
      <c r="AG60" s="9">
        <v>23.59</v>
      </c>
      <c r="AH60" s="9">
        <v>23.68</v>
      </c>
      <c r="AI60" s="9">
        <v>23.74</v>
      </c>
      <c r="AJ60" s="9">
        <v>23.79</v>
      </c>
      <c r="AK60" s="9">
        <v>23.92</v>
      </c>
      <c r="AL60" s="9">
        <v>24.08</v>
      </c>
      <c r="AM60" s="9">
        <v>24.12</v>
      </c>
      <c r="AN60" s="9">
        <v>24.18</v>
      </c>
      <c r="AO60" s="9">
        <v>24.26</v>
      </c>
      <c r="AP60" s="9">
        <v>24.29</v>
      </c>
      <c r="AQ60" s="9">
        <v>24.35</v>
      </c>
      <c r="AR60" s="9">
        <v>24.41</v>
      </c>
      <c r="AS60" s="9">
        <v>24.48</v>
      </c>
      <c r="AT60" s="9">
        <v>24.61</v>
      </c>
      <c r="AU60" s="9">
        <v>24.69</v>
      </c>
      <c r="AV60" s="9">
        <v>24.81</v>
      </c>
      <c r="AW60" s="9">
        <v>24.88</v>
      </c>
      <c r="AX60" s="9">
        <v>24.94</v>
      </c>
      <c r="AY60" s="9">
        <v>25.03</v>
      </c>
      <c r="AZ60" s="9">
        <v>25.11</v>
      </c>
      <c r="BA60" s="9">
        <v>25.17</v>
      </c>
      <c r="BB60" s="9">
        <v>25.22</v>
      </c>
      <c r="BC60" s="9">
        <v>25.27</v>
      </c>
      <c r="BD60" s="9">
        <v>25.35</v>
      </c>
      <c r="BE60" s="9">
        <v>25.49</v>
      </c>
      <c r="BF60" s="9">
        <v>25.56</v>
      </c>
      <c r="BG60" s="9">
        <v>25.64</v>
      </c>
      <c r="BH60" s="9">
        <v>25.68</v>
      </c>
      <c r="BI60" s="9">
        <v>25.77</v>
      </c>
      <c r="BJ60" s="9">
        <v>25.86</v>
      </c>
      <c r="BK60" s="9">
        <v>25.94</v>
      </c>
      <c r="BL60" s="9">
        <v>26.02</v>
      </c>
      <c r="BM60" s="9">
        <v>26.16</v>
      </c>
      <c r="BN60" s="9">
        <v>26.23</v>
      </c>
      <c r="BO60" s="9">
        <v>26.35</v>
      </c>
      <c r="BP60" s="9">
        <v>26.43</v>
      </c>
      <c r="BQ60" s="9">
        <v>26.52</v>
      </c>
      <c r="BR60" s="9">
        <v>26.69</v>
      </c>
      <c r="BS60" s="9">
        <v>26.79</v>
      </c>
      <c r="BT60" s="9">
        <v>26.87</v>
      </c>
      <c r="BU60" s="9">
        <v>26.92</v>
      </c>
      <c r="BV60" s="9">
        <v>27</v>
      </c>
      <c r="BW60" s="9">
        <v>27.12</v>
      </c>
      <c r="BX60" s="9">
        <v>27.17</v>
      </c>
      <c r="BY60" s="9">
        <v>27.28</v>
      </c>
      <c r="BZ60" s="9">
        <v>27.34</v>
      </c>
      <c r="CA60" s="9">
        <v>27.46</v>
      </c>
      <c r="CB60" s="9">
        <v>27.52</v>
      </c>
      <c r="CC60" s="9">
        <v>27.67</v>
      </c>
      <c r="CD60" s="9">
        <v>27.8</v>
      </c>
      <c r="CE60" s="9">
        <v>28.05</v>
      </c>
      <c r="CF60" s="9">
        <v>28.17</v>
      </c>
      <c r="CG60" s="9">
        <v>28.31</v>
      </c>
      <c r="CH60" s="9">
        <v>28.37</v>
      </c>
      <c r="CI60" s="9">
        <v>28.54</v>
      </c>
      <c r="CJ60" s="9">
        <v>28.66</v>
      </c>
      <c r="CK60" s="9">
        <v>28.79</v>
      </c>
      <c r="CL60" s="9">
        <v>28.97</v>
      </c>
      <c r="CM60" s="9">
        <v>29.13</v>
      </c>
      <c r="CN60" s="9">
        <v>29.32</v>
      </c>
      <c r="CO60" s="9">
        <v>29.51</v>
      </c>
      <c r="CP60" s="9">
        <v>29.8</v>
      </c>
      <c r="CQ60" s="9">
        <v>29.94</v>
      </c>
      <c r="CR60" s="9">
        <v>30.11</v>
      </c>
      <c r="CS60" s="9">
        <v>30.52</v>
      </c>
      <c r="CT60" s="9">
        <v>30.71</v>
      </c>
      <c r="CU60" s="9">
        <v>31.15</v>
      </c>
      <c r="CV60" s="9">
        <v>31.54</v>
      </c>
      <c r="CW60" s="9">
        <v>31.86</v>
      </c>
      <c r="CX60" s="9">
        <v>32.200000000000003</v>
      </c>
      <c r="CY60" s="9">
        <v>32.76</v>
      </c>
      <c r="CZ60" s="9">
        <v>33.57</v>
      </c>
      <c r="DA60" s="9">
        <v>34.04</v>
      </c>
      <c r="DB60" s="9">
        <v>35.18</v>
      </c>
    </row>
    <row r="61" spans="1:106">
      <c r="A61" s="1" t="s">
        <v>376</v>
      </c>
      <c r="B61" s="1" t="s">
        <v>371</v>
      </c>
      <c r="C61" s="1" t="s">
        <v>17</v>
      </c>
      <c r="D61" s="1" t="s">
        <v>216</v>
      </c>
      <c r="E61" s="6">
        <v>567</v>
      </c>
      <c r="F61" s="9">
        <v>25.64</v>
      </c>
      <c r="G61" s="9">
        <v>3.61</v>
      </c>
      <c r="H61" s="9">
        <v>18.03</v>
      </c>
      <c r="I61" s="9">
        <v>18.760000000000002</v>
      </c>
      <c r="J61" s="9">
        <v>19.420000000000002</v>
      </c>
      <c r="K61" s="9">
        <v>19.66</v>
      </c>
      <c r="L61" s="9">
        <v>20.02</v>
      </c>
      <c r="M61" s="9">
        <v>20.39</v>
      </c>
      <c r="N61" s="9">
        <v>20.66</v>
      </c>
      <c r="O61" s="9">
        <v>21.02</v>
      </c>
      <c r="P61" s="9">
        <v>21.16</v>
      </c>
      <c r="Q61" s="9">
        <v>21.42</v>
      </c>
      <c r="R61" s="9">
        <v>21.49</v>
      </c>
      <c r="S61" s="9">
        <v>21.73</v>
      </c>
      <c r="T61" s="9">
        <v>21.8</v>
      </c>
      <c r="U61" s="9">
        <v>21.97</v>
      </c>
      <c r="V61" s="9">
        <v>22.08</v>
      </c>
      <c r="W61" s="9">
        <v>22.2</v>
      </c>
      <c r="X61" s="9">
        <v>22.3</v>
      </c>
      <c r="Y61" s="9">
        <v>22.36</v>
      </c>
      <c r="Z61" s="9">
        <v>22.56</v>
      </c>
      <c r="AA61" s="9">
        <v>22.68</v>
      </c>
      <c r="AB61" s="9">
        <v>22.75</v>
      </c>
      <c r="AC61" s="9">
        <v>22.79</v>
      </c>
      <c r="AD61" s="9">
        <v>22.94</v>
      </c>
      <c r="AE61" s="9">
        <v>23.13</v>
      </c>
      <c r="AF61" s="9">
        <v>23.22</v>
      </c>
      <c r="AG61" s="9">
        <v>23.33</v>
      </c>
      <c r="AH61" s="9">
        <v>23.44</v>
      </c>
      <c r="AI61" s="9">
        <v>23.63</v>
      </c>
      <c r="AJ61" s="9">
        <v>23.68</v>
      </c>
      <c r="AK61" s="9">
        <v>23.79</v>
      </c>
      <c r="AL61" s="9">
        <v>23.84</v>
      </c>
      <c r="AM61" s="9">
        <v>23.91</v>
      </c>
      <c r="AN61" s="9">
        <v>23.96</v>
      </c>
      <c r="AO61" s="9">
        <v>24.06</v>
      </c>
      <c r="AP61" s="9">
        <v>24.13</v>
      </c>
      <c r="AQ61" s="9">
        <v>24.23</v>
      </c>
      <c r="AR61" s="9">
        <v>24.27</v>
      </c>
      <c r="AS61" s="9">
        <v>24.35</v>
      </c>
      <c r="AT61" s="9">
        <v>24.45</v>
      </c>
      <c r="AU61" s="9">
        <v>24.5</v>
      </c>
      <c r="AV61" s="9">
        <v>24.54</v>
      </c>
      <c r="AW61" s="9">
        <v>24.58</v>
      </c>
      <c r="AX61" s="9">
        <v>24.7</v>
      </c>
      <c r="AY61" s="9">
        <v>24.77</v>
      </c>
      <c r="AZ61" s="9">
        <v>24.82</v>
      </c>
      <c r="BA61" s="9">
        <v>24.91</v>
      </c>
      <c r="BB61" s="9">
        <v>25</v>
      </c>
      <c r="BC61" s="9">
        <v>25.09</v>
      </c>
      <c r="BD61" s="9">
        <v>25.21</v>
      </c>
      <c r="BE61" s="9">
        <v>25.29</v>
      </c>
      <c r="BF61" s="9">
        <v>25.38</v>
      </c>
      <c r="BG61" s="9">
        <v>25.43</v>
      </c>
      <c r="BH61" s="9">
        <v>25.5</v>
      </c>
      <c r="BI61" s="9">
        <v>25.63</v>
      </c>
      <c r="BJ61" s="9">
        <v>25.74</v>
      </c>
      <c r="BK61" s="9">
        <v>25.79</v>
      </c>
      <c r="BL61" s="9">
        <v>25.9</v>
      </c>
      <c r="BM61" s="9">
        <v>26.02</v>
      </c>
      <c r="BN61" s="9">
        <v>26.12</v>
      </c>
      <c r="BO61" s="9">
        <v>26.18</v>
      </c>
      <c r="BP61" s="9">
        <v>26.26</v>
      </c>
      <c r="BQ61" s="9">
        <v>26.32</v>
      </c>
      <c r="BR61" s="9">
        <v>26.41</v>
      </c>
      <c r="BS61" s="9">
        <v>26.54</v>
      </c>
      <c r="BT61" s="9">
        <v>26.65</v>
      </c>
      <c r="BU61" s="9">
        <v>26.74</v>
      </c>
      <c r="BV61" s="9">
        <v>26.82</v>
      </c>
      <c r="BW61" s="9">
        <v>26.9</v>
      </c>
      <c r="BX61" s="9">
        <v>26.94</v>
      </c>
      <c r="BY61" s="9">
        <v>27.06</v>
      </c>
      <c r="BZ61" s="9">
        <v>27.11</v>
      </c>
      <c r="CA61" s="9">
        <v>27.2</v>
      </c>
      <c r="CB61" s="9">
        <v>27.32</v>
      </c>
      <c r="CC61" s="9">
        <v>27.38</v>
      </c>
      <c r="CD61" s="9">
        <v>27.6</v>
      </c>
      <c r="CE61" s="9">
        <v>27.74</v>
      </c>
      <c r="CF61" s="9">
        <v>27.79</v>
      </c>
      <c r="CG61" s="9">
        <v>27.99</v>
      </c>
      <c r="CH61" s="9">
        <v>28.22</v>
      </c>
      <c r="CI61" s="9">
        <v>28.33</v>
      </c>
      <c r="CJ61" s="9">
        <v>28.56</v>
      </c>
      <c r="CK61" s="9">
        <v>28.71</v>
      </c>
      <c r="CL61" s="9">
        <v>29.06</v>
      </c>
      <c r="CM61" s="9">
        <v>29.2</v>
      </c>
      <c r="CN61" s="9">
        <v>29.24</v>
      </c>
      <c r="CO61" s="9">
        <v>29.43</v>
      </c>
      <c r="CP61" s="9">
        <v>29.79</v>
      </c>
      <c r="CQ61" s="9">
        <v>29.86</v>
      </c>
      <c r="CR61" s="9">
        <v>30.31</v>
      </c>
      <c r="CS61" s="9">
        <v>30.48</v>
      </c>
      <c r="CT61" s="9">
        <v>30.63</v>
      </c>
      <c r="CU61" s="9">
        <v>31.03</v>
      </c>
      <c r="CV61" s="9">
        <v>31.3</v>
      </c>
      <c r="CW61" s="9">
        <v>31.58</v>
      </c>
      <c r="CX61" s="9">
        <v>32.130000000000003</v>
      </c>
      <c r="CY61" s="9">
        <v>32.79</v>
      </c>
      <c r="CZ61" s="9">
        <v>33.89</v>
      </c>
      <c r="DA61" s="9">
        <v>34.450000000000003</v>
      </c>
      <c r="DB61" s="9">
        <v>35.92</v>
      </c>
    </row>
    <row r="62" spans="1:106">
      <c r="A62" s="1" t="s">
        <v>377</v>
      </c>
      <c r="B62" s="1" t="s">
        <v>371</v>
      </c>
      <c r="C62" s="1" t="s">
        <v>17</v>
      </c>
      <c r="D62" s="1" t="s">
        <v>218</v>
      </c>
      <c r="E62" s="6">
        <v>652</v>
      </c>
      <c r="F62" s="9">
        <v>25.08</v>
      </c>
      <c r="G62" s="9">
        <v>3.16</v>
      </c>
      <c r="H62" s="9">
        <v>18.09</v>
      </c>
      <c r="I62" s="9">
        <v>18.649999999999999</v>
      </c>
      <c r="J62" s="9">
        <v>19.190000000000001</v>
      </c>
      <c r="K62" s="9">
        <v>19.77</v>
      </c>
      <c r="L62" s="9">
        <v>20.440000000000001</v>
      </c>
      <c r="M62" s="9">
        <v>20.73</v>
      </c>
      <c r="N62" s="9">
        <v>21.13</v>
      </c>
      <c r="O62" s="9">
        <v>21.28</v>
      </c>
      <c r="P62" s="9">
        <v>21.39</v>
      </c>
      <c r="Q62" s="9">
        <v>21.48</v>
      </c>
      <c r="R62" s="9">
        <v>21.58</v>
      </c>
      <c r="S62" s="9">
        <v>21.63</v>
      </c>
      <c r="T62" s="9">
        <v>21.75</v>
      </c>
      <c r="U62" s="9">
        <v>21.84</v>
      </c>
      <c r="V62" s="9">
        <v>21.95</v>
      </c>
      <c r="W62" s="9">
        <v>22.02</v>
      </c>
      <c r="X62" s="9">
        <v>22.1</v>
      </c>
      <c r="Y62" s="9">
        <v>22.2</v>
      </c>
      <c r="Z62" s="9">
        <v>22.34</v>
      </c>
      <c r="AA62" s="9">
        <v>22.46</v>
      </c>
      <c r="AB62" s="9">
        <v>22.56</v>
      </c>
      <c r="AC62" s="9">
        <v>22.7</v>
      </c>
      <c r="AD62" s="9">
        <v>22.81</v>
      </c>
      <c r="AE62" s="9">
        <v>22.94</v>
      </c>
      <c r="AF62" s="9">
        <v>23.01</v>
      </c>
      <c r="AG62" s="9">
        <v>23.14</v>
      </c>
      <c r="AH62" s="9">
        <v>23.25</v>
      </c>
      <c r="AI62" s="9">
        <v>23.29</v>
      </c>
      <c r="AJ62" s="9">
        <v>23.32</v>
      </c>
      <c r="AK62" s="9">
        <v>23.44</v>
      </c>
      <c r="AL62" s="9">
        <v>23.53</v>
      </c>
      <c r="AM62" s="9">
        <v>23.62</v>
      </c>
      <c r="AN62" s="9">
        <v>23.86</v>
      </c>
      <c r="AO62" s="9">
        <v>23.91</v>
      </c>
      <c r="AP62" s="9">
        <v>23.98</v>
      </c>
      <c r="AQ62" s="9">
        <v>24.04</v>
      </c>
      <c r="AR62" s="9">
        <v>24.14</v>
      </c>
      <c r="AS62" s="9">
        <v>24.18</v>
      </c>
      <c r="AT62" s="9">
        <v>24.24</v>
      </c>
      <c r="AU62" s="9">
        <v>24.32</v>
      </c>
      <c r="AV62" s="9">
        <v>24.37</v>
      </c>
      <c r="AW62" s="9">
        <v>24.42</v>
      </c>
      <c r="AX62" s="9">
        <v>24.48</v>
      </c>
      <c r="AY62" s="9">
        <v>24.53</v>
      </c>
      <c r="AZ62" s="9">
        <v>24.59</v>
      </c>
      <c r="BA62" s="9">
        <v>24.63</v>
      </c>
      <c r="BB62" s="9">
        <v>24.67</v>
      </c>
      <c r="BC62" s="9">
        <v>24.74</v>
      </c>
      <c r="BD62" s="9">
        <v>24.77</v>
      </c>
      <c r="BE62" s="9">
        <v>24.86</v>
      </c>
      <c r="BF62" s="9">
        <v>24.91</v>
      </c>
      <c r="BG62" s="9">
        <v>24.97</v>
      </c>
      <c r="BH62" s="9">
        <v>25.04</v>
      </c>
      <c r="BI62" s="9">
        <v>25.18</v>
      </c>
      <c r="BJ62" s="9">
        <v>25.25</v>
      </c>
      <c r="BK62" s="9">
        <v>25.32</v>
      </c>
      <c r="BL62" s="9">
        <v>25.4</v>
      </c>
      <c r="BM62" s="9">
        <v>25.47</v>
      </c>
      <c r="BN62" s="9">
        <v>25.54</v>
      </c>
      <c r="BO62" s="9">
        <v>25.57</v>
      </c>
      <c r="BP62" s="9">
        <v>25.72</v>
      </c>
      <c r="BQ62" s="9">
        <v>25.76</v>
      </c>
      <c r="BR62" s="9">
        <v>25.8</v>
      </c>
      <c r="BS62" s="9">
        <v>25.9</v>
      </c>
      <c r="BT62" s="9">
        <v>26</v>
      </c>
      <c r="BU62" s="9">
        <v>26.02</v>
      </c>
      <c r="BV62" s="9">
        <v>26.1</v>
      </c>
      <c r="BW62" s="9">
        <v>26.23</v>
      </c>
      <c r="BX62" s="9">
        <v>26.31</v>
      </c>
      <c r="BY62" s="9">
        <v>26.46</v>
      </c>
      <c r="BZ62" s="9">
        <v>26.58</v>
      </c>
      <c r="CA62" s="9">
        <v>26.62</v>
      </c>
      <c r="CB62" s="9">
        <v>26.74</v>
      </c>
      <c r="CC62" s="9">
        <v>26.81</v>
      </c>
      <c r="CD62" s="9">
        <v>26.87</v>
      </c>
      <c r="CE62" s="9">
        <v>26.99</v>
      </c>
      <c r="CF62" s="9">
        <v>27.05</v>
      </c>
      <c r="CG62" s="9">
        <v>27.17</v>
      </c>
      <c r="CH62" s="9">
        <v>27.27</v>
      </c>
      <c r="CI62" s="9">
        <v>27.42</v>
      </c>
      <c r="CJ62" s="9">
        <v>27.53</v>
      </c>
      <c r="CK62" s="9">
        <v>27.67</v>
      </c>
      <c r="CL62" s="9">
        <v>27.77</v>
      </c>
      <c r="CM62" s="9">
        <v>27.87</v>
      </c>
      <c r="CN62" s="9">
        <v>28</v>
      </c>
      <c r="CO62" s="9">
        <v>28.06</v>
      </c>
      <c r="CP62" s="9">
        <v>28.25</v>
      </c>
      <c r="CQ62" s="9">
        <v>28.38</v>
      </c>
      <c r="CR62" s="9">
        <v>28.49</v>
      </c>
      <c r="CS62" s="9">
        <v>28.59</v>
      </c>
      <c r="CT62" s="9">
        <v>29</v>
      </c>
      <c r="CU62" s="9">
        <v>29.17</v>
      </c>
      <c r="CV62" s="9">
        <v>29.45</v>
      </c>
      <c r="CW62" s="9">
        <v>30.03</v>
      </c>
      <c r="CX62" s="9">
        <v>30.22</v>
      </c>
      <c r="CY62" s="9">
        <v>30.97</v>
      </c>
      <c r="CZ62" s="9">
        <v>32.159999999999997</v>
      </c>
      <c r="DA62" s="9">
        <v>32.590000000000003</v>
      </c>
      <c r="DB62" s="9">
        <v>34.729999999999997</v>
      </c>
    </row>
    <row r="63" spans="1:106">
      <c r="A63" s="1" t="s">
        <v>378</v>
      </c>
      <c r="B63" s="1" t="s">
        <v>371</v>
      </c>
      <c r="C63" s="1" t="s">
        <v>17</v>
      </c>
      <c r="D63" s="1" t="s">
        <v>220</v>
      </c>
      <c r="E63" s="6">
        <v>650</v>
      </c>
      <c r="F63" s="9">
        <v>25.06</v>
      </c>
      <c r="G63" s="9">
        <v>3.32</v>
      </c>
      <c r="H63" s="9">
        <v>17.66</v>
      </c>
      <c r="I63" s="9">
        <v>18.53</v>
      </c>
      <c r="J63" s="9">
        <v>19.27</v>
      </c>
      <c r="K63" s="9">
        <v>19.600000000000001</v>
      </c>
      <c r="L63" s="9">
        <v>19.940000000000001</v>
      </c>
      <c r="M63" s="9">
        <v>20.149999999999999</v>
      </c>
      <c r="N63" s="9">
        <v>20.399999999999999</v>
      </c>
      <c r="O63" s="9">
        <v>20.51</v>
      </c>
      <c r="P63" s="9">
        <v>20.82</v>
      </c>
      <c r="Q63" s="9">
        <v>21.05</v>
      </c>
      <c r="R63" s="9">
        <v>21.21</v>
      </c>
      <c r="S63" s="9">
        <v>21.37</v>
      </c>
      <c r="T63" s="9">
        <v>21.49</v>
      </c>
      <c r="U63" s="9">
        <v>21.7</v>
      </c>
      <c r="V63" s="9">
        <v>21.87</v>
      </c>
      <c r="W63" s="9">
        <v>22.04</v>
      </c>
      <c r="X63" s="9">
        <v>22.32</v>
      </c>
      <c r="Y63" s="9">
        <v>22.39</v>
      </c>
      <c r="Z63" s="9">
        <v>22.54</v>
      </c>
      <c r="AA63" s="9">
        <v>22.69</v>
      </c>
      <c r="AB63" s="9">
        <v>22.75</v>
      </c>
      <c r="AC63" s="9">
        <v>22.85</v>
      </c>
      <c r="AD63" s="9">
        <v>22.92</v>
      </c>
      <c r="AE63" s="9">
        <v>22.96</v>
      </c>
      <c r="AF63" s="9">
        <v>23.11</v>
      </c>
      <c r="AG63" s="9">
        <v>23.16</v>
      </c>
      <c r="AH63" s="9">
        <v>23.25</v>
      </c>
      <c r="AI63" s="9">
        <v>23.35</v>
      </c>
      <c r="AJ63" s="9">
        <v>23.41</v>
      </c>
      <c r="AK63" s="9">
        <v>23.51</v>
      </c>
      <c r="AL63" s="9">
        <v>23.57</v>
      </c>
      <c r="AM63" s="9">
        <v>23.6</v>
      </c>
      <c r="AN63" s="9">
        <v>23.66</v>
      </c>
      <c r="AO63" s="9">
        <v>23.77</v>
      </c>
      <c r="AP63" s="9">
        <v>23.92</v>
      </c>
      <c r="AQ63" s="9">
        <v>23.98</v>
      </c>
      <c r="AR63" s="9">
        <v>24.09</v>
      </c>
      <c r="AS63" s="9">
        <v>24.24</v>
      </c>
      <c r="AT63" s="9">
        <v>24.34</v>
      </c>
      <c r="AU63" s="9">
        <v>24.41</v>
      </c>
      <c r="AV63" s="9">
        <v>24.46</v>
      </c>
      <c r="AW63" s="9">
        <v>24.48</v>
      </c>
      <c r="AX63" s="9">
        <v>24.57</v>
      </c>
      <c r="AY63" s="9">
        <v>24.59</v>
      </c>
      <c r="AZ63" s="9">
        <v>24.69</v>
      </c>
      <c r="BA63" s="9">
        <v>24.72</v>
      </c>
      <c r="BB63" s="9">
        <v>24.84</v>
      </c>
      <c r="BC63" s="9">
        <v>24.91</v>
      </c>
      <c r="BD63" s="9">
        <v>24.99</v>
      </c>
      <c r="BE63" s="9">
        <v>25.02</v>
      </c>
      <c r="BF63" s="9">
        <v>25.03</v>
      </c>
      <c r="BG63" s="9">
        <v>25.11</v>
      </c>
      <c r="BH63" s="9">
        <v>25.14</v>
      </c>
      <c r="BI63" s="9">
        <v>25.18</v>
      </c>
      <c r="BJ63" s="9">
        <v>25.2</v>
      </c>
      <c r="BK63" s="9">
        <v>25.32</v>
      </c>
      <c r="BL63" s="9">
        <v>25.46</v>
      </c>
      <c r="BM63" s="9">
        <v>25.49</v>
      </c>
      <c r="BN63" s="9">
        <v>25.57</v>
      </c>
      <c r="BO63" s="9">
        <v>25.59</v>
      </c>
      <c r="BP63" s="9">
        <v>25.7</v>
      </c>
      <c r="BQ63" s="9">
        <v>25.78</v>
      </c>
      <c r="BR63" s="9">
        <v>25.83</v>
      </c>
      <c r="BS63" s="9">
        <v>25.92</v>
      </c>
      <c r="BT63" s="9">
        <v>25.96</v>
      </c>
      <c r="BU63" s="9">
        <v>26.06</v>
      </c>
      <c r="BV63" s="9">
        <v>26.15</v>
      </c>
      <c r="BW63" s="9">
        <v>26.24</v>
      </c>
      <c r="BX63" s="9">
        <v>26.32</v>
      </c>
      <c r="BY63" s="9">
        <v>26.36</v>
      </c>
      <c r="BZ63" s="9">
        <v>26.4</v>
      </c>
      <c r="CA63" s="9">
        <v>26.45</v>
      </c>
      <c r="CB63" s="9">
        <v>26.49</v>
      </c>
      <c r="CC63" s="9">
        <v>26.59</v>
      </c>
      <c r="CD63" s="9">
        <v>26.69</v>
      </c>
      <c r="CE63" s="9">
        <v>26.74</v>
      </c>
      <c r="CF63" s="9">
        <v>26.82</v>
      </c>
      <c r="CG63" s="9">
        <v>26.89</v>
      </c>
      <c r="CH63" s="9">
        <v>27.1</v>
      </c>
      <c r="CI63" s="9">
        <v>27.25</v>
      </c>
      <c r="CJ63" s="9">
        <v>27.37</v>
      </c>
      <c r="CK63" s="9">
        <v>27.5</v>
      </c>
      <c r="CL63" s="9">
        <v>27.72</v>
      </c>
      <c r="CM63" s="9">
        <v>27.89</v>
      </c>
      <c r="CN63" s="9">
        <v>28.16</v>
      </c>
      <c r="CO63" s="9">
        <v>28.24</v>
      </c>
      <c r="CP63" s="9">
        <v>28.41</v>
      </c>
      <c r="CQ63" s="9">
        <v>28.51</v>
      </c>
      <c r="CR63" s="9">
        <v>28.83</v>
      </c>
      <c r="CS63" s="9">
        <v>29</v>
      </c>
      <c r="CT63" s="9">
        <v>29.29</v>
      </c>
      <c r="CU63" s="9">
        <v>29.55</v>
      </c>
      <c r="CV63" s="9">
        <v>30.03</v>
      </c>
      <c r="CW63" s="9">
        <v>30.34</v>
      </c>
      <c r="CX63" s="9">
        <v>30.71</v>
      </c>
      <c r="CY63" s="9">
        <v>31.33</v>
      </c>
      <c r="CZ63" s="9">
        <v>31.88</v>
      </c>
      <c r="DA63" s="9">
        <v>32.770000000000003</v>
      </c>
      <c r="DB63" s="9">
        <v>34.71</v>
      </c>
    </row>
    <row r="64" spans="1:106">
      <c r="A64" s="1" t="s">
        <v>379</v>
      </c>
      <c r="B64" s="1" t="s">
        <v>371</v>
      </c>
      <c r="C64" s="1" t="s">
        <v>17</v>
      </c>
      <c r="D64" s="1" t="s">
        <v>222</v>
      </c>
      <c r="E64" s="6">
        <v>812</v>
      </c>
      <c r="F64" s="9">
        <v>24.28</v>
      </c>
      <c r="G64" s="9">
        <v>3</v>
      </c>
      <c r="H64" s="9">
        <v>17.149999999999999</v>
      </c>
      <c r="I64" s="9">
        <v>18.170000000000002</v>
      </c>
      <c r="J64" s="9">
        <v>18.59</v>
      </c>
      <c r="K64" s="9">
        <v>19.13</v>
      </c>
      <c r="L64" s="9">
        <v>19.489999999999998</v>
      </c>
      <c r="M64" s="9">
        <v>19.670000000000002</v>
      </c>
      <c r="N64" s="9">
        <v>19.82</v>
      </c>
      <c r="O64" s="9">
        <v>20.09</v>
      </c>
      <c r="P64" s="9">
        <v>20.34</v>
      </c>
      <c r="Q64" s="9">
        <v>20.41</v>
      </c>
      <c r="R64" s="9">
        <v>20.59</v>
      </c>
      <c r="S64" s="9">
        <v>20.78</v>
      </c>
      <c r="T64" s="9">
        <v>20.94</v>
      </c>
      <c r="U64" s="9">
        <v>21.13</v>
      </c>
      <c r="V64" s="9">
        <v>21.21</v>
      </c>
      <c r="W64" s="9">
        <v>21.32</v>
      </c>
      <c r="X64" s="9">
        <v>21.43</v>
      </c>
      <c r="Y64" s="9">
        <v>21.55</v>
      </c>
      <c r="Z64" s="9">
        <v>21.7</v>
      </c>
      <c r="AA64" s="9">
        <v>21.83</v>
      </c>
      <c r="AB64" s="9">
        <v>21.91</v>
      </c>
      <c r="AC64" s="9">
        <v>21.98</v>
      </c>
      <c r="AD64" s="9">
        <v>22.07</v>
      </c>
      <c r="AE64" s="9">
        <v>22.14</v>
      </c>
      <c r="AF64" s="9">
        <v>22.26</v>
      </c>
      <c r="AG64" s="9">
        <v>22.31</v>
      </c>
      <c r="AH64" s="9">
        <v>22.39</v>
      </c>
      <c r="AI64" s="9">
        <v>22.43</v>
      </c>
      <c r="AJ64" s="9">
        <v>22.55</v>
      </c>
      <c r="AK64" s="9">
        <v>22.6</v>
      </c>
      <c r="AL64" s="9">
        <v>22.67</v>
      </c>
      <c r="AM64" s="9">
        <v>22.81</v>
      </c>
      <c r="AN64" s="9">
        <v>22.87</v>
      </c>
      <c r="AO64" s="9">
        <v>22.93</v>
      </c>
      <c r="AP64" s="9">
        <v>23.01</v>
      </c>
      <c r="AQ64" s="9">
        <v>23.05</v>
      </c>
      <c r="AR64" s="9">
        <v>23.12</v>
      </c>
      <c r="AS64" s="9">
        <v>23.22</v>
      </c>
      <c r="AT64" s="9">
        <v>23.33</v>
      </c>
      <c r="AU64" s="9">
        <v>23.41</v>
      </c>
      <c r="AV64" s="9">
        <v>23.47</v>
      </c>
      <c r="AW64" s="9">
        <v>23.61</v>
      </c>
      <c r="AX64" s="9">
        <v>23.74</v>
      </c>
      <c r="AY64" s="9">
        <v>23.79</v>
      </c>
      <c r="AZ64" s="9">
        <v>23.85</v>
      </c>
      <c r="BA64" s="9">
        <v>23.94</v>
      </c>
      <c r="BB64" s="9">
        <v>24.01</v>
      </c>
      <c r="BC64" s="9">
        <v>24.09</v>
      </c>
      <c r="BD64" s="9">
        <v>24.17</v>
      </c>
      <c r="BE64" s="9">
        <v>24.28</v>
      </c>
      <c r="BF64" s="9">
        <v>24.31</v>
      </c>
      <c r="BG64" s="9">
        <v>24.36</v>
      </c>
      <c r="BH64" s="9">
        <v>24.4</v>
      </c>
      <c r="BI64" s="9">
        <v>24.45</v>
      </c>
      <c r="BJ64" s="9">
        <v>24.54</v>
      </c>
      <c r="BK64" s="9">
        <v>24.56</v>
      </c>
      <c r="BL64" s="9">
        <v>24.65</v>
      </c>
      <c r="BM64" s="9">
        <v>24.7</v>
      </c>
      <c r="BN64" s="9">
        <v>24.73</v>
      </c>
      <c r="BO64" s="9">
        <v>24.84</v>
      </c>
      <c r="BP64" s="9">
        <v>24.89</v>
      </c>
      <c r="BQ64" s="9">
        <v>25.01</v>
      </c>
      <c r="BR64" s="9">
        <v>25.13</v>
      </c>
      <c r="BS64" s="9">
        <v>25.26</v>
      </c>
      <c r="BT64" s="9">
        <v>25.31</v>
      </c>
      <c r="BU64" s="9">
        <v>25.37</v>
      </c>
      <c r="BV64" s="9">
        <v>25.44</v>
      </c>
      <c r="BW64" s="9">
        <v>25.56</v>
      </c>
      <c r="BX64" s="9">
        <v>25.68</v>
      </c>
      <c r="BY64" s="9">
        <v>25.75</v>
      </c>
      <c r="BZ64" s="9">
        <v>25.82</v>
      </c>
      <c r="CA64" s="9">
        <v>25.96</v>
      </c>
      <c r="CB64" s="9">
        <v>26.04</v>
      </c>
      <c r="CC64" s="9">
        <v>26.11</v>
      </c>
      <c r="CD64" s="9">
        <v>26.22</v>
      </c>
      <c r="CE64" s="9">
        <v>26.29</v>
      </c>
      <c r="CF64" s="9">
        <v>26.41</v>
      </c>
      <c r="CG64" s="9">
        <v>26.55</v>
      </c>
      <c r="CH64" s="9">
        <v>26.68</v>
      </c>
      <c r="CI64" s="9">
        <v>26.75</v>
      </c>
      <c r="CJ64" s="9">
        <v>26.92</v>
      </c>
      <c r="CK64" s="9">
        <v>27.14</v>
      </c>
      <c r="CL64" s="9">
        <v>27.24</v>
      </c>
      <c r="CM64" s="9">
        <v>27.39</v>
      </c>
      <c r="CN64" s="9">
        <v>27.5</v>
      </c>
      <c r="CO64" s="9">
        <v>27.63</v>
      </c>
      <c r="CP64" s="9">
        <v>27.83</v>
      </c>
      <c r="CQ64" s="9">
        <v>27.94</v>
      </c>
      <c r="CR64" s="9">
        <v>28.02</v>
      </c>
      <c r="CS64" s="9">
        <v>28.23</v>
      </c>
      <c r="CT64" s="9">
        <v>28.34</v>
      </c>
      <c r="CU64" s="9">
        <v>28.51</v>
      </c>
      <c r="CV64" s="9">
        <v>28.6</v>
      </c>
      <c r="CW64" s="9">
        <v>28.77</v>
      </c>
      <c r="CX64" s="9">
        <v>29.02</v>
      </c>
      <c r="CY64" s="9">
        <v>29.39</v>
      </c>
      <c r="CZ64" s="9">
        <v>29.99</v>
      </c>
      <c r="DA64" s="9">
        <v>31.01</v>
      </c>
      <c r="DB64" s="9">
        <v>32.51</v>
      </c>
    </row>
    <row r="65" spans="1:106">
      <c r="A65" s="1" t="s">
        <v>380</v>
      </c>
      <c r="B65" s="1" t="s">
        <v>371</v>
      </c>
      <c r="C65" s="1" t="s">
        <v>17</v>
      </c>
      <c r="D65" s="1" t="s">
        <v>224</v>
      </c>
      <c r="E65" s="6">
        <v>783</v>
      </c>
      <c r="F65" s="9">
        <v>24.29</v>
      </c>
      <c r="G65" s="9">
        <v>3</v>
      </c>
      <c r="H65" s="9">
        <v>17.5</v>
      </c>
      <c r="I65" s="9">
        <v>18.05</v>
      </c>
      <c r="J65" s="9">
        <v>18.809999999999999</v>
      </c>
      <c r="K65" s="9">
        <v>19.05</v>
      </c>
      <c r="L65" s="9">
        <v>19.329999999999998</v>
      </c>
      <c r="M65" s="9">
        <v>19.57</v>
      </c>
      <c r="N65" s="9">
        <v>19.940000000000001</v>
      </c>
      <c r="O65" s="9">
        <v>20.03</v>
      </c>
      <c r="P65" s="9">
        <v>20.25</v>
      </c>
      <c r="Q65" s="9">
        <v>20.45</v>
      </c>
      <c r="R65" s="9">
        <v>20.58</v>
      </c>
      <c r="S65" s="9">
        <v>20.79</v>
      </c>
      <c r="T65" s="9">
        <v>21.07</v>
      </c>
      <c r="U65" s="9">
        <v>21.24</v>
      </c>
      <c r="V65" s="9">
        <v>21.32</v>
      </c>
      <c r="W65" s="9">
        <v>21.37</v>
      </c>
      <c r="X65" s="9">
        <v>21.53</v>
      </c>
      <c r="Y65" s="9">
        <v>21.57</v>
      </c>
      <c r="Z65" s="9">
        <v>21.65</v>
      </c>
      <c r="AA65" s="9">
        <v>21.81</v>
      </c>
      <c r="AB65" s="9">
        <v>21.9</v>
      </c>
      <c r="AC65" s="9">
        <v>22.04</v>
      </c>
      <c r="AD65" s="9">
        <v>22.18</v>
      </c>
      <c r="AE65" s="9">
        <v>22.24</v>
      </c>
      <c r="AF65" s="9">
        <v>22.36</v>
      </c>
      <c r="AG65" s="9">
        <v>22.42</v>
      </c>
      <c r="AH65" s="9">
        <v>22.48</v>
      </c>
      <c r="AI65" s="9">
        <v>22.56</v>
      </c>
      <c r="AJ65" s="9">
        <v>22.68</v>
      </c>
      <c r="AK65" s="9">
        <v>22.77</v>
      </c>
      <c r="AL65" s="9">
        <v>22.87</v>
      </c>
      <c r="AM65" s="9">
        <v>22.93</v>
      </c>
      <c r="AN65" s="9">
        <v>23.05</v>
      </c>
      <c r="AO65" s="9">
        <v>23.11</v>
      </c>
      <c r="AP65" s="9">
        <v>23.17</v>
      </c>
      <c r="AQ65" s="9">
        <v>23.24</v>
      </c>
      <c r="AR65" s="9">
        <v>23.33</v>
      </c>
      <c r="AS65" s="9">
        <v>23.43</v>
      </c>
      <c r="AT65" s="9">
        <v>23.49</v>
      </c>
      <c r="AU65" s="9">
        <v>23.57</v>
      </c>
      <c r="AV65" s="9">
        <v>23.63</v>
      </c>
      <c r="AW65" s="9">
        <v>23.68</v>
      </c>
      <c r="AX65" s="9">
        <v>23.7</v>
      </c>
      <c r="AY65" s="9">
        <v>23.75</v>
      </c>
      <c r="AZ65" s="9">
        <v>23.89</v>
      </c>
      <c r="BA65" s="9">
        <v>23.93</v>
      </c>
      <c r="BB65" s="9">
        <v>24.04</v>
      </c>
      <c r="BC65" s="9">
        <v>24.11</v>
      </c>
      <c r="BD65" s="9">
        <v>24.14</v>
      </c>
      <c r="BE65" s="9">
        <v>24.2</v>
      </c>
      <c r="BF65" s="9">
        <v>24.24</v>
      </c>
      <c r="BG65" s="9">
        <v>24.34</v>
      </c>
      <c r="BH65" s="9">
        <v>24.38</v>
      </c>
      <c r="BI65" s="9">
        <v>24.49</v>
      </c>
      <c r="BJ65" s="9">
        <v>24.56</v>
      </c>
      <c r="BK65" s="9">
        <v>24.6</v>
      </c>
      <c r="BL65" s="9">
        <v>24.65</v>
      </c>
      <c r="BM65" s="9">
        <v>24.68</v>
      </c>
      <c r="BN65" s="9">
        <v>24.72</v>
      </c>
      <c r="BO65" s="9">
        <v>24.78</v>
      </c>
      <c r="BP65" s="9">
        <v>24.84</v>
      </c>
      <c r="BQ65" s="9">
        <v>24.9</v>
      </c>
      <c r="BR65" s="9">
        <v>24.97</v>
      </c>
      <c r="BS65" s="9">
        <v>25.07</v>
      </c>
      <c r="BT65" s="9">
        <v>25.15</v>
      </c>
      <c r="BU65" s="9">
        <v>25.21</v>
      </c>
      <c r="BV65" s="9">
        <v>25.28</v>
      </c>
      <c r="BW65" s="9">
        <v>25.37</v>
      </c>
      <c r="BX65" s="9">
        <v>25.42</v>
      </c>
      <c r="BY65" s="9">
        <v>25.5</v>
      </c>
      <c r="BZ65" s="9">
        <v>25.59</v>
      </c>
      <c r="CA65" s="9">
        <v>25.73</v>
      </c>
      <c r="CB65" s="9">
        <v>25.82</v>
      </c>
      <c r="CC65" s="9">
        <v>25.97</v>
      </c>
      <c r="CD65" s="9">
        <v>26.06</v>
      </c>
      <c r="CE65" s="9">
        <v>26.17</v>
      </c>
      <c r="CF65" s="9">
        <v>26.3</v>
      </c>
      <c r="CG65" s="9">
        <v>26.53</v>
      </c>
      <c r="CH65" s="9">
        <v>26.64</v>
      </c>
      <c r="CI65" s="9">
        <v>26.78</v>
      </c>
      <c r="CJ65" s="9">
        <v>26.88</v>
      </c>
      <c r="CK65" s="9">
        <v>26.93</v>
      </c>
      <c r="CL65" s="9">
        <v>27.04</v>
      </c>
      <c r="CM65" s="9">
        <v>27.14</v>
      </c>
      <c r="CN65" s="9">
        <v>27.23</v>
      </c>
      <c r="CO65" s="9">
        <v>27.4</v>
      </c>
      <c r="CP65" s="9">
        <v>27.68</v>
      </c>
      <c r="CQ65" s="9">
        <v>27.8</v>
      </c>
      <c r="CR65" s="9">
        <v>28.01</v>
      </c>
      <c r="CS65" s="9">
        <v>28.18</v>
      </c>
      <c r="CT65" s="9">
        <v>28.43</v>
      </c>
      <c r="CU65" s="9">
        <v>28.64</v>
      </c>
      <c r="CV65" s="9">
        <v>28.83</v>
      </c>
      <c r="CW65" s="9">
        <v>29.14</v>
      </c>
      <c r="CX65" s="9">
        <v>29.32</v>
      </c>
      <c r="CY65" s="9">
        <v>29.6</v>
      </c>
      <c r="CZ65" s="9">
        <v>30.76</v>
      </c>
      <c r="DA65" s="9">
        <v>31.59</v>
      </c>
      <c r="DB65" s="9">
        <v>32.61</v>
      </c>
    </row>
    <row r="66" spans="1:106">
      <c r="A66" s="1" t="s">
        <v>381</v>
      </c>
      <c r="B66" s="1" t="s">
        <v>371</v>
      </c>
      <c r="C66" s="1" t="s">
        <v>17</v>
      </c>
      <c r="D66" s="1" t="s">
        <v>356</v>
      </c>
      <c r="E66" s="6">
        <v>628</v>
      </c>
      <c r="F66" s="9">
        <v>23.62</v>
      </c>
      <c r="G66" s="9">
        <v>3</v>
      </c>
      <c r="H66" s="9">
        <v>17.16</v>
      </c>
      <c r="I66" s="9">
        <v>17.52</v>
      </c>
      <c r="J66" s="9">
        <v>17.96</v>
      </c>
      <c r="K66" s="9">
        <v>18.239999999999998</v>
      </c>
      <c r="L66" s="9">
        <v>18.57</v>
      </c>
      <c r="M66" s="9">
        <v>18.75</v>
      </c>
      <c r="N66" s="9">
        <v>19.12</v>
      </c>
      <c r="O66" s="9">
        <v>19.46</v>
      </c>
      <c r="P66" s="9">
        <v>19.79</v>
      </c>
      <c r="Q66" s="9">
        <v>19.87</v>
      </c>
      <c r="R66" s="9">
        <v>20.21</v>
      </c>
      <c r="S66" s="9">
        <v>20.37</v>
      </c>
      <c r="T66" s="9">
        <v>20.48</v>
      </c>
      <c r="U66" s="9">
        <v>20.62</v>
      </c>
      <c r="V66" s="9">
        <v>20.7</v>
      </c>
      <c r="W66" s="9">
        <v>20.84</v>
      </c>
      <c r="X66" s="9">
        <v>20.88</v>
      </c>
      <c r="Y66" s="9">
        <v>21.13</v>
      </c>
      <c r="Z66" s="9">
        <v>21.26</v>
      </c>
      <c r="AA66" s="9">
        <v>21.34</v>
      </c>
      <c r="AB66" s="9">
        <v>21.44</v>
      </c>
      <c r="AC66" s="9">
        <v>21.62</v>
      </c>
      <c r="AD66" s="9">
        <v>21.63</v>
      </c>
      <c r="AE66" s="9">
        <v>21.7</v>
      </c>
      <c r="AF66" s="9">
        <v>21.79</v>
      </c>
      <c r="AG66" s="9">
        <v>21.85</v>
      </c>
      <c r="AH66" s="9">
        <v>21.89</v>
      </c>
      <c r="AI66" s="9">
        <v>21.94</v>
      </c>
      <c r="AJ66" s="9">
        <v>21.99</v>
      </c>
      <c r="AK66" s="9">
        <v>22.1</v>
      </c>
      <c r="AL66" s="9">
        <v>22.18</v>
      </c>
      <c r="AM66" s="9">
        <v>22.28</v>
      </c>
      <c r="AN66" s="9">
        <v>22.35</v>
      </c>
      <c r="AO66" s="9">
        <v>22.49</v>
      </c>
      <c r="AP66" s="9">
        <v>22.52</v>
      </c>
      <c r="AQ66" s="9">
        <v>22.55</v>
      </c>
      <c r="AR66" s="9">
        <v>22.61</v>
      </c>
      <c r="AS66" s="9">
        <v>22.7</v>
      </c>
      <c r="AT66" s="9">
        <v>22.78</v>
      </c>
      <c r="AU66" s="9">
        <v>22.88</v>
      </c>
      <c r="AV66" s="9">
        <v>22.96</v>
      </c>
      <c r="AW66" s="9">
        <v>23.03</v>
      </c>
      <c r="AX66" s="9">
        <v>23.12</v>
      </c>
      <c r="AY66" s="9">
        <v>23.18</v>
      </c>
      <c r="AZ66" s="9">
        <v>23.2</v>
      </c>
      <c r="BA66" s="9">
        <v>23.27</v>
      </c>
      <c r="BB66" s="9">
        <v>23.31</v>
      </c>
      <c r="BC66" s="9">
        <v>23.4</v>
      </c>
      <c r="BD66" s="9">
        <v>23.46</v>
      </c>
      <c r="BE66" s="9">
        <v>23.5</v>
      </c>
      <c r="BF66" s="9">
        <v>23.61</v>
      </c>
      <c r="BG66" s="9">
        <v>23.7</v>
      </c>
      <c r="BH66" s="9">
        <v>23.78</v>
      </c>
      <c r="BI66" s="9">
        <v>23.84</v>
      </c>
      <c r="BJ66" s="9">
        <v>23.92</v>
      </c>
      <c r="BK66" s="9">
        <v>24.03</v>
      </c>
      <c r="BL66" s="9">
        <v>24.06</v>
      </c>
      <c r="BM66" s="9">
        <v>24.19</v>
      </c>
      <c r="BN66" s="9">
        <v>24.22</v>
      </c>
      <c r="BO66" s="9">
        <v>24.31</v>
      </c>
      <c r="BP66" s="9">
        <v>24.39</v>
      </c>
      <c r="BQ66" s="9">
        <v>24.47</v>
      </c>
      <c r="BR66" s="9">
        <v>24.56</v>
      </c>
      <c r="BS66" s="9">
        <v>24.65</v>
      </c>
      <c r="BT66" s="9">
        <v>24.68</v>
      </c>
      <c r="BU66" s="9">
        <v>24.78</v>
      </c>
      <c r="BV66" s="9">
        <v>24.87</v>
      </c>
      <c r="BW66" s="9">
        <v>24.9</v>
      </c>
      <c r="BX66" s="9">
        <v>24.99</v>
      </c>
      <c r="BY66" s="9">
        <v>25.05</v>
      </c>
      <c r="BZ66" s="9">
        <v>25.12</v>
      </c>
      <c r="CA66" s="9">
        <v>25.21</v>
      </c>
      <c r="CB66" s="9">
        <v>25.3</v>
      </c>
      <c r="CC66" s="9">
        <v>25.33</v>
      </c>
      <c r="CD66" s="9">
        <v>25.38</v>
      </c>
      <c r="CE66" s="9">
        <v>25.46</v>
      </c>
      <c r="CF66" s="9">
        <v>25.52</v>
      </c>
      <c r="CG66" s="9">
        <v>25.6</v>
      </c>
      <c r="CH66" s="9">
        <v>25.75</v>
      </c>
      <c r="CI66" s="9">
        <v>25.9</v>
      </c>
      <c r="CJ66" s="9">
        <v>26.01</v>
      </c>
      <c r="CK66" s="9">
        <v>26.14</v>
      </c>
      <c r="CL66" s="9">
        <v>26.28</v>
      </c>
      <c r="CM66" s="9">
        <v>26.39</v>
      </c>
      <c r="CN66" s="9">
        <v>26.58</v>
      </c>
      <c r="CO66" s="9">
        <v>26.75</v>
      </c>
      <c r="CP66" s="9">
        <v>26.84</v>
      </c>
      <c r="CQ66" s="9">
        <v>27.01</v>
      </c>
      <c r="CR66" s="9">
        <v>27.22</v>
      </c>
      <c r="CS66" s="9">
        <v>27.4</v>
      </c>
      <c r="CT66" s="9">
        <v>27.71</v>
      </c>
      <c r="CU66" s="9">
        <v>27.8</v>
      </c>
      <c r="CV66" s="9">
        <v>28.2</v>
      </c>
      <c r="CW66" s="9">
        <v>28.46</v>
      </c>
      <c r="CX66" s="9">
        <v>28.59</v>
      </c>
      <c r="CY66" s="9">
        <v>28.67</v>
      </c>
      <c r="CZ66" s="9">
        <v>28.89</v>
      </c>
      <c r="DA66" s="9">
        <v>29.83</v>
      </c>
      <c r="DB66" s="9">
        <v>31.02</v>
      </c>
    </row>
    <row r="67" spans="1:106">
      <c r="A67" s="1" t="s">
        <v>382</v>
      </c>
      <c r="B67" s="1" t="s">
        <v>371</v>
      </c>
      <c r="C67" s="1" t="s">
        <v>17</v>
      </c>
      <c r="D67" s="1" t="s">
        <v>358</v>
      </c>
      <c r="E67" s="6">
        <v>517</v>
      </c>
      <c r="F67" s="9">
        <v>24.05</v>
      </c>
      <c r="G67" s="9">
        <v>3</v>
      </c>
      <c r="H67" s="9">
        <v>16.95</v>
      </c>
      <c r="I67" s="9">
        <v>17.63</v>
      </c>
      <c r="J67" s="9">
        <v>18.350000000000001</v>
      </c>
      <c r="K67" s="9">
        <v>18.739999999999998</v>
      </c>
      <c r="L67" s="9">
        <v>19.079999999999998</v>
      </c>
      <c r="M67" s="9">
        <v>19.57</v>
      </c>
      <c r="N67" s="9">
        <v>19.899999999999999</v>
      </c>
      <c r="O67" s="9">
        <v>20.04</v>
      </c>
      <c r="P67" s="9">
        <v>20.309999999999999</v>
      </c>
      <c r="Q67" s="9">
        <v>20.51</v>
      </c>
      <c r="R67" s="9">
        <v>20.67</v>
      </c>
      <c r="S67" s="9">
        <v>20.87</v>
      </c>
      <c r="T67" s="9">
        <v>21.03</v>
      </c>
      <c r="U67" s="9">
        <v>21.1</v>
      </c>
      <c r="V67" s="9">
        <v>21.23</v>
      </c>
      <c r="W67" s="9">
        <v>21.34</v>
      </c>
      <c r="X67" s="9">
        <v>21.37</v>
      </c>
      <c r="Y67" s="9">
        <v>21.44</v>
      </c>
      <c r="Z67" s="9">
        <v>21.51</v>
      </c>
      <c r="AA67" s="9">
        <v>21.71</v>
      </c>
      <c r="AB67" s="9">
        <v>21.74</v>
      </c>
      <c r="AC67" s="9">
        <v>21.84</v>
      </c>
      <c r="AD67" s="9">
        <v>21.91</v>
      </c>
      <c r="AE67" s="9">
        <v>21.97</v>
      </c>
      <c r="AF67" s="9">
        <v>22.06</v>
      </c>
      <c r="AG67" s="9">
        <v>22.1</v>
      </c>
      <c r="AH67" s="9">
        <v>22.16</v>
      </c>
      <c r="AI67" s="9">
        <v>22.25</v>
      </c>
      <c r="AJ67" s="9">
        <v>22.45</v>
      </c>
      <c r="AK67" s="9">
        <v>22.52</v>
      </c>
      <c r="AL67" s="9">
        <v>22.59</v>
      </c>
      <c r="AM67" s="9">
        <v>22.79</v>
      </c>
      <c r="AN67" s="9">
        <v>22.93</v>
      </c>
      <c r="AO67" s="9">
        <v>23</v>
      </c>
      <c r="AP67" s="9">
        <v>23.04</v>
      </c>
      <c r="AQ67" s="9">
        <v>23.07</v>
      </c>
      <c r="AR67" s="9">
        <v>23.17</v>
      </c>
      <c r="AS67" s="9">
        <v>23.28</v>
      </c>
      <c r="AT67" s="9">
        <v>23.36</v>
      </c>
      <c r="AU67" s="9">
        <v>23.45</v>
      </c>
      <c r="AV67" s="9">
        <v>23.48</v>
      </c>
      <c r="AW67" s="9">
        <v>23.56</v>
      </c>
      <c r="AX67" s="9">
        <v>23.68</v>
      </c>
      <c r="AY67" s="9">
        <v>23.72</v>
      </c>
      <c r="AZ67" s="9">
        <v>23.76</v>
      </c>
      <c r="BA67" s="9">
        <v>23.84</v>
      </c>
      <c r="BB67" s="9">
        <v>23.87</v>
      </c>
      <c r="BC67" s="9">
        <v>23.93</v>
      </c>
      <c r="BD67" s="9">
        <v>24.03</v>
      </c>
      <c r="BE67" s="9">
        <v>24.06</v>
      </c>
      <c r="BF67" s="9">
        <v>24.14</v>
      </c>
      <c r="BG67" s="9">
        <v>24.18</v>
      </c>
      <c r="BH67" s="9">
        <v>24.24</v>
      </c>
      <c r="BI67" s="9">
        <v>24.29</v>
      </c>
      <c r="BJ67" s="9">
        <v>24.35</v>
      </c>
      <c r="BK67" s="9">
        <v>24.41</v>
      </c>
      <c r="BL67" s="9">
        <v>24.46</v>
      </c>
      <c r="BM67" s="9">
        <v>24.54</v>
      </c>
      <c r="BN67" s="9">
        <v>24.63</v>
      </c>
      <c r="BO67" s="9">
        <v>24.67</v>
      </c>
      <c r="BP67" s="9">
        <v>24.7</v>
      </c>
      <c r="BQ67" s="9">
        <v>24.78</v>
      </c>
      <c r="BR67" s="9">
        <v>24.83</v>
      </c>
      <c r="BS67" s="9">
        <v>24.88</v>
      </c>
      <c r="BT67" s="9">
        <v>24.92</v>
      </c>
      <c r="BU67" s="9">
        <v>25.04</v>
      </c>
      <c r="BV67" s="9">
        <v>25.08</v>
      </c>
      <c r="BW67" s="9">
        <v>25.11</v>
      </c>
      <c r="BX67" s="9">
        <v>25.21</v>
      </c>
      <c r="BY67" s="9">
        <v>25.3</v>
      </c>
      <c r="BZ67" s="9">
        <v>25.36</v>
      </c>
      <c r="CA67" s="9">
        <v>25.48</v>
      </c>
      <c r="CB67" s="9">
        <v>25.56</v>
      </c>
      <c r="CC67" s="9">
        <v>25.63</v>
      </c>
      <c r="CD67" s="9">
        <v>25.68</v>
      </c>
      <c r="CE67" s="9">
        <v>25.75</v>
      </c>
      <c r="CF67" s="9">
        <v>25.8</v>
      </c>
      <c r="CG67" s="9">
        <v>25.92</v>
      </c>
      <c r="CH67" s="9">
        <v>26.09</v>
      </c>
      <c r="CI67" s="9">
        <v>26.22</v>
      </c>
      <c r="CJ67" s="9">
        <v>26.34</v>
      </c>
      <c r="CK67" s="9">
        <v>26.41</v>
      </c>
      <c r="CL67" s="9">
        <v>26.55</v>
      </c>
      <c r="CM67" s="9">
        <v>26.66</v>
      </c>
      <c r="CN67" s="9">
        <v>26.92</v>
      </c>
      <c r="CO67" s="9">
        <v>27.09</v>
      </c>
      <c r="CP67" s="9">
        <v>27.23</v>
      </c>
      <c r="CQ67" s="9">
        <v>27.4</v>
      </c>
      <c r="CR67" s="9">
        <v>27.58</v>
      </c>
      <c r="CS67" s="9">
        <v>27.82</v>
      </c>
      <c r="CT67" s="9">
        <v>28.01</v>
      </c>
      <c r="CU67" s="9">
        <v>28.4</v>
      </c>
      <c r="CV67" s="9">
        <v>28.57</v>
      </c>
      <c r="CW67" s="9">
        <v>28.72</v>
      </c>
      <c r="CX67" s="9">
        <v>29.35</v>
      </c>
      <c r="CY67" s="9">
        <v>29.8</v>
      </c>
      <c r="CZ67" s="9">
        <v>30</v>
      </c>
      <c r="DA67" s="9">
        <v>30.8</v>
      </c>
      <c r="DB67" s="9">
        <v>31.69</v>
      </c>
    </row>
    <row r="68" spans="1:106">
      <c r="A68" s="1" t="s">
        <v>383</v>
      </c>
      <c r="B68" s="1" t="s">
        <v>371</v>
      </c>
      <c r="C68" s="1" t="s">
        <v>17</v>
      </c>
      <c r="D68" s="1" t="s">
        <v>360</v>
      </c>
      <c r="E68" s="6">
        <v>374</v>
      </c>
      <c r="F68" s="9">
        <v>22.95</v>
      </c>
      <c r="G68" s="9">
        <v>2.83</v>
      </c>
      <c r="H68" s="9">
        <v>15.83</v>
      </c>
      <c r="I68" s="9">
        <v>17.329999999999998</v>
      </c>
      <c r="J68" s="9">
        <v>17.579999999999998</v>
      </c>
      <c r="K68" s="9">
        <v>17.829999999999998</v>
      </c>
      <c r="L68" s="9">
        <v>17.940000000000001</v>
      </c>
      <c r="M68" s="9">
        <v>18.43</v>
      </c>
      <c r="N68" s="9">
        <v>18.88</v>
      </c>
      <c r="O68" s="9">
        <v>18.96</v>
      </c>
      <c r="P68" s="9">
        <v>19.14</v>
      </c>
      <c r="Q68" s="9">
        <v>19.21</v>
      </c>
      <c r="R68" s="9">
        <v>19.440000000000001</v>
      </c>
      <c r="S68" s="9">
        <v>19.68</v>
      </c>
      <c r="T68" s="9">
        <v>19.829999999999998</v>
      </c>
      <c r="U68" s="9">
        <v>19.86</v>
      </c>
      <c r="V68" s="9">
        <v>19.93</v>
      </c>
      <c r="W68" s="9">
        <v>19.98</v>
      </c>
      <c r="X68" s="9">
        <v>20.149999999999999</v>
      </c>
      <c r="Y68" s="9">
        <v>20.3</v>
      </c>
      <c r="Z68" s="9">
        <v>20.63</v>
      </c>
      <c r="AA68" s="9">
        <v>20.64</v>
      </c>
      <c r="AB68" s="9">
        <v>20.7</v>
      </c>
      <c r="AC68" s="9">
        <v>20.77</v>
      </c>
      <c r="AD68" s="9">
        <v>20.86</v>
      </c>
      <c r="AE68" s="9">
        <v>20.95</v>
      </c>
      <c r="AF68" s="9">
        <v>21.07</v>
      </c>
      <c r="AG68" s="9">
        <v>21.14</v>
      </c>
      <c r="AH68" s="9">
        <v>21.18</v>
      </c>
      <c r="AI68" s="9">
        <v>21.3</v>
      </c>
      <c r="AJ68" s="9">
        <v>21.46</v>
      </c>
      <c r="AK68" s="9">
        <v>21.55</v>
      </c>
      <c r="AL68" s="9">
        <v>21.59</v>
      </c>
      <c r="AM68" s="9">
        <v>21.6</v>
      </c>
      <c r="AN68" s="9">
        <v>21.65</v>
      </c>
      <c r="AO68" s="9">
        <v>21.74</v>
      </c>
      <c r="AP68" s="9">
        <v>21.77</v>
      </c>
      <c r="AQ68" s="9">
        <v>21.79</v>
      </c>
      <c r="AR68" s="9">
        <v>21.93</v>
      </c>
      <c r="AS68" s="9">
        <v>22.11</v>
      </c>
      <c r="AT68" s="9">
        <v>22.22</v>
      </c>
      <c r="AU68" s="9">
        <v>22.33</v>
      </c>
      <c r="AV68" s="9">
        <v>22.38</v>
      </c>
      <c r="AW68" s="9">
        <v>22.48</v>
      </c>
      <c r="AX68" s="9">
        <v>22.53</v>
      </c>
      <c r="AY68" s="9">
        <v>22.58</v>
      </c>
      <c r="AZ68" s="9">
        <v>22.6</v>
      </c>
      <c r="BA68" s="9">
        <v>22.64</v>
      </c>
      <c r="BB68" s="9">
        <v>22.71</v>
      </c>
      <c r="BC68" s="9">
        <v>22.72</v>
      </c>
      <c r="BD68" s="9">
        <v>22.81</v>
      </c>
      <c r="BE68" s="9">
        <v>22.82</v>
      </c>
      <c r="BF68" s="9">
        <v>22.93</v>
      </c>
      <c r="BG68" s="9">
        <v>23.1</v>
      </c>
      <c r="BH68" s="9">
        <v>23.14</v>
      </c>
      <c r="BI68" s="9">
        <v>23.2</v>
      </c>
      <c r="BJ68" s="9">
        <v>23.26</v>
      </c>
      <c r="BK68" s="9">
        <v>23.4</v>
      </c>
      <c r="BL68" s="9">
        <v>23.45</v>
      </c>
      <c r="BM68" s="9">
        <v>23.56</v>
      </c>
      <c r="BN68" s="9">
        <v>23.66</v>
      </c>
      <c r="BO68" s="9">
        <v>23.7</v>
      </c>
      <c r="BP68" s="9">
        <v>23.77</v>
      </c>
      <c r="BQ68" s="9">
        <v>23.82</v>
      </c>
      <c r="BR68" s="9">
        <v>23.93</v>
      </c>
      <c r="BS68" s="9">
        <v>23.95</v>
      </c>
      <c r="BT68" s="9">
        <v>24.01</v>
      </c>
      <c r="BU68" s="9">
        <v>24.07</v>
      </c>
      <c r="BV68" s="9">
        <v>24.13</v>
      </c>
      <c r="BW68" s="9">
        <v>24.18</v>
      </c>
      <c r="BX68" s="9">
        <v>24.24</v>
      </c>
      <c r="BY68" s="9">
        <v>24.33</v>
      </c>
      <c r="BZ68" s="9">
        <v>24.48</v>
      </c>
      <c r="CA68" s="9">
        <v>24.59</v>
      </c>
      <c r="CB68" s="9">
        <v>24.65</v>
      </c>
      <c r="CC68" s="9">
        <v>24.72</v>
      </c>
      <c r="CD68" s="9">
        <v>24.78</v>
      </c>
      <c r="CE68" s="9">
        <v>24.87</v>
      </c>
      <c r="CF68" s="9">
        <v>24.93</v>
      </c>
      <c r="CG68" s="9">
        <v>25.1</v>
      </c>
      <c r="CH68" s="9">
        <v>25.21</v>
      </c>
      <c r="CI68" s="9">
        <v>25.33</v>
      </c>
      <c r="CJ68" s="9">
        <v>25.5</v>
      </c>
      <c r="CK68" s="9">
        <v>25.59</v>
      </c>
      <c r="CL68" s="9">
        <v>25.65</v>
      </c>
      <c r="CM68" s="9">
        <v>25.76</v>
      </c>
      <c r="CN68" s="9">
        <v>25.87</v>
      </c>
      <c r="CO68" s="9">
        <v>25.91</v>
      </c>
      <c r="CP68" s="9">
        <v>25.98</v>
      </c>
      <c r="CQ68" s="9">
        <v>26.13</v>
      </c>
      <c r="CR68" s="9">
        <v>26.33</v>
      </c>
      <c r="CS68" s="9">
        <v>26.45</v>
      </c>
      <c r="CT68" s="9">
        <v>26.62</v>
      </c>
      <c r="CU68" s="9">
        <v>26.77</v>
      </c>
      <c r="CV68" s="9">
        <v>26.88</v>
      </c>
      <c r="CW68" s="9">
        <v>27.1</v>
      </c>
      <c r="CX68" s="9">
        <v>27.39</v>
      </c>
      <c r="CY68" s="9">
        <v>27.74</v>
      </c>
      <c r="CZ68" s="9">
        <v>27.99</v>
      </c>
      <c r="DA68" s="9">
        <v>29.04</v>
      </c>
      <c r="DB68" s="9">
        <v>30.15</v>
      </c>
    </row>
    <row r="69" spans="1:106">
      <c r="A69" s="1" t="s">
        <v>384</v>
      </c>
      <c r="B69" s="1" t="s">
        <v>371</v>
      </c>
      <c r="C69" s="1" t="s">
        <v>19</v>
      </c>
      <c r="D69" s="1" t="s">
        <v>206</v>
      </c>
      <c r="E69" s="6">
        <v>466</v>
      </c>
      <c r="F69" s="9">
        <v>22.19</v>
      </c>
      <c r="G69" s="9">
        <v>4.3600000000000003</v>
      </c>
      <c r="H69" s="9">
        <v>15.63</v>
      </c>
      <c r="I69" s="9">
        <v>16.3</v>
      </c>
      <c r="J69" s="9">
        <v>16.91</v>
      </c>
      <c r="K69" s="9">
        <v>17</v>
      </c>
      <c r="L69" s="9">
        <v>17.079999999999998</v>
      </c>
      <c r="M69" s="9">
        <v>17.190000000000001</v>
      </c>
      <c r="N69" s="9">
        <v>17.3</v>
      </c>
      <c r="O69" s="9">
        <v>17.41</v>
      </c>
      <c r="P69" s="9">
        <v>17.510000000000002</v>
      </c>
      <c r="Q69" s="9">
        <v>17.71</v>
      </c>
      <c r="R69" s="9">
        <v>17.86</v>
      </c>
      <c r="S69" s="9">
        <v>17.940000000000001</v>
      </c>
      <c r="T69" s="9">
        <v>18</v>
      </c>
      <c r="U69" s="9">
        <v>18.12</v>
      </c>
      <c r="V69" s="9">
        <v>18.260000000000002</v>
      </c>
      <c r="W69" s="9">
        <v>18.36</v>
      </c>
      <c r="X69" s="9">
        <v>18.440000000000001</v>
      </c>
      <c r="Y69" s="9">
        <v>18.46</v>
      </c>
      <c r="Z69" s="9">
        <v>18.600000000000001</v>
      </c>
      <c r="AA69" s="9">
        <v>18.690000000000001</v>
      </c>
      <c r="AB69" s="9">
        <v>18.72</v>
      </c>
      <c r="AC69" s="9">
        <v>18.78</v>
      </c>
      <c r="AD69" s="9">
        <v>18.96</v>
      </c>
      <c r="AE69" s="9">
        <v>19.079999999999998</v>
      </c>
      <c r="AF69" s="9">
        <v>19.14</v>
      </c>
      <c r="AG69" s="9">
        <v>19.21</v>
      </c>
      <c r="AH69" s="9">
        <v>19.309999999999999</v>
      </c>
      <c r="AI69" s="9">
        <v>19.350000000000001</v>
      </c>
      <c r="AJ69" s="9">
        <v>19.41</v>
      </c>
      <c r="AK69" s="9">
        <v>19.440000000000001</v>
      </c>
      <c r="AL69" s="9">
        <v>19.45</v>
      </c>
      <c r="AM69" s="9">
        <v>19.510000000000002</v>
      </c>
      <c r="AN69" s="9">
        <v>19.61</v>
      </c>
      <c r="AO69" s="9">
        <v>19.690000000000001</v>
      </c>
      <c r="AP69" s="9">
        <v>19.8</v>
      </c>
      <c r="AQ69" s="9">
        <v>19.93</v>
      </c>
      <c r="AR69" s="9">
        <v>20.010000000000002</v>
      </c>
      <c r="AS69" s="9">
        <v>20.07</v>
      </c>
      <c r="AT69" s="9">
        <v>20.12</v>
      </c>
      <c r="AU69" s="9">
        <v>20.190000000000001</v>
      </c>
      <c r="AV69" s="9">
        <v>20.29</v>
      </c>
      <c r="AW69" s="9">
        <v>20.39</v>
      </c>
      <c r="AX69" s="9">
        <v>20.420000000000002</v>
      </c>
      <c r="AY69" s="9">
        <v>20.55</v>
      </c>
      <c r="AZ69" s="9">
        <v>20.61</v>
      </c>
      <c r="BA69" s="9">
        <v>20.69</v>
      </c>
      <c r="BB69" s="9">
        <v>20.78</v>
      </c>
      <c r="BC69" s="9">
        <v>20.88</v>
      </c>
      <c r="BD69" s="9">
        <v>20.96</v>
      </c>
      <c r="BE69" s="9">
        <v>21.06</v>
      </c>
      <c r="BF69" s="9">
        <v>21.14</v>
      </c>
      <c r="BG69" s="9">
        <v>21.17</v>
      </c>
      <c r="BH69" s="9">
        <v>21.31</v>
      </c>
      <c r="BI69" s="9">
        <v>21.48</v>
      </c>
      <c r="BJ69" s="9">
        <v>21.6</v>
      </c>
      <c r="BK69" s="9">
        <v>21.76</v>
      </c>
      <c r="BL69" s="9">
        <v>21.89</v>
      </c>
      <c r="BM69" s="9">
        <v>22.09</v>
      </c>
      <c r="BN69" s="9">
        <v>22.23</v>
      </c>
      <c r="BO69" s="9">
        <v>22.32</v>
      </c>
      <c r="BP69" s="9">
        <v>22.47</v>
      </c>
      <c r="BQ69" s="9">
        <v>22.55</v>
      </c>
      <c r="BR69" s="9">
        <v>22.68</v>
      </c>
      <c r="BS69" s="9">
        <v>22.84</v>
      </c>
      <c r="BT69" s="9">
        <v>22.93</v>
      </c>
      <c r="BU69" s="9">
        <v>23.09</v>
      </c>
      <c r="BV69" s="9">
        <v>23.29</v>
      </c>
      <c r="BW69" s="9">
        <v>23.32</v>
      </c>
      <c r="BX69" s="9">
        <v>23.46</v>
      </c>
      <c r="BY69" s="9">
        <v>23.53</v>
      </c>
      <c r="BZ69" s="9">
        <v>23.59</v>
      </c>
      <c r="CA69" s="9">
        <v>23.65</v>
      </c>
      <c r="CB69" s="9">
        <v>23.79</v>
      </c>
      <c r="CC69" s="9">
        <v>24.06</v>
      </c>
      <c r="CD69" s="9">
        <v>24.29</v>
      </c>
      <c r="CE69" s="9">
        <v>24.64</v>
      </c>
      <c r="CF69" s="9">
        <v>24.81</v>
      </c>
      <c r="CG69" s="9">
        <v>24.94</v>
      </c>
      <c r="CH69" s="9">
        <v>25.09</v>
      </c>
      <c r="CI69" s="9">
        <v>25.29</v>
      </c>
      <c r="CJ69" s="9">
        <v>25.48</v>
      </c>
      <c r="CK69" s="9">
        <v>25.51</v>
      </c>
      <c r="CL69" s="9">
        <v>25.73</v>
      </c>
      <c r="CM69" s="9">
        <v>25.98</v>
      </c>
      <c r="CN69" s="9">
        <v>26.42</v>
      </c>
      <c r="CO69" s="9">
        <v>26.87</v>
      </c>
      <c r="CP69" s="9">
        <v>27.12</v>
      </c>
      <c r="CQ69" s="9">
        <v>27.31</v>
      </c>
      <c r="CR69" s="9">
        <v>27.84</v>
      </c>
      <c r="CS69" s="9">
        <v>28.12</v>
      </c>
      <c r="CT69" s="9">
        <v>28.71</v>
      </c>
      <c r="CU69" s="9">
        <v>28.97</v>
      </c>
      <c r="CV69" s="9">
        <v>29.12</v>
      </c>
      <c r="CW69" s="9">
        <v>29.44</v>
      </c>
      <c r="CX69" s="9">
        <v>30.03</v>
      </c>
      <c r="CY69" s="9">
        <v>30.85</v>
      </c>
      <c r="CZ69" s="9">
        <v>32.840000000000003</v>
      </c>
      <c r="DA69" s="9">
        <v>33.83</v>
      </c>
      <c r="DB69" s="9">
        <v>35.020000000000003</v>
      </c>
    </row>
    <row r="70" spans="1:106">
      <c r="A70" s="1" t="s">
        <v>385</v>
      </c>
      <c r="B70" s="1" t="s">
        <v>371</v>
      </c>
      <c r="C70" s="1" t="s">
        <v>19</v>
      </c>
      <c r="D70" s="1" t="s">
        <v>208</v>
      </c>
      <c r="E70" s="6">
        <v>517</v>
      </c>
      <c r="F70" s="9">
        <v>22.46</v>
      </c>
      <c r="G70" s="9">
        <v>4.47</v>
      </c>
      <c r="H70" s="9">
        <v>15.96</v>
      </c>
      <c r="I70" s="9">
        <v>16.54</v>
      </c>
      <c r="J70" s="9">
        <v>17.100000000000001</v>
      </c>
      <c r="K70" s="9">
        <v>17.36</v>
      </c>
      <c r="L70" s="9">
        <v>17.489999999999998</v>
      </c>
      <c r="M70" s="9">
        <v>17.73</v>
      </c>
      <c r="N70" s="9">
        <v>17.79</v>
      </c>
      <c r="O70" s="9">
        <v>17.95</v>
      </c>
      <c r="P70" s="9">
        <v>18.03</v>
      </c>
      <c r="Q70" s="9">
        <v>18.13</v>
      </c>
      <c r="R70" s="9">
        <v>18.34</v>
      </c>
      <c r="S70" s="9">
        <v>18.420000000000002</v>
      </c>
      <c r="T70" s="9">
        <v>18.54</v>
      </c>
      <c r="U70" s="9">
        <v>18.63</v>
      </c>
      <c r="V70" s="9">
        <v>18.72</v>
      </c>
      <c r="W70" s="9">
        <v>18.82</v>
      </c>
      <c r="X70" s="9">
        <v>18.899999999999999</v>
      </c>
      <c r="Y70" s="9">
        <v>19.010000000000002</v>
      </c>
      <c r="Z70" s="9">
        <v>19.05</v>
      </c>
      <c r="AA70" s="9">
        <v>19.09</v>
      </c>
      <c r="AB70" s="9">
        <v>19.13</v>
      </c>
      <c r="AC70" s="9">
        <v>19.239999999999998</v>
      </c>
      <c r="AD70" s="9">
        <v>19.43</v>
      </c>
      <c r="AE70" s="9">
        <v>19.489999999999998</v>
      </c>
      <c r="AF70" s="9">
        <v>19.55</v>
      </c>
      <c r="AG70" s="9">
        <v>19.600000000000001</v>
      </c>
      <c r="AH70" s="9">
        <v>19.62</v>
      </c>
      <c r="AI70" s="9">
        <v>19.7</v>
      </c>
      <c r="AJ70" s="9">
        <v>19.78</v>
      </c>
      <c r="AK70" s="9">
        <v>19.89</v>
      </c>
      <c r="AL70" s="9">
        <v>20</v>
      </c>
      <c r="AM70" s="9">
        <v>20.079999999999998</v>
      </c>
      <c r="AN70" s="9">
        <v>20.11</v>
      </c>
      <c r="AO70" s="9">
        <v>20.170000000000002</v>
      </c>
      <c r="AP70" s="9">
        <v>20.260000000000002</v>
      </c>
      <c r="AQ70" s="9">
        <v>20.28</v>
      </c>
      <c r="AR70" s="9">
        <v>20.36</v>
      </c>
      <c r="AS70" s="9">
        <v>20.46</v>
      </c>
      <c r="AT70" s="9">
        <v>20.55</v>
      </c>
      <c r="AU70" s="9">
        <v>20.6</v>
      </c>
      <c r="AV70" s="9">
        <v>20.68</v>
      </c>
      <c r="AW70" s="9">
        <v>20.72</v>
      </c>
      <c r="AX70" s="9">
        <v>20.8</v>
      </c>
      <c r="AY70" s="9">
        <v>21</v>
      </c>
      <c r="AZ70" s="9">
        <v>21.1</v>
      </c>
      <c r="BA70" s="9">
        <v>21.24</v>
      </c>
      <c r="BB70" s="9">
        <v>21.36</v>
      </c>
      <c r="BC70" s="9">
        <v>21.4</v>
      </c>
      <c r="BD70" s="9">
        <v>21.46</v>
      </c>
      <c r="BE70" s="9">
        <v>21.51</v>
      </c>
      <c r="BF70" s="9">
        <v>21.54</v>
      </c>
      <c r="BG70" s="9">
        <v>21.6</v>
      </c>
      <c r="BH70" s="9">
        <v>21.66</v>
      </c>
      <c r="BI70" s="9">
        <v>21.74</v>
      </c>
      <c r="BJ70" s="9">
        <v>21.79</v>
      </c>
      <c r="BK70" s="9">
        <v>21.83</v>
      </c>
      <c r="BL70" s="9">
        <v>22.01</v>
      </c>
      <c r="BM70" s="9">
        <v>22.1</v>
      </c>
      <c r="BN70" s="9">
        <v>22.14</v>
      </c>
      <c r="BO70" s="9">
        <v>22.23</v>
      </c>
      <c r="BP70" s="9">
        <v>22.27</v>
      </c>
      <c r="BQ70" s="9">
        <v>22.35</v>
      </c>
      <c r="BR70" s="9">
        <v>22.39</v>
      </c>
      <c r="BS70" s="9">
        <v>22.56</v>
      </c>
      <c r="BT70" s="9">
        <v>22.69</v>
      </c>
      <c r="BU70" s="9">
        <v>22.83</v>
      </c>
      <c r="BV70" s="9">
        <v>22.94</v>
      </c>
      <c r="BW70" s="9">
        <v>23.07</v>
      </c>
      <c r="BX70" s="9">
        <v>23.19</v>
      </c>
      <c r="BY70" s="9">
        <v>23.29</v>
      </c>
      <c r="BZ70" s="9">
        <v>23.33</v>
      </c>
      <c r="CA70" s="9">
        <v>23.4</v>
      </c>
      <c r="CB70" s="9">
        <v>23.57</v>
      </c>
      <c r="CC70" s="9">
        <v>23.75</v>
      </c>
      <c r="CD70" s="9">
        <v>23.97</v>
      </c>
      <c r="CE70" s="9">
        <v>24.32</v>
      </c>
      <c r="CF70" s="9">
        <v>24.44</v>
      </c>
      <c r="CG70" s="9">
        <v>24.58</v>
      </c>
      <c r="CH70" s="9">
        <v>24.8</v>
      </c>
      <c r="CI70" s="9">
        <v>24.93</v>
      </c>
      <c r="CJ70" s="9">
        <v>25.01</v>
      </c>
      <c r="CK70" s="9">
        <v>25.22</v>
      </c>
      <c r="CL70" s="9">
        <v>25.41</v>
      </c>
      <c r="CM70" s="9">
        <v>25.86</v>
      </c>
      <c r="CN70" s="9">
        <v>26</v>
      </c>
      <c r="CO70" s="9">
        <v>26.36</v>
      </c>
      <c r="CP70" s="9">
        <v>26.82</v>
      </c>
      <c r="CQ70" s="9">
        <v>27.12</v>
      </c>
      <c r="CR70" s="9">
        <v>27.85</v>
      </c>
      <c r="CS70" s="9">
        <v>28.23</v>
      </c>
      <c r="CT70" s="9">
        <v>28.88</v>
      </c>
      <c r="CU70" s="9">
        <v>29.58</v>
      </c>
      <c r="CV70" s="9">
        <v>29.97</v>
      </c>
      <c r="CW70" s="9">
        <v>30.73</v>
      </c>
      <c r="CX70" s="9">
        <v>31.59</v>
      </c>
      <c r="CY70" s="9">
        <v>32.25</v>
      </c>
      <c r="CZ70" s="9">
        <v>33.29</v>
      </c>
      <c r="DA70" s="9">
        <v>35.99</v>
      </c>
      <c r="DB70" s="9">
        <v>37.840000000000003</v>
      </c>
    </row>
    <row r="71" spans="1:106">
      <c r="A71" s="1" t="s">
        <v>386</v>
      </c>
      <c r="B71" s="1" t="s">
        <v>371</v>
      </c>
      <c r="C71" s="1" t="s">
        <v>19</v>
      </c>
      <c r="D71" s="1" t="s">
        <v>210</v>
      </c>
      <c r="E71" s="6">
        <v>507</v>
      </c>
      <c r="F71" s="9">
        <v>23.21</v>
      </c>
      <c r="G71" s="9">
        <v>4.58</v>
      </c>
      <c r="H71" s="9">
        <v>16.600000000000001</v>
      </c>
      <c r="I71" s="9">
        <v>16.98</v>
      </c>
      <c r="J71" s="9">
        <v>17.29</v>
      </c>
      <c r="K71" s="9">
        <v>17.59</v>
      </c>
      <c r="L71" s="9">
        <v>17.71</v>
      </c>
      <c r="M71" s="9">
        <v>17.89</v>
      </c>
      <c r="N71" s="9">
        <v>18.05</v>
      </c>
      <c r="O71" s="9">
        <v>18.149999999999999</v>
      </c>
      <c r="P71" s="9">
        <v>18.21</v>
      </c>
      <c r="Q71" s="9">
        <v>18.37</v>
      </c>
      <c r="R71" s="9">
        <v>18.47</v>
      </c>
      <c r="S71" s="9">
        <v>18.559999999999999</v>
      </c>
      <c r="T71" s="9">
        <v>18.72</v>
      </c>
      <c r="U71" s="9">
        <v>18.89</v>
      </c>
      <c r="V71" s="9">
        <v>19</v>
      </c>
      <c r="W71" s="9">
        <v>19.14</v>
      </c>
      <c r="X71" s="9">
        <v>19.260000000000002</v>
      </c>
      <c r="Y71" s="9">
        <v>19.37</v>
      </c>
      <c r="Z71" s="9">
        <v>19.52</v>
      </c>
      <c r="AA71" s="9">
        <v>19.59</v>
      </c>
      <c r="AB71" s="9">
        <v>19.690000000000001</v>
      </c>
      <c r="AC71" s="9">
        <v>19.829999999999998</v>
      </c>
      <c r="AD71" s="9">
        <v>19.940000000000001</v>
      </c>
      <c r="AE71" s="9">
        <v>20.02</v>
      </c>
      <c r="AF71" s="9">
        <v>20.07</v>
      </c>
      <c r="AG71" s="9">
        <v>20.13</v>
      </c>
      <c r="AH71" s="9">
        <v>20.21</v>
      </c>
      <c r="AI71" s="9">
        <v>20.350000000000001</v>
      </c>
      <c r="AJ71" s="9">
        <v>20.41</v>
      </c>
      <c r="AK71" s="9">
        <v>20.46</v>
      </c>
      <c r="AL71" s="9">
        <v>20.55</v>
      </c>
      <c r="AM71" s="9">
        <v>20.58</v>
      </c>
      <c r="AN71" s="9">
        <v>20.7</v>
      </c>
      <c r="AO71" s="9">
        <v>20.77</v>
      </c>
      <c r="AP71" s="9">
        <v>20.82</v>
      </c>
      <c r="AQ71" s="9">
        <v>20.96</v>
      </c>
      <c r="AR71" s="9">
        <v>21.04</v>
      </c>
      <c r="AS71" s="9">
        <v>21.21</v>
      </c>
      <c r="AT71" s="9">
        <v>21.27</v>
      </c>
      <c r="AU71" s="9">
        <v>21.29</v>
      </c>
      <c r="AV71" s="9">
        <v>21.33</v>
      </c>
      <c r="AW71" s="9">
        <v>21.45</v>
      </c>
      <c r="AX71" s="9">
        <v>21.57</v>
      </c>
      <c r="AY71" s="9">
        <v>21.69</v>
      </c>
      <c r="AZ71" s="9">
        <v>21.79</v>
      </c>
      <c r="BA71" s="9">
        <v>21.86</v>
      </c>
      <c r="BB71" s="9">
        <v>21.98</v>
      </c>
      <c r="BC71" s="9">
        <v>22.07</v>
      </c>
      <c r="BD71" s="9">
        <v>22.21</v>
      </c>
      <c r="BE71" s="9">
        <v>22.27</v>
      </c>
      <c r="BF71" s="9">
        <v>22.35</v>
      </c>
      <c r="BG71" s="9">
        <v>22.42</v>
      </c>
      <c r="BH71" s="9">
        <v>22.5</v>
      </c>
      <c r="BI71" s="9">
        <v>22.59</v>
      </c>
      <c r="BJ71" s="9">
        <v>22.67</v>
      </c>
      <c r="BK71" s="9">
        <v>22.79</v>
      </c>
      <c r="BL71" s="9">
        <v>22.96</v>
      </c>
      <c r="BM71" s="9">
        <v>23.09</v>
      </c>
      <c r="BN71" s="9">
        <v>23.2</v>
      </c>
      <c r="BO71" s="9">
        <v>23.24</v>
      </c>
      <c r="BP71" s="9">
        <v>23.32</v>
      </c>
      <c r="BQ71" s="9">
        <v>23.48</v>
      </c>
      <c r="BR71" s="9">
        <v>23.53</v>
      </c>
      <c r="BS71" s="9">
        <v>23.6</v>
      </c>
      <c r="BT71" s="9">
        <v>23.63</v>
      </c>
      <c r="BU71" s="9">
        <v>23.73</v>
      </c>
      <c r="BV71" s="9">
        <v>23.81</v>
      </c>
      <c r="BW71" s="9">
        <v>23.92</v>
      </c>
      <c r="BX71" s="9">
        <v>24.05</v>
      </c>
      <c r="BY71" s="9">
        <v>24.33</v>
      </c>
      <c r="BZ71" s="9">
        <v>24.61</v>
      </c>
      <c r="CA71" s="9">
        <v>24.91</v>
      </c>
      <c r="CB71" s="9">
        <v>25.08</v>
      </c>
      <c r="CC71" s="9">
        <v>25.13</v>
      </c>
      <c r="CD71" s="9">
        <v>25.4</v>
      </c>
      <c r="CE71" s="9">
        <v>25.53</v>
      </c>
      <c r="CF71" s="9">
        <v>25.62</v>
      </c>
      <c r="CG71" s="9">
        <v>25.76</v>
      </c>
      <c r="CH71" s="9">
        <v>25.8</v>
      </c>
      <c r="CI71" s="9">
        <v>25.92</v>
      </c>
      <c r="CJ71" s="9">
        <v>26.1</v>
      </c>
      <c r="CK71" s="9">
        <v>26.37</v>
      </c>
      <c r="CL71" s="9">
        <v>26.73</v>
      </c>
      <c r="CM71" s="9">
        <v>26.93</v>
      </c>
      <c r="CN71" s="9">
        <v>27.17</v>
      </c>
      <c r="CO71" s="9">
        <v>27.59</v>
      </c>
      <c r="CP71" s="9">
        <v>27.94</v>
      </c>
      <c r="CQ71" s="9">
        <v>28.64</v>
      </c>
      <c r="CR71" s="9">
        <v>29.06</v>
      </c>
      <c r="CS71" s="9">
        <v>29.57</v>
      </c>
      <c r="CT71" s="9">
        <v>30.27</v>
      </c>
      <c r="CU71" s="9">
        <v>30.67</v>
      </c>
      <c r="CV71" s="9">
        <v>31.01</v>
      </c>
      <c r="CW71" s="9">
        <v>31.32</v>
      </c>
      <c r="CX71" s="9">
        <v>32.6</v>
      </c>
      <c r="CY71" s="9">
        <v>33.590000000000003</v>
      </c>
      <c r="CZ71" s="9">
        <v>33.97</v>
      </c>
      <c r="DA71" s="9">
        <v>35.81</v>
      </c>
      <c r="DB71" s="9">
        <v>37.74</v>
      </c>
    </row>
    <row r="72" spans="1:106">
      <c r="A72" s="1" t="s">
        <v>387</v>
      </c>
      <c r="B72" s="1" t="s">
        <v>371</v>
      </c>
      <c r="C72" s="1" t="s">
        <v>19</v>
      </c>
      <c r="D72" s="1" t="s">
        <v>212</v>
      </c>
      <c r="E72" s="6">
        <v>585</v>
      </c>
      <c r="F72" s="9">
        <v>22.86</v>
      </c>
      <c r="G72" s="9">
        <v>4.12</v>
      </c>
      <c r="H72" s="9">
        <v>16.420000000000002</v>
      </c>
      <c r="I72" s="9">
        <v>17.25</v>
      </c>
      <c r="J72" s="9">
        <v>17.63</v>
      </c>
      <c r="K72" s="9">
        <v>17.73</v>
      </c>
      <c r="L72" s="9">
        <v>17.93</v>
      </c>
      <c r="M72" s="9">
        <v>18.07</v>
      </c>
      <c r="N72" s="9">
        <v>18.21</v>
      </c>
      <c r="O72" s="9">
        <v>18.39</v>
      </c>
      <c r="P72" s="9">
        <v>18.52</v>
      </c>
      <c r="Q72" s="9">
        <v>18.59</v>
      </c>
      <c r="R72" s="9">
        <v>18.829999999999998</v>
      </c>
      <c r="S72" s="9">
        <v>18.98</v>
      </c>
      <c r="T72" s="9">
        <v>19.14</v>
      </c>
      <c r="U72" s="9">
        <v>19.25</v>
      </c>
      <c r="V72" s="9">
        <v>19.3</v>
      </c>
      <c r="W72" s="9">
        <v>19.329999999999998</v>
      </c>
      <c r="X72" s="9">
        <v>19.46</v>
      </c>
      <c r="Y72" s="9">
        <v>19.559999999999999</v>
      </c>
      <c r="Z72" s="9">
        <v>19.63</v>
      </c>
      <c r="AA72" s="9">
        <v>19.77</v>
      </c>
      <c r="AB72" s="9">
        <v>19.79</v>
      </c>
      <c r="AC72" s="9">
        <v>19.88</v>
      </c>
      <c r="AD72" s="9">
        <v>19.96</v>
      </c>
      <c r="AE72" s="9">
        <v>20.07</v>
      </c>
      <c r="AF72" s="9">
        <v>20.13</v>
      </c>
      <c r="AG72" s="9">
        <v>20.260000000000002</v>
      </c>
      <c r="AH72" s="9">
        <v>20.34</v>
      </c>
      <c r="AI72" s="9">
        <v>20.37</v>
      </c>
      <c r="AJ72" s="9">
        <v>20.43</v>
      </c>
      <c r="AK72" s="9">
        <v>20.54</v>
      </c>
      <c r="AL72" s="9">
        <v>20.64</v>
      </c>
      <c r="AM72" s="9">
        <v>20.7</v>
      </c>
      <c r="AN72" s="9">
        <v>20.76</v>
      </c>
      <c r="AO72" s="9">
        <v>20.78</v>
      </c>
      <c r="AP72" s="9">
        <v>20.84</v>
      </c>
      <c r="AQ72" s="9">
        <v>20.86</v>
      </c>
      <c r="AR72" s="9">
        <v>20.95</v>
      </c>
      <c r="AS72" s="9">
        <v>21.03</v>
      </c>
      <c r="AT72" s="9">
        <v>21.12</v>
      </c>
      <c r="AU72" s="9">
        <v>21.21</v>
      </c>
      <c r="AV72" s="9">
        <v>21.36</v>
      </c>
      <c r="AW72" s="9">
        <v>21.49</v>
      </c>
      <c r="AX72" s="9">
        <v>21.57</v>
      </c>
      <c r="AY72" s="9">
        <v>21.62</v>
      </c>
      <c r="AZ72" s="9">
        <v>21.66</v>
      </c>
      <c r="BA72" s="9">
        <v>21.71</v>
      </c>
      <c r="BB72" s="9">
        <v>21.74</v>
      </c>
      <c r="BC72" s="9">
        <v>21.77</v>
      </c>
      <c r="BD72" s="9">
        <v>21.88</v>
      </c>
      <c r="BE72" s="9">
        <v>21.9</v>
      </c>
      <c r="BF72" s="9">
        <v>22</v>
      </c>
      <c r="BG72" s="9">
        <v>22.04</v>
      </c>
      <c r="BH72" s="9">
        <v>22.21</v>
      </c>
      <c r="BI72" s="9">
        <v>22.35</v>
      </c>
      <c r="BJ72" s="9">
        <v>22.45</v>
      </c>
      <c r="BK72" s="9">
        <v>22.52</v>
      </c>
      <c r="BL72" s="9">
        <v>22.65</v>
      </c>
      <c r="BM72" s="9">
        <v>22.74</v>
      </c>
      <c r="BN72" s="9">
        <v>22.84</v>
      </c>
      <c r="BO72" s="9">
        <v>22.99</v>
      </c>
      <c r="BP72" s="9">
        <v>23.02</v>
      </c>
      <c r="BQ72" s="9">
        <v>23.1</v>
      </c>
      <c r="BR72" s="9">
        <v>23.24</v>
      </c>
      <c r="BS72" s="9">
        <v>23.44</v>
      </c>
      <c r="BT72" s="9">
        <v>23.58</v>
      </c>
      <c r="BU72" s="9">
        <v>23.63</v>
      </c>
      <c r="BV72" s="9">
        <v>23.68</v>
      </c>
      <c r="BW72" s="9">
        <v>23.75</v>
      </c>
      <c r="BX72" s="9">
        <v>23.88</v>
      </c>
      <c r="BY72" s="9">
        <v>23.94</v>
      </c>
      <c r="BZ72" s="9">
        <v>24</v>
      </c>
      <c r="CA72" s="9">
        <v>24.1</v>
      </c>
      <c r="CB72" s="9">
        <v>24.18</v>
      </c>
      <c r="CC72" s="9">
        <v>24.34</v>
      </c>
      <c r="CD72" s="9">
        <v>24.49</v>
      </c>
      <c r="CE72" s="9">
        <v>24.66</v>
      </c>
      <c r="CF72" s="9">
        <v>24.9</v>
      </c>
      <c r="CG72" s="9">
        <v>25.06</v>
      </c>
      <c r="CH72" s="9">
        <v>25.37</v>
      </c>
      <c r="CI72" s="9">
        <v>25.56</v>
      </c>
      <c r="CJ72" s="9">
        <v>25.75</v>
      </c>
      <c r="CK72" s="9">
        <v>25.88</v>
      </c>
      <c r="CL72" s="9">
        <v>26.09</v>
      </c>
      <c r="CM72" s="9">
        <v>26.4</v>
      </c>
      <c r="CN72" s="9">
        <v>26.57</v>
      </c>
      <c r="CO72" s="9">
        <v>26.75</v>
      </c>
      <c r="CP72" s="9">
        <v>27.06</v>
      </c>
      <c r="CQ72" s="9">
        <v>27.36</v>
      </c>
      <c r="CR72" s="9">
        <v>27.67</v>
      </c>
      <c r="CS72" s="9">
        <v>28.21</v>
      </c>
      <c r="CT72" s="9">
        <v>28.62</v>
      </c>
      <c r="CU72" s="9">
        <v>28.91</v>
      </c>
      <c r="CV72" s="9">
        <v>29.46</v>
      </c>
      <c r="CW72" s="9">
        <v>29.92</v>
      </c>
      <c r="CX72" s="9">
        <v>30.6</v>
      </c>
      <c r="CY72" s="9">
        <v>31.75</v>
      </c>
      <c r="CZ72" s="9">
        <v>32.5</v>
      </c>
      <c r="DA72" s="9">
        <v>33.729999999999997</v>
      </c>
      <c r="DB72" s="9">
        <v>35.06</v>
      </c>
    </row>
    <row r="73" spans="1:106">
      <c r="A73" s="1" t="s">
        <v>388</v>
      </c>
      <c r="B73" s="1" t="s">
        <v>371</v>
      </c>
      <c r="C73" s="1" t="s">
        <v>19</v>
      </c>
      <c r="D73" s="1" t="s">
        <v>214</v>
      </c>
      <c r="E73" s="6">
        <v>828</v>
      </c>
      <c r="F73" s="9">
        <v>23.16</v>
      </c>
      <c r="G73" s="9">
        <v>4</v>
      </c>
      <c r="H73" s="9">
        <v>16.91</v>
      </c>
      <c r="I73" s="9">
        <v>17.3</v>
      </c>
      <c r="J73" s="9">
        <v>17.84</v>
      </c>
      <c r="K73" s="9">
        <v>18.079999999999998</v>
      </c>
      <c r="L73" s="9">
        <v>18.21</v>
      </c>
      <c r="M73" s="9">
        <v>18.399999999999999</v>
      </c>
      <c r="N73" s="9">
        <v>18.52</v>
      </c>
      <c r="O73" s="9">
        <v>18.72</v>
      </c>
      <c r="P73" s="9">
        <v>18.82</v>
      </c>
      <c r="Q73" s="9">
        <v>18.93</v>
      </c>
      <c r="R73" s="9">
        <v>19</v>
      </c>
      <c r="S73" s="9">
        <v>19.079999999999998</v>
      </c>
      <c r="T73" s="9">
        <v>19.21</v>
      </c>
      <c r="U73" s="9">
        <v>19.3</v>
      </c>
      <c r="V73" s="9">
        <v>19.36</v>
      </c>
      <c r="W73" s="9">
        <v>19.440000000000001</v>
      </c>
      <c r="X73" s="9">
        <v>19.5</v>
      </c>
      <c r="Y73" s="9">
        <v>19.55</v>
      </c>
      <c r="Z73" s="9">
        <v>19.579999999999998</v>
      </c>
      <c r="AA73" s="9">
        <v>19.63</v>
      </c>
      <c r="AB73" s="9">
        <v>19.670000000000002</v>
      </c>
      <c r="AC73" s="9">
        <v>19.760000000000002</v>
      </c>
      <c r="AD73" s="9">
        <v>19.829999999999998</v>
      </c>
      <c r="AE73" s="9">
        <v>19.920000000000002</v>
      </c>
      <c r="AF73" s="9">
        <v>20.010000000000002</v>
      </c>
      <c r="AG73" s="9">
        <v>20.11</v>
      </c>
      <c r="AH73" s="9">
        <v>20.21</v>
      </c>
      <c r="AI73" s="9">
        <v>20.25</v>
      </c>
      <c r="AJ73" s="9">
        <v>20.309999999999999</v>
      </c>
      <c r="AK73" s="9">
        <v>20.420000000000002</v>
      </c>
      <c r="AL73" s="9">
        <v>20.47</v>
      </c>
      <c r="AM73" s="9">
        <v>20.61</v>
      </c>
      <c r="AN73" s="9">
        <v>20.68</v>
      </c>
      <c r="AO73" s="9">
        <v>20.73</v>
      </c>
      <c r="AP73" s="9">
        <v>20.82</v>
      </c>
      <c r="AQ73" s="9">
        <v>20.9</v>
      </c>
      <c r="AR73" s="9">
        <v>21.05</v>
      </c>
      <c r="AS73" s="9">
        <v>21.14</v>
      </c>
      <c r="AT73" s="9">
        <v>21.26</v>
      </c>
      <c r="AU73" s="9">
        <v>21.45</v>
      </c>
      <c r="AV73" s="9">
        <v>21.6</v>
      </c>
      <c r="AW73" s="9">
        <v>21.68</v>
      </c>
      <c r="AX73" s="9">
        <v>21.77</v>
      </c>
      <c r="AY73" s="9">
        <v>21.82</v>
      </c>
      <c r="AZ73" s="9">
        <v>21.91</v>
      </c>
      <c r="BA73" s="9">
        <v>22.04</v>
      </c>
      <c r="BB73" s="9">
        <v>22.13</v>
      </c>
      <c r="BC73" s="9">
        <v>22.22</v>
      </c>
      <c r="BD73" s="9">
        <v>22.29</v>
      </c>
      <c r="BE73" s="9">
        <v>22.39</v>
      </c>
      <c r="BF73" s="9">
        <v>22.45</v>
      </c>
      <c r="BG73" s="9">
        <v>22.54</v>
      </c>
      <c r="BH73" s="9">
        <v>22.62</v>
      </c>
      <c r="BI73" s="9">
        <v>22.7</v>
      </c>
      <c r="BJ73" s="9">
        <v>22.85</v>
      </c>
      <c r="BK73" s="9">
        <v>23.01</v>
      </c>
      <c r="BL73" s="9">
        <v>23.13</v>
      </c>
      <c r="BM73" s="9">
        <v>23.26</v>
      </c>
      <c r="BN73" s="9">
        <v>23.4</v>
      </c>
      <c r="BO73" s="9">
        <v>23.47</v>
      </c>
      <c r="BP73" s="9">
        <v>23.61</v>
      </c>
      <c r="BQ73" s="9">
        <v>23.67</v>
      </c>
      <c r="BR73" s="9">
        <v>23.76</v>
      </c>
      <c r="BS73" s="9">
        <v>23.91</v>
      </c>
      <c r="BT73" s="9">
        <v>24.1</v>
      </c>
      <c r="BU73" s="9">
        <v>24.26</v>
      </c>
      <c r="BV73" s="9">
        <v>24.4</v>
      </c>
      <c r="BW73" s="9">
        <v>24.52</v>
      </c>
      <c r="BX73" s="9">
        <v>24.55</v>
      </c>
      <c r="BY73" s="9">
        <v>24.61</v>
      </c>
      <c r="BZ73" s="9">
        <v>24.74</v>
      </c>
      <c r="CA73" s="9">
        <v>24.84</v>
      </c>
      <c r="CB73" s="9">
        <v>24.95</v>
      </c>
      <c r="CC73" s="9">
        <v>25.08</v>
      </c>
      <c r="CD73" s="9">
        <v>25.25</v>
      </c>
      <c r="CE73" s="9">
        <v>25.35</v>
      </c>
      <c r="CF73" s="9">
        <v>25.58</v>
      </c>
      <c r="CG73" s="9">
        <v>25.78</v>
      </c>
      <c r="CH73" s="9">
        <v>25.94</v>
      </c>
      <c r="CI73" s="9">
        <v>26.07</v>
      </c>
      <c r="CJ73" s="9">
        <v>26.22</v>
      </c>
      <c r="CK73" s="9">
        <v>26.39</v>
      </c>
      <c r="CL73" s="9">
        <v>26.69</v>
      </c>
      <c r="CM73" s="9">
        <v>27.09</v>
      </c>
      <c r="CN73" s="9">
        <v>27.31</v>
      </c>
      <c r="CO73" s="9">
        <v>27.69</v>
      </c>
      <c r="CP73" s="9">
        <v>27.87</v>
      </c>
      <c r="CQ73" s="9">
        <v>28.05</v>
      </c>
      <c r="CR73" s="9">
        <v>28.49</v>
      </c>
      <c r="CS73" s="9">
        <v>28.88</v>
      </c>
      <c r="CT73" s="9">
        <v>29.06</v>
      </c>
      <c r="CU73" s="9">
        <v>29.21</v>
      </c>
      <c r="CV73" s="9">
        <v>29.83</v>
      </c>
      <c r="CW73" s="9">
        <v>30.44</v>
      </c>
      <c r="CX73" s="9">
        <v>31.15</v>
      </c>
      <c r="CY73" s="9">
        <v>31.71</v>
      </c>
      <c r="CZ73" s="9">
        <v>32.54</v>
      </c>
      <c r="DA73" s="9">
        <v>34.200000000000003</v>
      </c>
      <c r="DB73" s="9">
        <v>34.9</v>
      </c>
    </row>
    <row r="74" spans="1:106">
      <c r="A74" s="1" t="s">
        <v>389</v>
      </c>
      <c r="B74" s="1" t="s">
        <v>371</v>
      </c>
      <c r="C74" s="1" t="s">
        <v>19</v>
      </c>
      <c r="D74" s="1" t="s">
        <v>216</v>
      </c>
      <c r="E74" s="6">
        <v>764</v>
      </c>
      <c r="F74" s="9">
        <v>23.28</v>
      </c>
      <c r="G74" s="9">
        <v>3.87</v>
      </c>
      <c r="H74" s="9">
        <v>16.850000000000001</v>
      </c>
      <c r="I74" s="9">
        <v>17.489999999999998</v>
      </c>
      <c r="J74" s="9">
        <v>17.79</v>
      </c>
      <c r="K74" s="9">
        <v>18.04</v>
      </c>
      <c r="L74" s="9">
        <v>18.12</v>
      </c>
      <c r="M74" s="9">
        <v>18.37</v>
      </c>
      <c r="N74" s="9">
        <v>18.66</v>
      </c>
      <c r="O74" s="9">
        <v>18.829999999999998</v>
      </c>
      <c r="P74" s="9">
        <v>19.04</v>
      </c>
      <c r="Q74" s="9">
        <v>19.16</v>
      </c>
      <c r="R74" s="9">
        <v>19.27</v>
      </c>
      <c r="S74" s="9">
        <v>19.39</v>
      </c>
      <c r="T74" s="9">
        <v>19.53</v>
      </c>
      <c r="U74" s="9">
        <v>19.62</v>
      </c>
      <c r="V74" s="9">
        <v>19.7</v>
      </c>
      <c r="W74" s="9">
        <v>19.760000000000002</v>
      </c>
      <c r="X74" s="9">
        <v>19.86</v>
      </c>
      <c r="Y74" s="9">
        <v>20.010000000000002</v>
      </c>
      <c r="Z74" s="9">
        <v>20.079999999999998</v>
      </c>
      <c r="AA74" s="9">
        <v>20.149999999999999</v>
      </c>
      <c r="AB74" s="9">
        <v>20.27</v>
      </c>
      <c r="AC74" s="9">
        <v>20.329999999999998</v>
      </c>
      <c r="AD74" s="9">
        <v>20.399999999999999</v>
      </c>
      <c r="AE74" s="9">
        <v>20.54</v>
      </c>
      <c r="AF74" s="9">
        <v>20.59</v>
      </c>
      <c r="AG74" s="9">
        <v>20.66</v>
      </c>
      <c r="AH74" s="9">
        <v>20.74</v>
      </c>
      <c r="AI74" s="9">
        <v>20.82</v>
      </c>
      <c r="AJ74" s="9">
        <v>20.9</v>
      </c>
      <c r="AK74" s="9">
        <v>21</v>
      </c>
      <c r="AL74" s="9">
        <v>21.05</v>
      </c>
      <c r="AM74" s="9">
        <v>21.12</v>
      </c>
      <c r="AN74" s="9">
        <v>21.25</v>
      </c>
      <c r="AO74" s="9">
        <v>21.34</v>
      </c>
      <c r="AP74" s="9">
        <v>21.41</v>
      </c>
      <c r="AQ74" s="9">
        <v>21.49</v>
      </c>
      <c r="AR74" s="9">
        <v>21.55</v>
      </c>
      <c r="AS74" s="9">
        <v>21.59</v>
      </c>
      <c r="AT74" s="9">
        <v>21.69</v>
      </c>
      <c r="AU74" s="9">
        <v>21.75</v>
      </c>
      <c r="AV74" s="9">
        <v>21.81</v>
      </c>
      <c r="AW74" s="9">
        <v>21.92</v>
      </c>
      <c r="AX74" s="9">
        <v>22.02</v>
      </c>
      <c r="AY74" s="9">
        <v>22.06</v>
      </c>
      <c r="AZ74" s="9">
        <v>22.19</v>
      </c>
      <c r="BA74" s="9">
        <v>22.29</v>
      </c>
      <c r="BB74" s="9">
        <v>22.32</v>
      </c>
      <c r="BC74" s="9">
        <v>22.39</v>
      </c>
      <c r="BD74" s="9">
        <v>22.49</v>
      </c>
      <c r="BE74" s="9">
        <v>22.58</v>
      </c>
      <c r="BF74" s="9">
        <v>22.64</v>
      </c>
      <c r="BG74" s="9">
        <v>22.73</v>
      </c>
      <c r="BH74" s="9">
        <v>22.8</v>
      </c>
      <c r="BI74" s="9">
        <v>22.9</v>
      </c>
      <c r="BJ74" s="9">
        <v>22.99</v>
      </c>
      <c r="BK74" s="9">
        <v>23.07</v>
      </c>
      <c r="BL74" s="9">
        <v>23.12</v>
      </c>
      <c r="BM74" s="9">
        <v>23.21</v>
      </c>
      <c r="BN74" s="9">
        <v>23.28</v>
      </c>
      <c r="BO74" s="9">
        <v>23.37</v>
      </c>
      <c r="BP74" s="9">
        <v>23.45</v>
      </c>
      <c r="BQ74" s="9">
        <v>23.54</v>
      </c>
      <c r="BR74" s="9">
        <v>23.62</v>
      </c>
      <c r="BS74" s="9">
        <v>23.72</v>
      </c>
      <c r="BT74" s="9">
        <v>23.87</v>
      </c>
      <c r="BU74" s="9">
        <v>24.02</v>
      </c>
      <c r="BV74" s="9">
        <v>24.12</v>
      </c>
      <c r="BW74" s="9">
        <v>24.16</v>
      </c>
      <c r="BX74" s="9">
        <v>24.22</v>
      </c>
      <c r="BY74" s="9">
        <v>24.33</v>
      </c>
      <c r="BZ74" s="9">
        <v>24.45</v>
      </c>
      <c r="CA74" s="9">
        <v>24.57</v>
      </c>
      <c r="CB74" s="9">
        <v>24.66</v>
      </c>
      <c r="CC74" s="9">
        <v>24.86</v>
      </c>
      <c r="CD74" s="9">
        <v>25.05</v>
      </c>
      <c r="CE74" s="9">
        <v>25.15</v>
      </c>
      <c r="CF74" s="9">
        <v>25.34</v>
      </c>
      <c r="CG74" s="9">
        <v>25.52</v>
      </c>
      <c r="CH74" s="9">
        <v>25.68</v>
      </c>
      <c r="CI74" s="9">
        <v>25.87</v>
      </c>
      <c r="CJ74" s="9">
        <v>26.03</v>
      </c>
      <c r="CK74" s="9">
        <v>26.25</v>
      </c>
      <c r="CL74" s="9">
        <v>26.5</v>
      </c>
      <c r="CM74" s="9">
        <v>26.61</v>
      </c>
      <c r="CN74" s="9">
        <v>26.84</v>
      </c>
      <c r="CO74" s="9">
        <v>27.12</v>
      </c>
      <c r="CP74" s="9">
        <v>27.67</v>
      </c>
      <c r="CQ74" s="9">
        <v>27.92</v>
      </c>
      <c r="CR74" s="9">
        <v>28.45</v>
      </c>
      <c r="CS74" s="9">
        <v>28.74</v>
      </c>
      <c r="CT74" s="9">
        <v>29.26</v>
      </c>
      <c r="CU74" s="9">
        <v>29.56</v>
      </c>
      <c r="CV74" s="9">
        <v>30</v>
      </c>
      <c r="CW74" s="9">
        <v>30.58</v>
      </c>
      <c r="CX74" s="9">
        <v>30.98</v>
      </c>
      <c r="CY74" s="9">
        <v>31.59</v>
      </c>
      <c r="CZ74" s="9">
        <v>32.479999999999997</v>
      </c>
      <c r="DA74" s="9">
        <v>34</v>
      </c>
      <c r="DB74" s="9">
        <v>35.17</v>
      </c>
    </row>
    <row r="75" spans="1:106">
      <c r="A75" s="1" t="s">
        <v>390</v>
      </c>
      <c r="B75" s="1" t="s">
        <v>371</v>
      </c>
      <c r="C75" s="1" t="s">
        <v>19</v>
      </c>
      <c r="D75" s="1" t="s">
        <v>218</v>
      </c>
      <c r="E75" s="6">
        <v>948</v>
      </c>
      <c r="F75" s="9">
        <v>23.4</v>
      </c>
      <c r="G75" s="9">
        <v>3.74</v>
      </c>
      <c r="H75" s="9">
        <v>17.23</v>
      </c>
      <c r="I75" s="9">
        <v>17.579999999999998</v>
      </c>
      <c r="J75" s="9">
        <v>17.899999999999999</v>
      </c>
      <c r="K75" s="9">
        <v>18.28</v>
      </c>
      <c r="L75" s="9">
        <v>18.59</v>
      </c>
      <c r="M75" s="9">
        <v>18.71</v>
      </c>
      <c r="N75" s="9">
        <v>18.93</v>
      </c>
      <c r="O75" s="9">
        <v>19.010000000000002</v>
      </c>
      <c r="P75" s="9">
        <v>19.170000000000002</v>
      </c>
      <c r="Q75" s="9">
        <v>19.32</v>
      </c>
      <c r="R75" s="9">
        <v>19.399999999999999</v>
      </c>
      <c r="S75" s="9">
        <v>19.559999999999999</v>
      </c>
      <c r="T75" s="9">
        <v>19.670000000000002</v>
      </c>
      <c r="U75" s="9">
        <v>19.78</v>
      </c>
      <c r="V75" s="9">
        <v>19.89</v>
      </c>
      <c r="W75" s="9">
        <v>20.03</v>
      </c>
      <c r="X75" s="9">
        <v>20.170000000000002</v>
      </c>
      <c r="Y75" s="9">
        <v>20.28</v>
      </c>
      <c r="Z75" s="9">
        <v>20.399999999999999</v>
      </c>
      <c r="AA75" s="9">
        <v>20.47</v>
      </c>
      <c r="AB75" s="9">
        <v>20.56</v>
      </c>
      <c r="AC75" s="9">
        <v>20.63</v>
      </c>
      <c r="AD75" s="9">
        <v>20.7</v>
      </c>
      <c r="AE75" s="9">
        <v>20.76</v>
      </c>
      <c r="AF75" s="9">
        <v>20.88</v>
      </c>
      <c r="AG75" s="9">
        <v>20.98</v>
      </c>
      <c r="AH75" s="9">
        <v>21.03</v>
      </c>
      <c r="AI75" s="9">
        <v>21.08</v>
      </c>
      <c r="AJ75" s="9">
        <v>21.14</v>
      </c>
      <c r="AK75" s="9">
        <v>21.21</v>
      </c>
      <c r="AL75" s="9">
        <v>21.27</v>
      </c>
      <c r="AM75" s="9">
        <v>21.35</v>
      </c>
      <c r="AN75" s="9">
        <v>21.38</v>
      </c>
      <c r="AO75" s="9">
        <v>21.45</v>
      </c>
      <c r="AP75" s="9">
        <v>21.49</v>
      </c>
      <c r="AQ75" s="9">
        <v>21.6</v>
      </c>
      <c r="AR75" s="9">
        <v>21.68</v>
      </c>
      <c r="AS75" s="9">
        <v>21.79</v>
      </c>
      <c r="AT75" s="9">
        <v>21.82</v>
      </c>
      <c r="AU75" s="9">
        <v>21.93</v>
      </c>
      <c r="AV75" s="9">
        <v>21.99</v>
      </c>
      <c r="AW75" s="9">
        <v>22.06</v>
      </c>
      <c r="AX75" s="9">
        <v>22.11</v>
      </c>
      <c r="AY75" s="9">
        <v>22.24</v>
      </c>
      <c r="AZ75" s="9">
        <v>22.32</v>
      </c>
      <c r="BA75" s="9">
        <v>22.43</v>
      </c>
      <c r="BB75" s="9">
        <v>22.55</v>
      </c>
      <c r="BC75" s="9">
        <v>22.71</v>
      </c>
      <c r="BD75" s="9">
        <v>22.77</v>
      </c>
      <c r="BE75" s="9">
        <v>22.87</v>
      </c>
      <c r="BF75" s="9">
        <v>22.99</v>
      </c>
      <c r="BG75" s="9">
        <v>23.02</v>
      </c>
      <c r="BH75" s="9">
        <v>23.1</v>
      </c>
      <c r="BI75" s="9">
        <v>23.16</v>
      </c>
      <c r="BJ75" s="9">
        <v>23.26</v>
      </c>
      <c r="BK75" s="9">
        <v>23.33</v>
      </c>
      <c r="BL75" s="9">
        <v>23.4</v>
      </c>
      <c r="BM75" s="9">
        <v>23.48</v>
      </c>
      <c r="BN75" s="9">
        <v>23.53</v>
      </c>
      <c r="BO75" s="9">
        <v>23.62</v>
      </c>
      <c r="BP75" s="9">
        <v>23.75</v>
      </c>
      <c r="BQ75" s="9">
        <v>23.82</v>
      </c>
      <c r="BR75" s="9">
        <v>23.9</v>
      </c>
      <c r="BS75" s="9">
        <v>23.99</v>
      </c>
      <c r="BT75" s="9">
        <v>24.1</v>
      </c>
      <c r="BU75" s="9">
        <v>24.14</v>
      </c>
      <c r="BV75" s="9">
        <v>24.4</v>
      </c>
      <c r="BW75" s="9">
        <v>24.53</v>
      </c>
      <c r="BX75" s="9">
        <v>24.65</v>
      </c>
      <c r="BY75" s="9">
        <v>24.8</v>
      </c>
      <c r="BZ75" s="9">
        <v>24.88</v>
      </c>
      <c r="CA75" s="9">
        <v>25.04</v>
      </c>
      <c r="CB75" s="9">
        <v>25.11</v>
      </c>
      <c r="CC75" s="9">
        <v>25.28</v>
      </c>
      <c r="CD75" s="9">
        <v>25.4</v>
      </c>
      <c r="CE75" s="9">
        <v>25.5</v>
      </c>
      <c r="CF75" s="9">
        <v>25.65</v>
      </c>
      <c r="CG75" s="9">
        <v>25.85</v>
      </c>
      <c r="CH75" s="9">
        <v>26.02</v>
      </c>
      <c r="CI75" s="9">
        <v>26.15</v>
      </c>
      <c r="CJ75" s="9">
        <v>26.28</v>
      </c>
      <c r="CK75" s="9">
        <v>26.45</v>
      </c>
      <c r="CL75" s="9">
        <v>26.55</v>
      </c>
      <c r="CM75" s="9">
        <v>26.74</v>
      </c>
      <c r="CN75" s="9">
        <v>26.89</v>
      </c>
      <c r="CO75" s="9">
        <v>27.14</v>
      </c>
      <c r="CP75" s="9">
        <v>27.29</v>
      </c>
      <c r="CQ75" s="9">
        <v>27.53</v>
      </c>
      <c r="CR75" s="9">
        <v>27.76</v>
      </c>
      <c r="CS75" s="9">
        <v>27.96</v>
      </c>
      <c r="CT75" s="9">
        <v>28.3</v>
      </c>
      <c r="CU75" s="9">
        <v>28.9</v>
      </c>
      <c r="CV75" s="9">
        <v>29.49</v>
      </c>
      <c r="CW75" s="9">
        <v>29.87</v>
      </c>
      <c r="CX75" s="9">
        <v>30.41</v>
      </c>
      <c r="CY75" s="9">
        <v>31.3</v>
      </c>
      <c r="CZ75" s="9">
        <v>31.76</v>
      </c>
      <c r="DA75" s="9">
        <v>32.67</v>
      </c>
      <c r="DB75" s="9">
        <v>35.46</v>
      </c>
    </row>
    <row r="76" spans="1:106">
      <c r="A76" s="1" t="s">
        <v>391</v>
      </c>
      <c r="B76" s="1" t="s">
        <v>371</v>
      </c>
      <c r="C76" s="1" t="s">
        <v>19</v>
      </c>
      <c r="D76" s="1" t="s">
        <v>220</v>
      </c>
      <c r="E76" s="6">
        <v>895</v>
      </c>
      <c r="F76" s="9">
        <v>23.84</v>
      </c>
      <c r="G76" s="9">
        <v>3.61</v>
      </c>
      <c r="H76" s="9">
        <v>17.12</v>
      </c>
      <c r="I76" s="9">
        <v>17.98</v>
      </c>
      <c r="J76" s="9">
        <v>18.489999999999998</v>
      </c>
      <c r="K76" s="9">
        <v>18.77</v>
      </c>
      <c r="L76" s="9">
        <v>19.059999999999999</v>
      </c>
      <c r="M76" s="9">
        <v>19.28</v>
      </c>
      <c r="N76" s="9">
        <v>19.5</v>
      </c>
      <c r="O76" s="9">
        <v>19.600000000000001</v>
      </c>
      <c r="P76" s="9">
        <v>19.760000000000002</v>
      </c>
      <c r="Q76" s="9">
        <v>19.96</v>
      </c>
      <c r="R76" s="9">
        <v>20.170000000000002</v>
      </c>
      <c r="S76" s="9">
        <v>20.29</v>
      </c>
      <c r="T76" s="9">
        <v>20.43</v>
      </c>
      <c r="U76" s="9">
        <v>20.52</v>
      </c>
      <c r="V76" s="9">
        <v>20.63</v>
      </c>
      <c r="W76" s="9">
        <v>20.7</v>
      </c>
      <c r="X76" s="9">
        <v>20.79</v>
      </c>
      <c r="Y76" s="9">
        <v>20.86</v>
      </c>
      <c r="Z76" s="9">
        <v>20.92</v>
      </c>
      <c r="AA76" s="9">
        <v>21.08</v>
      </c>
      <c r="AB76" s="9">
        <v>21.13</v>
      </c>
      <c r="AC76" s="9">
        <v>21.18</v>
      </c>
      <c r="AD76" s="9">
        <v>21.26</v>
      </c>
      <c r="AE76" s="9">
        <v>21.32</v>
      </c>
      <c r="AF76" s="9">
        <v>21.4</v>
      </c>
      <c r="AG76" s="9">
        <v>21.45</v>
      </c>
      <c r="AH76" s="9">
        <v>21.57</v>
      </c>
      <c r="AI76" s="9">
        <v>21.63</v>
      </c>
      <c r="AJ76" s="9">
        <v>21.75</v>
      </c>
      <c r="AK76" s="9">
        <v>21.78</v>
      </c>
      <c r="AL76" s="9">
        <v>21.83</v>
      </c>
      <c r="AM76" s="9">
        <v>21.89</v>
      </c>
      <c r="AN76" s="9">
        <v>21.94</v>
      </c>
      <c r="AO76" s="9">
        <v>22.06</v>
      </c>
      <c r="AP76" s="9">
        <v>22.14</v>
      </c>
      <c r="AQ76" s="9">
        <v>22.26</v>
      </c>
      <c r="AR76" s="9">
        <v>22.32</v>
      </c>
      <c r="AS76" s="9">
        <v>22.5</v>
      </c>
      <c r="AT76" s="9">
        <v>22.59</v>
      </c>
      <c r="AU76" s="9">
        <v>22.64</v>
      </c>
      <c r="AV76" s="9">
        <v>22.71</v>
      </c>
      <c r="AW76" s="9">
        <v>22.76</v>
      </c>
      <c r="AX76" s="9">
        <v>22.89</v>
      </c>
      <c r="AY76" s="9">
        <v>22.95</v>
      </c>
      <c r="AZ76" s="9">
        <v>23.01</v>
      </c>
      <c r="BA76" s="9">
        <v>23.03</v>
      </c>
      <c r="BB76" s="9">
        <v>23.12</v>
      </c>
      <c r="BC76" s="9">
        <v>23.16</v>
      </c>
      <c r="BD76" s="9">
        <v>23.23</v>
      </c>
      <c r="BE76" s="9">
        <v>23.28</v>
      </c>
      <c r="BF76" s="9">
        <v>23.36</v>
      </c>
      <c r="BG76" s="9">
        <v>23.45</v>
      </c>
      <c r="BH76" s="9">
        <v>23.54</v>
      </c>
      <c r="BI76" s="9">
        <v>23.61</v>
      </c>
      <c r="BJ76" s="9">
        <v>23.68</v>
      </c>
      <c r="BK76" s="9">
        <v>23.81</v>
      </c>
      <c r="BL76" s="9">
        <v>23.86</v>
      </c>
      <c r="BM76" s="9">
        <v>23.97</v>
      </c>
      <c r="BN76" s="9">
        <v>24.03</v>
      </c>
      <c r="BO76" s="9">
        <v>24.1</v>
      </c>
      <c r="BP76" s="9">
        <v>24.22</v>
      </c>
      <c r="BQ76" s="9">
        <v>24.28</v>
      </c>
      <c r="BR76" s="9">
        <v>24.42</v>
      </c>
      <c r="BS76" s="9">
        <v>24.5</v>
      </c>
      <c r="BT76" s="9">
        <v>24.56</v>
      </c>
      <c r="BU76" s="9">
        <v>24.65</v>
      </c>
      <c r="BV76" s="9">
        <v>24.73</v>
      </c>
      <c r="BW76" s="9">
        <v>24.8</v>
      </c>
      <c r="BX76" s="9">
        <v>24.9</v>
      </c>
      <c r="BY76" s="9">
        <v>24.99</v>
      </c>
      <c r="BZ76" s="9">
        <v>25.1</v>
      </c>
      <c r="CA76" s="9">
        <v>25.3</v>
      </c>
      <c r="CB76" s="9">
        <v>25.44</v>
      </c>
      <c r="CC76" s="9">
        <v>25.53</v>
      </c>
      <c r="CD76" s="9">
        <v>25.61</v>
      </c>
      <c r="CE76" s="9">
        <v>25.85</v>
      </c>
      <c r="CF76" s="9">
        <v>25.99</v>
      </c>
      <c r="CG76" s="9">
        <v>26.14</v>
      </c>
      <c r="CH76" s="9">
        <v>26.29</v>
      </c>
      <c r="CI76" s="9">
        <v>26.42</v>
      </c>
      <c r="CJ76" s="9">
        <v>26.5</v>
      </c>
      <c r="CK76" s="9">
        <v>26.67</v>
      </c>
      <c r="CL76" s="9">
        <v>26.85</v>
      </c>
      <c r="CM76" s="9">
        <v>27.05</v>
      </c>
      <c r="CN76" s="9">
        <v>27.34</v>
      </c>
      <c r="CO76" s="9">
        <v>27.54</v>
      </c>
      <c r="CP76" s="9">
        <v>27.72</v>
      </c>
      <c r="CQ76" s="9">
        <v>27.92</v>
      </c>
      <c r="CR76" s="9">
        <v>28.22</v>
      </c>
      <c r="CS76" s="9">
        <v>28.43</v>
      </c>
      <c r="CT76" s="9">
        <v>28.59</v>
      </c>
      <c r="CU76" s="9">
        <v>29.03</v>
      </c>
      <c r="CV76" s="9">
        <v>29.4</v>
      </c>
      <c r="CW76" s="9">
        <v>29.81</v>
      </c>
      <c r="CX76" s="9">
        <v>30.19</v>
      </c>
      <c r="CY76" s="9">
        <v>30.72</v>
      </c>
      <c r="CZ76" s="9">
        <v>31.44</v>
      </c>
      <c r="DA76" s="9">
        <v>32.32</v>
      </c>
      <c r="DB76" s="9">
        <v>34.700000000000003</v>
      </c>
    </row>
    <row r="77" spans="1:106">
      <c r="A77" s="1" t="s">
        <v>392</v>
      </c>
      <c r="B77" s="1" t="s">
        <v>371</v>
      </c>
      <c r="C77" s="1" t="s">
        <v>19</v>
      </c>
      <c r="D77" s="1" t="s">
        <v>222</v>
      </c>
      <c r="E77" s="6">
        <v>1094</v>
      </c>
      <c r="F77" s="9">
        <v>24.01</v>
      </c>
      <c r="G77" s="9">
        <v>3.46</v>
      </c>
      <c r="H77" s="9">
        <v>17.260000000000002</v>
      </c>
      <c r="I77" s="9">
        <v>18.18</v>
      </c>
      <c r="J77" s="9">
        <v>18.55</v>
      </c>
      <c r="K77" s="9">
        <v>18.8</v>
      </c>
      <c r="L77" s="9">
        <v>19.059999999999999</v>
      </c>
      <c r="M77" s="9">
        <v>19.329999999999998</v>
      </c>
      <c r="N77" s="9">
        <v>19.54</v>
      </c>
      <c r="O77" s="9">
        <v>19.68</v>
      </c>
      <c r="P77" s="9">
        <v>19.920000000000002</v>
      </c>
      <c r="Q77" s="9">
        <v>20.02</v>
      </c>
      <c r="R77" s="9">
        <v>20.11</v>
      </c>
      <c r="S77" s="9">
        <v>20.260000000000002</v>
      </c>
      <c r="T77" s="9">
        <v>20.41</v>
      </c>
      <c r="U77" s="9">
        <v>20.49</v>
      </c>
      <c r="V77" s="9">
        <v>20.67</v>
      </c>
      <c r="W77" s="9">
        <v>20.73</v>
      </c>
      <c r="X77" s="9">
        <v>20.79</v>
      </c>
      <c r="Y77" s="9">
        <v>20.88</v>
      </c>
      <c r="Z77" s="9">
        <v>20.97</v>
      </c>
      <c r="AA77" s="9">
        <v>21.11</v>
      </c>
      <c r="AB77" s="9">
        <v>21.2</v>
      </c>
      <c r="AC77" s="9">
        <v>21.25</v>
      </c>
      <c r="AD77" s="9">
        <v>21.3</v>
      </c>
      <c r="AE77" s="9">
        <v>21.42</v>
      </c>
      <c r="AF77" s="9">
        <v>21.49</v>
      </c>
      <c r="AG77" s="9">
        <v>21.55</v>
      </c>
      <c r="AH77" s="9">
        <v>21.6</v>
      </c>
      <c r="AI77" s="9">
        <v>21.67</v>
      </c>
      <c r="AJ77" s="9">
        <v>21.78</v>
      </c>
      <c r="AK77" s="9">
        <v>21.84</v>
      </c>
      <c r="AL77" s="9">
        <v>21.98</v>
      </c>
      <c r="AM77" s="9">
        <v>22.07</v>
      </c>
      <c r="AN77" s="9">
        <v>22.2</v>
      </c>
      <c r="AO77" s="9">
        <v>22.26</v>
      </c>
      <c r="AP77" s="9">
        <v>22.35</v>
      </c>
      <c r="AQ77" s="9">
        <v>22.46</v>
      </c>
      <c r="AR77" s="9">
        <v>22.56</v>
      </c>
      <c r="AS77" s="9">
        <v>22.65</v>
      </c>
      <c r="AT77" s="9">
        <v>22.74</v>
      </c>
      <c r="AU77" s="9">
        <v>22.81</v>
      </c>
      <c r="AV77" s="9">
        <v>22.89</v>
      </c>
      <c r="AW77" s="9">
        <v>22.96</v>
      </c>
      <c r="AX77" s="9">
        <v>23.01</v>
      </c>
      <c r="AY77" s="9">
        <v>23.11</v>
      </c>
      <c r="AZ77" s="9">
        <v>23.23</v>
      </c>
      <c r="BA77" s="9">
        <v>23.34</v>
      </c>
      <c r="BB77" s="9">
        <v>23.4</v>
      </c>
      <c r="BC77" s="9">
        <v>23.46</v>
      </c>
      <c r="BD77" s="9">
        <v>23.59</v>
      </c>
      <c r="BE77" s="9">
        <v>23.65</v>
      </c>
      <c r="BF77" s="9">
        <v>23.7</v>
      </c>
      <c r="BG77" s="9">
        <v>23.78</v>
      </c>
      <c r="BH77" s="9">
        <v>23.88</v>
      </c>
      <c r="BI77" s="9">
        <v>23.93</v>
      </c>
      <c r="BJ77" s="9">
        <v>24.01</v>
      </c>
      <c r="BK77" s="9">
        <v>24.12</v>
      </c>
      <c r="BL77" s="9">
        <v>24.18</v>
      </c>
      <c r="BM77" s="9">
        <v>24.3</v>
      </c>
      <c r="BN77" s="9">
        <v>24.39</v>
      </c>
      <c r="BO77" s="9">
        <v>24.46</v>
      </c>
      <c r="BP77" s="9">
        <v>24.53</v>
      </c>
      <c r="BQ77" s="9">
        <v>24.58</v>
      </c>
      <c r="BR77" s="9">
        <v>24.63</v>
      </c>
      <c r="BS77" s="9">
        <v>24.72</v>
      </c>
      <c r="BT77" s="9">
        <v>24.84</v>
      </c>
      <c r="BU77" s="9">
        <v>24.94</v>
      </c>
      <c r="BV77" s="9">
        <v>25.07</v>
      </c>
      <c r="BW77" s="9">
        <v>25.17</v>
      </c>
      <c r="BX77" s="9">
        <v>25.27</v>
      </c>
      <c r="BY77" s="9">
        <v>25.37</v>
      </c>
      <c r="BZ77" s="9">
        <v>25.45</v>
      </c>
      <c r="CA77" s="9">
        <v>25.59</v>
      </c>
      <c r="CB77" s="9">
        <v>25.73</v>
      </c>
      <c r="CC77" s="9">
        <v>25.81</v>
      </c>
      <c r="CD77" s="9">
        <v>25.97</v>
      </c>
      <c r="CE77" s="9">
        <v>26.04</v>
      </c>
      <c r="CF77" s="9">
        <v>26.23</v>
      </c>
      <c r="CG77" s="9">
        <v>26.43</v>
      </c>
      <c r="CH77" s="9">
        <v>26.51</v>
      </c>
      <c r="CI77" s="9">
        <v>26.65</v>
      </c>
      <c r="CJ77" s="9">
        <v>26.73</v>
      </c>
      <c r="CK77" s="9">
        <v>26.93</v>
      </c>
      <c r="CL77" s="9">
        <v>27.08</v>
      </c>
      <c r="CM77" s="9">
        <v>27.3</v>
      </c>
      <c r="CN77" s="9">
        <v>27.54</v>
      </c>
      <c r="CO77" s="9">
        <v>27.69</v>
      </c>
      <c r="CP77" s="9">
        <v>27.91</v>
      </c>
      <c r="CQ77" s="9">
        <v>28.16</v>
      </c>
      <c r="CR77" s="9">
        <v>28.45</v>
      </c>
      <c r="CS77" s="9">
        <v>28.7</v>
      </c>
      <c r="CT77" s="9">
        <v>28.8</v>
      </c>
      <c r="CU77" s="9">
        <v>29.07</v>
      </c>
      <c r="CV77" s="9">
        <v>29.53</v>
      </c>
      <c r="CW77" s="9">
        <v>29.96</v>
      </c>
      <c r="CX77" s="9">
        <v>30.7</v>
      </c>
      <c r="CY77" s="9">
        <v>31.44</v>
      </c>
      <c r="CZ77" s="9">
        <v>31.99</v>
      </c>
      <c r="DA77" s="9">
        <v>32.56</v>
      </c>
      <c r="DB77" s="9">
        <v>34.69</v>
      </c>
    </row>
    <row r="78" spans="1:106">
      <c r="A78" s="1" t="s">
        <v>393</v>
      </c>
      <c r="B78" s="1" t="s">
        <v>371</v>
      </c>
      <c r="C78" s="1" t="s">
        <v>19</v>
      </c>
      <c r="D78" s="1" t="s">
        <v>224</v>
      </c>
      <c r="E78" s="6">
        <v>1016</v>
      </c>
      <c r="F78" s="9">
        <v>24.25</v>
      </c>
      <c r="G78" s="9">
        <v>3.32</v>
      </c>
      <c r="H78" s="9">
        <v>17.239999999999998</v>
      </c>
      <c r="I78" s="9">
        <v>17.91</v>
      </c>
      <c r="J78" s="9">
        <v>18.600000000000001</v>
      </c>
      <c r="K78" s="9">
        <v>19.04</v>
      </c>
      <c r="L78" s="9">
        <v>19.329999999999998</v>
      </c>
      <c r="M78" s="9">
        <v>19.45</v>
      </c>
      <c r="N78" s="9">
        <v>19.579999999999998</v>
      </c>
      <c r="O78" s="9">
        <v>19.88</v>
      </c>
      <c r="P78" s="9">
        <v>20</v>
      </c>
      <c r="Q78" s="9">
        <v>20.23</v>
      </c>
      <c r="R78" s="9">
        <v>20.41</v>
      </c>
      <c r="S78" s="9">
        <v>20.53</v>
      </c>
      <c r="T78" s="9">
        <v>20.71</v>
      </c>
      <c r="U78" s="9">
        <v>20.81</v>
      </c>
      <c r="V78" s="9">
        <v>20.96</v>
      </c>
      <c r="W78" s="9">
        <v>21.14</v>
      </c>
      <c r="X78" s="9">
        <v>21.26</v>
      </c>
      <c r="Y78" s="9">
        <v>21.43</v>
      </c>
      <c r="Z78" s="9">
        <v>21.56</v>
      </c>
      <c r="AA78" s="9">
        <v>21.64</v>
      </c>
      <c r="AB78" s="9">
        <v>21.73</v>
      </c>
      <c r="AC78" s="9">
        <v>21.8</v>
      </c>
      <c r="AD78" s="9">
        <v>21.95</v>
      </c>
      <c r="AE78" s="9">
        <v>22.02</v>
      </c>
      <c r="AF78" s="9">
        <v>22.06</v>
      </c>
      <c r="AG78" s="9">
        <v>22.19</v>
      </c>
      <c r="AH78" s="9">
        <v>22.29</v>
      </c>
      <c r="AI78" s="9">
        <v>22.38</v>
      </c>
      <c r="AJ78" s="9">
        <v>22.46</v>
      </c>
      <c r="AK78" s="9">
        <v>22.52</v>
      </c>
      <c r="AL78" s="9">
        <v>22.61</v>
      </c>
      <c r="AM78" s="9">
        <v>22.67</v>
      </c>
      <c r="AN78" s="9">
        <v>22.75</v>
      </c>
      <c r="AO78" s="9">
        <v>22.81</v>
      </c>
      <c r="AP78" s="9">
        <v>22.89</v>
      </c>
      <c r="AQ78" s="9">
        <v>22.93</v>
      </c>
      <c r="AR78" s="9">
        <v>23</v>
      </c>
      <c r="AS78" s="9">
        <v>23.08</v>
      </c>
      <c r="AT78" s="9">
        <v>23.11</v>
      </c>
      <c r="AU78" s="9">
        <v>23.2</v>
      </c>
      <c r="AV78" s="9">
        <v>23.27</v>
      </c>
      <c r="AW78" s="9">
        <v>23.32</v>
      </c>
      <c r="AX78" s="9">
        <v>23.39</v>
      </c>
      <c r="AY78" s="9">
        <v>23.44</v>
      </c>
      <c r="AZ78" s="9">
        <v>23.51</v>
      </c>
      <c r="BA78" s="9">
        <v>23.58</v>
      </c>
      <c r="BB78" s="9">
        <v>23.66</v>
      </c>
      <c r="BC78" s="9">
        <v>23.7</v>
      </c>
      <c r="BD78" s="9">
        <v>23.75</v>
      </c>
      <c r="BE78" s="9">
        <v>23.87</v>
      </c>
      <c r="BF78" s="9">
        <v>23.95</v>
      </c>
      <c r="BG78" s="9">
        <v>24.02</v>
      </c>
      <c r="BH78" s="9">
        <v>24.07</v>
      </c>
      <c r="BI78" s="9">
        <v>24.14</v>
      </c>
      <c r="BJ78" s="9">
        <v>24.28</v>
      </c>
      <c r="BK78" s="9">
        <v>24.35</v>
      </c>
      <c r="BL78" s="9">
        <v>24.47</v>
      </c>
      <c r="BM78" s="9">
        <v>24.53</v>
      </c>
      <c r="BN78" s="9">
        <v>24.62</v>
      </c>
      <c r="BO78" s="9">
        <v>24.73</v>
      </c>
      <c r="BP78" s="9">
        <v>24.8</v>
      </c>
      <c r="BQ78" s="9">
        <v>24.89</v>
      </c>
      <c r="BR78" s="9">
        <v>25</v>
      </c>
      <c r="BS78" s="9">
        <v>25.09</v>
      </c>
      <c r="BT78" s="9">
        <v>25.16</v>
      </c>
      <c r="BU78" s="9">
        <v>25.22</v>
      </c>
      <c r="BV78" s="9">
        <v>25.29</v>
      </c>
      <c r="BW78" s="9">
        <v>25.38</v>
      </c>
      <c r="BX78" s="9">
        <v>25.51</v>
      </c>
      <c r="BY78" s="9">
        <v>25.62</v>
      </c>
      <c r="BZ78" s="9">
        <v>25.71</v>
      </c>
      <c r="CA78" s="9">
        <v>25.79</v>
      </c>
      <c r="CB78" s="9">
        <v>25.91</v>
      </c>
      <c r="CC78" s="9">
        <v>26.01</v>
      </c>
      <c r="CD78" s="9">
        <v>26.08</v>
      </c>
      <c r="CE78" s="9">
        <v>26.28</v>
      </c>
      <c r="CF78" s="9">
        <v>26.39</v>
      </c>
      <c r="CG78" s="9">
        <v>26.48</v>
      </c>
      <c r="CH78" s="9">
        <v>26.58</v>
      </c>
      <c r="CI78" s="9">
        <v>26.7</v>
      </c>
      <c r="CJ78" s="9">
        <v>26.89</v>
      </c>
      <c r="CK78" s="9">
        <v>27.1</v>
      </c>
      <c r="CL78" s="9">
        <v>27.22</v>
      </c>
      <c r="CM78" s="9">
        <v>27.31</v>
      </c>
      <c r="CN78" s="9">
        <v>27.55</v>
      </c>
      <c r="CO78" s="9">
        <v>27.77</v>
      </c>
      <c r="CP78" s="9">
        <v>27.92</v>
      </c>
      <c r="CQ78" s="9">
        <v>28.08</v>
      </c>
      <c r="CR78" s="9">
        <v>28.31</v>
      </c>
      <c r="CS78" s="9">
        <v>28.53</v>
      </c>
      <c r="CT78" s="9">
        <v>28.77</v>
      </c>
      <c r="CU78" s="9">
        <v>28.98</v>
      </c>
      <c r="CV78" s="9">
        <v>29.4</v>
      </c>
      <c r="CW78" s="9">
        <v>29.7</v>
      </c>
      <c r="CX78" s="9">
        <v>30.27</v>
      </c>
      <c r="CY78" s="9">
        <v>31.05</v>
      </c>
      <c r="CZ78" s="9">
        <v>31.84</v>
      </c>
      <c r="DA78" s="9">
        <v>32.42</v>
      </c>
      <c r="DB78" s="9">
        <v>33.909999999999997</v>
      </c>
    </row>
    <row r="79" spans="1:106">
      <c r="A79" s="1" t="s">
        <v>394</v>
      </c>
      <c r="B79" s="1" t="s">
        <v>371</v>
      </c>
      <c r="C79" s="1" t="s">
        <v>19</v>
      </c>
      <c r="D79" s="1" t="s">
        <v>356</v>
      </c>
      <c r="E79" s="6">
        <v>783</v>
      </c>
      <c r="F79" s="9">
        <v>24.28</v>
      </c>
      <c r="G79" s="9">
        <v>3.32</v>
      </c>
      <c r="H79" s="9">
        <v>16.23</v>
      </c>
      <c r="I79" s="9">
        <v>17.43</v>
      </c>
      <c r="J79" s="9">
        <v>18.2</v>
      </c>
      <c r="K79" s="9">
        <v>18.600000000000001</v>
      </c>
      <c r="L79" s="9">
        <v>18.91</v>
      </c>
      <c r="M79" s="9">
        <v>19.350000000000001</v>
      </c>
      <c r="N79" s="9">
        <v>19.649999999999999</v>
      </c>
      <c r="O79" s="9">
        <v>19.84</v>
      </c>
      <c r="P79" s="9">
        <v>20.010000000000002</v>
      </c>
      <c r="Q79" s="9">
        <v>20.170000000000002</v>
      </c>
      <c r="R79" s="9">
        <v>20.309999999999999</v>
      </c>
      <c r="S79" s="9">
        <v>20.57</v>
      </c>
      <c r="T79" s="9">
        <v>20.68</v>
      </c>
      <c r="U79" s="9">
        <v>20.83</v>
      </c>
      <c r="V79" s="9">
        <v>20.89</v>
      </c>
      <c r="W79" s="9">
        <v>21.03</v>
      </c>
      <c r="X79" s="9">
        <v>21.24</v>
      </c>
      <c r="Y79" s="9">
        <v>21.42</v>
      </c>
      <c r="Z79" s="9">
        <v>21.51</v>
      </c>
      <c r="AA79" s="9">
        <v>21.61</v>
      </c>
      <c r="AB79" s="9">
        <v>21.69</v>
      </c>
      <c r="AC79" s="9">
        <v>21.79</v>
      </c>
      <c r="AD79" s="9">
        <v>21.92</v>
      </c>
      <c r="AE79" s="9">
        <v>22</v>
      </c>
      <c r="AF79" s="9">
        <v>22.07</v>
      </c>
      <c r="AG79" s="9">
        <v>22.25</v>
      </c>
      <c r="AH79" s="9">
        <v>22.32</v>
      </c>
      <c r="AI79" s="9">
        <v>22.37</v>
      </c>
      <c r="AJ79" s="9">
        <v>22.48</v>
      </c>
      <c r="AK79" s="9">
        <v>22.55</v>
      </c>
      <c r="AL79" s="9">
        <v>22.6</v>
      </c>
      <c r="AM79" s="9">
        <v>22.63</v>
      </c>
      <c r="AN79" s="9">
        <v>22.73</v>
      </c>
      <c r="AO79" s="9">
        <v>22.78</v>
      </c>
      <c r="AP79" s="9">
        <v>22.87</v>
      </c>
      <c r="AQ79" s="9">
        <v>22.92</v>
      </c>
      <c r="AR79" s="9">
        <v>22.96</v>
      </c>
      <c r="AS79" s="9">
        <v>23</v>
      </c>
      <c r="AT79" s="9">
        <v>23.16</v>
      </c>
      <c r="AU79" s="9">
        <v>23.23</v>
      </c>
      <c r="AV79" s="9">
        <v>23.31</v>
      </c>
      <c r="AW79" s="9">
        <v>23.42</v>
      </c>
      <c r="AX79" s="9">
        <v>23.51</v>
      </c>
      <c r="AY79" s="9">
        <v>23.59</v>
      </c>
      <c r="AZ79" s="9">
        <v>23.63</v>
      </c>
      <c r="BA79" s="9">
        <v>23.79</v>
      </c>
      <c r="BB79" s="9">
        <v>23.91</v>
      </c>
      <c r="BC79" s="9">
        <v>24.01</v>
      </c>
      <c r="BD79" s="9">
        <v>24.1</v>
      </c>
      <c r="BE79" s="9">
        <v>24.18</v>
      </c>
      <c r="BF79" s="9">
        <v>24.3</v>
      </c>
      <c r="BG79" s="9">
        <v>24.39</v>
      </c>
      <c r="BH79" s="9">
        <v>24.46</v>
      </c>
      <c r="BI79" s="9">
        <v>24.54</v>
      </c>
      <c r="BJ79" s="9">
        <v>24.58</v>
      </c>
      <c r="BK79" s="9">
        <v>24.61</v>
      </c>
      <c r="BL79" s="9">
        <v>24.69</v>
      </c>
      <c r="BM79" s="9">
        <v>24.82</v>
      </c>
      <c r="BN79" s="9">
        <v>24.92</v>
      </c>
      <c r="BO79" s="9">
        <v>24.97</v>
      </c>
      <c r="BP79" s="9">
        <v>25.05</v>
      </c>
      <c r="BQ79" s="9">
        <v>25.1</v>
      </c>
      <c r="BR79" s="9">
        <v>25.18</v>
      </c>
      <c r="BS79" s="9">
        <v>25.33</v>
      </c>
      <c r="BT79" s="9">
        <v>25.48</v>
      </c>
      <c r="BU79" s="9">
        <v>25.58</v>
      </c>
      <c r="BV79" s="9">
        <v>25.65</v>
      </c>
      <c r="BW79" s="9">
        <v>25.7</v>
      </c>
      <c r="BX79" s="9">
        <v>25.82</v>
      </c>
      <c r="BY79" s="9">
        <v>25.97</v>
      </c>
      <c r="BZ79" s="9">
        <v>26.07</v>
      </c>
      <c r="CA79" s="9">
        <v>26.13</v>
      </c>
      <c r="CB79" s="9">
        <v>26.16</v>
      </c>
      <c r="CC79" s="9">
        <v>26.32</v>
      </c>
      <c r="CD79" s="9">
        <v>26.45</v>
      </c>
      <c r="CE79" s="9">
        <v>26.54</v>
      </c>
      <c r="CF79" s="9">
        <v>26.74</v>
      </c>
      <c r="CG79" s="9">
        <v>26.83</v>
      </c>
      <c r="CH79" s="9">
        <v>26.96</v>
      </c>
      <c r="CI79" s="9">
        <v>27.06</v>
      </c>
      <c r="CJ79" s="9">
        <v>27.19</v>
      </c>
      <c r="CK79" s="9">
        <v>27.31</v>
      </c>
      <c r="CL79" s="9">
        <v>27.49</v>
      </c>
      <c r="CM79" s="9">
        <v>27.62</v>
      </c>
      <c r="CN79" s="9">
        <v>27.72</v>
      </c>
      <c r="CO79" s="9">
        <v>27.84</v>
      </c>
      <c r="CP79" s="9">
        <v>28</v>
      </c>
      <c r="CQ79" s="9">
        <v>28.2</v>
      </c>
      <c r="CR79" s="9">
        <v>28.35</v>
      </c>
      <c r="CS79" s="9">
        <v>28.47</v>
      </c>
      <c r="CT79" s="9">
        <v>28.65</v>
      </c>
      <c r="CU79" s="9">
        <v>28.86</v>
      </c>
      <c r="CV79" s="9">
        <v>29.25</v>
      </c>
      <c r="CW79" s="9">
        <v>29.51</v>
      </c>
      <c r="CX79" s="9">
        <v>29.95</v>
      </c>
      <c r="CY79" s="9">
        <v>30.22</v>
      </c>
      <c r="CZ79" s="9">
        <v>30.55</v>
      </c>
      <c r="DA79" s="9">
        <v>30.75</v>
      </c>
      <c r="DB79" s="9">
        <v>32.549999999999997</v>
      </c>
    </row>
    <row r="80" spans="1:106">
      <c r="A80" s="1" t="s">
        <v>395</v>
      </c>
      <c r="B80" s="1" t="s">
        <v>371</v>
      </c>
      <c r="C80" s="1" t="s">
        <v>19</v>
      </c>
      <c r="D80" s="1" t="s">
        <v>358</v>
      </c>
      <c r="E80" s="6">
        <v>595</v>
      </c>
      <c r="F80" s="9">
        <v>24.4</v>
      </c>
      <c r="G80" s="9">
        <v>3.16</v>
      </c>
      <c r="H80" s="9">
        <v>17.02</v>
      </c>
      <c r="I80" s="9">
        <v>18.690000000000001</v>
      </c>
      <c r="J80" s="9">
        <v>19.149999999999999</v>
      </c>
      <c r="K80" s="9">
        <v>19.46</v>
      </c>
      <c r="L80" s="9">
        <v>19.5</v>
      </c>
      <c r="M80" s="9">
        <v>19.71</v>
      </c>
      <c r="N80" s="9">
        <v>19.940000000000001</v>
      </c>
      <c r="O80" s="9">
        <v>20.149999999999999</v>
      </c>
      <c r="P80" s="9">
        <v>20.3</v>
      </c>
      <c r="Q80" s="9">
        <v>20.54</v>
      </c>
      <c r="R80" s="9">
        <v>20.58</v>
      </c>
      <c r="S80" s="9">
        <v>20.71</v>
      </c>
      <c r="T80" s="9">
        <v>20.82</v>
      </c>
      <c r="U80" s="9">
        <v>21</v>
      </c>
      <c r="V80" s="9">
        <v>21.07</v>
      </c>
      <c r="W80" s="9">
        <v>21.24</v>
      </c>
      <c r="X80" s="9">
        <v>21.28</v>
      </c>
      <c r="Y80" s="9">
        <v>21.36</v>
      </c>
      <c r="Z80" s="9">
        <v>21.48</v>
      </c>
      <c r="AA80" s="9">
        <v>21.63</v>
      </c>
      <c r="AB80" s="9">
        <v>21.73</v>
      </c>
      <c r="AC80" s="9">
        <v>21.78</v>
      </c>
      <c r="AD80" s="9">
        <v>21.84</v>
      </c>
      <c r="AE80" s="9">
        <v>22.02</v>
      </c>
      <c r="AF80" s="9">
        <v>22.09</v>
      </c>
      <c r="AG80" s="9">
        <v>22.17</v>
      </c>
      <c r="AH80" s="9">
        <v>22.21</v>
      </c>
      <c r="AI80" s="9">
        <v>22.28</v>
      </c>
      <c r="AJ80" s="9">
        <v>22.39</v>
      </c>
      <c r="AK80" s="9">
        <v>22.46</v>
      </c>
      <c r="AL80" s="9">
        <v>22.6</v>
      </c>
      <c r="AM80" s="9">
        <v>22.66</v>
      </c>
      <c r="AN80" s="9">
        <v>22.78</v>
      </c>
      <c r="AO80" s="9">
        <v>22.82</v>
      </c>
      <c r="AP80" s="9">
        <v>22.88</v>
      </c>
      <c r="AQ80" s="9">
        <v>22.98</v>
      </c>
      <c r="AR80" s="9">
        <v>23.1</v>
      </c>
      <c r="AS80" s="9">
        <v>23.17</v>
      </c>
      <c r="AT80" s="9">
        <v>23.27</v>
      </c>
      <c r="AU80" s="9">
        <v>23.41</v>
      </c>
      <c r="AV80" s="9">
        <v>23.58</v>
      </c>
      <c r="AW80" s="9">
        <v>23.72</v>
      </c>
      <c r="AX80" s="9">
        <v>23.79</v>
      </c>
      <c r="AY80" s="9">
        <v>23.86</v>
      </c>
      <c r="AZ80" s="9">
        <v>23.91</v>
      </c>
      <c r="BA80" s="9">
        <v>24.02</v>
      </c>
      <c r="BB80" s="9">
        <v>24.06</v>
      </c>
      <c r="BC80" s="9">
        <v>24.17</v>
      </c>
      <c r="BD80" s="9">
        <v>24.27</v>
      </c>
      <c r="BE80" s="9">
        <v>24.37</v>
      </c>
      <c r="BF80" s="9">
        <v>24.45</v>
      </c>
      <c r="BG80" s="9">
        <v>24.51</v>
      </c>
      <c r="BH80" s="9">
        <v>24.61</v>
      </c>
      <c r="BI80" s="9">
        <v>24.65</v>
      </c>
      <c r="BJ80" s="9">
        <v>24.73</v>
      </c>
      <c r="BK80" s="9">
        <v>24.83</v>
      </c>
      <c r="BL80" s="9">
        <v>24.92</v>
      </c>
      <c r="BM80" s="9">
        <v>25.03</v>
      </c>
      <c r="BN80" s="9">
        <v>25.08</v>
      </c>
      <c r="BO80" s="9">
        <v>25.24</v>
      </c>
      <c r="BP80" s="9">
        <v>25.27</v>
      </c>
      <c r="BQ80" s="9">
        <v>25.4</v>
      </c>
      <c r="BR80" s="9">
        <v>25.52</v>
      </c>
      <c r="BS80" s="9">
        <v>25.57</v>
      </c>
      <c r="BT80" s="9">
        <v>25.67</v>
      </c>
      <c r="BU80" s="9">
        <v>25.75</v>
      </c>
      <c r="BV80" s="9">
        <v>25.81</v>
      </c>
      <c r="BW80" s="9">
        <v>25.97</v>
      </c>
      <c r="BX80" s="9">
        <v>26.01</v>
      </c>
      <c r="BY80" s="9">
        <v>26.07</v>
      </c>
      <c r="BZ80" s="9">
        <v>26.18</v>
      </c>
      <c r="CA80" s="9">
        <v>26.2</v>
      </c>
      <c r="CB80" s="9">
        <v>26.25</v>
      </c>
      <c r="CC80" s="9">
        <v>26.41</v>
      </c>
      <c r="CD80" s="9">
        <v>26.44</v>
      </c>
      <c r="CE80" s="9">
        <v>26.55</v>
      </c>
      <c r="CF80" s="9">
        <v>26.63</v>
      </c>
      <c r="CG80" s="9">
        <v>26.81</v>
      </c>
      <c r="CH80" s="9">
        <v>26.89</v>
      </c>
      <c r="CI80" s="9">
        <v>27</v>
      </c>
      <c r="CJ80" s="9">
        <v>27.19</v>
      </c>
      <c r="CK80" s="9">
        <v>27.36</v>
      </c>
      <c r="CL80" s="9">
        <v>27.55</v>
      </c>
      <c r="CM80" s="9">
        <v>27.69</v>
      </c>
      <c r="CN80" s="9">
        <v>27.78</v>
      </c>
      <c r="CO80" s="9">
        <v>27.87</v>
      </c>
      <c r="CP80" s="9">
        <v>27.99</v>
      </c>
      <c r="CQ80" s="9">
        <v>28.23</v>
      </c>
      <c r="CR80" s="9">
        <v>28.41</v>
      </c>
      <c r="CS80" s="9">
        <v>28.56</v>
      </c>
      <c r="CT80" s="9">
        <v>28.68</v>
      </c>
      <c r="CU80" s="9">
        <v>28.91</v>
      </c>
      <c r="CV80" s="9">
        <v>29.04</v>
      </c>
      <c r="CW80" s="9">
        <v>29.2</v>
      </c>
      <c r="CX80" s="9">
        <v>29.4</v>
      </c>
      <c r="CY80" s="9">
        <v>29.89</v>
      </c>
      <c r="CZ80" s="9">
        <v>30.16</v>
      </c>
      <c r="DA80" s="9">
        <v>30.65</v>
      </c>
      <c r="DB80" s="9">
        <v>32</v>
      </c>
    </row>
    <row r="81" spans="1:106">
      <c r="A81" s="1" t="s">
        <v>396</v>
      </c>
      <c r="B81" s="1" t="s">
        <v>371</v>
      </c>
      <c r="C81" s="1" t="s">
        <v>19</v>
      </c>
      <c r="D81" s="1" t="s">
        <v>360</v>
      </c>
      <c r="E81" s="6">
        <v>527</v>
      </c>
      <c r="F81" s="9">
        <v>23.81</v>
      </c>
      <c r="G81" s="9">
        <v>3.32</v>
      </c>
      <c r="H81" s="9">
        <v>16.04</v>
      </c>
      <c r="I81" s="9">
        <v>17.41</v>
      </c>
      <c r="J81" s="9">
        <v>17.84</v>
      </c>
      <c r="K81" s="9">
        <v>18.71</v>
      </c>
      <c r="L81" s="9">
        <v>18.84</v>
      </c>
      <c r="M81" s="9">
        <v>19.04</v>
      </c>
      <c r="N81" s="9">
        <v>19.18</v>
      </c>
      <c r="O81" s="9">
        <v>19.37</v>
      </c>
      <c r="P81" s="9">
        <v>19.46</v>
      </c>
      <c r="Q81" s="9">
        <v>19.61</v>
      </c>
      <c r="R81" s="9">
        <v>19.739999999999998</v>
      </c>
      <c r="S81" s="9">
        <v>19.809999999999999</v>
      </c>
      <c r="T81" s="9">
        <v>19.940000000000001</v>
      </c>
      <c r="U81" s="9">
        <v>20.36</v>
      </c>
      <c r="V81" s="9">
        <v>20.420000000000002</v>
      </c>
      <c r="W81" s="9">
        <v>20.47</v>
      </c>
      <c r="X81" s="9">
        <v>20.58</v>
      </c>
      <c r="Y81" s="9">
        <v>20.64</v>
      </c>
      <c r="Z81" s="9">
        <v>20.75</v>
      </c>
      <c r="AA81" s="9">
        <v>20.9</v>
      </c>
      <c r="AB81" s="9">
        <v>21.15</v>
      </c>
      <c r="AC81" s="9">
        <v>21.3</v>
      </c>
      <c r="AD81" s="9">
        <v>21.46</v>
      </c>
      <c r="AE81" s="9">
        <v>21.52</v>
      </c>
      <c r="AF81" s="9">
        <v>21.64</v>
      </c>
      <c r="AG81" s="9">
        <v>21.84</v>
      </c>
      <c r="AH81" s="9">
        <v>21.87</v>
      </c>
      <c r="AI81" s="9">
        <v>22.04</v>
      </c>
      <c r="AJ81" s="9">
        <v>22.17</v>
      </c>
      <c r="AK81" s="9">
        <v>22.3</v>
      </c>
      <c r="AL81" s="9">
        <v>22.36</v>
      </c>
      <c r="AM81" s="9">
        <v>22.48</v>
      </c>
      <c r="AN81" s="9">
        <v>22.52</v>
      </c>
      <c r="AO81" s="9">
        <v>22.63</v>
      </c>
      <c r="AP81" s="9">
        <v>22.7</v>
      </c>
      <c r="AQ81" s="9">
        <v>22.8</v>
      </c>
      <c r="AR81" s="9">
        <v>22.9</v>
      </c>
      <c r="AS81" s="9">
        <v>22.96</v>
      </c>
      <c r="AT81" s="9">
        <v>22.99</v>
      </c>
      <c r="AU81" s="9">
        <v>23.09</v>
      </c>
      <c r="AV81" s="9">
        <v>23.12</v>
      </c>
      <c r="AW81" s="9">
        <v>23.22</v>
      </c>
      <c r="AX81" s="9">
        <v>23.29</v>
      </c>
      <c r="AY81" s="9">
        <v>23.38</v>
      </c>
      <c r="AZ81" s="9">
        <v>23.41</v>
      </c>
      <c r="BA81" s="9">
        <v>23.46</v>
      </c>
      <c r="BB81" s="9">
        <v>23.53</v>
      </c>
      <c r="BC81" s="9">
        <v>23.59</v>
      </c>
      <c r="BD81" s="9">
        <v>23.66</v>
      </c>
      <c r="BE81" s="9">
        <v>23.73</v>
      </c>
      <c r="BF81" s="9">
        <v>23.78</v>
      </c>
      <c r="BG81" s="9">
        <v>23.83</v>
      </c>
      <c r="BH81" s="9">
        <v>23.94</v>
      </c>
      <c r="BI81" s="9">
        <v>24</v>
      </c>
      <c r="BJ81" s="9">
        <v>24.1</v>
      </c>
      <c r="BK81" s="9">
        <v>24.11</v>
      </c>
      <c r="BL81" s="9">
        <v>24.24</v>
      </c>
      <c r="BM81" s="9">
        <v>24.29</v>
      </c>
      <c r="BN81" s="9">
        <v>24.39</v>
      </c>
      <c r="BO81" s="9">
        <v>24.48</v>
      </c>
      <c r="BP81" s="9">
        <v>24.55</v>
      </c>
      <c r="BQ81" s="9">
        <v>24.6</v>
      </c>
      <c r="BR81" s="9">
        <v>24.71</v>
      </c>
      <c r="BS81" s="9">
        <v>24.78</v>
      </c>
      <c r="BT81" s="9">
        <v>24.86</v>
      </c>
      <c r="BU81" s="9">
        <v>24.91</v>
      </c>
      <c r="BV81" s="9">
        <v>24.95</v>
      </c>
      <c r="BW81" s="9">
        <v>25.02</v>
      </c>
      <c r="BX81" s="9">
        <v>25.12</v>
      </c>
      <c r="BY81" s="9">
        <v>25.27</v>
      </c>
      <c r="BZ81" s="9">
        <v>25.32</v>
      </c>
      <c r="CA81" s="9">
        <v>25.39</v>
      </c>
      <c r="CB81" s="9">
        <v>25.53</v>
      </c>
      <c r="CC81" s="9">
        <v>25.61</v>
      </c>
      <c r="CD81" s="9">
        <v>25.85</v>
      </c>
      <c r="CE81" s="9">
        <v>25.93</v>
      </c>
      <c r="CF81" s="9">
        <v>26</v>
      </c>
      <c r="CG81" s="9">
        <v>26.1</v>
      </c>
      <c r="CH81" s="9">
        <v>26.11</v>
      </c>
      <c r="CI81" s="9">
        <v>26.24</v>
      </c>
      <c r="CJ81" s="9">
        <v>26.43</v>
      </c>
      <c r="CK81" s="9">
        <v>26.64</v>
      </c>
      <c r="CL81" s="9">
        <v>26.77</v>
      </c>
      <c r="CM81" s="9">
        <v>26.87</v>
      </c>
      <c r="CN81" s="9">
        <v>27.21</v>
      </c>
      <c r="CO81" s="9">
        <v>27.28</v>
      </c>
      <c r="CP81" s="9">
        <v>27.41</v>
      </c>
      <c r="CQ81" s="9">
        <v>27.58</v>
      </c>
      <c r="CR81" s="9">
        <v>27.7</v>
      </c>
      <c r="CS81" s="9">
        <v>27.95</v>
      </c>
      <c r="CT81" s="9">
        <v>28.16</v>
      </c>
      <c r="CU81" s="9">
        <v>28.28</v>
      </c>
      <c r="CV81" s="9">
        <v>28.58</v>
      </c>
      <c r="CW81" s="9">
        <v>28.76</v>
      </c>
      <c r="CX81" s="9">
        <v>29.12</v>
      </c>
      <c r="CY81" s="9">
        <v>29.98</v>
      </c>
      <c r="CZ81" s="9">
        <v>30.36</v>
      </c>
      <c r="DA81" s="9">
        <v>31.13</v>
      </c>
      <c r="DB81" s="9">
        <v>32.72</v>
      </c>
    </row>
    <row r="82" spans="1:106">
      <c r="A82" s="1" t="s">
        <v>397</v>
      </c>
      <c r="B82" s="1" t="s">
        <v>398</v>
      </c>
      <c r="C82" s="1" t="s">
        <v>17</v>
      </c>
      <c r="D82" s="1" t="s">
        <v>206</v>
      </c>
      <c r="E82" s="6">
        <v>361</v>
      </c>
      <c r="F82" s="9">
        <v>84.03</v>
      </c>
      <c r="G82" s="9">
        <v>12.45</v>
      </c>
      <c r="H82" s="9">
        <v>64.8</v>
      </c>
      <c r="I82" s="9">
        <v>65.3</v>
      </c>
      <c r="J82" s="9">
        <v>66.2</v>
      </c>
      <c r="K82" s="9">
        <v>67.099999999999994</v>
      </c>
      <c r="L82" s="9">
        <v>67.8</v>
      </c>
      <c r="M82" s="9">
        <v>68.3</v>
      </c>
      <c r="N82" s="9">
        <v>69.2</v>
      </c>
      <c r="O82" s="9">
        <v>69.3</v>
      </c>
      <c r="P82" s="9">
        <v>69.599999999999994</v>
      </c>
      <c r="Q82" s="9">
        <v>70.5</v>
      </c>
      <c r="R82" s="9">
        <v>70.7</v>
      </c>
      <c r="S82" s="9">
        <v>71.400000000000006</v>
      </c>
      <c r="T82" s="9">
        <v>71.900000000000006</v>
      </c>
      <c r="U82" s="9">
        <v>72.400000000000006</v>
      </c>
      <c r="V82" s="9">
        <v>72.7</v>
      </c>
      <c r="W82" s="9">
        <v>72.8</v>
      </c>
      <c r="X82" s="9">
        <v>73.2</v>
      </c>
      <c r="Y82" s="9">
        <v>73.400000000000006</v>
      </c>
      <c r="Z82" s="9">
        <v>73.7</v>
      </c>
      <c r="AA82" s="9">
        <v>74.2</v>
      </c>
      <c r="AB82" s="9">
        <v>74.5</v>
      </c>
      <c r="AC82" s="9">
        <v>74.7</v>
      </c>
      <c r="AD82" s="9">
        <v>74.7</v>
      </c>
      <c r="AE82" s="9">
        <v>75.5</v>
      </c>
      <c r="AF82" s="9">
        <v>75.7</v>
      </c>
      <c r="AG82" s="9">
        <v>75.8</v>
      </c>
      <c r="AH82" s="9">
        <v>76.099999999999994</v>
      </c>
      <c r="AI82" s="9">
        <v>76.2</v>
      </c>
      <c r="AJ82" s="9">
        <v>76.3</v>
      </c>
      <c r="AK82" s="9">
        <v>76.5</v>
      </c>
      <c r="AL82" s="9">
        <v>76.900000000000006</v>
      </c>
      <c r="AM82" s="9">
        <v>77.099999999999994</v>
      </c>
      <c r="AN82" s="9">
        <v>77.400000000000006</v>
      </c>
      <c r="AO82" s="9">
        <v>77.5</v>
      </c>
      <c r="AP82" s="9">
        <v>77.7</v>
      </c>
      <c r="AQ82" s="9">
        <v>78</v>
      </c>
      <c r="AR82" s="9">
        <v>78</v>
      </c>
      <c r="AS82" s="9">
        <v>78.099999999999994</v>
      </c>
      <c r="AT82" s="9">
        <v>78.5</v>
      </c>
      <c r="AU82" s="9">
        <v>78.5</v>
      </c>
      <c r="AV82" s="9">
        <v>78.7</v>
      </c>
      <c r="AW82" s="9">
        <v>78.8</v>
      </c>
      <c r="AX82" s="9">
        <v>79.2</v>
      </c>
      <c r="AY82" s="9">
        <v>79.400000000000006</v>
      </c>
      <c r="AZ82" s="9">
        <v>79.599999999999994</v>
      </c>
      <c r="BA82" s="9">
        <v>79.8</v>
      </c>
      <c r="BB82" s="9">
        <v>80.099999999999994</v>
      </c>
      <c r="BC82" s="9">
        <v>80.099999999999994</v>
      </c>
      <c r="BD82" s="9">
        <v>80.3</v>
      </c>
      <c r="BE82" s="9">
        <v>80.8</v>
      </c>
      <c r="BF82" s="9">
        <v>81.3</v>
      </c>
      <c r="BG82" s="9">
        <v>81.5</v>
      </c>
      <c r="BH82" s="9">
        <v>81.599999999999994</v>
      </c>
      <c r="BI82" s="9">
        <v>82.2</v>
      </c>
      <c r="BJ82" s="9">
        <v>82.6</v>
      </c>
      <c r="BK82" s="9">
        <v>83</v>
      </c>
      <c r="BL82" s="9">
        <v>83.3</v>
      </c>
      <c r="BM82" s="9">
        <v>83.6</v>
      </c>
      <c r="BN82" s="9">
        <v>83.9</v>
      </c>
      <c r="BO82" s="9">
        <v>84.4</v>
      </c>
      <c r="BP82" s="9">
        <v>84.9</v>
      </c>
      <c r="BQ82" s="9">
        <v>85.1</v>
      </c>
      <c r="BR82" s="9">
        <v>85.4</v>
      </c>
      <c r="BS82" s="9">
        <v>86</v>
      </c>
      <c r="BT82" s="9">
        <v>86.2</v>
      </c>
      <c r="BU82" s="9">
        <v>86.4</v>
      </c>
      <c r="BV82" s="9">
        <v>86.6</v>
      </c>
      <c r="BW82" s="9">
        <v>87.1</v>
      </c>
      <c r="BX82" s="9">
        <v>87.7</v>
      </c>
      <c r="BY82" s="9">
        <v>87.8</v>
      </c>
      <c r="BZ82" s="9">
        <v>88.3</v>
      </c>
      <c r="CA82" s="9">
        <v>89</v>
      </c>
      <c r="CB82" s="9">
        <v>89.8</v>
      </c>
      <c r="CC82" s="9">
        <v>90.7</v>
      </c>
      <c r="CD82" s="9">
        <v>91.2</v>
      </c>
      <c r="CE82" s="9">
        <v>91.3</v>
      </c>
      <c r="CF82" s="9">
        <v>91.5</v>
      </c>
      <c r="CG82" s="9">
        <v>92.2</v>
      </c>
      <c r="CH82" s="9">
        <v>92.4</v>
      </c>
      <c r="CI82" s="9">
        <v>92.8</v>
      </c>
      <c r="CJ82" s="9">
        <v>93.4</v>
      </c>
      <c r="CK82" s="9">
        <v>94.5</v>
      </c>
      <c r="CL82" s="9">
        <v>95.4</v>
      </c>
      <c r="CM82" s="9">
        <v>95.8</v>
      </c>
      <c r="CN82" s="9">
        <v>96.2</v>
      </c>
      <c r="CO82" s="9">
        <v>97.5</v>
      </c>
      <c r="CP82" s="9">
        <v>97.8</v>
      </c>
      <c r="CQ82" s="9">
        <v>99.5</v>
      </c>
      <c r="CR82" s="9">
        <v>100.2</v>
      </c>
      <c r="CS82" s="9">
        <v>101.6</v>
      </c>
      <c r="CT82" s="9">
        <v>103.2</v>
      </c>
      <c r="CU82" s="9">
        <v>104.2</v>
      </c>
      <c r="CV82" s="9">
        <v>105.6</v>
      </c>
      <c r="CW82" s="9">
        <v>108.5</v>
      </c>
      <c r="CX82" s="9">
        <v>110.4</v>
      </c>
      <c r="CY82" s="9">
        <v>111.4</v>
      </c>
      <c r="CZ82" s="9">
        <v>113</v>
      </c>
      <c r="DA82" s="9">
        <v>118.6</v>
      </c>
      <c r="DB82" s="9">
        <v>120.1</v>
      </c>
    </row>
    <row r="83" spans="1:106">
      <c r="A83" s="1" t="s">
        <v>399</v>
      </c>
      <c r="B83" s="1" t="s">
        <v>398</v>
      </c>
      <c r="C83" s="1" t="s">
        <v>17</v>
      </c>
      <c r="D83" s="1" t="s">
        <v>208</v>
      </c>
      <c r="E83" s="6">
        <v>440</v>
      </c>
      <c r="F83" s="9">
        <v>87.2</v>
      </c>
      <c r="G83" s="9">
        <v>11.66</v>
      </c>
      <c r="H83" s="9">
        <v>68.3</v>
      </c>
      <c r="I83" s="9">
        <v>68.7</v>
      </c>
      <c r="J83" s="9">
        <v>69.5</v>
      </c>
      <c r="K83" s="9">
        <v>70.3</v>
      </c>
      <c r="L83" s="9">
        <v>71.2</v>
      </c>
      <c r="M83" s="9">
        <v>71.8</v>
      </c>
      <c r="N83" s="9">
        <v>72.2</v>
      </c>
      <c r="O83" s="9">
        <v>72.7</v>
      </c>
      <c r="P83" s="9">
        <v>73.8</v>
      </c>
      <c r="Q83" s="9">
        <v>74.099999999999994</v>
      </c>
      <c r="R83" s="9">
        <v>74.5</v>
      </c>
      <c r="S83" s="9">
        <v>74.7</v>
      </c>
      <c r="T83" s="9">
        <v>75.2</v>
      </c>
      <c r="U83" s="9">
        <v>75.5</v>
      </c>
      <c r="V83" s="9">
        <v>76</v>
      </c>
      <c r="W83" s="9">
        <v>76.2</v>
      </c>
      <c r="X83" s="9">
        <v>76.7</v>
      </c>
      <c r="Y83" s="9">
        <v>76.900000000000006</v>
      </c>
      <c r="Z83" s="9">
        <v>77.099999999999994</v>
      </c>
      <c r="AA83" s="9">
        <v>77.5</v>
      </c>
      <c r="AB83" s="9">
        <v>77.599999999999994</v>
      </c>
      <c r="AC83" s="9">
        <v>78.099999999999994</v>
      </c>
      <c r="AD83" s="9">
        <v>78.400000000000006</v>
      </c>
      <c r="AE83" s="9">
        <v>78.7</v>
      </c>
      <c r="AF83" s="9">
        <v>79</v>
      </c>
      <c r="AG83" s="9">
        <v>79.3</v>
      </c>
      <c r="AH83" s="9">
        <v>79.5</v>
      </c>
      <c r="AI83" s="9">
        <v>80</v>
      </c>
      <c r="AJ83" s="9">
        <v>80.2</v>
      </c>
      <c r="AK83" s="9">
        <v>80.5</v>
      </c>
      <c r="AL83" s="9">
        <v>80.7</v>
      </c>
      <c r="AM83" s="9">
        <v>80.900000000000006</v>
      </c>
      <c r="AN83" s="9">
        <v>81.3</v>
      </c>
      <c r="AO83" s="9">
        <v>81.5</v>
      </c>
      <c r="AP83" s="9">
        <v>81.599999999999994</v>
      </c>
      <c r="AQ83" s="9">
        <v>82</v>
      </c>
      <c r="AR83" s="9">
        <v>82.2</v>
      </c>
      <c r="AS83" s="9">
        <v>82.4</v>
      </c>
      <c r="AT83" s="9">
        <v>82.5</v>
      </c>
      <c r="AU83" s="9">
        <v>82.7</v>
      </c>
      <c r="AV83" s="9">
        <v>83.4</v>
      </c>
      <c r="AW83" s="9">
        <v>83.5</v>
      </c>
      <c r="AX83" s="9">
        <v>83.7</v>
      </c>
      <c r="AY83" s="9">
        <v>83.8</v>
      </c>
      <c r="AZ83" s="9">
        <v>84.1</v>
      </c>
      <c r="BA83" s="9">
        <v>84.3</v>
      </c>
      <c r="BB83" s="9">
        <v>84.5</v>
      </c>
      <c r="BC83" s="9">
        <v>84.7</v>
      </c>
      <c r="BD83" s="9">
        <v>85.1</v>
      </c>
      <c r="BE83" s="9">
        <v>85.3</v>
      </c>
      <c r="BF83" s="9">
        <v>85.5</v>
      </c>
      <c r="BG83" s="9">
        <v>85.7</v>
      </c>
      <c r="BH83" s="9">
        <v>86</v>
      </c>
      <c r="BI83" s="9">
        <v>86.4</v>
      </c>
      <c r="BJ83" s="9">
        <v>86.5</v>
      </c>
      <c r="BK83" s="9">
        <v>86.7</v>
      </c>
      <c r="BL83" s="9">
        <v>87.2</v>
      </c>
      <c r="BM83" s="9">
        <v>87.8</v>
      </c>
      <c r="BN83" s="9">
        <v>88</v>
      </c>
      <c r="BO83" s="9">
        <v>88.2</v>
      </c>
      <c r="BP83" s="9">
        <v>88.5</v>
      </c>
      <c r="BQ83" s="9">
        <v>89</v>
      </c>
      <c r="BR83" s="9">
        <v>89.3</v>
      </c>
      <c r="BS83" s="9">
        <v>89.7</v>
      </c>
      <c r="BT83" s="9">
        <v>89.8</v>
      </c>
      <c r="BU83" s="9">
        <v>90.2</v>
      </c>
      <c r="BV83" s="9">
        <v>90.3</v>
      </c>
      <c r="BW83" s="9">
        <v>90.5</v>
      </c>
      <c r="BX83" s="9">
        <v>91</v>
      </c>
      <c r="BY83" s="9">
        <v>91.5</v>
      </c>
      <c r="BZ83" s="9">
        <v>91.6</v>
      </c>
      <c r="CA83" s="9">
        <v>91.9</v>
      </c>
      <c r="CB83" s="9">
        <v>92.6</v>
      </c>
      <c r="CC83" s="9">
        <v>92.7</v>
      </c>
      <c r="CD83" s="9">
        <v>93.3</v>
      </c>
      <c r="CE83" s="9">
        <v>93.8</v>
      </c>
      <c r="CF83" s="9">
        <v>94.5</v>
      </c>
      <c r="CG83" s="9">
        <v>94.8</v>
      </c>
      <c r="CH83" s="9">
        <v>95.2</v>
      </c>
      <c r="CI83" s="9">
        <v>95.6</v>
      </c>
      <c r="CJ83" s="9">
        <v>96.2</v>
      </c>
      <c r="CK83" s="9">
        <v>97</v>
      </c>
      <c r="CL83" s="9">
        <v>97.9</v>
      </c>
      <c r="CM83" s="9">
        <v>98.6</v>
      </c>
      <c r="CN83" s="9">
        <v>99.7</v>
      </c>
      <c r="CO83" s="9">
        <v>100.1</v>
      </c>
      <c r="CP83" s="9">
        <v>100.4</v>
      </c>
      <c r="CQ83" s="9">
        <v>101.2</v>
      </c>
      <c r="CR83" s="9">
        <v>102.1</v>
      </c>
      <c r="CS83" s="9">
        <v>102.5</v>
      </c>
      <c r="CT83" s="9">
        <v>102.8</v>
      </c>
      <c r="CU83" s="9">
        <v>104.1</v>
      </c>
      <c r="CV83" s="9">
        <v>104.8</v>
      </c>
      <c r="CW83" s="9">
        <v>105.8</v>
      </c>
      <c r="CX83" s="9">
        <v>110.4</v>
      </c>
      <c r="CY83" s="9">
        <v>113.7</v>
      </c>
      <c r="CZ83" s="9">
        <v>115.7</v>
      </c>
      <c r="DA83" s="9">
        <v>116.6</v>
      </c>
      <c r="DB83" s="9">
        <v>121.8</v>
      </c>
    </row>
    <row r="84" spans="1:106">
      <c r="A84" s="1" t="s">
        <v>400</v>
      </c>
      <c r="B84" s="1" t="s">
        <v>398</v>
      </c>
      <c r="C84" s="1" t="s">
        <v>17</v>
      </c>
      <c r="D84" s="1" t="s">
        <v>210</v>
      </c>
      <c r="E84" s="6">
        <v>400</v>
      </c>
      <c r="F84" s="9">
        <v>88.58</v>
      </c>
      <c r="G84" s="9">
        <v>10.44</v>
      </c>
      <c r="H84" s="9">
        <v>67.3</v>
      </c>
      <c r="I84" s="9">
        <v>67.8</v>
      </c>
      <c r="J84" s="9">
        <v>70.7</v>
      </c>
      <c r="K84" s="9">
        <v>72.2</v>
      </c>
      <c r="L84" s="9">
        <v>73</v>
      </c>
      <c r="M84" s="9">
        <v>74.099999999999994</v>
      </c>
      <c r="N84" s="9">
        <v>75.099999999999994</v>
      </c>
      <c r="O84" s="9">
        <v>75.7</v>
      </c>
      <c r="P84" s="9">
        <v>76.2</v>
      </c>
      <c r="Q84" s="9">
        <v>77</v>
      </c>
      <c r="R84" s="9">
        <v>77.5</v>
      </c>
      <c r="S84" s="9">
        <v>77.7</v>
      </c>
      <c r="T84" s="9">
        <v>78</v>
      </c>
      <c r="U84" s="9">
        <v>78.400000000000006</v>
      </c>
      <c r="V84" s="9">
        <v>78.8</v>
      </c>
      <c r="W84" s="9">
        <v>79.2</v>
      </c>
      <c r="X84" s="9">
        <v>79.5</v>
      </c>
      <c r="Y84" s="9">
        <v>79.5</v>
      </c>
      <c r="Z84" s="9">
        <v>80</v>
      </c>
      <c r="AA84" s="9">
        <v>80.400000000000006</v>
      </c>
      <c r="AB84" s="9">
        <v>80.599999999999994</v>
      </c>
      <c r="AC84" s="9">
        <v>81</v>
      </c>
      <c r="AD84" s="9">
        <v>81.099999999999994</v>
      </c>
      <c r="AE84" s="9">
        <v>81.2</v>
      </c>
      <c r="AF84" s="9">
        <v>81.3</v>
      </c>
      <c r="AG84" s="9">
        <v>81.900000000000006</v>
      </c>
      <c r="AH84" s="9">
        <v>82.2</v>
      </c>
      <c r="AI84" s="9">
        <v>82.3</v>
      </c>
      <c r="AJ84" s="9">
        <v>82.5</v>
      </c>
      <c r="AK84" s="9">
        <v>82.7</v>
      </c>
      <c r="AL84" s="9">
        <v>82.8</v>
      </c>
      <c r="AM84" s="9">
        <v>83.2</v>
      </c>
      <c r="AN84" s="9">
        <v>83.3</v>
      </c>
      <c r="AO84" s="9">
        <v>83.5</v>
      </c>
      <c r="AP84" s="9">
        <v>83.7</v>
      </c>
      <c r="AQ84" s="9">
        <v>83.8</v>
      </c>
      <c r="AR84" s="9">
        <v>83.9</v>
      </c>
      <c r="AS84" s="9">
        <v>84</v>
      </c>
      <c r="AT84" s="9">
        <v>84.3</v>
      </c>
      <c r="AU84" s="9">
        <v>84.6</v>
      </c>
      <c r="AV84" s="9">
        <v>85.1</v>
      </c>
      <c r="AW84" s="9">
        <v>85.4</v>
      </c>
      <c r="AX84" s="9">
        <v>85.6</v>
      </c>
      <c r="AY84" s="9">
        <v>85.9</v>
      </c>
      <c r="AZ84" s="9">
        <v>86.2</v>
      </c>
      <c r="BA84" s="9">
        <v>86.2</v>
      </c>
      <c r="BB84" s="9">
        <v>86.4</v>
      </c>
      <c r="BC84" s="9">
        <v>86.5</v>
      </c>
      <c r="BD84" s="9">
        <v>86.7</v>
      </c>
      <c r="BE84" s="9">
        <v>87</v>
      </c>
      <c r="BF84" s="9">
        <v>87.2</v>
      </c>
      <c r="BG84" s="9">
        <v>87.6</v>
      </c>
      <c r="BH84" s="9">
        <v>87.8</v>
      </c>
      <c r="BI84" s="9">
        <v>88.2</v>
      </c>
      <c r="BJ84" s="9">
        <v>88.7</v>
      </c>
      <c r="BK84" s="9">
        <v>89.2</v>
      </c>
      <c r="BL84" s="9">
        <v>89.4</v>
      </c>
      <c r="BM84" s="9">
        <v>89.7</v>
      </c>
      <c r="BN84" s="9">
        <v>90.2</v>
      </c>
      <c r="BO84" s="9">
        <v>90.4</v>
      </c>
      <c r="BP84" s="9">
        <v>90.7</v>
      </c>
      <c r="BQ84" s="9">
        <v>91</v>
      </c>
      <c r="BR84" s="9">
        <v>91.2</v>
      </c>
      <c r="BS84" s="9">
        <v>91.3</v>
      </c>
      <c r="BT84" s="9">
        <v>91.7</v>
      </c>
      <c r="BU84" s="9">
        <v>92</v>
      </c>
      <c r="BV84" s="9">
        <v>92.3</v>
      </c>
      <c r="BW84" s="9">
        <v>92.8</v>
      </c>
      <c r="BX84" s="9">
        <v>93.1</v>
      </c>
      <c r="BY84" s="9">
        <v>93.5</v>
      </c>
      <c r="BZ84" s="9">
        <v>93.7</v>
      </c>
      <c r="CA84" s="9">
        <v>94.1</v>
      </c>
      <c r="CB84" s="9">
        <v>94.3</v>
      </c>
      <c r="CC84" s="9">
        <v>94.5</v>
      </c>
      <c r="CD84" s="9">
        <v>94.6</v>
      </c>
      <c r="CE84" s="9">
        <v>95.2</v>
      </c>
      <c r="CF84" s="9">
        <v>95.7</v>
      </c>
      <c r="CG84" s="9">
        <v>96.2</v>
      </c>
      <c r="CH84" s="9">
        <v>96.7</v>
      </c>
      <c r="CI84" s="9">
        <v>97.2</v>
      </c>
      <c r="CJ84" s="9">
        <v>97.5</v>
      </c>
      <c r="CK84" s="9">
        <v>97.6</v>
      </c>
      <c r="CL84" s="9">
        <v>97.9</v>
      </c>
      <c r="CM84" s="9">
        <v>98.2</v>
      </c>
      <c r="CN84" s="9">
        <v>98.3</v>
      </c>
      <c r="CO84" s="9">
        <v>99</v>
      </c>
      <c r="CP84" s="9">
        <v>99.3</v>
      </c>
      <c r="CQ84" s="9">
        <v>99.5</v>
      </c>
      <c r="CR84" s="9">
        <v>102.3</v>
      </c>
      <c r="CS84" s="9">
        <v>102.5</v>
      </c>
      <c r="CT84" s="9">
        <v>103.2</v>
      </c>
      <c r="CU84" s="9">
        <v>104.2</v>
      </c>
      <c r="CV84" s="9">
        <v>104.7</v>
      </c>
      <c r="CW84" s="9">
        <v>105.5</v>
      </c>
      <c r="CX84" s="9">
        <v>106.2</v>
      </c>
      <c r="CY84" s="9">
        <v>107</v>
      </c>
      <c r="CZ84" s="9">
        <v>107.2</v>
      </c>
      <c r="DA84" s="9">
        <v>114.2</v>
      </c>
      <c r="DB84" s="9">
        <v>115.7</v>
      </c>
    </row>
    <row r="85" spans="1:106">
      <c r="A85" s="1" t="s">
        <v>401</v>
      </c>
      <c r="B85" s="1" t="s">
        <v>398</v>
      </c>
      <c r="C85" s="1" t="s">
        <v>17</v>
      </c>
      <c r="D85" s="1" t="s">
        <v>212</v>
      </c>
      <c r="E85" s="6">
        <v>469</v>
      </c>
      <c r="F85" s="9">
        <v>89.58</v>
      </c>
      <c r="G85" s="9">
        <v>10.72</v>
      </c>
      <c r="H85" s="9">
        <v>69.599999999999994</v>
      </c>
      <c r="I85" s="9">
        <v>70.5</v>
      </c>
      <c r="J85" s="9">
        <v>71.3</v>
      </c>
      <c r="K85" s="9">
        <v>73.599999999999994</v>
      </c>
      <c r="L85" s="9">
        <v>74.3</v>
      </c>
      <c r="M85" s="9">
        <v>74.7</v>
      </c>
      <c r="N85" s="9">
        <v>75.099999999999994</v>
      </c>
      <c r="O85" s="9">
        <v>75.599999999999994</v>
      </c>
      <c r="P85" s="9">
        <v>76.2</v>
      </c>
      <c r="Q85" s="9">
        <v>76.900000000000006</v>
      </c>
      <c r="R85" s="9">
        <v>77.2</v>
      </c>
      <c r="S85" s="9">
        <v>77.7</v>
      </c>
      <c r="T85" s="9">
        <v>78.2</v>
      </c>
      <c r="U85" s="9">
        <v>78.5</v>
      </c>
      <c r="V85" s="9">
        <v>78.7</v>
      </c>
      <c r="W85" s="9">
        <v>79.2</v>
      </c>
      <c r="X85" s="9">
        <v>79.5</v>
      </c>
      <c r="Y85" s="9">
        <v>80</v>
      </c>
      <c r="Z85" s="9">
        <v>80.2</v>
      </c>
      <c r="AA85" s="9">
        <v>80.400000000000006</v>
      </c>
      <c r="AB85" s="9">
        <v>80.7</v>
      </c>
      <c r="AC85" s="9">
        <v>81.5</v>
      </c>
      <c r="AD85" s="9">
        <v>81.599999999999994</v>
      </c>
      <c r="AE85" s="9">
        <v>81.900000000000006</v>
      </c>
      <c r="AF85" s="9">
        <v>82.2</v>
      </c>
      <c r="AG85" s="9">
        <v>82.5</v>
      </c>
      <c r="AH85" s="9">
        <v>82.6</v>
      </c>
      <c r="AI85" s="9">
        <v>82.8</v>
      </c>
      <c r="AJ85" s="9">
        <v>83.1</v>
      </c>
      <c r="AK85" s="9">
        <v>83.5</v>
      </c>
      <c r="AL85" s="9">
        <v>83.7</v>
      </c>
      <c r="AM85" s="9">
        <v>84</v>
      </c>
      <c r="AN85" s="9">
        <v>84.2</v>
      </c>
      <c r="AO85" s="9">
        <v>84.3</v>
      </c>
      <c r="AP85" s="9">
        <v>84.5</v>
      </c>
      <c r="AQ85" s="9">
        <v>84.6</v>
      </c>
      <c r="AR85" s="9">
        <v>85.2</v>
      </c>
      <c r="AS85" s="9">
        <v>85.5</v>
      </c>
      <c r="AT85" s="9">
        <v>85.6</v>
      </c>
      <c r="AU85" s="9">
        <v>86</v>
      </c>
      <c r="AV85" s="9">
        <v>86.2</v>
      </c>
      <c r="AW85" s="9">
        <v>86.3</v>
      </c>
      <c r="AX85" s="9">
        <v>86.5</v>
      </c>
      <c r="AY85" s="9">
        <v>86.7</v>
      </c>
      <c r="AZ85" s="9">
        <v>86.8</v>
      </c>
      <c r="BA85" s="9">
        <v>87</v>
      </c>
      <c r="BB85" s="9">
        <v>87.1</v>
      </c>
      <c r="BC85" s="9">
        <v>87.7</v>
      </c>
      <c r="BD85" s="9">
        <v>88</v>
      </c>
      <c r="BE85" s="9">
        <v>88.2</v>
      </c>
      <c r="BF85" s="9">
        <v>88.3</v>
      </c>
      <c r="BG85" s="9">
        <v>88.7</v>
      </c>
      <c r="BH85" s="9">
        <v>89</v>
      </c>
      <c r="BI85" s="9">
        <v>89.2</v>
      </c>
      <c r="BJ85" s="9">
        <v>89.6</v>
      </c>
      <c r="BK85" s="9">
        <v>89.8</v>
      </c>
      <c r="BL85" s="9">
        <v>90.1</v>
      </c>
      <c r="BM85" s="9">
        <v>90.3</v>
      </c>
      <c r="BN85" s="9">
        <v>90.4</v>
      </c>
      <c r="BO85" s="9">
        <v>90.9</v>
      </c>
      <c r="BP85" s="9">
        <v>91.2</v>
      </c>
      <c r="BQ85" s="9">
        <v>91.3</v>
      </c>
      <c r="BR85" s="9">
        <v>91.6</v>
      </c>
      <c r="BS85" s="9">
        <v>92</v>
      </c>
      <c r="BT85" s="9">
        <v>92.2</v>
      </c>
      <c r="BU85" s="9">
        <v>92.5</v>
      </c>
      <c r="BV85" s="9">
        <v>92.7</v>
      </c>
      <c r="BW85" s="9">
        <v>92.7</v>
      </c>
      <c r="BX85" s="9">
        <v>93.3</v>
      </c>
      <c r="BY85" s="9">
        <v>93.9</v>
      </c>
      <c r="BZ85" s="9">
        <v>94.2</v>
      </c>
      <c r="CA85" s="9">
        <v>94.6</v>
      </c>
      <c r="CB85" s="9">
        <v>94.8</v>
      </c>
      <c r="CC85" s="9">
        <v>95.4</v>
      </c>
      <c r="CD85" s="9">
        <v>96.3</v>
      </c>
      <c r="CE85" s="9">
        <v>96.7</v>
      </c>
      <c r="CF85" s="9">
        <v>97</v>
      </c>
      <c r="CG85" s="9">
        <v>97.8</v>
      </c>
      <c r="CH85" s="9">
        <v>98</v>
      </c>
      <c r="CI85" s="9">
        <v>98.7</v>
      </c>
      <c r="CJ85" s="9">
        <v>99.1</v>
      </c>
      <c r="CK85" s="9">
        <v>99.4</v>
      </c>
      <c r="CL85" s="9">
        <v>100.1</v>
      </c>
      <c r="CM85" s="9">
        <v>100.4</v>
      </c>
      <c r="CN85" s="9">
        <v>100.6</v>
      </c>
      <c r="CO85" s="9">
        <v>101.2</v>
      </c>
      <c r="CP85" s="9">
        <v>101.8</v>
      </c>
      <c r="CQ85" s="9">
        <v>102.8</v>
      </c>
      <c r="CR85" s="9">
        <v>104</v>
      </c>
      <c r="CS85" s="9">
        <v>104.7</v>
      </c>
      <c r="CT85" s="9">
        <v>105.2</v>
      </c>
      <c r="CU85" s="9">
        <v>105.6</v>
      </c>
      <c r="CV85" s="9">
        <v>106.4</v>
      </c>
      <c r="CW85" s="9">
        <v>108.7</v>
      </c>
      <c r="CX85" s="9">
        <v>109</v>
      </c>
      <c r="CY85" s="9">
        <v>111.2</v>
      </c>
      <c r="CZ85" s="9">
        <v>113.2</v>
      </c>
      <c r="DA85" s="9">
        <v>115.7</v>
      </c>
      <c r="DB85" s="9">
        <v>118.2</v>
      </c>
    </row>
    <row r="86" spans="1:106">
      <c r="A86" s="1" t="s">
        <v>402</v>
      </c>
      <c r="B86" s="1" t="s">
        <v>398</v>
      </c>
      <c r="C86" s="1" t="s">
        <v>17</v>
      </c>
      <c r="D86" s="1" t="s">
        <v>214</v>
      </c>
      <c r="E86" s="6">
        <v>580</v>
      </c>
      <c r="F86" s="9">
        <v>90.64</v>
      </c>
      <c r="G86" s="9">
        <v>9.59</v>
      </c>
      <c r="H86" s="9">
        <v>70.2</v>
      </c>
      <c r="I86" s="9">
        <v>72.3</v>
      </c>
      <c r="J86" s="9">
        <v>73.7</v>
      </c>
      <c r="K86" s="9">
        <v>75</v>
      </c>
      <c r="L86" s="9">
        <v>76</v>
      </c>
      <c r="M86" s="9">
        <v>76.5</v>
      </c>
      <c r="N86" s="9">
        <v>77.099999999999994</v>
      </c>
      <c r="O86" s="9">
        <v>77.7</v>
      </c>
      <c r="P86" s="9">
        <v>78.400000000000006</v>
      </c>
      <c r="Q86" s="9">
        <v>78.8</v>
      </c>
      <c r="R86" s="9">
        <v>79.2</v>
      </c>
      <c r="S86" s="9">
        <v>79.5</v>
      </c>
      <c r="T86" s="9">
        <v>79.8</v>
      </c>
      <c r="U86" s="9">
        <v>80.3</v>
      </c>
      <c r="V86" s="9">
        <v>80.599999999999994</v>
      </c>
      <c r="W86" s="9">
        <v>81</v>
      </c>
      <c r="X86" s="9">
        <v>81.3</v>
      </c>
      <c r="Y86" s="9">
        <v>81.7</v>
      </c>
      <c r="Z86" s="9">
        <v>82.1</v>
      </c>
      <c r="AA86" s="9">
        <v>82.4</v>
      </c>
      <c r="AB86" s="9">
        <v>82.6</v>
      </c>
      <c r="AC86" s="9">
        <v>82.9</v>
      </c>
      <c r="AD86" s="9">
        <v>83.2</v>
      </c>
      <c r="AE86" s="9">
        <v>83.4</v>
      </c>
      <c r="AF86" s="9">
        <v>84</v>
      </c>
      <c r="AG86" s="9">
        <v>84.4</v>
      </c>
      <c r="AH86" s="9">
        <v>84.5</v>
      </c>
      <c r="AI86" s="9">
        <v>84.7</v>
      </c>
      <c r="AJ86" s="9">
        <v>85.3</v>
      </c>
      <c r="AK86" s="9">
        <v>86.1</v>
      </c>
      <c r="AL86" s="9">
        <v>86.3</v>
      </c>
      <c r="AM86" s="9">
        <v>86.5</v>
      </c>
      <c r="AN86" s="9">
        <v>86.7</v>
      </c>
      <c r="AO86" s="9">
        <v>87</v>
      </c>
      <c r="AP86" s="9">
        <v>87.4</v>
      </c>
      <c r="AQ86" s="9">
        <v>87.5</v>
      </c>
      <c r="AR86" s="9">
        <v>87.8</v>
      </c>
      <c r="AS86" s="9">
        <v>87.8</v>
      </c>
      <c r="AT86" s="9">
        <v>88</v>
      </c>
      <c r="AU86" s="9">
        <v>88.2</v>
      </c>
      <c r="AV86" s="9">
        <v>88.4</v>
      </c>
      <c r="AW86" s="9">
        <v>88.9</v>
      </c>
      <c r="AX86" s="9">
        <v>89</v>
      </c>
      <c r="AY86" s="9">
        <v>89.1</v>
      </c>
      <c r="AZ86" s="9">
        <v>89.2</v>
      </c>
      <c r="BA86" s="9">
        <v>89.4</v>
      </c>
      <c r="BB86" s="9">
        <v>89.5</v>
      </c>
      <c r="BC86" s="9">
        <v>89.8</v>
      </c>
      <c r="BD86" s="9">
        <v>90</v>
      </c>
      <c r="BE86" s="9">
        <v>90.1</v>
      </c>
      <c r="BF86" s="9">
        <v>90.4</v>
      </c>
      <c r="BG86" s="9">
        <v>90.7</v>
      </c>
      <c r="BH86" s="9">
        <v>90.8</v>
      </c>
      <c r="BI86" s="9">
        <v>91.1</v>
      </c>
      <c r="BJ86" s="9">
        <v>91.4</v>
      </c>
      <c r="BK86" s="9">
        <v>91.5</v>
      </c>
      <c r="BL86" s="9">
        <v>91.7</v>
      </c>
      <c r="BM86" s="9">
        <v>92</v>
      </c>
      <c r="BN86" s="9">
        <v>92.3</v>
      </c>
      <c r="BO86" s="9">
        <v>92.5</v>
      </c>
      <c r="BP86" s="9">
        <v>92.8</v>
      </c>
      <c r="BQ86" s="9">
        <v>93</v>
      </c>
      <c r="BR86" s="9">
        <v>93.2</v>
      </c>
      <c r="BS86" s="9">
        <v>93.2</v>
      </c>
      <c r="BT86" s="9">
        <v>93.5</v>
      </c>
      <c r="BU86" s="9">
        <v>93.6</v>
      </c>
      <c r="BV86" s="9">
        <v>93.9</v>
      </c>
      <c r="BW86" s="9">
        <v>94.3</v>
      </c>
      <c r="BX86" s="9">
        <v>94.5</v>
      </c>
      <c r="BY86" s="9">
        <v>94.8</v>
      </c>
      <c r="BZ86" s="9">
        <v>95.2</v>
      </c>
      <c r="CA86" s="9">
        <v>95.4</v>
      </c>
      <c r="CB86" s="9">
        <v>95.7</v>
      </c>
      <c r="CC86" s="9">
        <v>96</v>
      </c>
      <c r="CD86" s="9">
        <v>96.3</v>
      </c>
      <c r="CE86" s="9">
        <v>96.4</v>
      </c>
      <c r="CF86" s="9">
        <v>96.9</v>
      </c>
      <c r="CG86" s="9">
        <v>97.3</v>
      </c>
      <c r="CH86" s="9">
        <v>97.7</v>
      </c>
      <c r="CI86" s="9">
        <v>98.1</v>
      </c>
      <c r="CJ86" s="9">
        <v>98.2</v>
      </c>
      <c r="CK86" s="9">
        <v>98.7</v>
      </c>
      <c r="CL86" s="9">
        <v>99.2</v>
      </c>
      <c r="CM86" s="9">
        <v>99.5</v>
      </c>
      <c r="CN86" s="9">
        <v>100.1</v>
      </c>
      <c r="CO86" s="9">
        <v>100.3</v>
      </c>
      <c r="CP86" s="9">
        <v>100.8</v>
      </c>
      <c r="CQ86" s="9">
        <v>101.2</v>
      </c>
      <c r="CR86" s="9">
        <v>101.6</v>
      </c>
      <c r="CS86" s="9">
        <v>102.3</v>
      </c>
      <c r="CT86" s="9">
        <v>102.8</v>
      </c>
      <c r="CU86" s="9">
        <v>103.4</v>
      </c>
      <c r="CV86" s="9">
        <v>104.4</v>
      </c>
      <c r="CW86" s="9">
        <v>105.6</v>
      </c>
      <c r="CX86" s="9">
        <v>106.7</v>
      </c>
      <c r="CY86" s="9">
        <v>108.5</v>
      </c>
      <c r="CZ86" s="9">
        <v>110.6</v>
      </c>
      <c r="DA86" s="9">
        <v>112.8</v>
      </c>
      <c r="DB86" s="9">
        <v>116.4</v>
      </c>
    </row>
    <row r="87" spans="1:106">
      <c r="A87" s="1" t="s">
        <v>403</v>
      </c>
      <c r="B87" s="1" t="s">
        <v>398</v>
      </c>
      <c r="C87" s="1" t="s">
        <v>17</v>
      </c>
      <c r="D87" s="1" t="s">
        <v>216</v>
      </c>
      <c r="E87" s="6">
        <v>553</v>
      </c>
      <c r="F87" s="9">
        <v>89.68</v>
      </c>
      <c r="G87" s="9">
        <v>9.6999999999999993</v>
      </c>
      <c r="H87" s="9">
        <v>69.2</v>
      </c>
      <c r="I87" s="9">
        <v>70.599999999999994</v>
      </c>
      <c r="J87" s="9">
        <v>72.3</v>
      </c>
      <c r="K87" s="9">
        <v>73.2</v>
      </c>
      <c r="L87" s="9">
        <v>74.2</v>
      </c>
      <c r="M87" s="9">
        <v>75</v>
      </c>
      <c r="N87" s="9">
        <v>76.2</v>
      </c>
      <c r="O87" s="9">
        <v>76.599999999999994</v>
      </c>
      <c r="P87" s="9">
        <v>77</v>
      </c>
      <c r="Q87" s="9">
        <v>77.5</v>
      </c>
      <c r="R87" s="9">
        <v>77.8</v>
      </c>
      <c r="S87" s="9">
        <v>78.2</v>
      </c>
      <c r="T87" s="9">
        <v>78.5</v>
      </c>
      <c r="U87" s="9">
        <v>79.2</v>
      </c>
      <c r="V87" s="9">
        <v>79.599999999999994</v>
      </c>
      <c r="W87" s="9">
        <v>80.2</v>
      </c>
      <c r="X87" s="9">
        <v>80.5</v>
      </c>
      <c r="Y87" s="9">
        <v>80.900000000000006</v>
      </c>
      <c r="Z87" s="9">
        <v>81.2</v>
      </c>
      <c r="AA87" s="9">
        <v>81.400000000000006</v>
      </c>
      <c r="AB87" s="9">
        <v>82</v>
      </c>
      <c r="AC87" s="9">
        <v>82.3</v>
      </c>
      <c r="AD87" s="9">
        <v>82.9</v>
      </c>
      <c r="AE87" s="9">
        <v>83.1</v>
      </c>
      <c r="AF87" s="9">
        <v>83.3</v>
      </c>
      <c r="AG87" s="9">
        <v>83.7</v>
      </c>
      <c r="AH87" s="9">
        <v>84</v>
      </c>
      <c r="AI87" s="9">
        <v>84</v>
      </c>
      <c r="AJ87" s="9">
        <v>84.5</v>
      </c>
      <c r="AK87" s="9">
        <v>84.6</v>
      </c>
      <c r="AL87" s="9">
        <v>85</v>
      </c>
      <c r="AM87" s="9">
        <v>85.3</v>
      </c>
      <c r="AN87" s="9">
        <v>85.5</v>
      </c>
      <c r="AO87" s="9">
        <v>85.7</v>
      </c>
      <c r="AP87" s="9">
        <v>86.2</v>
      </c>
      <c r="AQ87" s="9">
        <v>86.4</v>
      </c>
      <c r="AR87" s="9">
        <v>86.6</v>
      </c>
      <c r="AS87" s="9">
        <v>86.8</v>
      </c>
      <c r="AT87" s="9">
        <v>87.1</v>
      </c>
      <c r="AU87" s="9">
        <v>87.3</v>
      </c>
      <c r="AV87" s="9">
        <v>87.6</v>
      </c>
      <c r="AW87" s="9">
        <v>87.8</v>
      </c>
      <c r="AX87" s="9">
        <v>88.1</v>
      </c>
      <c r="AY87" s="9">
        <v>88.2</v>
      </c>
      <c r="AZ87" s="9">
        <v>88.4</v>
      </c>
      <c r="BA87" s="9">
        <v>88.6</v>
      </c>
      <c r="BB87" s="9">
        <v>88.8</v>
      </c>
      <c r="BC87" s="9">
        <v>89</v>
      </c>
      <c r="BD87" s="9">
        <v>89.2</v>
      </c>
      <c r="BE87" s="9">
        <v>89.3</v>
      </c>
      <c r="BF87" s="9">
        <v>89.5</v>
      </c>
      <c r="BG87" s="9">
        <v>89.5</v>
      </c>
      <c r="BH87" s="9">
        <v>89.8</v>
      </c>
      <c r="BI87" s="9">
        <v>89.8</v>
      </c>
      <c r="BJ87" s="9">
        <v>90</v>
      </c>
      <c r="BK87" s="9">
        <v>90.1</v>
      </c>
      <c r="BL87" s="9">
        <v>90.3</v>
      </c>
      <c r="BM87" s="9">
        <v>90.5</v>
      </c>
      <c r="BN87" s="9">
        <v>90.8</v>
      </c>
      <c r="BO87" s="9">
        <v>91.3</v>
      </c>
      <c r="BP87" s="9">
        <v>91.5</v>
      </c>
      <c r="BQ87" s="9">
        <v>91.6</v>
      </c>
      <c r="BR87" s="9">
        <v>91.8</v>
      </c>
      <c r="BS87" s="9">
        <v>92.3</v>
      </c>
      <c r="BT87" s="9">
        <v>92.6</v>
      </c>
      <c r="BU87" s="9">
        <v>92.7</v>
      </c>
      <c r="BV87" s="9">
        <v>93</v>
      </c>
      <c r="BW87" s="9">
        <v>93.3</v>
      </c>
      <c r="BX87" s="9">
        <v>93.6</v>
      </c>
      <c r="BY87" s="9">
        <v>93.8</v>
      </c>
      <c r="BZ87" s="9">
        <v>94.7</v>
      </c>
      <c r="CA87" s="9">
        <v>95</v>
      </c>
      <c r="CB87" s="9">
        <v>95.1</v>
      </c>
      <c r="CC87" s="9">
        <v>95.4</v>
      </c>
      <c r="CD87" s="9">
        <v>95.5</v>
      </c>
      <c r="CE87" s="9">
        <v>96</v>
      </c>
      <c r="CF87" s="9">
        <v>96.5</v>
      </c>
      <c r="CG87" s="9">
        <v>96.8</v>
      </c>
      <c r="CH87" s="9">
        <v>97.3</v>
      </c>
      <c r="CI87" s="9">
        <v>97.5</v>
      </c>
      <c r="CJ87" s="9">
        <v>98.2</v>
      </c>
      <c r="CK87" s="9">
        <v>98.3</v>
      </c>
      <c r="CL87" s="9">
        <v>98.7</v>
      </c>
      <c r="CM87" s="9">
        <v>99.1</v>
      </c>
      <c r="CN87" s="9">
        <v>99.4</v>
      </c>
      <c r="CO87" s="9">
        <v>100.2</v>
      </c>
      <c r="CP87" s="9">
        <v>100.5</v>
      </c>
      <c r="CQ87" s="9">
        <v>101</v>
      </c>
      <c r="CR87" s="9">
        <v>101.5</v>
      </c>
      <c r="CS87" s="9">
        <v>102.2</v>
      </c>
      <c r="CT87" s="9">
        <v>103.5</v>
      </c>
      <c r="CU87" s="9">
        <v>103.8</v>
      </c>
      <c r="CV87" s="9">
        <v>104.6</v>
      </c>
      <c r="CW87" s="9">
        <v>105</v>
      </c>
      <c r="CX87" s="9">
        <v>106</v>
      </c>
      <c r="CY87" s="9">
        <v>107.9</v>
      </c>
      <c r="CZ87" s="9">
        <v>109.9</v>
      </c>
      <c r="DA87" s="9">
        <v>111</v>
      </c>
      <c r="DB87" s="9">
        <v>115.3</v>
      </c>
    </row>
    <row r="88" spans="1:106">
      <c r="A88" s="1" t="s">
        <v>404</v>
      </c>
      <c r="B88" s="1" t="s">
        <v>398</v>
      </c>
      <c r="C88" s="1" t="s">
        <v>17</v>
      </c>
      <c r="D88" s="1" t="s">
        <v>218</v>
      </c>
      <c r="E88" s="6">
        <v>632</v>
      </c>
      <c r="F88" s="9">
        <v>88.98</v>
      </c>
      <c r="G88" s="9">
        <v>8.43</v>
      </c>
      <c r="H88" s="9">
        <v>68.5</v>
      </c>
      <c r="I88" s="9">
        <v>71.599999999999994</v>
      </c>
      <c r="J88" s="9">
        <v>74.2</v>
      </c>
      <c r="K88" s="9">
        <v>74.7</v>
      </c>
      <c r="L88" s="9">
        <v>75.7</v>
      </c>
      <c r="M88" s="9">
        <v>76.3</v>
      </c>
      <c r="N88" s="9">
        <v>77.2</v>
      </c>
      <c r="O88" s="9">
        <v>78.2</v>
      </c>
      <c r="P88" s="9">
        <v>78.7</v>
      </c>
      <c r="Q88" s="9">
        <v>78.900000000000006</v>
      </c>
      <c r="R88" s="9">
        <v>79.3</v>
      </c>
      <c r="S88" s="9">
        <v>79.5</v>
      </c>
      <c r="T88" s="9">
        <v>79.7</v>
      </c>
      <c r="U88" s="9">
        <v>80</v>
      </c>
      <c r="V88" s="9">
        <v>80.3</v>
      </c>
      <c r="W88" s="9">
        <v>80.599999999999994</v>
      </c>
      <c r="X88" s="9">
        <v>80.8</v>
      </c>
      <c r="Y88" s="9">
        <v>81.099999999999994</v>
      </c>
      <c r="Z88" s="9">
        <v>81.3</v>
      </c>
      <c r="AA88" s="9">
        <v>82.2</v>
      </c>
      <c r="AB88" s="9">
        <v>82.4</v>
      </c>
      <c r="AC88" s="9">
        <v>82.6</v>
      </c>
      <c r="AD88" s="9">
        <v>83.1</v>
      </c>
      <c r="AE88" s="9">
        <v>83.5</v>
      </c>
      <c r="AF88" s="9">
        <v>83.7</v>
      </c>
      <c r="AG88" s="9">
        <v>84.1</v>
      </c>
      <c r="AH88" s="9">
        <v>84.3</v>
      </c>
      <c r="AI88" s="9">
        <v>84.5</v>
      </c>
      <c r="AJ88" s="9">
        <v>84.6</v>
      </c>
      <c r="AK88" s="9">
        <v>84.8</v>
      </c>
      <c r="AL88" s="9">
        <v>85</v>
      </c>
      <c r="AM88" s="9">
        <v>85.2</v>
      </c>
      <c r="AN88" s="9">
        <v>85.5</v>
      </c>
      <c r="AO88" s="9">
        <v>85.6</v>
      </c>
      <c r="AP88" s="9">
        <v>85.8</v>
      </c>
      <c r="AQ88" s="9">
        <v>86.1</v>
      </c>
      <c r="AR88" s="9">
        <v>86.3</v>
      </c>
      <c r="AS88" s="9">
        <v>86.5</v>
      </c>
      <c r="AT88" s="9">
        <v>86.7</v>
      </c>
      <c r="AU88" s="9">
        <v>87</v>
      </c>
      <c r="AV88" s="9">
        <v>87.2</v>
      </c>
      <c r="AW88" s="9">
        <v>87.3</v>
      </c>
      <c r="AX88" s="9">
        <v>87.3</v>
      </c>
      <c r="AY88" s="9">
        <v>87.4</v>
      </c>
      <c r="AZ88" s="9">
        <v>87.6</v>
      </c>
      <c r="BA88" s="9">
        <v>87.8</v>
      </c>
      <c r="BB88" s="9">
        <v>88</v>
      </c>
      <c r="BC88" s="9">
        <v>88.2</v>
      </c>
      <c r="BD88" s="9">
        <v>88.7</v>
      </c>
      <c r="BE88" s="9">
        <v>89</v>
      </c>
      <c r="BF88" s="9">
        <v>89.3</v>
      </c>
      <c r="BG88" s="9">
        <v>89.4</v>
      </c>
      <c r="BH88" s="9">
        <v>89.6</v>
      </c>
      <c r="BI88" s="9">
        <v>89.6</v>
      </c>
      <c r="BJ88" s="9">
        <v>89.8</v>
      </c>
      <c r="BK88" s="9">
        <v>90</v>
      </c>
      <c r="BL88" s="9">
        <v>90.2</v>
      </c>
      <c r="BM88" s="9">
        <v>90.3</v>
      </c>
      <c r="BN88" s="9">
        <v>90.7</v>
      </c>
      <c r="BO88" s="9">
        <v>91</v>
      </c>
      <c r="BP88" s="9">
        <v>91.1</v>
      </c>
      <c r="BQ88" s="9">
        <v>91.2</v>
      </c>
      <c r="BR88" s="9">
        <v>91.4</v>
      </c>
      <c r="BS88" s="9">
        <v>91.5</v>
      </c>
      <c r="BT88" s="9">
        <v>91.7</v>
      </c>
      <c r="BU88" s="9">
        <v>92.2</v>
      </c>
      <c r="BV88" s="9">
        <v>92.4</v>
      </c>
      <c r="BW88" s="9">
        <v>92.5</v>
      </c>
      <c r="BX88" s="9">
        <v>92.7</v>
      </c>
      <c r="BY88" s="9">
        <v>93</v>
      </c>
      <c r="BZ88" s="9">
        <v>93.2</v>
      </c>
      <c r="CA88" s="9">
        <v>93.3</v>
      </c>
      <c r="CB88" s="9">
        <v>93.4</v>
      </c>
      <c r="CC88" s="9">
        <v>93.5</v>
      </c>
      <c r="CD88" s="9">
        <v>93.7</v>
      </c>
      <c r="CE88" s="9">
        <v>94.2</v>
      </c>
      <c r="CF88" s="9">
        <v>94.4</v>
      </c>
      <c r="CG88" s="9">
        <v>94.7</v>
      </c>
      <c r="CH88" s="9">
        <v>95</v>
      </c>
      <c r="CI88" s="9">
        <v>95.5</v>
      </c>
      <c r="CJ88" s="9">
        <v>95.8</v>
      </c>
      <c r="CK88" s="9">
        <v>96</v>
      </c>
      <c r="CL88" s="9">
        <v>96.3</v>
      </c>
      <c r="CM88" s="9">
        <v>96.7</v>
      </c>
      <c r="CN88" s="9">
        <v>97.1</v>
      </c>
      <c r="CO88" s="9">
        <v>97.3</v>
      </c>
      <c r="CP88" s="9">
        <v>97.6</v>
      </c>
      <c r="CQ88" s="9">
        <v>98.3</v>
      </c>
      <c r="CR88" s="9">
        <v>98.5</v>
      </c>
      <c r="CS88" s="9">
        <v>98.7</v>
      </c>
      <c r="CT88" s="9">
        <v>99.5</v>
      </c>
      <c r="CU88" s="9">
        <v>100.2</v>
      </c>
      <c r="CV88" s="9">
        <v>100.8</v>
      </c>
      <c r="CW88" s="9">
        <v>101.8</v>
      </c>
      <c r="CX88" s="9">
        <v>102.7</v>
      </c>
      <c r="CY88" s="9">
        <v>105.4</v>
      </c>
      <c r="CZ88" s="9">
        <v>108.2</v>
      </c>
      <c r="DA88" s="9">
        <v>109.1</v>
      </c>
      <c r="DB88" s="9">
        <v>111.2</v>
      </c>
    </row>
    <row r="89" spans="1:106">
      <c r="A89" s="1" t="s">
        <v>405</v>
      </c>
      <c r="B89" s="1" t="s">
        <v>398</v>
      </c>
      <c r="C89" s="1" t="s">
        <v>17</v>
      </c>
      <c r="D89" s="1" t="s">
        <v>220</v>
      </c>
      <c r="E89" s="6">
        <v>633</v>
      </c>
      <c r="F89" s="9">
        <v>89.49</v>
      </c>
      <c r="G89" s="9">
        <v>9</v>
      </c>
      <c r="H89" s="9">
        <v>68.3</v>
      </c>
      <c r="I89" s="9">
        <v>71</v>
      </c>
      <c r="J89" s="9">
        <v>72.900000000000006</v>
      </c>
      <c r="K89" s="9">
        <v>73.7</v>
      </c>
      <c r="L89" s="9">
        <v>75</v>
      </c>
      <c r="M89" s="9">
        <v>75.5</v>
      </c>
      <c r="N89" s="9">
        <v>76.400000000000006</v>
      </c>
      <c r="O89" s="9">
        <v>77.2</v>
      </c>
      <c r="P89" s="9">
        <v>77.8</v>
      </c>
      <c r="Q89" s="9">
        <v>78</v>
      </c>
      <c r="R89" s="9">
        <v>78.400000000000006</v>
      </c>
      <c r="S89" s="9">
        <v>78.599999999999994</v>
      </c>
      <c r="T89" s="9">
        <v>79.2</v>
      </c>
      <c r="U89" s="9">
        <v>80</v>
      </c>
      <c r="V89" s="9">
        <v>80.8</v>
      </c>
      <c r="W89" s="9">
        <v>81.099999999999994</v>
      </c>
      <c r="X89" s="9">
        <v>81.5</v>
      </c>
      <c r="Y89" s="9">
        <v>81.7</v>
      </c>
      <c r="Z89" s="9">
        <v>82.2</v>
      </c>
      <c r="AA89" s="9">
        <v>82.5</v>
      </c>
      <c r="AB89" s="9">
        <v>82.7</v>
      </c>
      <c r="AC89" s="9">
        <v>83.4</v>
      </c>
      <c r="AD89" s="9">
        <v>83.5</v>
      </c>
      <c r="AE89" s="9">
        <v>83.5</v>
      </c>
      <c r="AF89" s="9">
        <v>84.2</v>
      </c>
      <c r="AG89" s="9">
        <v>84.3</v>
      </c>
      <c r="AH89" s="9">
        <v>84.6</v>
      </c>
      <c r="AI89" s="9">
        <v>84.9</v>
      </c>
      <c r="AJ89" s="9">
        <v>85.2</v>
      </c>
      <c r="AK89" s="9">
        <v>85.3</v>
      </c>
      <c r="AL89" s="9">
        <v>85.4</v>
      </c>
      <c r="AM89" s="9">
        <v>85.6</v>
      </c>
      <c r="AN89" s="9">
        <v>86</v>
      </c>
      <c r="AO89" s="9">
        <v>86.3</v>
      </c>
      <c r="AP89" s="9">
        <v>86.5</v>
      </c>
      <c r="AQ89" s="9">
        <v>86.8</v>
      </c>
      <c r="AR89" s="9">
        <v>87</v>
      </c>
      <c r="AS89" s="9">
        <v>87.1</v>
      </c>
      <c r="AT89" s="9">
        <v>87.2</v>
      </c>
      <c r="AU89" s="9">
        <v>87.4</v>
      </c>
      <c r="AV89" s="9">
        <v>87.5</v>
      </c>
      <c r="AW89" s="9">
        <v>87.7</v>
      </c>
      <c r="AX89" s="9">
        <v>88.2</v>
      </c>
      <c r="AY89" s="9">
        <v>88.3</v>
      </c>
      <c r="AZ89" s="9">
        <v>88.4</v>
      </c>
      <c r="BA89" s="9">
        <v>88.6</v>
      </c>
      <c r="BB89" s="9">
        <v>88.7</v>
      </c>
      <c r="BC89" s="9">
        <v>88.9</v>
      </c>
      <c r="BD89" s="9">
        <v>89.2</v>
      </c>
      <c r="BE89" s="9">
        <v>89.3</v>
      </c>
      <c r="BF89" s="9">
        <v>89.5</v>
      </c>
      <c r="BG89" s="9">
        <v>89.7</v>
      </c>
      <c r="BH89" s="9">
        <v>89.9</v>
      </c>
      <c r="BI89" s="9">
        <v>90.2</v>
      </c>
      <c r="BJ89" s="9">
        <v>90.5</v>
      </c>
      <c r="BK89" s="9">
        <v>90.7</v>
      </c>
      <c r="BL89" s="9">
        <v>90.8</v>
      </c>
      <c r="BM89" s="9">
        <v>91.1</v>
      </c>
      <c r="BN89" s="9">
        <v>91.3</v>
      </c>
      <c r="BO89" s="9">
        <v>91.5</v>
      </c>
      <c r="BP89" s="9">
        <v>91.6</v>
      </c>
      <c r="BQ89" s="9">
        <v>91.8</v>
      </c>
      <c r="BR89" s="9">
        <v>91.9</v>
      </c>
      <c r="BS89" s="9">
        <v>92.4</v>
      </c>
      <c r="BT89" s="9">
        <v>92.4</v>
      </c>
      <c r="BU89" s="9">
        <v>92.5</v>
      </c>
      <c r="BV89" s="9">
        <v>92.7</v>
      </c>
      <c r="BW89" s="9">
        <v>92.9</v>
      </c>
      <c r="BX89" s="9">
        <v>93.1</v>
      </c>
      <c r="BY89" s="9">
        <v>93.4</v>
      </c>
      <c r="BZ89" s="9">
        <v>93.7</v>
      </c>
      <c r="CA89" s="9">
        <v>94</v>
      </c>
      <c r="CB89" s="9">
        <v>94.2</v>
      </c>
      <c r="CC89" s="9">
        <v>94.5</v>
      </c>
      <c r="CD89" s="9">
        <v>94.7</v>
      </c>
      <c r="CE89" s="9">
        <v>95</v>
      </c>
      <c r="CF89" s="9">
        <v>95.5</v>
      </c>
      <c r="CG89" s="9">
        <v>95.6</v>
      </c>
      <c r="CH89" s="9">
        <v>95.8</v>
      </c>
      <c r="CI89" s="9">
        <v>96.2</v>
      </c>
      <c r="CJ89" s="9">
        <v>96.4</v>
      </c>
      <c r="CK89" s="9">
        <v>96.5</v>
      </c>
      <c r="CL89" s="9">
        <v>97</v>
      </c>
      <c r="CM89" s="9">
        <v>97.4</v>
      </c>
      <c r="CN89" s="9">
        <v>97.8</v>
      </c>
      <c r="CO89" s="9">
        <v>98.4</v>
      </c>
      <c r="CP89" s="9">
        <v>98.7</v>
      </c>
      <c r="CQ89" s="9">
        <v>99.6</v>
      </c>
      <c r="CR89" s="9">
        <v>100.1</v>
      </c>
      <c r="CS89" s="9">
        <v>100.6</v>
      </c>
      <c r="CT89" s="9">
        <v>100.9</v>
      </c>
      <c r="CU89" s="9">
        <v>102</v>
      </c>
      <c r="CV89" s="9">
        <v>102.9</v>
      </c>
      <c r="CW89" s="9">
        <v>103.5</v>
      </c>
      <c r="CX89" s="9">
        <v>105.5</v>
      </c>
      <c r="CY89" s="9">
        <v>105.8</v>
      </c>
      <c r="CZ89" s="9">
        <v>106.6</v>
      </c>
      <c r="DA89" s="9">
        <v>109.4</v>
      </c>
      <c r="DB89" s="9">
        <v>112.5</v>
      </c>
    </row>
    <row r="90" spans="1:106">
      <c r="A90" s="1" t="s">
        <v>406</v>
      </c>
      <c r="B90" s="1" t="s">
        <v>398</v>
      </c>
      <c r="C90" s="1" t="s">
        <v>17</v>
      </c>
      <c r="D90" s="1" t="s">
        <v>222</v>
      </c>
      <c r="E90" s="6">
        <v>797</v>
      </c>
      <c r="F90" s="9">
        <v>88.12</v>
      </c>
      <c r="G90" s="9">
        <v>8.77</v>
      </c>
      <c r="H90" s="9">
        <v>69.400000000000006</v>
      </c>
      <c r="I90" s="9">
        <v>70.8</v>
      </c>
      <c r="J90" s="9">
        <v>71.2</v>
      </c>
      <c r="K90" s="9">
        <v>72.3</v>
      </c>
      <c r="L90" s="9">
        <v>73</v>
      </c>
      <c r="M90" s="9">
        <v>74.2</v>
      </c>
      <c r="N90" s="9">
        <v>74.7</v>
      </c>
      <c r="O90" s="9">
        <v>75.3</v>
      </c>
      <c r="P90" s="9">
        <v>76.099999999999994</v>
      </c>
      <c r="Q90" s="9">
        <v>76.5</v>
      </c>
      <c r="R90" s="9">
        <v>77.2</v>
      </c>
      <c r="S90" s="9">
        <v>77.5</v>
      </c>
      <c r="T90" s="9">
        <v>78.099999999999994</v>
      </c>
      <c r="U90" s="9">
        <v>78.599999999999994</v>
      </c>
      <c r="V90" s="9">
        <v>79</v>
      </c>
      <c r="W90" s="9">
        <v>79.400000000000006</v>
      </c>
      <c r="X90" s="9">
        <v>79.900000000000006</v>
      </c>
      <c r="Y90" s="9">
        <v>80.2</v>
      </c>
      <c r="Z90" s="9">
        <v>80.599999999999994</v>
      </c>
      <c r="AA90" s="9">
        <v>81</v>
      </c>
      <c r="AB90" s="9">
        <v>81.400000000000006</v>
      </c>
      <c r="AC90" s="9">
        <v>81.5</v>
      </c>
      <c r="AD90" s="9">
        <v>81.900000000000006</v>
      </c>
      <c r="AE90" s="9">
        <v>82.2</v>
      </c>
      <c r="AF90" s="9">
        <v>82.4</v>
      </c>
      <c r="AG90" s="9">
        <v>82.8</v>
      </c>
      <c r="AH90" s="9">
        <v>83.1</v>
      </c>
      <c r="AI90" s="9">
        <v>83.3</v>
      </c>
      <c r="AJ90" s="9">
        <v>83.6</v>
      </c>
      <c r="AK90" s="9">
        <v>83.8</v>
      </c>
      <c r="AL90" s="9">
        <v>84</v>
      </c>
      <c r="AM90" s="9">
        <v>84.2</v>
      </c>
      <c r="AN90" s="9">
        <v>84.5</v>
      </c>
      <c r="AO90" s="9">
        <v>84.7</v>
      </c>
      <c r="AP90" s="9">
        <v>84.9</v>
      </c>
      <c r="AQ90" s="9">
        <v>85</v>
      </c>
      <c r="AR90" s="9">
        <v>85.3</v>
      </c>
      <c r="AS90" s="9">
        <v>85.4</v>
      </c>
      <c r="AT90" s="9">
        <v>85.7</v>
      </c>
      <c r="AU90" s="9">
        <v>86</v>
      </c>
      <c r="AV90" s="9">
        <v>86.1</v>
      </c>
      <c r="AW90" s="9">
        <v>86.3</v>
      </c>
      <c r="AX90" s="9">
        <v>86.5</v>
      </c>
      <c r="AY90" s="9">
        <v>86.8</v>
      </c>
      <c r="AZ90" s="9">
        <v>87.1</v>
      </c>
      <c r="BA90" s="9">
        <v>87.3</v>
      </c>
      <c r="BB90" s="9">
        <v>87.6</v>
      </c>
      <c r="BC90" s="9">
        <v>87.7</v>
      </c>
      <c r="BD90" s="9">
        <v>88</v>
      </c>
      <c r="BE90" s="9">
        <v>88.2</v>
      </c>
      <c r="BF90" s="9">
        <v>88.3</v>
      </c>
      <c r="BG90" s="9">
        <v>88.5</v>
      </c>
      <c r="BH90" s="9">
        <v>88.7</v>
      </c>
      <c r="BI90" s="9">
        <v>88.9</v>
      </c>
      <c r="BJ90" s="9">
        <v>89.2</v>
      </c>
      <c r="BK90" s="9">
        <v>89.5</v>
      </c>
      <c r="BL90" s="9">
        <v>89.8</v>
      </c>
      <c r="BM90" s="9">
        <v>90.2</v>
      </c>
      <c r="BN90" s="9">
        <v>90.3</v>
      </c>
      <c r="BO90" s="9">
        <v>90.4</v>
      </c>
      <c r="BP90" s="9">
        <v>90.6</v>
      </c>
      <c r="BQ90" s="9">
        <v>90.7</v>
      </c>
      <c r="BR90" s="9">
        <v>91</v>
      </c>
      <c r="BS90" s="9">
        <v>91.1</v>
      </c>
      <c r="BT90" s="9">
        <v>91.3</v>
      </c>
      <c r="BU90" s="9">
        <v>91.5</v>
      </c>
      <c r="BV90" s="9">
        <v>91.6</v>
      </c>
      <c r="BW90" s="9">
        <v>91.8</v>
      </c>
      <c r="BX90" s="9">
        <v>92</v>
      </c>
      <c r="BY90" s="9">
        <v>92.2</v>
      </c>
      <c r="BZ90" s="9">
        <v>92.6</v>
      </c>
      <c r="CA90" s="9">
        <v>93</v>
      </c>
      <c r="CB90" s="9">
        <v>93.2</v>
      </c>
      <c r="CC90" s="9">
        <v>93.4</v>
      </c>
      <c r="CD90" s="9">
        <v>93.7</v>
      </c>
      <c r="CE90" s="9">
        <v>93.9</v>
      </c>
      <c r="CF90" s="9">
        <v>94.3</v>
      </c>
      <c r="CG90" s="9">
        <v>94.7</v>
      </c>
      <c r="CH90" s="9">
        <v>95.1</v>
      </c>
      <c r="CI90" s="9">
        <v>95.5</v>
      </c>
      <c r="CJ90" s="9">
        <v>95.8</v>
      </c>
      <c r="CK90" s="9">
        <v>96</v>
      </c>
      <c r="CL90" s="9">
        <v>96.2</v>
      </c>
      <c r="CM90" s="9">
        <v>96.7</v>
      </c>
      <c r="CN90" s="9">
        <v>96.9</v>
      </c>
      <c r="CO90" s="9">
        <v>97.3</v>
      </c>
      <c r="CP90" s="9">
        <v>97.6</v>
      </c>
      <c r="CQ90" s="9">
        <v>98.1</v>
      </c>
      <c r="CR90" s="9">
        <v>98.5</v>
      </c>
      <c r="CS90" s="9">
        <v>99.2</v>
      </c>
      <c r="CT90" s="9">
        <v>99.4</v>
      </c>
      <c r="CU90" s="9">
        <v>100</v>
      </c>
      <c r="CV90" s="9">
        <v>100.5</v>
      </c>
      <c r="CW90" s="9">
        <v>101</v>
      </c>
      <c r="CX90" s="9">
        <v>101.6</v>
      </c>
      <c r="CY90" s="9">
        <v>102.6</v>
      </c>
      <c r="CZ90" s="9">
        <v>104.7</v>
      </c>
      <c r="DA90" s="9">
        <v>106.1</v>
      </c>
      <c r="DB90" s="9">
        <v>110.3</v>
      </c>
    </row>
    <row r="91" spans="1:106">
      <c r="A91" s="1" t="s">
        <v>407</v>
      </c>
      <c r="B91" s="1" t="s">
        <v>398</v>
      </c>
      <c r="C91" s="1" t="s">
        <v>17</v>
      </c>
      <c r="D91" s="1" t="s">
        <v>224</v>
      </c>
      <c r="E91" s="6">
        <v>775</v>
      </c>
      <c r="F91" s="9">
        <v>88.69</v>
      </c>
      <c r="G91" s="9">
        <v>8.83</v>
      </c>
      <c r="H91" s="9">
        <v>66.900000000000006</v>
      </c>
      <c r="I91" s="9">
        <v>70.2</v>
      </c>
      <c r="J91" s="9">
        <v>71.099999999999994</v>
      </c>
      <c r="K91" s="9">
        <v>71.900000000000006</v>
      </c>
      <c r="L91" s="9">
        <v>73.2</v>
      </c>
      <c r="M91" s="9">
        <v>74.3</v>
      </c>
      <c r="N91" s="9">
        <v>75.5</v>
      </c>
      <c r="O91" s="9">
        <v>76.099999999999994</v>
      </c>
      <c r="P91" s="9">
        <v>76.599999999999994</v>
      </c>
      <c r="Q91" s="9">
        <v>77.2</v>
      </c>
      <c r="R91" s="9">
        <v>78.099999999999994</v>
      </c>
      <c r="S91" s="9">
        <v>78.400000000000006</v>
      </c>
      <c r="T91" s="9">
        <v>79.099999999999994</v>
      </c>
      <c r="U91" s="9">
        <v>79.900000000000006</v>
      </c>
      <c r="V91" s="9">
        <v>80</v>
      </c>
      <c r="W91" s="9">
        <v>80.3</v>
      </c>
      <c r="X91" s="9">
        <v>80.400000000000006</v>
      </c>
      <c r="Y91" s="9">
        <v>81</v>
      </c>
      <c r="Z91" s="9">
        <v>81.400000000000006</v>
      </c>
      <c r="AA91" s="9">
        <v>81.599999999999994</v>
      </c>
      <c r="AB91" s="9">
        <v>82</v>
      </c>
      <c r="AC91" s="9">
        <v>82.4</v>
      </c>
      <c r="AD91" s="9">
        <v>82.8</v>
      </c>
      <c r="AE91" s="9">
        <v>83.1</v>
      </c>
      <c r="AF91" s="9">
        <v>83.3</v>
      </c>
      <c r="AG91" s="9">
        <v>83.5</v>
      </c>
      <c r="AH91" s="9">
        <v>83.8</v>
      </c>
      <c r="AI91" s="9">
        <v>84</v>
      </c>
      <c r="AJ91" s="9">
        <v>84.2</v>
      </c>
      <c r="AK91" s="9">
        <v>84.3</v>
      </c>
      <c r="AL91" s="9">
        <v>84.5</v>
      </c>
      <c r="AM91" s="9">
        <v>84.7</v>
      </c>
      <c r="AN91" s="9">
        <v>85</v>
      </c>
      <c r="AO91" s="9">
        <v>85.2</v>
      </c>
      <c r="AP91" s="9">
        <v>85.4</v>
      </c>
      <c r="AQ91" s="9">
        <v>85.7</v>
      </c>
      <c r="AR91" s="9">
        <v>86.1</v>
      </c>
      <c r="AS91" s="9">
        <v>86.3</v>
      </c>
      <c r="AT91" s="9">
        <v>86.5</v>
      </c>
      <c r="AU91" s="9">
        <v>86.7</v>
      </c>
      <c r="AV91" s="9">
        <v>87</v>
      </c>
      <c r="AW91" s="9">
        <v>87.2</v>
      </c>
      <c r="AX91" s="9">
        <v>87.4</v>
      </c>
      <c r="AY91" s="9">
        <v>87.5</v>
      </c>
      <c r="AZ91" s="9">
        <v>87.7</v>
      </c>
      <c r="BA91" s="9">
        <v>87.8</v>
      </c>
      <c r="BB91" s="9">
        <v>88.1</v>
      </c>
      <c r="BC91" s="9">
        <v>88.3</v>
      </c>
      <c r="BD91" s="9">
        <v>88.5</v>
      </c>
      <c r="BE91" s="9">
        <v>88.6</v>
      </c>
      <c r="BF91" s="9">
        <v>88.8</v>
      </c>
      <c r="BG91" s="9">
        <v>89.2</v>
      </c>
      <c r="BH91" s="9">
        <v>89.3</v>
      </c>
      <c r="BI91" s="9">
        <v>89.5</v>
      </c>
      <c r="BJ91" s="9">
        <v>89.7</v>
      </c>
      <c r="BK91" s="9">
        <v>90</v>
      </c>
      <c r="BL91" s="9">
        <v>90.1</v>
      </c>
      <c r="BM91" s="9">
        <v>90.3</v>
      </c>
      <c r="BN91" s="9">
        <v>90.5</v>
      </c>
      <c r="BO91" s="9">
        <v>90.7</v>
      </c>
      <c r="BP91" s="9">
        <v>91.1</v>
      </c>
      <c r="BQ91" s="9">
        <v>91.2</v>
      </c>
      <c r="BR91" s="9">
        <v>91.4</v>
      </c>
      <c r="BS91" s="9">
        <v>91.6</v>
      </c>
      <c r="BT91" s="9">
        <v>91.8</v>
      </c>
      <c r="BU91" s="9">
        <v>92</v>
      </c>
      <c r="BV91" s="9">
        <v>92.3</v>
      </c>
      <c r="BW91" s="9">
        <v>92.6</v>
      </c>
      <c r="BX91" s="9">
        <v>92.8</v>
      </c>
      <c r="BY91" s="9">
        <v>93.1</v>
      </c>
      <c r="BZ91" s="9">
        <v>93.4</v>
      </c>
      <c r="CA91" s="9">
        <v>93.5</v>
      </c>
      <c r="CB91" s="9">
        <v>94</v>
      </c>
      <c r="CC91" s="9">
        <v>94.2</v>
      </c>
      <c r="CD91" s="9">
        <v>94.4</v>
      </c>
      <c r="CE91" s="9">
        <v>94.6</v>
      </c>
      <c r="CF91" s="9">
        <v>94.7</v>
      </c>
      <c r="CG91" s="9">
        <v>94.9</v>
      </c>
      <c r="CH91" s="9">
        <v>95.3</v>
      </c>
      <c r="CI91" s="9">
        <v>95.4</v>
      </c>
      <c r="CJ91" s="9">
        <v>95.7</v>
      </c>
      <c r="CK91" s="9">
        <v>96</v>
      </c>
      <c r="CL91" s="9">
        <v>96.7</v>
      </c>
      <c r="CM91" s="9">
        <v>97</v>
      </c>
      <c r="CN91" s="9">
        <v>97.4</v>
      </c>
      <c r="CO91" s="9">
        <v>98</v>
      </c>
      <c r="CP91" s="9">
        <v>98.2</v>
      </c>
      <c r="CQ91" s="9">
        <v>98.5</v>
      </c>
      <c r="CR91" s="9">
        <v>98.9</v>
      </c>
      <c r="CS91" s="9">
        <v>99.8</v>
      </c>
      <c r="CT91" s="9">
        <v>100.3</v>
      </c>
      <c r="CU91" s="9">
        <v>100.8</v>
      </c>
      <c r="CV91" s="9">
        <v>101.7</v>
      </c>
      <c r="CW91" s="9">
        <v>103.2</v>
      </c>
      <c r="CX91" s="9">
        <v>103.5</v>
      </c>
      <c r="CY91" s="9">
        <v>104.1</v>
      </c>
      <c r="CZ91" s="9">
        <v>104.7</v>
      </c>
      <c r="DA91" s="9">
        <v>107.1</v>
      </c>
      <c r="DB91" s="9">
        <v>110.2</v>
      </c>
    </row>
    <row r="92" spans="1:106">
      <c r="A92" s="1" t="s">
        <v>408</v>
      </c>
      <c r="B92" s="1" t="s">
        <v>398</v>
      </c>
      <c r="C92" s="1" t="s">
        <v>17</v>
      </c>
      <c r="D92" s="1" t="s">
        <v>356</v>
      </c>
      <c r="E92" s="6">
        <v>620</v>
      </c>
      <c r="F92" s="9">
        <v>87.8</v>
      </c>
      <c r="G92" s="9">
        <v>8.77</v>
      </c>
      <c r="H92" s="9">
        <v>67.7</v>
      </c>
      <c r="I92" s="9">
        <v>68.8</v>
      </c>
      <c r="J92" s="9">
        <v>70</v>
      </c>
      <c r="K92" s="9">
        <v>72.7</v>
      </c>
      <c r="L92" s="9">
        <v>73.400000000000006</v>
      </c>
      <c r="M92" s="9">
        <v>74.3</v>
      </c>
      <c r="N92" s="9">
        <v>75.2</v>
      </c>
      <c r="O92" s="9">
        <v>75.5</v>
      </c>
      <c r="P92" s="9">
        <v>75.5</v>
      </c>
      <c r="Q92" s="9">
        <v>76.3</v>
      </c>
      <c r="R92" s="9">
        <v>76.7</v>
      </c>
      <c r="S92" s="9">
        <v>77.2</v>
      </c>
      <c r="T92" s="9">
        <v>77.7</v>
      </c>
      <c r="U92" s="9">
        <v>78.2</v>
      </c>
      <c r="V92" s="9">
        <v>78.5</v>
      </c>
      <c r="W92" s="9">
        <v>79.099999999999994</v>
      </c>
      <c r="X92" s="9">
        <v>79.599999999999994</v>
      </c>
      <c r="Y92" s="9">
        <v>79.900000000000006</v>
      </c>
      <c r="Z92" s="9">
        <v>80.400000000000006</v>
      </c>
      <c r="AA92" s="9">
        <v>80.7</v>
      </c>
      <c r="AB92" s="9">
        <v>81.2</v>
      </c>
      <c r="AC92" s="9">
        <v>81.400000000000006</v>
      </c>
      <c r="AD92" s="9">
        <v>81.5</v>
      </c>
      <c r="AE92" s="9">
        <v>81.7</v>
      </c>
      <c r="AF92" s="9">
        <v>82</v>
      </c>
      <c r="AG92" s="9">
        <v>82.5</v>
      </c>
      <c r="AH92" s="9">
        <v>82.7</v>
      </c>
      <c r="AI92" s="9">
        <v>82.8</v>
      </c>
      <c r="AJ92" s="9">
        <v>83.2</v>
      </c>
      <c r="AK92" s="9">
        <v>83.7</v>
      </c>
      <c r="AL92" s="9">
        <v>83.9</v>
      </c>
      <c r="AM92" s="9">
        <v>84.2</v>
      </c>
      <c r="AN92" s="9">
        <v>84.4</v>
      </c>
      <c r="AO92" s="9">
        <v>84.6</v>
      </c>
      <c r="AP92" s="9">
        <v>84.7</v>
      </c>
      <c r="AQ92" s="9">
        <v>85</v>
      </c>
      <c r="AR92" s="9">
        <v>85.2</v>
      </c>
      <c r="AS92" s="9">
        <v>85.3</v>
      </c>
      <c r="AT92" s="9">
        <v>85.6</v>
      </c>
      <c r="AU92" s="9">
        <v>85.8</v>
      </c>
      <c r="AV92" s="9">
        <v>86.2</v>
      </c>
      <c r="AW92" s="9">
        <v>86.4</v>
      </c>
      <c r="AX92" s="9">
        <v>86.6</v>
      </c>
      <c r="AY92" s="9">
        <v>86.7</v>
      </c>
      <c r="AZ92" s="9">
        <v>87.1</v>
      </c>
      <c r="BA92" s="9">
        <v>87.3</v>
      </c>
      <c r="BB92" s="9">
        <v>87.4</v>
      </c>
      <c r="BC92" s="9">
        <v>87.5</v>
      </c>
      <c r="BD92" s="9">
        <v>87.7</v>
      </c>
      <c r="BE92" s="9">
        <v>88</v>
      </c>
      <c r="BF92" s="9">
        <v>88.2</v>
      </c>
      <c r="BG92" s="9">
        <v>88.3</v>
      </c>
      <c r="BH92" s="9">
        <v>88.4</v>
      </c>
      <c r="BI92" s="9">
        <v>88.6</v>
      </c>
      <c r="BJ92" s="9">
        <v>88.7</v>
      </c>
      <c r="BK92" s="9">
        <v>88.9</v>
      </c>
      <c r="BL92" s="9">
        <v>89</v>
      </c>
      <c r="BM92" s="9">
        <v>89.3</v>
      </c>
      <c r="BN92" s="9">
        <v>89.5</v>
      </c>
      <c r="BO92" s="9">
        <v>89.6</v>
      </c>
      <c r="BP92" s="9">
        <v>89.8</v>
      </c>
      <c r="BQ92" s="9">
        <v>90.1</v>
      </c>
      <c r="BR92" s="9">
        <v>90.2</v>
      </c>
      <c r="BS92" s="9">
        <v>90.4</v>
      </c>
      <c r="BT92" s="9">
        <v>90.7</v>
      </c>
      <c r="BU92" s="9">
        <v>90.9</v>
      </c>
      <c r="BV92" s="9">
        <v>91.2</v>
      </c>
      <c r="BW92" s="9">
        <v>91.4</v>
      </c>
      <c r="BX92" s="9">
        <v>91.9</v>
      </c>
      <c r="BY92" s="9">
        <v>92.2</v>
      </c>
      <c r="BZ92" s="9">
        <v>92.4</v>
      </c>
      <c r="CA92" s="9">
        <v>92.7</v>
      </c>
      <c r="CB92" s="9">
        <v>93.2</v>
      </c>
      <c r="CC92" s="9">
        <v>93.3</v>
      </c>
      <c r="CD92" s="9">
        <v>93.6</v>
      </c>
      <c r="CE92" s="9">
        <v>93.7</v>
      </c>
      <c r="CF92" s="9">
        <v>94</v>
      </c>
      <c r="CG92" s="9">
        <v>94.2</v>
      </c>
      <c r="CH92" s="9">
        <v>94.7</v>
      </c>
      <c r="CI92" s="9">
        <v>94.9</v>
      </c>
      <c r="CJ92" s="9">
        <v>95.2</v>
      </c>
      <c r="CK92" s="9">
        <v>96.1</v>
      </c>
      <c r="CL92" s="9">
        <v>96.4</v>
      </c>
      <c r="CM92" s="9">
        <v>96.7</v>
      </c>
      <c r="CN92" s="9">
        <v>97.1</v>
      </c>
      <c r="CO92" s="9">
        <v>97.2</v>
      </c>
      <c r="CP92" s="9">
        <v>97.5</v>
      </c>
      <c r="CQ92" s="9">
        <v>98</v>
      </c>
      <c r="CR92" s="9">
        <v>98.6</v>
      </c>
      <c r="CS92" s="9">
        <v>98.9</v>
      </c>
      <c r="CT92" s="9">
        <v>99.2</v>
      </c>
      <c r="CU92" s="9">
        <v>100.2</v>
      </c>
      <c r="CV92" s="9">
        <v>100.6</v>
      </c>
      <c r="CW92" s="9">
        <v>101.2</v>
      </c>
      <c r="CX92" s="9">
        <v>102</v>
      </c>
      <c r="CY92" s="9">
        <v>103</v>
      </c>
      <c r="CZ92" s="9">
        <v>103.5</v>
      </c>
      <c r="DA92" s="9">
        <v>106</v>
      </c>
      <c r="DB92" s="9">
        <v>108.7</v>
      </c>
    </row>
    <row r="93" spans="1:106">
      <c r="A93" s="1" t="s">
        <v>409</v>
      </c>
      <c r="B93" s="1" t="s">
        <v>398</v>
      </c>
      <c r="C93" s="1" t="s">
        <v>17</v>
      </c>
      <c r="D93" s="1" t="s">
        <v>358</v>
      </c>
      <c r="E93" s="6">
        <v>517</v>
      </c>
      <c r="F93" s="9">
        <v>89.8</v>
      </c>
      <c r="G93" s="9">
        <v>8.77</v>
      </c>
      <c r="H93" s="9">
        <v>68.2</v>
      </c>
      <c r="I93" s="9">
        <v>71</v>
      </c>
      <c r="J93" s="9">
        <v>72.5</v>
      </c>
      <c r="K93" s="9">
        <v>73.8</v>
      </c>
      <c r="L93" s="9">
        <v>75</v>
      </c>
      <c r="M93" s="9">
        <v>76.8</v>
      </c>
      <c r="N93" s="9">
        <v>77.599999999999994</v>
      </c>
      <c r="O93" s="9">
        <v>78</v>
      </c>
      <c r="P93" s="9">
        <v>78.8</v>
      </c>
      <c r="Q93" s="9">
        <v>79.3</v>
      </c>
      <c r="R93" s="9">
        <v>79.5</v>
      </c>
      <c r="S93" s="9">
        <v>80</v>
      </c>
      <c r="T93" s="9">
        <v>80.2</v>
      </c>
      <c r="U93" s="9">
        <v>80.400000000000006</v>
      </c>
      <c r="V93" s="9">
        <v>80.8</v>
      </c>
      <c r="W93" s="9">
        <v>81.2</v>
      </c>
      <c r="X93" s="9">
        <v>81.400000000000006</v>
      </c>
      <c r="Y93" s="9">
        <v>81.900000000000006</v>
      </c>
      <c r="Z93" s="9">
        <v>82.2</v>
      </c>
      <c r="AA93" s="9">
        <v>82.5</v>
      </c>
      <c r="AB93" s="9">
        <v>83</v>
      </c>
      <c r="AC93" s="9">
        <v>83.3</v>
      </c>
      <c r="AD93" s="9">
        <v>83.4</v>
      </c>
      <c r="AE93" s="9">
        <v>83.7</v>
      </c>
      <c r="AF93" s="9">
        <v>84</v>
      </c>
      <c r="AG93" s="9">
        <v>84.4</v>
      </c>
      <c r="AH93" s="9">
        <v>84.7</v>
      </c>
      <c r="AI93" s="9">
        <v>84.8</v>
      </c>
      <c r="AJ93" s="9">
        <v>85.3</v>
      </c>
      <c r="AK93" s="9">
        <v>85.5</v>
      </c>
      <c r="AL93" s="9">
        <v>85.6</v>
      </c>
      <c r="AM93" s="9">
        <v>85.7</v>
      </c>
      <c r="AN93" s="9">
        <v>85.8</v>
      </c>
      <c r="AO93" s="9">
        <v>86.2</v>
      </c>
      <c r="AP93" s="9">
        <v>86.5</v>
      </c>
      <c r="AQ93" s="9">
        <v>86.8</v>
      </c>
      <c r="AR93" s="9">
        <v>87.2</v>
      </c>
      <c r="AS93" s="9">
        <v>87.3</v>
      </c>
      <c r="AT93" s="9">
        <v>87.4</v>
      </c>
      <c r="AU93" s="9">
        <v>87.6</v>
      </c>
      <c r="AV93" s="9">
        <v>87.7</v>
      </c>
      <c r="AW93" s="9">
        <v>87.7</v>
      </c>
      <c r="AX93" s="9">
        <v>87.9</v>
      </c>
      <c r="AY93" s="9">
        <v>88.1</v>
      </c>
      <c r="AZ93" s="9">
        <v>88.4</v>
      </c>
      <c r="BA93" s="9">
        <v>88.5</v>
      </c>
      <c r="BB93" s="9">
        <v>88.7</v>
      </c>
      <c r="BC93" s="9">
        <v>89</v>
      </c>
      <c r="BD93" s="9">
        <v>89.2</v>
      </c>
      <c r="BE93" s="9">
        <v>89.3</v>
      </c>
      <c r="BF93" s="9">
        <v>89.6</v>
      </c>
      <c r="BG93" s="9">
        <v>90.1</v>
      </c>
      <c r="BH93" s="9">
        <v>90.2</v>
      </c>
      <c r="BI93" s="9">
        <v>90.5</v>
      </c>
      <c r="BJ93" s="9">
        <v>90.7</v>
      </c>
      <c r="BK93" s="9">
        <v>90.9</v>
      </c>
      <c r="BL93" s="9">
        <v>91</v>
      </c>
      <c r="BM93" s="9">
        <v>91.2</v>
      </c>
      <c r="BN93" s="9">
        <v>91.5</v>
      </c>
      <c r="BO93" s="9">
        <v>91.7</v>
      </c>
      <c r="BP93" s="9">
        <v>92</v>
      </c>
      <c r="BQ93" s="9">
        <v>92.4</v>
      </c>
      <c r="BR93" s="9">
        <v>92.7</v>
      </c>
      <c r="BS93" s="9">
        <v>93</v>
      </c>
      <c r="BT93" s="9">
        <v>93.2</v>
      </c>
      <c r="BU93" s="9">
        <v>93.3</v>
      </c>
      <c r="BV93" s="9">
        <v>93.6</v>
      </c>
      <c r="BW93" s="9">
        <v>93.8</v>
      </c>
      <c r="BX93" s="9">
        <v>93.9</v>
      </c>
      <c r="BY93" s="9">
        <v>94.2</v>
      </c>
      <c r="BZ93" s="9">
        <v>94.3</v>
      </c>
      <c r="CA93" s="9">
        <v>94.7</v>
      </c>
      <c r="CB93" s="9">
        <v>95</v>
      </c>
      <c r="CC93" s="9">
        <v>95.2</v>
      </c>
      <c r="CD93" s="9">
        <v>95.5</v>
      </c>
      <c r="CE93" s="9">
        <v>95.7</v>
      </c>
      <c r="CF93" s="9">
        <v>96.1</v>
      </c>
      <c r="CG93" s="9">
        <v>96.6</v>
      </c>
      <c r="CH93" s="9">
        <v>97.3</v>
      </c>
      <c r="CI93" s="9">
        <v>97.5</v>
      </c>
      <c r="CJ93" s="9">
        <v>97.9</v>
      </c>
      <c r="CK93" s="9">
        <v>98</v>
      </c>
      <c r="CL93" s="9">
        <v>98.3</v>
      </c>
      <c r="CM93" s="9">
        <v>98.7</v>
      </c>
      <c r="CN93" s="9">
        <v>98.9</v>
      </c>
      <c r="CO93" s="9">
        <v>99.3</v>
      </c>
      <c r="CP93" s="9">
        <v>99.7</v>
      </c>
      <c r="CQ93" s="9">
        <v>100.1</v>
      </c>
      <c r="CR93" s="9">
        <v>100.2</v>
      </c>
      <c r="CS93" s="9">
        <v>100.3</v>
      </c>
      <c r="CT93" s="9">
        <v>100.5</v>
      </c>
      <c r="CU93" s="9">
        <v>101.9</v>
      </c>
      <c r="CV93" s="9">
        <v>102.8</v>
      </c>
      <c r="CW93" s="9">
        <v>103.2</v>
      </c>
      <c r="CX93" s="9">
        <v>104.1</v>
      </c>
      <c r="CY93" s="9">
        <v>105</v>
      </c>
      <c r="CZ93" s="9">
        <v>106.4</v>
      </c>
      <c r="DA93" s="9">
        <v>108.1</v>
      </c>
      <c r="DB93" s="9">
        <v>110.6</v>
      </c>
    </row>
    <row r="94" spans="1:106">
      <c r="A94" s="1" t="s">
        <v>410</v>
      </c>
      <c r="B94" s="1" t="s">
        <v>398</v>
      </c>
      <c r="C94" s="1" t="s">
        <v>17</v>
      </c>
      <c r="D94" s="1" t="s">
        <v>360</v>
      </c>
      <c r="E94" s="6">
        <v>390</v>
      </c>
      <c r="F94" s="9">
        <v>86.94</v>
      </c>
      <c r="G94" s="9">
        <v>9.33</v>
      </c>
      <c r="H94" s="9">
        <v>64.099999999999994</v>
      </c>
      <c r="I94" s="9">
        <v>66.400000000000006</v>
      </c>
      <c r="J94" s="9">
        <v>67.5</v>
      </c>
      <c r="K94" s="9">
        <v>68.5</v>
      </c>
      <c r="L94" s="9">
        <v>69.5</v>
      </c>
      <c r="M94" s="9">
        <v>70.5</v>
      </c>
      <c r="N94" s="9">
        <v>71.5</v>
      </c>
      <c r="O94" s="9">
        <v>73.099999999999994</v>
      </c>
      <c r="P94" s="9">
        <v>74.099999999999994</v>
      </c>
      <c r="Q94" s="9">
        <v>74.3</v>
      </c>
      <c r="R94" s="9">
        <v>75.2</v>
      </c>
      <c r="S94" s="9">
        <v>76.2</v>
      </c>
      <c r="T94" s="9">
        <v>76.7</v>
      </c>
      <c r="U94" s="9">
        <v>76.7</v>
      </c>
      <c r="V94" s="9">
        <v>77.8</v>
      </c>
      <c r="W94" s="9">
        <v>78</v>
      </c>
      <c r="X94" s="9">
        <v>78.400000000000006</v>
      </c>
      <c r="Y94" s="9">
        <v>78.599999999999994</v>
      </c>
      <c r="Z94" s="9">
        <v>79</v>
      </c>
      <c r="AA94" s="9">
        <v>79.5</v>
      </c>
      <c r="AB94" s="9">
        <v>79.599999999999994</v>
      </c>
      <c r="AC94" s="9">
        <v>80.099999999999994</v>
      </c>
      <c r="AD94" s="9">
        <v>80.3</v>
      </c>
      <c r="AE94" s="9">
        <v>80.599999999999994</v>
      </c>
      <c r="AF94" s="9">
        <v>80.8</v>
      </c>
      <c r="AG94" s="9">
        <v>81.3</v>
      </c>
      <c r="AH94" s="9">
        <v>81.5</v>
      </c>
      <c r="AI94" s="9">
        <v>81.7</v>
      </c>
      <c r="AJ94" s="9">
        <v>82</v>
      </c>
      <c r="AK94" s="9">
        <v>82.5</v>
      </c>
      <c r="AL94" s="9">
        <v>82.7</v>
      </c>
      <c r="AM94" s="9">
        <v>82.8</v>
      </c>
      <c r="AN94" s="9">
        <v>83.1</v>
      </c>
      <c r="AO94" s="9">
        <v>83.2</v>
      </c>
      <c r="AP94" s="9">
        <v>83.3</v>
      </c>
      <c r="AQ94" s="9">
        <v>83.5</v>
      </c>
      <c r="AR94" s="9">
        <v>84.4</v>
      </c>
      <c r="AS94" s="9">
        <v>84.6</v>
      </c>
      <c r="AT94" s="9">
        <v>84.7</v>
      </c>
      <c r="AU94" s="9">
        <v>85.3</v>
      </c>
      <c r="AV94" s="9">
        <v>85.5</v>
      </c>
      <c r="AW94" s="9">
        <v>85.6</v>
      </c>
      <c r="AX94" s="9">
        <v>85.8</v>
      </c>
      <c r="AY94" s="9">
        <v>86.1</v>
      </c>
      <c r="AZ94" s="9">
        <v>86.3</v>
      </c>
      <c r="BA94" s="9">
        <v>86.6</v>
      </c>
      <c r="BB94" s="9">
        <v>86.7</v>
      </c>
      <c r="BC94" s="9">
        <v>87.2</v>
      </c>
      <c r="BD94" s="9">
        <v>87.2</v>
      </c>
      <c r="BE94" s="9">
        <v>87.3</v>
      </c>
      <c r="BF94" s="9">
        <v>87.6</v>
      </c>
      <c r="BG94" s="9">
        <v>88</v>
      </c>
      <c r="BH94" s="9">
        <v>88.2</v>
      </c>
      <c r="BI94" s="9">
        <v>88.2</v>
      </c>
      <c r="BJ94" s="9">
        <v>88.3</v>
      </c>
      <c r="BK94" s="9">
        <v>88.5</v>
      </c>
      <c r="BL94" s="9">
        <v>88.5</v>
      </c>
      <c r="BM94" s="9">
        <v>88.8</v>
      </c>
      <c r="BN94" s="9">
        <v>89.1</v>
      </c>
      <c r="BO94" s="9">
        <v>89.2</v>
      </c>
      <c r="BP94" s="9">
        <v>90.1</v>
      </c>
      <c r="BQ94" s="9">
        <v>90.1</v>
      </c>
      <c r="BR94" s="9">
        <v>90.4</v>
      </c>
      <c r="BS94" s="9">
        <v>90.7</v>
      </c>
      <c r="BT94" s="9">
        <v>91</v>
      </c>
      <c r="BU94" s="9">
        <v>91.3</v>
      </c>
      <c r="BV94" s="9">
        <v>91.5</v>
      </c>
      <c r="BW94" s="9">
        <v>91.7</v>
      </c>
      <c r="BX94" s="9">
        <v>92.2</v>
      </c>
      <c r="BY94" s="9">
        <v>92.5</v>
      </c>
      <c r="BZ94" s="9">
        <v>92.6</v>
      </c>
      <c r="CA94" s="9">
        <v>93</v>
      </c>
      <c r="CB94" s="9">
        <v>93.2</v>
      </c>
      <c r="CC94" s="9">
        <v>93.5</v>
      </c>
      <c r="CD94" s="9">
        <v>93.7</v>
      </c>
      <c r="CE94" s="9">
        <v>94</v>
      </c>
      <c r="CF94" s="9">
        <v>94.2</v>
      </c>
      <c r="CG94" s="9">
        <v>94.4</v>
      </c>
      <c r="CH94" s="9">
        <v>94.9</v>
      </c>
      <c r="CI94" s="9">
        <v>95.1</v>
      </c>
      <c r="CJ94" s="9">
        <v>95.2</v>
      </c>
      <c r="CK94" s="9">
        <v>95.7</v>
      </c>
      <c r="CL94" s="9">
        <v>96</v>
      </c>
      <c r="CM94" s="9">
        <v>96.2</v>
      </c>
      <c r="CN94" s="9">
        <v>96.4</v>
      </c>
      <c r="CO94" s="9">
        <v>96.6</v>
      </c>
      <c r="CP94" s="9">
        <v>97</v>
      </c>
      <c r="CQ94" s="9">
        <v>97.5</v>
      </c>
      <c r="CR94" s="9">
        <v>97.7</v>
      </c>
      <c r="CS94" s="9">
        <v>98</v>
      </c>
      <c r="CT94" s="9">
        <v>98.4</v>
      </c>
      <c r="CU94" s="9">
        <v>98.9</v>
      </c>
      <c r="CV94" s="9">
        <v>99.5</v>
      </c>
      <c r="CW94" s="9">
        <v>100.4</v>
      </c>
      <c r="CX94" s="9">
        <v>101.2</v>
      </c>
      <c r="CY94" s="9">
        <v>101.5</v>
      </c>
      <c r="CZ94" s="9">
        <v>102.9</v>
      </c>
      <c r="DA94" s="9">
        <v>103.4</v>
      </c>
      <c r="DB94" s="9">
        <v>106.7</v>
      </c>
    </row>
    <row r="95" spans="1:106">
      <c r="A95" s="1" t="s">
        <v>411</v>
      </c>
      <c r="B95" s="1" t="s">
        <v>398</v>
      </c>
      <c r="C95" s="1" t="s">
        <v>19</v>
      </c>
      <c r="D95" s="1" t="s">
        <v>206</v>
      </c>
      <c r="E95" s="6">
        <v>448</v>
      </c>
      <c r="F95" s="9">
        <v>72.709999999999994</v>
      </c>
      <c r="G95" s="9">
        <v>10.34</v>
      </c>
      <c r="H95" s="9">
        <v>57.6</v>
      </c>
      <c r="I95" s="9">
        <v>57.9</v>
      </c>
      <c r="J95" s="9">
        <v>58.9</v>
      </c>
      <c r="K95" s="9">
        <v>60</v>
      </c>
      <c r="L95" s="9">
        <v>60.5</v>
      </c>
      <c r="M95" s="9">
        <v>61.2</v>
      </c>
      <c r="N95" s="9">
        <v>61.4</v>
      </c>
      <c r="O95" s="9">
        <v>61.5</v>
      </c>
      <c r="P95" s="9">
        <v>61.6</v>
      </c>
      <c r="Q95" s="9">
        <v>61.8</v>
      </c>
      <c r="R95" s="9">
        <v>62</v>
      </c>
      <c r="S95" s="9">
        <v>62.1</v>
      </c>
      <c r="T95" s="9">
        <v>62.2</v>
      </c>
      <c r="U95" s="9">
        <v>62.4</v>
      </c>
      <c r="V95" s="9">
        <v>62.5</v>
      </c>
      <c r="W95" s="9">
        <v>62.7</v>
      </c>
      <c r="X95" s="9">
        <v>63</v>
      </c>
      <c r="Y95" s="9">
        <v>63.1</v>
      </c>
      <c r="Z95" s="9">
        <v>63.4</v>
      </c>
      <c r="AA95" s="9">
        <v>63.5</v>
      </c>
      <c r="AB95" s="9">
        <v>63.9</v>
      </c>
      <c r="AC95" s="9">
        <v>64.2</v>
      </c>
      <c r="AD95" s="9">
        <v>64.400000000000006</v>
      </c>
      <c r="AE95" s="9">
        <v>64.5</v>
      </c>
      <c r="AF95" s="9">
        <v>64.8</v>
      </c>
      <c r="AG95" s="9">
        <v>65.099999999999994</v>
      </c>
      <c r="AH95" s="9">
        <v>65.599999999999994</v>
      </c>
      <c r="AI95" s="9">
        <v>65.7</v>
      </c>
      <c r="AJ95" s="9">
        <v>66</v>
      </c>
      <c r="AK95" s="9">
        <v>66.2</v>
      </c>
      <c r="AL95" s="9">
        <v>66.5</v>
      </c>
      <c r="AM95" s="9">
        <v>66.8</v>
      </c>
      <c r="AN95" s="9">
        <v>67</v>
      </c>
      <c r="AO95" s="9">
        <v>67.2</v>
      </c>
      <c r="AP95" s="9">
        <v>67.5</v>
      </c>
      <c r="AQ95" s="9">
        <v>68.099999999999994</v>
      </c>
      <c r="AR95" s="9">
        <v>68.2</v>
      </c>
      <c r="AS95" s="9">
        <v>68.5</v>
      </c>
      <c r="AT95" s="9">
        <v>68.599999999999994</v>
      </c>
      <c r="AU95" s="9">
        <v>68.7</v>
      </c>
      <c r="AV95" s="9">
        <v>68.8</v>
      </c>
      <c r="AW95" s="9">
        <v>69.099999999999994</v>
      </c>
      <c r="AX95" s="9">
        <v>69.2</v>
      </c>
      <c r="AY95" s="9">
        <v>69.400000000000006</v>
      </c>
      <c r="AZ95" s="9">
        <v>69.5</v>
      </c>
      <c r="BA95" s="9">
        <v>69.7</v>
      </c>
      <c r="BB95" s="9">
        <v>70.2</v>
      </c>
      <c r="BC95" s="9">
        <v>70.3</v>
      </c>
      <c r="BD95" s="9">
        <v>70.5</v>
      </c>
      <c r="BE95" s="9">
        <v>70.5</v>
      </c>
      <c r="BF95" s="9">
        <v>70.7</v>
      </c>
      <c r="BG95" s="9">
        <v>71.099999999999994</v>
      </c>
      <c r="BH95" s="9">
        <v>71.3</v>
      </c>
      <c r="BI95" s="9">
        <v>71.5</v>
      </c>
      <c r="BJ95" s="9">
        <v>71.7</v>
      </c>
      <c r="BK95" s="9">
        <v>72.3</v>
      </c>
      <c r="BL95" s="9">
        <v>72.5</v>
      </c>
      <c r="BM95" s="9">
        <v>72.7</v>
      </c>
      <c r="BN95" s="9">
        <v>73</v>
      </c>
      <c r="BO95" s="9">
        <v>73.3</v>
      </c>
      <c r="BP95" s="9">
        <v>73.400000000000006</v>
      </c>
      <c r="BQ95" s="9">
        <v>73.7</v>
      </c>
      <c r="BR95" s="9">
        <v>74.3</v>
      </c>
      <c r="BS95" s="9">
        <v>74.7</v>
      </c>
      <c r="BT95" s="9">
        <v>74.900000000000006</v>
      </c>
      <c r="BU95" s="9">
        <v>75.2</v>
      </c>
      <c r="BV95" s="9">
        <v>75.3</v>
      </c>
      <c r="BW95" s="9">
        <v>75.5</v>
      </c>
      <c r="BX95" s="9">
        <v>75.7</v>
      </c>
      <c r="BY95" s="9">
        <v>76</v>
      </c>
      <c r="BZ95" s="9">
        <v>76.5</v>
      </c>
      <c r="CA95" s="9">
        <v>76.7</v>
      </c>
      <c r="CB95" s="9">
        <v>77.3</v>
      </c>
      <c r="CC95" s="9">
        <v>77.8</v>
      </c>
      <c r="CD95" s="9">
        <v>77.900000000000006</v>
      </c>
      <c r="CE95" s="9">
        <v>78.2</v>
      </c>
      <c r="CF95" s="9">
        <v>78.5</v>
      </c>
      <c r="CG95" s="9">
        <v>78.8</v>
      </c>
      <c r="CH95" s="9">
        <v>79.900000000000006</v>
      </c>
      <c r="CI95" s="9">
        <v>80.2</v>
      </c>
      <c r="CJ95" s="9">
        <v>80.8</v>
      </c>
      <c r="CK95" s="9">
        <v>81.400000000000006</v>
      </c>
      <c r="CL95" s="9">
        <v>82</v>
      </c>
      <c r="CM95" s="9">
        <v>82.2</v>
      </c>
      <c r="CN95" s="9">
        <v>82.7</v>
      </c>
      <c r="CO95" s="9">
        <v>83</v>
      </c>
      <c r="CP95" s="9">
        <v>83.7</v>
      </c>
      <c r="CQ95" s="9">
        <v>84.3</v>
      </c>
      <c r="CR95" s="9">
        <v>85.2</v>
      </c>
      <c r="CS95" s="9">
        <v>86.5</v>
      </c>
      <c r="CT95" s="9">
        <v>86.8</v>
      </c>
      <c r="CU95" s="9">
        <v>87.7</v>
      </c>
      <c r="CV95" s="9">
        <v>89.3</v>
      </c>
      <c r="CW95" s="9">
        <v>90.5</v>
      </c>
      <c r="CX95" s="9">
        <v>92.4</v>
      </c>
      <c r="CY95" s="9">
        <v>93.5</v>
      </c>
      <c r="CZ95" s="9">
        <v>95.7</v>
      </c>
      <c r="DA95" s="9">
        <v>97.2</v>
      </c>
      <c r="DB95" s="9">
        <v>102</v>
      </c>
    </row>
    <row r="96" spans="1:106">
      <c r="A96" s="1" t="s">
        <v>412</v>
      </c>
      <c r="B96" s="1" t="s">
        <v>398</v>
      </c>
      <c r="C96" s="1" t="s">
        <v>19</v>
      </c>
      <c r="D96" s="1" t="s">
        <v>208</v>
      </c>
      <c r="E96" s="6">
        <v>501</v>
      </c>
      <c r="F96" s="9">
        <v>73.98</v>
      </c>
      <c r="G96" s="9">
        <v>10.72</v>
      </c>
      <c r="H96" s="9">
        <v>58.6</v>
      </c>
      <c r="I96" s="9">
        <v>59.2</v>
      </c>
      <c r="J96" s="9">
        <v>59.7</v>
      </c>
      <c r="K96" s="9">
        <v>60.3</v>
      </c>
      <c r="L96" s="9">
        <v>61.2</v>
      </c>
      <c r="M96" s="9">
        <v>61.3</v>
      </c>
      <c r="N96" s="9">
        <v>62.2</v>
      </c>
      <c r="O96" s="9">
        <v>62.6</v>
      </c>
      <c r="P96" s="9">
        <v>62.9</v>
      </c>
      <c r="Q96" s="9">
        <v>63.1</v>
      </c>
      <c r="R96" s="9">
        <v>63.4</v>
      </c>
      <c r="S96" s="9">
        <v>63.6</v>
      </c>
      <c r="T96" s="9">
        <v>64</v>
      </c>
      <c r="U96" s="9">
        <v>64.400000000000006</v>
      </c>
      <c r="V96" s="9">
        <v>64.7</v>
      </c>
      <c r="W96" s="9">
        <v>65</v>
      </c>
      <c r="X96" s="9">
        <v>65.2</v>
      </c>
      <c r="Y96" s="9">
        <v>65.3</v>
      </c>
      <c r="Z96" s="9">
        <v>65.5</v>
      </c>
      <c r="AA96" s="9">
        <v>66</v>
      </c>
      <c r="AB96" s="9">
        <v>66.099999999999994</v>
      </c>
      <c r="AC96" s="9">
        <v>66.400000000000006</v>
      </c>
      <c r="AD96" s="9">
        <v>66.400000000000006</v>
      </c>
      <c r="AE96" s="9">
        <v>66.8</v>
      </c>
      <c r="AF96" s="9">
        <v>67</v>
      </c>
      <c r="AG96" s="9">
        <v>67.099999999999994</v>
      </c>
      <c r="AH96" s="9">
        <v>67.3</v>
      </c>
      <c r="AI96" s="9">
        <v>67.400000000000006</v>
      </c>
      <c r="AJ96" s="9">
        <v>67.599999999999994</v>
      </c>
      <c r="AK96" s="9">
        <v>67.7</v>
      </c>
      <c r="AL96" s="9">
        <v>67.8</v>
      </c>
      <c r="AM96" s="9">
        <v>68</v>
      </c>
      <c r="AN96" s="9">
        <v>68.3</v>
      </c>
      <c r="AO96" s="9">
        <v>68.5</v>
      </c>
      <c r="AP96" s="9">
        <v>68.599999999999994</v>
      </c>
      <c r="AQ96" s="9">
        <v>69.099999999999994</v>
      </c>
      <c r="AR96" s="9">
        <v>69.2</v>
      </c>
      <c r="AS96" s="9">
        <v>69.3</v>
      </c>
      <c r="AT96" s="9">
        <v>69.400000000000006</v>
      </c>
      <c r="AU96" s="9">
        <v>69.599999999999994</v>
      </c>
      <c r="AV96" s="9">
        <v>70</v>
      </c>
      <c r="AW96" s="9">
        <v>70.099999999999994</v>
      </c>
      <c r="AX96" s="9">
        <v>70.2</v>
      </c>
      <c r="AY96" s="9">
        <v>70.2</v>
      </c>
      <c r="AZ96" s="9">
        <v>70.3</v>
      </c>
      <c r="BA96" s="9">
        <v>70.5</v>
      </c>
      <c r="BB96" s="9">
        <v>70.599999999999994</v>
      </c>
      <c r="BC96" s="9">
        <v>70.8</v>
      </c>
      <c r="BD96" s="9">
        <v>71</v>
      </c>
      <c r="BE96" s="9">
        <v>71.099999999999994</v>
      </c>
      <c r="BF96" s="9">
        <v>71.2</v>
      </c>
      <c r="BG96" s="9">
        <v>71.5</v>
      </c>
      <c r="BH96" s="9">
        <v>71.7</v>
      </c>
      <c r="BI96" s="9">
        <v>72.099999999999994</v>
      </c>
      <c r="BJ96" s="9">
        <v>72.2</v>
      </c>
      <c r="BK96" s="9">
        <v>72.400000000000006</v>
      </c>
      <c r="BL96" s="9">
        <v>72.8</v>
      </c>
      <c r="BM96" s="9">
        <v>73.099999999999994</v>
      </c>
      <c r="BN96" s="9">
        <v>73.5</v>
      </c>
      <c r="BO96" s="9">
        <v>73.7</v>
      </c>
      <c r="BP96" s="9">
        <v>74.099999999999994</v>
      </c>
      <c r="BQ96" s="9">
        <v>74.5</v>
      </c>
      <c r="BR96" s="9">
        <v>74.8</v>
      </c>
      <c r="BS96" s="9">
        <v>75.2</v>
      </c>
      <c r="BT96" s="9">
        <v>75.3</v>
      </c>
      <c r="BU96" s="9">
        <v>75.5</v>
      </c>
      <c r="BV96" s="9">
        <v>76.099999999999994</v>
      </c>
      <c r="BW96" s="9">
        <v>76.400000000000006</v>
      </c>
      <c r="BX96" s="9">
        <v>76.7</v>
      </c>
      <c r="BY96" s="9">
        <v>77.400000000000006</v>
      </c>
      <c r="BZ96" s="9">
        <v>77.8</v>
      </c>
      <c r="CA96" s="9">
        <v>78.5</v>
      </c>
      <c r="CB96" s="9">
        <v>78.7</v>
      </c>
      <c r="CC96" s="9">
        <v>79.099999999999994</v>
      </c>
      <c r="CD96" s="9">
        <v>79.2</v>
      </c>
      <c r="CE96" s="9">
        <v>79.599999999999994</v>
      </c>
      <c r="CF96" s="9">
        <v>79.8</v>
      </c>
      <c r="CG96" s="9">
        <v>80.3</v>
      </c>
      <c r="CH96" s="9">
        <v>80.8</v>
      </c>
      <c r="CI96" s="9">
        <v>81.2</v>
      </c>
      <c r="CJ96" s="9">
        <v>81.900000000000006</v>
      </c>
      <c r="CK96" s="9">
        <v>82.4</v>
      </c>
      <c r="CL96" s="9">
        <v>82.5</v>
      </c>
      <c r="CM96" s="9">
        <v>82.8</v>
      </c>
      <c r="CN96" s="9">
        <v>83.5</v>
      </c>
      <c r="CO96" s="9">
        <v>83.7</v>
      </c>
      <c r="CP96" s="9">
        <v>84</v>
      </c>
      <c r="CQ96" s="9">
        <v>85.1</v>
      </c>
      <c r="CR96" s="9">
        <v>85.4</v>
      </c>
      <c r="CS96" s="9">
        <v>86.7</v>
      </c>
      <c r="CT96" s="9">
        <v>88.4</v>
      </c>
      <c r="CU96" s="9">
        <v>89</v>
      </c>
      <c r="CV96" s="9">
        <v>91.2</v>
      </c>
      <c r="CW96" s="9">
        <v>91.9</v>
      </c>
      <c r="CX96" s="9">
        <v>93.1</v>
      </c>
      <c r="CY96" s="9">
        <v>94.3</v>
      </c>
      <c r="CZ96" s="9">
        <v>99.3</v>
      </c>
      <c r="DA96" s="9">
        <v>104.6</v>
      </c>
      <c r="DB96" s="9">
        <v>114.7</v>
      </c>
    </row>
    <row r="97" spans="1:106">
      <c r="A97" s="1" t="s">
        <v>413</v>
      </c>
      <c r="B97" s="1" t="s">
        <v>398</v>
      </c>
      <c r="C97" s="1" t="s">
        <v>19</v>
      </c>
      <c r="D97" s="1" t="s">
        <v>210</v>
      </c>
      <c r="E97" s="6">
        <v>491</v>
      </c>
      <c r="F97" s="9">
        <v>76.59</v>
      </c>
      <c r="G97" s="9">
        <v>10.91</v>
      </c>
      <c r="H97" s="9">
        <v>60.4</v>
      </c>
      <c r="I97" s="9">
        <v>61</v>
      </c>
      <c r="J97" s="9">
        <v>61.4</v>
      </c>
      <c r="K97" s="9">
        <v>62.4</v>
      </c>
      <c r="L97" s="9">
        <v>63.2</v>
      </c>
      <c r="M97" s="9">
        <v>63.6</v>
      </c>
      <c r="N97" s="9">
        <v>63.9</v>
      </c>
      <c r="O97" s="9">
        <v>64.5</v>
      </c>
      <c r="P97" s="9">
        <v>64.7</v>
      </c>
      <c r="Q97" s="9">
        <v>65</v>
      </c>
      <c r="R97" s="9">
        <v>65.2</v>
      </c>
      <c r="S97" s="9">
        <v>65.5</v>
      </c>
      <c r="T97" s="9">
        <v>66</v>
      </c>
      <c r="U97" s="9">
        <v>66.2</v>
      </c>
      <c r="V97" s="9">
        <v>66.5</v>
      </c>
      <c r="W97" s="9">
        <v>66.8</v>
      </c>
      <c r="X97" s="9">
        <v>67.2</v>
      </c>
      <c r="Y97" s="9">
        <v>67.5</v>
      </c>
      <c r="Z97" s="9">
        <v>67.7</v>
      </c>
      <c r="AA97" s="9">
        <v>67.7</v>
      </c>
      <c r="AB97" s="9">
        <v>68.2</v>
      </c>
      <c r="AC97" s="9">
        <v>68.3</v>
      </c>
      <c r="AD97" s="9">
        <v>68.3</v>
      </c>
      <c r="AE97" s="9">
        <v>68.5</v>
      </c>
      <c r="AF97" s="9">
        <v>68.7</v>
      </c>
      <c r="AG97" s="9">
        <v>68.8</v>
      </c>
      <c r="AH97" s="9">
        <v>69.2</v>
      </c>
      <c r="AI97" s="9">
        <v>69.3</v>
      </c>
      <c r="AJ97" s="9">
        <v>69.400000000000006</v>
      </c>
      <c r="AK97" s="9">
        <v>69.5</v>
      </c>
      <c r="AL97" s="9">
        <v>69.8</v>
      </c>
      <c r="AM97" s="9">
        <v>70</v>
      </c>
      <c r="AN97" s="9">
        <v>70.3</v>
      </c>
      <c r="AO97" s="9">
        <v>70.5</v>
      </c>
      <c r="AP97" s="9">
        <v>70.599999999999994</v>
      </c>
      <c r="AQ97" s="9">
        <v>70.7</v>
      </c>
      <c r="AR97" s="9">
        <v>71.2</v>
      </c>
      <c r="AS97" s="9">
        <v>71.3</v>
      </c>
      <c r="AT97" s="9">
        <v>71.5</v>
      </c>
      <c r="AU97" s="9">
        <v>71.7</v>
      </c>
      <c r="AV97" s="9">
        <v>71.8</v>
      </c>
      <c r="AW97" s="9">
        <v>72.099999999999994</v>
      </c>
      <c r="AX97" s="9">
        <v>72.5</v>
      </c>
      <c r="AY97" s="9">
        <v>72.599999999999994</v>
      </c>
      <c r="AZ97" s="9">
        <v>72.8</v>
      </c>
      <c r="BA97" s="9">
        <v>73.3</v>
      </c>
      <c r="BB97" s="9">
        <v>73.5</v>
      </c>
      <c r="BC97" s="9">
        <v>73.7</v>
      </c>
      <c r="BD97" s="9">
        <v>73.900000000000006</v>
      </c>
      <c r="BE97" s="9">
        <v>74.2</v>
      </c>
      <c r="BF97" s="9">
        <v>74.3</v>
      </c>
      <c r="BG97" s="9">
        <v>74.599999999999994</v>
      </c>
      <c r="BH97" s="9">
        <v>74.7</v>
      </c>
      <c r="BI97" s="9">
        <v>75.099999999999994</v>
      </c>
      <c r="BJ97" s="9">
        <v>75.400000000000006</v>
      </c>
      <c r="BK97" s="9">
        <v>75.7</v>
      </c>
      <c r="BL97" s="9">
        <v>76</v>
      </c>
      <c r="BM97" s="9">
        <v>76.400000000000006</v>
      </c>
      <c r="BN97" s="9">
        <v>76.8</v>
      </c>
      <c r="BO97" s="9">
        <v>77.3</v>
      </c>
      <c r="BP97" s="9">
        <v>77.400000000000006</v>
      </c>
      <c r="BQ97" s="9">
        <v>77.7</v>
      </c>
      <c r="BR97" s="9">
        <v>78</v>
      </c>
      <c r="BS97" s="9">
        <v>78.3</v>
      </c>
      <c r="BT97" s="9">
        <v>78.599999999999994</v>
      </c>
      <c r="BU97" s="9">
        <v>78.8</v>
      </c>
      <c r="BV97" s="9">
        <v>79</v>
      </c>
      <c r="BW97" s="9">
        <v>79.400000000000006</v>
      </c>
      <c r="BX97" s="9">
        <v>79.8</v>
      </c>
      <c r="BY97" s="9">
        <v>80.2</v>
      </c>
      <c r="BZ97" s="9">
        <v>80.599999999999994</v>
      </c>
      <c r="CA97" s="9">
        <v>81</v>
      </c>
      <c r="CB97" s="9">
        <v>81.599999999999994</v>
      </c>
      <c r="CC97" s="9">
        <v>82</v>
      </c>
      <c r="CD97" s="9">
        <v>82.2</v>
      </c>
      <c r="CE97" s="9">
        <v>82.7</v>
      </c>
      <c r="CF97" s="9">
        <v>82.9</v>
      </c>
      <c r="CG97" s="9">
        <v>83.2</v>
      </c>
      <c r="CH97" s="9">
        <v>83.8</v>
      </c>
      <c r="CI97" s="9">
        <v>84.7</v>
      </c>
      <c r="CJ97" s="9">
        <v>85.2</v>
      </c>
      <c r="CK97" s="9">
        <v>85.8</v>
      </c>
      <c r="CL97" s="9">
        <v>86.1</v>
      </c>
      <c r="CM97" s="9">
        <v>86.7</v>
      </c>
      <c r="CN97" s="9">
        <v>87.4</v>
      </c>
      <c r="CO97" s="9">
        <v>88</v>
      </c>
      <c r="CP97" s="9">
        <v>88.7</v>
      </c>
      <c r="CQ97" s="9">
        <v>89.4</v>
      </c>
      <c r="CR97" s="9">
        <v>90.5</v>
      </c>
      <c r="CS97" s="9">
        <v>91.3</v>
      </c>
      <c r="CT97" s="9">
        <v>92.2</v>
      </c>
      <c r="CU97" s="9">
        <v>93.6</v>
      </c>
      <c r="CV97" s="9">
        <v>95.4</v>
      </c>
      <c r="CW97" s="9">
        <v>96.3</v>
      </c>
      <c r="CX97" s="9">
        <v>98.5</v>
      </c>
      <c r="CY97" s="9">
        <v>100.5</v>
      </c>
      <c r="CZ97" s="9">
        <v>104</v>
      </c>
      <c r="DA97" s="9">
        <v>106.2</v>
      </c>
      <c r="DB97" s="9">
        <v>109.4</v>
      </c>
    </row>
    <row r="98" spans="1:106">
      <c r="A98" s="1" t="s">
        <v>414</v>
      </c>
      <c r="B98" s="1" t="s">
        <v>398</v>
      </c>
      <c r="C98" s="1" t="s">
        <v>19</v>
      </c>
      <c r="D98" s="1" t="s">
        <v>212</v>
      </c>
      <c r="E98" s="6">
        <v>562</v>
      </c>
      <c r="F98" s="9">
        <v>76.739999999999995</v>
      </c>
      <c r="G98" s="9">
        <v>9.9499999999999993</v>
      </c>
      <c r="H98" s="9">
        <v>61.8</v>
      </c>
      <c r="I98" s="9">
        <v>63</v>
      </c>
      <c r="J98" s="9">
        <v>63.7</v>
      </c>
      <c r="K98" s="9">
        <v>64.099999999999994</v>
      </c>
      <c r="L98" s="9">
        <v>64.5</v>
      </c>
      <c r="M98" s="9">
        <v>65</v>
      </c>
      <c r="N98" s="9">
        <v>65.2</v>
      </c>
      <c r="O98" s="9">
        <v>65.400000000000006</v>
      </c>
      <c r="P98" s="9">
        <v>65.8</v>
      </c>
      <c r="Q98" s="9">
        <v>66.2</v>
      </c>
      <c r="R98" s="9">
        <v>66.2</v>
      </c>
      <c r="S98" s="9">
        <v>66.400000000000006</v>
      </c>
      <c r="T98" s="9">
        <v>66.7</v>
      </c>
      <c r="U98" s="9">
        <v>66.8</v>
      </c>
      <c r="V98" s="9">
        <v>67.099999999999994</v>
      </c>
      <c r="W98" s="9">
        <v>67.2</v>
      </c>
      <c r="X98" s="9">
        <v>67.599999999999994</v>
      </c>
      <c r="Y98" s="9">
        <v>67.8</v>
      </c>
      <c r="Z98" s="9">
        <v>68.099999999999994</v>
      </c>
      <c r="AA98" s="9">
        <v>68.400000000000006</v>
      </c>
      <c r="AB98" s="9">
        <v>68.7</v>
      </c>
      <c r="AC98" s="9">
        <v>68.900000000000006</v>
      </c>
      <c r="AD98" s="9">
        <v>69.099999999999994</v>
      </c>
      <c r="AE98" s="9">
        <v>69.2</v>
      </c>
      <c r="AF98" s="9">
        <v>69.400000000000006</v>
      </c>
      <c r="AG98" s="9">
        <v>69.5</v>
      </c>
      <c r="AH98" s="9">
        <v>69.7</v>
      </c>
      <c r="AI98" s="9">
        <v>70</v>
      </c>
      <c r="AJ98" s="9">
        <v>70.2</v>
      </c>
      <c r="AK98" s="9">
        <v>70.7</v>
      </c>
      <c r="AL98" s="9">
        <v>71.2</v>
      </c>
      <c r="AM98" s="9">
        <v>71.3</v>
      </c>
      <c r="AN98" s="9">
        <v>71.599999999999994</v>
      </c>
      <c r="AO98" s="9">
        <v>71.7</v>
      </c>
      <c r="AP98" s="9">
        <v>71.7</v>
      </c>
      <c r="AQ98" s="9">
        <v>71.900000000000006</v>
      </c>
      <c r="AR98" s="9">
        <v>72.5</v>
      </c>
      <c r="AS98" s="9">
        <v>72.599999999999994</v>
      </c>
      <c r="AT98" s="9">
        <v>72.7</v>
      </c>
      <c r="AU98" s="9">
        <v>72.900000000000006</v>
      </c>
      <c r="AV98" s="9">
        <v>73.2</v>
      </c>
      <c r="AW98" s="9">
        <v>73.3</v>
      </c>
      <c r="AX98" s="9">
        <v>73.5</v>
      </c>
      <c r="AY98" s="9">
        <v>73.5</v>
      </c>
      <c r="AZ98" s="9">
        <v>73.7</v>
      </c>
      <c r="BA98" s="9">
        <v>74</v>
      </c>
      <c r="BB98" s="9">
        <v>74.2</v>
      </c>
      <c r="BC98" s="9">
        <v>74.400000000000006</v>
      </c>
      <c r="BD98" s="9">
        <v>74.599999999999994</v>
      </c>
      <c r="BE98" s="9">
        <v>74.900000000000006</v>
      </c>
      <c r="BF98" s="9">
        <v>75</v>
      </c>
      <c r="BG98" s="9">
        <v>75.2</v>
      </c>
      <c r="BH98" s="9">
        <v>75.3</v>
      </c>
      <c r="BI98" s="9">
        <v>75.5</v>
      </c>
      <c r="BJ98" s="9">
        <v>75.8</v>
      </c>
      <c r="BK98" s="9">
        <v>76.2</v>
      </c>
      <c r="BL98" s="9">
        <v>76.400000000000006</v>
      </c>
      <c r="BM98" s="9">
        <v>76.7</v>
      </c>
      <c r="BN98" s="9">
        <v>76.900000000000006</v>
      </c>
      <c r="BO98" s="9">
        <v>77.5</v>
      </c>
      <c r="BP98" s="9">
        <v>77.7</v>
      </c>
      <c r="BQ98" s="9">
        <v>77.8</v>
      </c>
      <c r="BR98" s="9">
        <v>78.3</v>
      </c>
      <c r="BS98" s="9">
        <v>78.5</v>
      </c>
      <c r="BT98" s="9">
        <v>79</v>
      </c>
      <c r="BU98" s="9">
        <v>79.3</v>
      </c>
      <c r="BV98" s="9">
        <v>79.400000000000006</v>
      </c>
      <c r="BW98" s="9">
        <v>79.599999999999994</v>
      </c>
      <c r="BX98" s="9">
        <v>80.099999999999994</v>
      </c>
      <c r="BY98" s="9">
        <v>80.400000000000006</v>
      </c>
      <c r="BZ98" s="9">
        <v>80.5</v>
      </c>
      <c r="CA98" s="9">
        <v>80.7</v>
      </c>
      <c r="CB98" s="9">
        <v>81.2</v>
      </c>
      <c r="CC98" s="9">
        <v>81.3</v>
      </c>
      <c r="CD98" s="9">
        <v>81.400000000000006</v>
      </c>
      <c r="CE98" s="9">
        <v>81.599999999999994</v>
      </c>
      <c r="CF98" s="9">
        <v>82</v>
      </c>
      <c r="CG98" s="9">
        <v>82.2</v>
      </c>
      <c r="CH98" s="9">
        <v>82.5</v>
      </c>
      <c r="CI98" s="9">
        <v>83.2</v>
      </c>
      <c r="CJ98" s="9">
        <v>83.7</v>
      </c>
      <c r="CK98" s="9">
        <v>84.4</v>
      </c>
      <c r="CL98" s="9">
        <v>85.2</v>
      </c>
      <c r="CM98" s="9">
        <v>85.7</v>
      </c>
      <c r="CN98" s="9">
        <v>86.1</v>
      </c>
      <c r="CO98" s="9">
        <v>87.3</v>
      </c>
      <c r="CP98" s="9">
        <v>88.3</v>
      </c>
      <c r="CQ98" s="9">
        <v>89.2</v>
      </c>
      <c r="CR98" s="9">
        <v>89.4</v>
      </c>
      <c r="CS98" s="9">
        <v>90.5</v>
      </c>
      <c r="CT98" s="9">
        <v>91.5</v>
      </c>
      <c r="CU98" s="9">
        <v>93</v>
      </c>
      <c r="CV98" s="9">
        <v>93.9</v>
      </c>
      <c r="CW98" s="9">
        <v>95</v>
      </c>
      <c r="CX98" s="9">
        <v>96.5</v>
      </c>
      <c r="CY98" s="9">
        <v>97.2</v>
      </c>
      <c r="CZ98" s="9">
        <v>98.3</v>
      </c>
      <c r="DA98" s="9">
        <v>101.1</v>
      </c>
      <c r="DB98" s="9">
        <v>106.5</v>
      </c>
    </row>
    <row r="99" spans="1:106">
      <c r="A99" s="1" t="s">
        <v>415</v>
      </c>
      <c r="B99" s="1" t="s">
        <v>398</v>
      </c>
      <c r="C99" s="1" t="s">
        <v>19</v>
      </c>
      <c r="D99" s="1" t="s">
        <v>214</v>
      </c>
      <c r="E99" s="6">
        <v>798</v>
      </c>
      <c r="F99" s="9">
        <v>77.95</v>
      </c>
      <c r="G99" s="9">
        <v>10.54</v>
      </c>
      <c r="H99" s="9">
        <v>62</v>
      </c>
      <c r="I99" s="9">
        <v>62.8</v>
      </c>
      <c r="J99" s="9">
        <v>63.2</v>
      </c>
      <c r="K99" s="9">
        <v>64</v>
      </c>
      <c r="L99" s="9">
        <v>64.3</v>
      </c>
      <c r="M99" s="9">
        <v>64.7</v>
      </c>
      <c r="N99" s="9">
        <v>65</v>
      </c>
      <c r="O99" s="9">
        <v>65.5</v>
      </c>
      <c r="P99" s="9">
        <v>65.7</v>
      </c>
      <c r="Q99" s="9">
        <v>66</v>
      </c>
      <c r="R99" s="9">
        <v>66.2</v>
      </c>
      <c r="S99" s="9">
        <v>66.3</v>
      </c>
      <c r="T99" s="9">
        <v>66.5</v>
      </c>
      <c r="U99" s="9">
        <v>67</v>
      </c>
      <c r="V99" s="9">
        <v>67.400000000000006</v>
      </c>
      <c r="W99" s="9">
        <v>67.599999999999994</v>
      </c>
      <c r="X99" s="9">
        <v>68.2</v>
      </c>
      <c r="Y99" s="9">
        <v>68.400000000000006</v>
      </c>
      <c r="Z99" s="9">
        <v>68.599999999999994</v>
      </c>
      <c r="AA99" s="9">
        <v>68.8</v>
      </c>
      <c r="AB99" s="9">
        <v>69</v>
      </c>
      <c r="AC99" s="9">
        <v>69.2</v>
      </c>
      <c r="AD99" s="9">
        <v>69.3</v>
      </c>
      <c r="AE99" s="9">
        <v>69.7</v>
      </c>
      <c r="AF99" s="9">
        <v>70.099999999999994</v>
      </c>
      <c r="AG99" s="9">
        <v>70.400000000000006</v>
      </c>
      <c r="AH99" s="9">
        <v>70.7</v>
      </c>
      <c r="AI99" s="9">
        <v>70.8</v>
      </c>
      <c r="AJ99" s="9">
        <v>71</v>
      </c>
      <c r="AK99" s="9">
        <v>71.2</v>
      </c>
      <c r="AL99" s="9">
        <v>71.3</v>
      </c>
      <c r="AM99" s="9">
        <v>71.5</v>
      </c>
      <c r="AN99" s="9">
        <v>71.599999999999994</v>
      </c>
      <c r="AO99" s="9">
        <v>71.8</v>
      </c>
      <c r="AP99" s="9">
        <v>72.2</v>
      </c>
      <c r="AQ99" s="9">
        <v>72.400000000000006</v>
      </c>
      <c r="AR99" s="9">
        <v>72.599999999999994</v>
      </c>
      <c r="AS99" s="9">
        <v>72.900000000000006</v>
      </c>
      <c r="AT99" s="9">
        <v>73.099999999999994</v>
      </c>
      <c r="AU99" s="9">
        <v>73.2</v>
      </c>
      <c r="AV99" s="9">
        <v>73.400000000000006</v>
      </c>
      <c r="AW99" s="9">
        <v>73.7</v>
      </c>
      <c r="AX99" s="9">
        <v>73.8</v>
      </c>
      <c r="AY99" s="9">
        <v>74.099999999999994</v>
      </c>
      <c r="AZ99" s="9">
        <v>74.5</v>
      </c>
      <c r="BA99" s="9">
        <v>74.900000000000006</v>
      </c>
      <c r="BB99" s="9">
        <v>75.2</v>
      </c>
      <c r="BC99" s="9">
        <v>75.5</v>
      </c>
      <c r="BD99" s="9">
        <v>75.599999999999994</v>
      </c>
      <c r="BE99" s="9">
        <v>75.8</v>
      </c>
      <c r="BF99" s="9">
        <v>76.3</v>
      </c>
      <c r="BG99" s="9">
        <v>76.599999999999994</v>
      </c>
      <c r="BH99" s="9">
        <v>77</v>
      </c>
      <c r="BI99" s="9">
        <v>77.2</v>
      </c>
      <c r="BJ99" s="9">
        <v>77.599999999999994</v>
      </c>
      <c r="BK99" s="9">
        <v>77.8</v>
      </c>
      <c r="BL99" s="9">
        <v>78.099999999999994</v>
      </c>
      <c r="BM99" s="9">
        <v>78.400000000000006</v>
      </c>
      <c r="BN99" s="9">
        <v>78.599999999999994</v>
      </c>
      <c r="BO99" s="9">
        <v>79</v>
      </c>
      <c r="BP99" s="9">
        <v>79.3</v>
      </c>
      <c r="BQ99" s="9">
        <v>79.7</v>
      </c>
      <c r="BR99" s="9">
        <v>80</v>
      </c>
      <c r="BS99" s="9">
        <v>80.3</v>
      </c>
      <c r="BT99" s="9">
        <v>80.7</v>
      </c>
      <c r="BU99" s="9">
        <v>81</v>
      </c>
      <c r="BV99" s="9">
        <v>81.3</v>
      </c>
      <c r="BW99" s="9">
        <v>81.599999999999994</v>
      </c>
      <c r="BX99" s="9">
        <v>82.2</v>
      </c>
      <c r="BY99" s="9">
        <v>82.3</v>
      </c>
      <c r="BZ99" s="9">
        <v>82.6</v>
      </c>
      <c r="CA99" s="9">
        <v>82.7</v>
      </c>
      <c r="CB99" s="9">
        <v>83.4</v>
      </c>
      <c r="CC99" s="9">
        <v>83.8</v>
      </c>
      <c r="CD99" s="9">
        <v>84.2</v>
      </c>
      <c r="CE99" s="9">
        <v>84.6</v>
      </c>
      <c r="CF99" s="9">
        <v>84.7</v>
      </c>
      <c r="CG99" s="9">
        <v>85.3</v>
      </c>
      <c r="CH99" s="9">
        <v>85.7</v>
      </c>
      <c r="CI99" s="9">
        <v>86</v>
      </c>
      <c r="CJ99" s="9">
        <v>86.6</v>
      </c>
      <c r="CK99" s="9">
        <v>87.3</v>
      </c>
      <c r="CL99" s="9">
        <v>87.8</v>
      </c>
      <c r="CM99" s="9">
        <v>88.4</v>
      </c>
      <c r="CN99" s="9">
        <v>88.8</v>
      </c>
      <c r="CO99" s="9">
        <v>89.4</v>
      </c>
      <c r="CP99" s="9">
        <v>89.8</v>
      </c>
      <c r="CQ99" s="9">
        <v>91.2</v>
      </c>
      <c r="CR99" s="9">
        <v>91.8</v>
      </c>
      <c r="CS99" s="9">
        <v>92.6</v>
      </c>
      <c r="CT99" s="9">
        <v>93.6</v>
      </c>
      <c r="CU99" s="9">
        <v>94.7</v>
      </c>
      <c r="CV99" s="9">
        <v>96.2</v>
      </c>
      <c r="CW99" s="9">
        <v>97.7</v>
      </c>
      <c r="CX99" s="9">
        <v>98.1</v>
      </c>
      <c r="CY99" s="9">
        <v>99.4</v>
      </c>
      <c r="CZ99" s="9">
        <v>100.7</v>
      </c>
      <c r="DA99" s="9">
        <v>103.7</v>
      </c>
      <c r="DB99" s="9">
        <v>109.5</v>
      </c>
    </row>
    <row r="100" spans="1:106">
      <c r="A100" s="1" t="s">
        <v>416</v>
      </c>
      <c r="B100" s="1" t="s">
        <v>398</v>
      </c>
      <c r="C100" s="1" t="s">
        <v>19</v>
      </c>
      <c r="D100" s="1" t="s">
        <v>216</v>
      </c>
      <c r="E100" s="6">
        <v>741</v>
      </c>
      <c r="F100" s="9">
        <v>78.36</v>
      </c>
      <c r="G100" s="9">
        <v>9.9</v>
      </c>
      <c r="H100" s="9">
        <v>61.2</v>
      </c>
      <c r="I100" s="9">
        <v>62.4</v>
      </c>
      <c r="J100" s="9">
        <v>63.5</v>
      </c>
      <c r="K100" s="9">
        <v>64.3</v>
      </c>
      <c r="L100" s="9">
        <v>64.599999999999994</v>
      </c>
      <c r="M100" s="9">
        <v>65.3</v>
      </c>
      <c r="N100" s="9">
        <v>66.3</v>
      </c>
      <c r="O100" s="9">
        <v>66.599999999999994</v>
      </c>
      <c r="P100" s="9">
        <v>66.7</v>
      </c>
      <c r="Q100" s="9">
        <v>67.2</v>
      </c>
      <c r="R100" s="9">
        <v>67.3</v>
      </c>
      <c r="S100" s="9">
        <v>67.5</v>
      </c>
      <c r="T100" s="9">
        <v>67.900000000000006</v>
      </c>
      <c r="U100" s="9">
        <v>68.400000000000006</v>
      </c>
      <c r="V100" s="9">
        <v>68.5</v>
      </c>
      <c r="W100" s="9">
        <v>69</v>
      </c>
      <c r="X100" s="9">
        <v>69.2</v>
      </c>
      <c r="Y100" s="9">
        <v>69.5</v>
      </c>
      <c r="Z100" s="9">
        <v>69.8</v>
      </c>
      <c r="AA100" s="9">
        <v>70</v>
      </c>
      <c r="AB100" s="9">
        <v>70.3</v>
      </c>
      <c r="AC100" s="9">
        <v>70.5</v>
      </c>
      <c r="AD100" s="9">
        <v>70.8</v>
      </c>
      <c r="AE100" s="9">
        <v>71.099999999999994</v>
      </c>
      <c r="AF100" s="9">
        <v>71.3</v>
      </c>
      <c r="AG100" s="9">
        <v>71.599999999999994</v>
      </c>
      <c r="AH100" s="9">
        <v>72</v>
      </c>
      <c r="AI100" s="9">
        <v>72.2</v>
      </c>
      <c r="AJ100" s="9">
        <v>72.400000000000006</v>
      </c>
      <c r="AK100" s="9">
        <v>72.7</v>
      </c>
      <c r="AL100" s="9">
        <v>72.900000000000006</v>
      </c>
      <c r="AM100" s="9">
        <v>73.2</v>
      </c>
      <c r="AN100" s="9">
        <v>73.3</v>
      </c>
      <c r="AO100" s="9">
        <v>73.400000000000006</v>
      </c>
      <c r="AP100" s="9">
        <v>73.5</v>
      </c>
      <c r="AQ100" s="9">
        <v>74</v>
      </c>
      <c r="AR100" s="9">
        <v>74.2</v>
      </c>
      <c r="AS100" s="9">
        <v>74.400000000000006</v>
      </c>
      <c r="AT100" s="9">
        <v>74.5</v>
      </c>
      <c r="AU100" s="9">
        <v>74.7</v>
      </c>
      <c r="AV100" s="9">
        <v>75</v>
      </c>
      <c r="AW100" s="9">
        <v>75.2</v>
      </c>
      <c r="AX100" s="9">
        <v>75.3</v>
      </c>
      <c r="AY100" s="9">
        <v>75.5</v>
      </c>
      <c r="AZ100" s="9">
        <v>75.8</v>
      </c>
      <c r="BA100" s="9">
        <v>76.099999999999994</v>
      </c>
      <c r="BB100" s="9">
        <v>76.400000000000006</v>
      </c>
      <c r="BC100" s="9">
        <v>76.5</v>
      </c>
      <c r="BD100" s="9">
        <v>76.599999999999994</v>
      </c>
      <c r="BE100" s="9">
        <v>76.8</v>
      </c>
      <c r="BF100" s="9">
        <v>77.2</v>
      </c>
      <c r="BG100" s="9">
        <v>77.3</v>
      </c>
      <c r="BH100" s="9">
        <v>77.5</v>
      </c>
      <c r="BI100" s="9">
        <v>77.7</v>
      </c>
      <c r="BJ100" s="9">
        <v>77.900000000000006</v>
      </c>
      <c r="BK100" s="9">
        <v>78.099999999999994</v>
      </c>
      <c r="BL100" s="9">
        <v>78.400000000000006</v>
      </c>
      <c r="BM100" s="9">
        <v>78.599999999999994</v>
      </c>
      <c r="BN100" s="9">
        <v>78.8</v>
      </c>
      <c r="BO100" s="9">
        <v>79.2</v>
      </c>
      <c r="BP100" s="9">
        <v>79.400000000000006</v>
      </c>
      <c r="BQ100" s="9">
        <v>79.5</v>
      </c>
      <c r="BR100" s="9">
        <v>79.8</v>
      </c>
      <c r="BS100" s="9">
        <v>80</v>
      </c>
      <c r="BT100" s="9">
        <v>80.2</v>
      </c>
      <c r="BU100" s="9">
        <v>80.5</v>
      </c>
      <c r="BV100" s="9">
        <v>80.900000000000006</v>
      </c>
      <c r="BW100" s="9">
        <v>81.2</v>
      </c>
      <c r="BX100" s="9">
        <v>81.3</v>
      </c>
      <c r="BY100" s="9">
        <v>81.5</v>
      </c>
      <c r="BZ100" s="9">
        <v>82.2</v>
      </c>
      <c r="CA100" s="9">
        <v>82.5</v>
      </c>
      <c r="CB100" s="9">
        <v>82.7</v>
      </c>
      <c r="CC100" s="9">
        <v>83</v>
      </c>
      <c r="CD100" s="9">
        <v>83.7</v>
      </c>
      <c r="CE100" s="9">
        <v>84.1</v>
      </c>
      <c r="CF100" s="9">
        <v>84.5</v>
      </c>
      <c r="CG100" s="9">
        <v>85</v>
      </c>
      <c r="CH100" s="9">
        <v>85.6</v>
      </c>
      <c r="CI100" s="9">
        <v>86</v>
      </c>
      <c r="CJ100" s="9">
        <v>86.5</v>
      </c>
      <c r="CK100" s="9">
        <v>86.7</v>
      </c>
      <c r="CL100" s="9">
        <v>87.2</v>
      </c>
      <c r="CM100" s="9">
        <v>88.2</v>
      </c>
      <c r="CN100" s="9">
        <v>88.4</v>
      </c>
      <c r="CO100" s="9">
        <v>88.9</v>
      </c>
      <c r="CP100" s="9">
        <v>89.9</v>
      </c>
      <c r="CQ100" s="9">
        <v>90.2</v>
      </c>
      <c r="CR100" s="9">
        <v>91.2</v>
      </c>
      <c r="CS100" s="9">
        <v>92</v>
      </c>
      <c r="CT100" s="9">
        <v>93.1</v>
      </c>
      <c r="CU100" s="9">
        <v>94</v>
      </c>
      <c r="CV100" s="9">
        <v>95.1</v>
      </c>
      <c r="CW100" s="9">
        <v>96.4</v>
      </c>
      <c r="CX100" s="9">
        <v>97.8</v>
      </c>
      <c r="CY100" s="9">
        <v>98.8</v>
      </c>
      <c r="CZ100" s="9">
        <v>100.4</v>
      </c>
      <c r="DA100" s="9">
        <v>101.3</v>
      </c>
      <c r="DB100" s="9">
        <v>105.3</v>
      </c>
    </row>
    <row r="101" spans="1:106">
      <c r="A101" s="1" t="s">
        <v>417</v>
      </c>
      <c r="B101" s="1" t="s">
        <v>398</v>
      </c>
      <c r="C101" s="1" t="s">
        <v>19</v>
      </c>
      <c r="D101" s="1" t="s">
        <v>218</v>
      </c>
      <c r="E101" s="6">
        <v>923</v>
      </c>
      <c r="F101" s="9">
        <v>79.25</v>
      </c>
      <c r="G101" s="9">
        <v>9.43</v>
      </c>
      <c r="H101" s="9">
        <v>63.1</v>
      </c>
      <c r="I101" s="9">
        <v>64.2</v>
      </c>
      <c r="J101" s="9">
        <v>64.8</v>
      </c>
      <c r="K101" s="9">
        <v>65.5</v>
      </c>
      <c r="L101" s="9">
        <v>66.2</v>
      </c>
      <c r="M101" s="9">
        <v>66.7</v>
      </c>
      <c r="N101" s="9">
        <v>67</v>
      </c>
      <c r="O101" s="9">
        <v>67.3</v>
      </c>
      <c r="P101" s="9">
        <v>67.5</v>
      </c>
      <c r="Q101" s="9">
        <v>68.2</v>
      </c>
      <c r="R101" s="9">
        <v>68.7</v>
      </c>
      <c r="S101" s="9">
        <v>68.8</v>
      </c>
      <c r="T101" s="9">
        <v>69.3</v>
      </c>
      <c r="U101" s="9">
        <v>69.599999999999994</v>
      </c>
      <c r="V101" s="9">
        <v>69.8</v>
      </c>
      <c r="W101" s="9">
        <v>70</v>
      </c>
      <c r="X101" s="9">
        <v>70.5</v>
      </c>
      <c r="Y101" s="9">
        <v>70.7</v>
      </c>
      <c r="Z101" s="9">
        <v>71.099999999999994</v>
      </c>
      <c r="AA101" s="9">
        <v>71.400000000000006</v>
      </c>
      <c r="AB101" s="9">
        <v>71.5</v>
      </c>
      <c r="AC101" s="9">
        <v>71.7</v>
      </c>
      <c r="AD101" s="9">
        <v>71.900000000000006</v>
      </c>
      <c r="AE101" s="9">
        <v>72.2</v>
      </c>
      <c r="AF101" s="9">
        <v>72.3</v>
      </c>
      <c r="AG101" s="9">
        <v>72.599999999999994</v>
      </c>
      <c r="AH101" s="9">
        <v>72.8</v>
      </c>
      <c r="AI101" s="9">
        <v>73.2</v>
      </c>
      <c r="AJ101" s="9">
        <v>73.5</v>
      </c>
      <c r="AK101" s="9">
        <v>73.7</v>
      </c>
      <c r="AL101" s="9">
        <v>74</v>
      </c>
      <c r="AM101" s="9">
        <v>74.2</v>
      </c>
      <c r="AN101" s="9">
        <v>74.2</v>
      </c>
      <c r="AO101" s="9">
        <v>74.5</v>
      </c>
      <c r="AP101" s="9">
        <v>74.8</v>
      </c>
      <c r="AQ101" s="9">
        <v>75</v>
      </c>
      <c r="AR101" s="9">
        <v>75.3</v>
      </c>
      <c r="AS101" s="9">
        <v>75.400000000000006</v>
      </c>
      <c r="AT101" s="9">
        <v>75.8</v>
      </c>
      <c r="AU101" s="9">
        <v>76.099999999999994</v>
      </c>
      <c r="AV101" s="9">
        <v>76.3</v>
      </c>
      <c r="AW101" s="9">
        <v>76.5</v>
      </c>
      <c r="AX101" s="9">
        <v>76.599999999999994</v>
      </c>
      <c r="AY101" s="9">
        <v>76.8</v>
      </c>
      <c r="AZ101" s="9">
        <v>77.2</v>
      </c>
      <c r="BA101" s="9">
        <v>77.400000000000006</v>
      </c>
      <c r="BB101" s="9">
        <v>77.5</v>
      </c>
      <c r="BC101" s="9">
        <v>77.8</v>
      </c>
      <c r="BD101" s="9">
        <v>78.099999999999994</v>
      </c>
      <c r="BE101" s="9">
        <v>78.2</v>
      </c>
      <c r="BF101" s="9">
        <v>78.400000000000006</v>
      </c>
      <c r="BG101" s="9">
        <v>78.5</v>
      </c>
      <c r="BH101" s="9">
        <v>78.599999999999994</v>
      </c>
      <c r="BI101" s="9">
        <v>79.099999999999994</v>
      </c>
      <c r="BJ101" s="9">
        <v>79.3</v>
      </c>
      <c r="BK101" s="9">
        <v>79.5</v>
      </c>
      <c r="BL101" s="9">
        <v>79.7</v>
      </c>
      <c r="BM101" s="9">
        <v>80</v>
      </c>
      <c r="BN101" s="9">
        <v>80.2</v>
      </c>
      <c r="BO101" s="9">
        <v>80.3</v>
      </c>
      <c r="BP101" s="9">
        <v>80.7</v>
      </c>
      <c r="BQ101" s="9">
        <v>80.900000000000006</v>
      </c>
      <c r="BR101" s="9">
        <v>81.099999999999994</v>
      </c>
      <c r="BS101" s="9">
        <v>81.5</v>
      </c>
      <c r="BT101" s="9">
        <v>81.5</v>
      </c>
      <c r="BU101" s="9">
        <v>81.8</v>
      </c>
      <c r="BV101" s="9">
        <v>82.2</v>
      </c>
      <c r="BW101" s="9">
        <v>82.4</v>
      </c>
      <c r="BX101" s="9">
        <v>82.5</v>
      </c>
      <c r="BY101" s="9">
        <v>82.8</v>
      </c>
      <c r="BZ101" s="9">
        <v>83.2</v>
      </c>
      <c r="CA101" s="9">
        <v>83.5</v>
      </c>
      <c r="CB101" s="9">
        <v>83.8</v>
      </c>
      <c r="CC101" s="9">
        <v>84.2</v>
      </c>
      <c r="CD101" s="9">
        <v>84.5</v>
      </c>
      <c r="CE101" s="9">
        <v>84.8</v>
      </c>
      <c r="CF101" s="9">
        <v>85.4</v>
      </c>
      <c r="CG101" s="9">
        <v>85.6</v>
      </c>
      <c r="CH101" s="9">
        <v>86</v>
      </c>
      <c r="CI101" s="9">
        <v>86.3</v>
      </c>
      <c r="CJ101" s="9">
        <v>86.8</v>
      </c>
      <c r="CK101" s="9">
        <v>87</v>
      </c>
      <c r="CL101" s="9">
        <v>87.4</v>
      </c>
      <c r="CM101" s="9">
        <v>87.9</v>
      </c>
      <c r="CN101" s="9">
        <v>88.5</v>
      </c>
      <c r="CO101" s="9">
        <v>88.9</v>
      </c>
      <c r="CP101" s="9">
        <v>89.5</v>
      </c>
      <c r="CQ101" s="9">
        <v>90.4</v>
      </c>
      <c r="CR101" s="9">
        <v>90.8</v>
      </c>
      <c r="CS101" s="9">
        <v>91.6</v>
      </c>
      <c r="CT101" s="9">
        <v>92.4</v>
      </c>
      <c r="CU101" s="9">
        <v>93.6</v>
      </c>
      <c r="CV101" s="9">
        <v>94.6</v>
      </c>
      <c r="CW101" s="9">
        <v>95.3</v>
      </c>
      <c r="CX101" s="9">
        <v>96.5</v>
      </c>
      <c r="CY101" s="9">
        <v>97.5</v>
      </c>
      <c r="CZ101" s="9">
        <v>99.8</v>
      </c>
      <c r="DA101" s="9">
        <v>103</v>
      </c>
      <c r="DB101" s="9">
        <v>107.8</v>
      </c>
    </row>
    <row r="102" spans="1:106">
      <c r="A102" s="1" t="s">
        <v>418</v>
      </c>
      <c r="B102" s="1" t="s">
        <v>398</v>
      </c>
      <c r="C102" s="1" t="s">
        <v>19</v>
      </c>
      <c r="D102" s="1" t="s">
        <v>220</v>
      </c>
      <c r="E102" s="6">
        <v>878</v>
      </c>
      <c r="F102" s="9">
        <v>81.3</v>
      </c>
      <c r="G102" s="9">
        <v>9.6999999999999993</v>
      </c>
      <c r="H102" s="9">
        <v>60.8</v>
      </c>
      <c r="I102" s="9">
        <v>62.9</v>
      </c>
      <c r="J102" s="9">
        <v>64.400000000000006</v>
      </c>
      <c r="K102" s="9">
        <v>65.3</v>
      </c>
      <c r="L102" s="9">
        <v>66.3</v>
      </c>
      <c r="M102" s="9">
        <v>66.900000000000006</v>
      </c>
      <c r="N102" s="9">
        <v>68.099999999999994</v>
      </c>
      <c r="O102" s="9">
        <v>69</v>
      </c>
      <c r="P102" s="9">
        <v>69.7</v>
      </c>
      <c r="Q102" s="9">
        <v>70.099999999999994</v>
      </c>
      <c r="R102" s="9">
        <v>70.599999999999994</v>
      </c>
      <c r="S102" s="9">
        <v>71.099999999999994</v>
      </c>
      <c r="T102" s="9">
        <v>71.5</v>
      </c>
      <c r="U102" s="9">
        <v>72</v>
      </c>
      <c r="V102" s="9">
        <v>72.2</v>
      </c>
      <c r="W102" s="9">
        <v>72.5</v>
      </c>
      <c r="X102" s="9">
        <v>72.900000000000006</v>
      </c>
      <c r="Y102" s="9">
        <v>73.2</v>
      </c>
      <c r="Z102" s="9">
        <v>73.5</v>
      </c>
      <c r="AA102" s="9">
        <v>74</v>
      </c>
      <c r="AB102" s="9">
        <v>74.2</v>
      </c>
      <c r="AC102" s="9">
        <v>74.400000000000006</v>
      </c>
      <c r="AD102" s="9">
        <v>74.5</v>
      </c>
      <c r="AE102" s="9">
        <v>74.8</v>
      </c>
      <c r="AF102" s="9">
        <v>75.2</v>
      </c>
      <c r="AG102" s="9">
        <v>75.2</v>
      </c>
      <c r="AH102" s="9">
        <v>75.5</v>
      </c>
      <c r="AI102" s="9">
        <v>75.599999999999994</v>
      </c>
      <c r="AJ102" s="9">
        <v>76</v>
      </c>
      <c r="AK102" s="9">
        <v>76.2</v>
      </c>
      <c r="AL102" s="9">
        <v>76.5</v>
      </c>
      <c r="AM102" s="9">
        <v>76.599999999999994</v>
      </c>
      <c r="AN102" s="9">
        <v>76.8</v>
      </c>
      <c r="AO102" s="9">
        <v>77.099999999999994</v>
      </c>
      <c r="AP102" s="9">
        <v>77.2</v>
      </c>
      <c r="AQ102" s="9">
        <v>77.400000000000006</v>
      </c>
      <c r="AR102" s="9">
        <v>77.5</v>
      </c>
      <c r="AS102" s="9">
        <v>77.8</v>
      </c>
      <c r="AT102" s="9">
        <v>78</v>
      </c>
      <c r="AU102" s="9">
        <v>78.3</v>
      </c>
      <c r="AV102" s="9">
        <v>78.5</v>
      </c>
      <c r="AW102" s="9">
        <v>78.7</v>
      </c>
      <c r="AX102" s="9">
        <v>78.8</v>
      </c>
      <c r="AY102" s="9">
        <v>79.099999999999994</v>
      </c>
      <c r="AZ102" s="9">
        <v>79.2</v>
      </c>
      <c r="BA102" s="9">
        <v>79.5</v>
      </c>
      <c r="BB102" s="9">
        <v>79.7</v>
      </c>
      <c r="BC102" s="9">
        <v>80</v>
      </c>
      <c r="BD102" s="9">
        <v>80.3</v>
      </c>
      <c r="BE102" s="9">
        <v>80.5</v>
      </c>
      <c r="BF102" s="9">
        <v>80.7</v>
      </c>
      <c r="BG102" s="9">
        <v>81</v>
      </c>
      <c r="BH102" s="9">
        <v>81.2</v>
      </c>
      <c r="BI102" s="9">
        <v>81.400000000000006</v>
      </c>
      <c r="BJ102" s="9">
        <v>81.7</v>
      </c>
      <c r="BK102" s="9">
        <v>81.8</v>
      </c>
      <c r="BL102" s="9">
        <v>82</v>
      </c>
      <c r="BM102" s="9">
        <v>82.3</v>
      </c>
      <c r="BN102" s="9">
        <v>82.5</v>
      </c>
      <c r="BO102" s="9">
        <v>83</v>
      </c>
      <c r="BP102" s="9">
        <v>83.2</v>
      </c>
      <c r="BQ102" s="9">
        <v>83.4</v>
      </c>
      <c r="BR102" s="9">
        <v>83.7</v>
      </c>
      <c r="BS102" s="9">
        <v>84</v>
      </c>
      <c r="BT102" s="9">
        <v>84.2</v>
      </c>
      <c r="BU102" s="9">
        <v>84.5</v>
      </c>
      <c r="BV102" s="9">
        <v>84.7</v>
      </c>
      <c r="BW102" s="9">
        <v>84.9</v>
      </c>
      <c r="BX102" s="9">
        <v>85.2</v>
      </c>
      <c r="BY102" s="9">
        <v>85.3</v>
      </c>
      <c r="BZ102" s="9">
        <v>85.6</v>
      </c>
      <c r="CA102" s="9">
        <v>85.7</v>
      </c>
      <c r="CB102" s="9">
        <v>86</v>
      </c>
      <c r="CC102" s="9">
        <v>86.3</v>
      </c>
      <c r="CD102" s="9">
        <v>86.7</v>
      </c>
      <c r="CE102" s="9">
        <v>87.1</v>
      </c>
      <c r="CF102" s="9">
        <v>87.6</v>
      </c>
      <c r="CG102" s="9">
        <v>88</v>
      </c>
      <c r="CH102" s="9">
        <v>88.2</v>
      </c>
      <c r="CI102" s="9">
        <v>88.4</v>
      </c>
      <c r="CJ102" s="9">
        <v>88.6</v>
      </c>
      <c r="CK102" s="9">
        <v>88.8</v>
      </c>
      <c r="CL102" s="9">
        <v>89.5</v>
      </c>
      <c r="CM102" s="9">
        <v>89.8</v>
      </c>
      <c r="CN102" s="9">
        <v>90.5</v>
      </c>
      <c r="CO102" s="9">
        <v>91.2</v>
      </c>
      <c r="CP102" s="9">
        <v>92.1</v>
      </c>
      <c r="CQ102" s="9">
        <v>92.6</v>
      </c>
      <c r="CR102" s="9">
        <v>93.1</v>
      </c>
      <c r="CS102" s="9">
        <v>94</v>
      </c>
      <c r="CT102" s="9">
        <v>94.3</v>
      </c>
      <c r="CU102" s="9">
        <v>95.3</v>
      </c>
      <c r="CV102" s="9">
        <v>96.4</v>
      </c>
      <c r="CW102" s="9">
        <v>97.2</v>
      </c>
      <c r="CX102" s="9">
        <v>98.2</v>
      </c>
      <c r="CY102" s="9">
        <v>99.2</v>
      </c>
      <c r="CZ102" s="9">
        <v>101.1</v>
      </c>
      <c r="DA102" s="9">
        <v>103.2</v>
      </c>
      <c r="DB102" s="9">
        <v>106.5</v>
      </c>
    </row>
    <row r="103" spans="1:106">
      <c r="A103" s="1" t="s">
        <v>419</v>
      </c>
      <c r="B103" s="1" t="s">
        <v>398</v>
      </c>
      <c r="C103" s="1" t="s">
        <v>19</v>
      </c>
      <c r="D103" s="1" t="s">
        <v>222</v>
      </c>
      <c r="E103" s="6">
        <v>1076</v>
      </c>
      <c r="F103" s="9">
        <v>82.26</v>
      </c>
      <c r="G103" s="9">
        <v>9.49</v>
      </c>
      <c r="H103" s="9">
        <v>63.3</v>
      </c>
      <c r="I103" s="9">
        <v>65.2</v>
      </c>
      <c r="J103" s="9">
        <v>66.5</v>
      </c>
      <c r="K103" s="9">
        <v>68</v>
      </c>
      <c r="L103" s="9">
        <v>68.5</v>
      </c>
      <c r="M103" s="9">
        <v>69.099999999999994</v>
      </c>
      <c r="N103" s="9">
        <v>69.5</v>
      </c>
      <c r="O103" s="9">
        <v>70</v>
      </c>
      <c r="P103" s="9">
        <v>70.3</v>
      </c>
      <c r="Q103" s="9">
        <v>70.7</v>
      </c>
      <c r="R103" s="9">
        <v>71.2</v>
      </c>
      <c r="S103" s="9">
        <v>71.5</v>
      </c>
      <c r="T103" s="9">
        <v>71.8</v>
      </c>
      <c r="U103" s="9">
        <v>72.2</v>
      </c>
      <c r="V103" s="9">
        <v>72.599999999999994</v>
      </c>
      <c r="W103" s="9">
        <v>73</v>
      </c>
      <c r="X103" s="9">
        <v>73.3</v>
      </c>
      <c r="Y103" s="9">
        <v>73.5</v>
      </c>
      <c r="Z103" s="9">
        <v>73.7</v>
      </c>
      <c r="AA103" s="9">
        <v>74</v>
      </c>
      <c r="AB103" s="9">
        <v>74.2</v>
      </c>
      <c r="AC103" s="9">
        <v>74.400000000000006</v>
      </c>
      <c r="AD103" s="9">
        <v>74.7</v>
      </c>
      <c r="AE103" s="9">
        <v>75</v>
      </c>
      <c r="AF103" s="9">
        <v>75.2</v>
      </c>
      <c r="AG103" s="9">
        <v>75.5</v>
      </c>
      <c r="AH103" s="9">
        <v>75.8</v>
      </c>
      <c r="AI103" s="9">
        <v>76.2</v>
      </c>
      <c r="AJ103" s="9">
        <v>76.5</v>
      </c>
      <c r="AK103" s="9">
        <v>76.900000000000006</v>
      </c>
      <c r="AL103" s="9">
        <v>77.2</v>
      </c>
      <c r="AM103" s="9">
        <v>77.400000000000006</v>
      </c>
      <c r="AN103" s="9">
        <v>77.5</v>
      </c>
      <c r="AO103" s="9">
        <v>77.7</v>
      </c>
      <c r="AP103" s="9">
        <v>78</v>
      </c>
      <c r="AQ103" s="9">
        <v>78.3</v>
      </c>
      <c r="AR103" s="9">
        <v>78.5</v>
      </c>
      <c r="AS103" s="9">
        <v>78.599999999999994</v>
      </c>
      <c r="AT103" s="9">
        <v>78.7</v>
      </c>
      <c r="AU103" s="9">
        <v>78.900000000000006</v>
      </c>
      <c r="AV103" s="9">
        <v>79.2</v>
      </c>
      <c r="AW103" s="9">
        <v>79.599999999999994</v>
      </c>
      <c r="AX103" s="9">
        <v>80</v>
      </c>
      <c r="AY103" s="9">
        <v>80.2</v>
      </c>
      <c r="AZ103" s="9">
        <v>80.3</v>
      </c>
      <c r="BA103" s="9">
        <v>80.5</v>
      </c>
      <c r="BB103" s="9">
        <v>80.8</v>
      </c>
      <c r="BC103" s="9">
        <v>81.099999999999994</v>
      </c>
      <c r="BD103" s="9">
        <v>81.400000000000006</v>
      </c>
      <c r="BE103" s="9">
        <v>81.7</v>
      </c>
      <c r="BF103" s="9">
        <v>81.8</v>
      </c>
      <c r="BG103" s="9">
        <v>82.1</v>
      </c>
      <c r="BH103" s="9">
        <v>82.4</v>
      </c>
      <c r="BI103" s="9">
        <v>82.6</v>
      </c>
      <c r="BJ103" s="9">
        <v>82.7</v>
      </c>
      <c r="BK103" s="9">
        <v>83.1</v>
      </c>
      <c r="BL103" s="9">
        <v>83.2</v>
      </c>
      <c r="BM103" s="9">
        <v>83.4</v>
      </c>
      <c r="BN103" s="9">
        <v>83.7</v>
      </c>
      <c r="BO103" s="9">
        <v>84</v>
      </c>
      <c r="BP103" s="9">
        <v>84.3</v>
      </c>
      <c r="BQ103" s="9">
        <v>84.7</v>
      </c>
      <c r="BR103" s="9">
        <v>84.9</v>
      </c>
      <c r="BS103" s="9">
        <v>85.2</v>
      </c>
      <c r="BT103" s="9">
        <v>85.4</v>
      </c>
      <c r="BU103" s="9">
        <v>85.6</v>
      </c>
      <c r="BV103" s="9">
        <v>85.8</v>
      </c>
      <c r="BW103" s="9">
        <v>86.1</v>
      </c>
      <c r="BX103" s="9">
        <v>86.3</v>
      </c>
      <c r="BY103" s="9">
        <v>86.5</v>
      </c>
      <c r="BZ103" s="9">
        <v>86.6</v>
      </c>
      <c r="CA103" s="9">
        <v>87</v>
      </c>
      <c r="CB103" s="9">
        <v>87.3</v>
      </c>
      <c r="CC103" s="9">
        <v>87.6</v>
      </c>
      <c r="CD103" s="9">
        <v>88</v>
      </c>
      <c r="CE103" s="9">
        <v>88.4</v>
      </c>
      <c r="CF103" s="9">
        <v>88.6</v>
      </c>
      <c r="CG103" s="9">
        <v>88.8</v>
      </c>
      <c r="CH103" s="9">
        <v>89.4</v>
      </c>
      <c r="CI103" s="9">
        <v>89.6</v>
      </c>
      <c r="CJ103" s="9">
        <v>90.2</v>
      </c>
      <c r="CK103" s="9">
        <v>90.6</v>
      </c>
      <c r="CL103" s="9">
        <v>91</v>
      </c>
      <c r="CM103" s="9">
        <v>91.5</v>
      </c>
      <c r="CN103" s="9">
        <v>91.9</v>
      </c>
      <c r="CO103" s="9">
        <v>92.5</v>
      </c>
      <c r="CP103" s="9">
        <v>92.9</v>
      </c>
      <c r="CQ103" s="9">
        <v>93.6</v>
      </c>
      <c r="CR103" s="9">
        <v>94</v>
      </c>
      <c r="CS103" s="9">
        <v>94.7</v>
      </c>
      <c r="CT103" s="9">
        <v>95.5</v>
      </c>
      <c r="CU103" s="9">
        <v>96.4</v>
      </c>
      <c r="CV103" s="9">
        <v>97.3</v>
      </c>
      <c r="CW103" s="9">
        <v>98.2</v>
      </c>
      <c r="CX103" s="9">
        <v>99.4</v>
      </c>
      <c r="CY103" s="9">
        <v>100.4</v>
      </c>
      <c r="CZ103" s="9">
        <v>101.5</v>
      </c>
      <c r="DA103" s="9">
        <v>103.4</v>
      </c>
      <c r="DB103" s="9">
        <v>107</v>
      </c>
    </row>
    <row r="104" spans="1:106">
      <c r="A104" s="1" t="s">
        <v>420</v>
      </c>
      <c r="B104" s="1" t="s">
        <v>398</v>
      </c>
      <c r="C104" s="1" t="s">
        <v>19</v>
      </c>
      <c r="D104" s="1" t="s">
        <v>224</v>
      </c>
      <c r="E104" s="6">
        <v>1005</v>
      </c>
      <c r="F104" s="9">
        <v>83.66</v>
      </c>
      <c r="G104" s="9">
        <v>9.17</v>
      </c>
      <c r="H104" s="9">
        <v>62.7</v>
      </c>
      <c r="I104" s="9">
        <v>65.400000000000006</v>
      </c>
      <c r="J104" s="9">
        <v>66.8</v>
      </c>
      <c r="K104" s="9">
        <v>68.2</v>
      </c>
      <c r="L104" s="9">
        <v>69.400000000000006</v>
      </c>
      <c r="M104" s="9">
        <v>70.3</v>
      </c>
      <c r="N104" s="9">
        <v>70.7</v>
      </c>
      <c r="O104" s="9">
        <v>71.099999999999994</v>
      </c>
      <c r="P104" s="9">
        <v>71.7</v>
      </c>
      <c r="Q104" s="9">
        <v>72.400000000000006</v>
      </c>
      <c r="R104" s="9">
        <v>72.7</v>
      </c>
      <c r="S104" s="9">
        <v>73.2</v>
      </c>
      <c r="T104" s="9">
        <v>74</v>
      </c>
      <c r="U104" s="9">
        <v>74.3</v>
      </c>
      <c r="V104" s="9">
        <v>74.5</v>
      </c>
      <c r="W104" s="9">
        <v>74.8</v>
      </c>
      <c r="X104" s="9">
        <v>75.3</v>
      </c>
      <c r="Y104" s="9">
        <v>75.400000000000006</v>
      </c>
      <c r="Z104" s="9">
        <v>75.599999999999994</v>
      </c>
      <c r="AA104" s="9">
        <v>75.900000000000006</v>
      </c>
      <c r="AB104" s="9">
        <v>76.2</v>
      </c>
      <c r="AC104" s="9">
        <v>76.400000000000006</v>
      </c>
      <c r="AD104" s="9">
        <v>76.8</v>
      </c>
      <c r="AE104" s="9">
        <v>77</v>
      </c>
      <c r="AF104" s="9">
        <v>77.2</v>
      </c>
      <c r="AG104" s="9">
        <v>77.5</v>
      </c>
      <c r="AH104" s="9">
        <v>78.099999999999994</v>
      </c>
      <c r="AI104" s="9">
        <v>78.3</v>
      </c>
      <c r="AJ104" s="9">
        <v>78.5</v>
      </c>
      <c r="AK104" s="9">
        <v>78.7</v>
      </c>
      <c r="AL104" s="9">
        <v>79.099999999999994</v>
      </c>
      <c r="AM104" s="9">
        <v>79.5</v>
      </c>
      <c r="AN104" s="9">
        <v>79.7</v>
      </c>
      <c r="AO104" s="9">
        <v>79.900000000000006</v>
      </c>
      <c r="AP104" s="9">
        <v>80.2</v>
      </c>
      <c r="AQ104" s="9">
        <v>80.2</v>
      </c>
      <c r="AR104" s="9">
        <v>80.5</v>
      </c>
      <c r="AS104" s="9">
        <v>80.7</v>
      </c>
      <c r="AT104" s="9">
        <v>81</v>
      </c>
      <c r="AU104" s="9">
        <v>81.2</v>
      </c>
      <c r="AV104" s="9">
        <v>81.400000000000006</v>
      </c>
      <c r="AW104" s="9">
        <v>81.5</v>
      </c>
      <c r="AX104" s="9">
        <v>81.7</v>
      </c>
      <c r="AY104" s="9">
        <v>81.8</v>
      </c>
      <c r="AZ104" s="9">
        <v>82.1</v>
      </c>
      <c r="BA104" s="9">
        <v>82.4</v>
      </c>
      <c r="BB104" s="9">
        <v>82.5</v>
      </c>
      <c r="BC104" s="9">
        <v>82.7</v>
      </c>
      <c r="BD104" s="9">
        <v>83</v>
      </c>
      <c r="BE104" s="9">
        <v>83.2</v>
      </c>
      <c r="BF104" s="9">
        <v>83.4</v>
      </c>
      <c r="BG104" s="9">
        <v>83.7</v>
      </c>
      <c r="BH104" s="9">
        <v>84</v>
      </c>
      <c r="BI104" s="9">
        <v>84.2</v>
      </c>
      <c r="BJ104" s="9">
        <v>84.4</v>
      </c>
      <c r="BK104" s="9">
        <v>84.5</v>
      </c>
      <c r="BL104" s="9">
        <v>84.9</v>
      </c>
      <c r="BM104" s="9">
        <v>85.2</v>
      </c>
      <c r="BN104" s="9">
        <v>85.5</v>
      </c>
      <c r="BO104" s="9">
        <v>85.8</v>
      </c>
      <c r="BP104" s="9">
        <v>86</v>
      </c>
      <c r="BQ104" s="9">
        <v>86.2</v>
      </c>
      <c r="BR104" s="9">
        <v>86.3</v>
      </c>
      <c r="BS104" s="9">
        <v>86.6</v>
      </c>
      <c r="BT104" s="9">
        <v>86.8</v>
      </c>
      <c r="BU104" s="9">
        <v>87</v>
      </c>
      <c r="BV104" s="9">
        <v>87.2</v>
      </c>
      <c r="BW104" s="9">
        <v>87.4</v>
      </c>
      <c r="BX104" s="9">
        <v>87.5</v>
      </c>
      <c r="BY104" s="9">
        <v>88.1</v>
      </c>
      <c r="BZ104" s="9">
        <v>88.4</v>
      </c>
      <c r="CA104" s="9">
        <v>88.5</v>
      </c>
      <c r="CB104" s="9">
        <v>88.8</v>
      </c>
      <c r="CC104" s="9">
        <v>89</v>
      </c>
      <c r="CD104" s="9">
        <v>89.3</v>
      </c>
      <c r="CE104" s="9">
        <v>89.6</v>
      </c>
      <c r="CF104" s="9">
        <v>90.1</v>
      </c>
      <c r="CG104" s="9">
        <v>90.5</v>
      </c>
      <c r="CH104" s="9">
        <v>90.7</v>
      </c>
      <c r="CI104" s="9">
        <v>91.2</v>
      </c>
      <c r="CJ104" s="9">
        <v>91.5</v>
      </c>
      <c r="CK104" s="9">
        <v>91.6</v>
      </c>
      <c r="CL104" s="9">
        <v>92.1</v>
      </c>
      <c r="CM104" s="9">
        <v>92.4</v>
      </c>
      <c r="CN104" s="9">
        <v>92.7</v>
      </c>
      <c r="CO104" s="9">
        <v>93.2</v>
      </c>
      <c r="CP104" s="9">
        <v>93.4</v>
      </c>
      <c r="CQ104" s="9">
        <v>94</v>
      </c>
      <c r="CR104" s="9">
        <v>94.4</v>
      </c>
      <c r="CS104" s="9">
        <v>94.8</v>
      </c>
      <c r="CT104" s="9">
        <v>95.8</v>
      </c>
      <c r="CU104" s="9">
        <v>96.4</v>
      </c>
      <c r="CV104" s="9">
        <v>97.2</v>
      </c>
      <c r="CW104" s="9">
        <v>97.7</v>
      </c>
      <c r="CX104" s="9">
        <v>98.8</v>
      </c>
      <c r="CY104" s="9">
        <v>100.2</v>
      </c>
      <c r="CZ104" s="9">
        <v>101.7</v>
      </c>
      <c r="DA104" s="9">
        <v>104.5</v>
      </c>
      <c r="DB104" s="9">
        <v>109.2</v>
      </c>
    </row>
    <row r="105" spans="1:106">
      <c r="A105" s="1" t="s">
        <v>421</v>
      </c>
      <c r="B105" s="1" t="s">
        <v>398</v>
      </c>
      <c r="C105" s="1" t="s">
        <v>19</v>
      </c>
      <c r="D105" s="1" t="s">
        <v>356</v>
      </c>
      <c r="E105" s="6">
        <v>774</v>
      </c>
      <c r="F105" s="9">
        <v>85.03</v>
      </c>
      <c r="G105" s="9">
        <v>9.64</v>
      </c>
      <c r="H105" s="9">
        <v>60.4</v>
      </c>
      <c r="I105" s="9">
        <v>63.6</v>
      </c>
      <c r="J105" s="9">
        <v>65.2</v>
      </c>
      <c r="K105" s="9">
        <v>67.2</v>
      </c>
      <c r="L105" s="9">
        <v>68.5</v>
      </c>
      <c r="M105" s="9">
        <v>70.099999999999994</v>
      </c>
      <c r="N105" s="9">
        <v>70.7</v>
      </c>
      <c r="O105" s="9">
        <v>71.8</v>
      </c>
      <c r="P105" s="9">
        <v>72.400000000000006</v>
      </c>
      <c r="Q105" s="9">
        <v>73.2</v>
      </c>
      <c r="R105" s="9">
        <v>73.7</v>
      </c>
      <c r="S105" s="9">
        <v>73.8</v>
      </c>
      <c r="T105" s="9">
        <v>74.2</v>
      </c>
      <c r="U105" s="9">
        <v>74.8</v>
      </c>
      <c r="V105" s="9">
        <v>75.400000000000006</v>
      </c>
      <c r="W105" s="9">
        <v>75.900000000000006</v>
      </c>
      <c r="X105" s="9">
        <v>76.599999999999994</v>
      </c>
      <c r="Y105" s="9">
        <v>77</v>
      </c>
      <c r="Z105" s="9">
        <v>77.5</v>
      </c>
      <c r="AA105" s="9">
        <v>78</v>
      </c>
      <c r="AB105" s="9">
        <v>78.2</v>
      </c>
      <c r="AC105" s="9">
        <v>78.5</v>
      </c>
      <c r="AD105" s="9">
        <v>78.7</v>
      </c>
      <c r="AE105" s="9">
        <v>79.2</v>
      </c>
      <c r="AF105" s="9">
        <v>79.400000000000006</v>
      </c>
      <c r="AG105" s="9">
        <v>79.599999999999994</v>
      </c>
      <c r="AH105" s="9">
        <v>79.7</v>
      </c>
      <c r="AI105" s="9">
        <v>80.099999999999994</v>
      </c>
      <c r="AJ105" s="9">
        <v>80.2</v>
      </c>
      <c r="AK105" s="9">
        <v>80.5</v>
      </c>
      <c r="AL105" s="9">
        <v>80.7</v>
      </c>
      <c r="AM105" s="9">
        <v>81.2</v>
      </c>
      <c r="AN105" s="9">
        <v>81.400000000000006</v>
      </c>
      <c r="AO105" s="9">
        <v>81.599999999999994</v>
      </c>
      <c r="AP105" s="9">
        <v>81.7</v>
      </c>
      <c r="AQ105" s="9">
        <v>82</v>
      </c>
      <c r="AR105" s="9">
        <v>82.2</v>
      </c>
      <c r="AS105" s="9">
        <v>82.4</v>
      </c>
      <c r="AT105" s="9">
        <v>82.5</v>
      </c>
      <c r="AU105" s="9">
        <v>83</v>
      </c>
      <c r="AV105" s="9">
        <v>83.1</v>
      </c>
      <c r="AW105" s="9">
        <v>83.4</v>
      </c>
      <c r="AX105" s="9">
        <v>83.5</v>
      </c>
      <c r="AY105" s="9">
        <v>83.8</v>
      </c>
      <c r="AZ105" s="9">
        <v>84.1</v>
      </c>
      <c r="BA105" s="9">
        <v>84.2</v>
      </c>
      <c r="BB105" s="9">
        <v>84.3</v>
      </c>
      <c r="BC105" s="9">
        <v>84.4</v>
      </c>
      <c r="BD105" s="9">
        <v>84.6</v>
      </c>
      <c r="BE105" s="9">
        <v>84.8</v>
      </c>
      <c r="BF105" s="9">
        <v>85.1</v>
      </c>
      <c r="BG105" s="9">
        <v>85.3</v>
      </c>
      <c r="BH105" s="9">
        <v>85.6</v>
      </c>
      <c r="BI105" s="9">
        <v>85.7</v>
      </c>
      <c r="BJ105" s="9">
        <v>86</v>
      </c>
      <c r="BK105" s="9">
        <v>86.3</v>
      </c>
      <c r="BL105" s="9">
        <v>86.3</v>
      </c>
      <c r="BM105" s="9">
        <v>86.5</v>
      </c>
      <c r="BN105" s="9">
        <v>86.7</v>
      </c>
      <c r="BO105" s="9">
        <v>87</v>
      </c>
      <c r="BP105" s="9">
        <v>87.2</v>
      </c>
      <c r="BQ105" s="9">
        <v>87.5</v>
      </c>
      <c r="BR105" s="9">
        <v>87.7</v>
      </c>
      <c r="BS105" s="9">
        <v>88.1</v>
      </c>
      <c r="BT105" s="9">
        <v>88.3</v>
      </c>
      <c r="BU105" s="9">
        <v>88.5</v>
      </c>
      <c r="BV105" s="9">
        <v>88.7</v>
      </c>
      <c r="BW105" s="9">
        <v>89</v>
      </c>
      <c r="BX105" s="9">
        <v>89.2</v>
      </c>
      <c r="BY105" s="9">
        <v>89.5</v>
      </c>
      <c r="BZ105" s="9">
        <v>89.7</v>
      </c>
      <c r="CA105" s="9">
        <v>90.2</v>
      </c>
      <c r="CB105" s="9">
        <v>90.6</v>
      </c>
      <c r="CC105" s="9">
        <v>90.9</v>
      </c>
      <c r="CD105" s="9">
        <v>91.2</v>
      </c>
      <c r="CE105" s="9">
        <v>91.3</v>
      </c>
      <c r="CF105" s="9">
        <v>91.5</v>
      </c>
      <c r="CG105" s="9">
        <v>92.1</v>
      </c>
      <c r="CH105" s="9">
        <v>92.5</v>
      </c>
      <c r="CI105" s="9">
        <v>92.8</v>
      </c>
      <c r="CJ105" s="9">
        <v>93.3</v>
      </c>
      <c r="CK105" s="9">
        <v>93.6</v>
      </c>
      <c r="CL105" s="9">
        <v>94</v>
      </c>
      <c r="CM105" s="9">
        <v>94.2</v>
      </c>
      <c r="CN105" s="9">
        <v>94.7</v>
      </c>
      <c r="CO105" s="9">
        <v>95</v>
      </c>
      <c r="CP105" s="9">
        <v>95.6</v>
      </c>
      <c r="CQ105" s="9">
        <v>96</v>
      </c>
      <c r="CR105" s="9">
        <v>96.4</v>
      </c>
      <c r="CS105" s="9">
        <v>96.9</v>
      </c>
      <c r="CT105" s="9">
        <v>97.5</v>
      </c>
      <c r="CU105" s="9">
        <v>98.3</v>
      </c>
      <c r="CV105" s="9">
        <v>99</v>
      </c>
      <c r="CW105" s="9">
        <v>99.4</v>
      </c>
      <c r="CX105" s="9">
        <v>100.4</v>
      </c>
      <c r="CY105" s="9">
        <v>101.4</v>
      </c>
      <c r="CZ105" s="9">
        <v>103.1</v>
      </c>
      <c r="DA105" s="9">
        <v>105.4</v>
      </c>
      <c r="DB105" s="9">
        <v>106.5</v>
      </c>
    </row>
    <row r="106" spans="1:106">
      <c r="A106" s="1" t="s">
        <v>422</v>
      </c>
      <c r="B106" s="1" t="s">
        <v>398</v>
      </c>
      <c r="C106" s="1" t="s">
        <v>19</v>
      </c>
      <c r="D106" s="1" t="s">
        <v>358</v>
      </c>
      <c r="E106" s="6">
        <v>611</v>
      </c>
      <c r="F106" s="9">
        <v>86.31</v>
      </c>
      <c r="G106" s="9">
        <v>9.33</v>
      </c>
      <c r="H106" s="9">
        <v>62.6</v>
      </c>
      <c r="I106" s="9">
        <v>67.3</v>
      </c>
      <c r="J106" s="9">
        <v>69.400000000000006</v>
      </c>
      <c r="K106" s="9">
        <v>70.8</v>
      </c>
      <c r="L106" s="9">
        <v>71.8</v>
      </c>
      <c r="M106" s="9">
        <v>72.5</v>
      </c>
      <c r="N106" s="9">
        <v>73.2</v>
      </c>
      <c r="O106" s="9">
        <v>74</v>
      </c>
      <c r="P106" s="9">
        <v>74.2</v>
      </c>
      <c r="Q106" s="9">
        <v>74.5</v>
      </c>
      <c r="R106" s="9">
        <v>75</v>
      </c>
      <c r="S106" s="9">
        <v>75.400000000000006</v>
      </c>
      <c r="T106" s="9">
        <v>75.8</v>
      </c>
      <c r="U106" s="9">
        <v>76.2</v>
      </c>
      <c r="V106" s="9">
        <v>76.400000000000006</v>
      </c>
      <c r="W106" s="9">
        <v>76.7</v>
      </c>
      <c r="X106" s="9">
        <v>76.900000000000006</v>
      </c>
      <c r="Y106" s="9">
        <v>77.3</v>
      </c>
      <c r="Z106" s="9">
        <v>77.5</v>
      </c>
      <c r="AA106" s="9">
        <v>77.7</v>
      </c>
      <c r="AB106" s="9">
        <v>78.400000000000006</v>
      </c>
      <c r="AC106" s="9">
        <v>78.5</v>
      </c>
      <c r="AD106" s="9">
        <v>79</v>
      </c>
      <c r="AE106" s="9">
        <v>79.3</v>
      </c>
      <c r="AF106" s="9">
        <v>79.599999999999994</v>
      </c>
      <c r="AG106" s="9">
        <v>80.099999999999994</v>
      </c>
      <c r="AH106" s="9">
        <v>80.5</v>
      </c>
      <c r="AI106" s="9">
        <v>80.599999999999994</v>
      </c>
      <c r="AJ106" s="9">
        <v>80.900000000000006</v>
      </c>
      <c r="AK106" s="9">
        <v>81.400000000000006</v>
      </c>
      <c r="AL106" s="9">
        <v>81.7</v>
      </c>
      <c r="AM106" s="9">
        <v>81.900000000000006</v>
      </c>
      <c r="AN106" s="9">
        <v>82.2</v>
      </c>
      <c r="AO106" s="9">
        <v>82.4</v>
      </c>
      <c r="AP106" s="9">
        <v>82.6</v>
      </c>
      <c r="AQ106" s="9">
        <v>83</v>
      </c>
      <c r="AR106" s="9">
        <v>83.3</v>
      </c>
      <c r="AS106" s="9">
        <v>83.5</v>
      </c>
      <c r="AT106" s="9">
        <v>83.9</v>
      </c>
      <c r="AU106" s="9">
        <v>84.2</v>
      </c>
      <c r="AV106" s="9">
        <v>84.4</v>
      </c>
      <c r="AW106" s="9">
        <v>84.5</v>
      </c>
      <c r="AX106" s="9">
        <v>84.7</v>
      </c>
      <c r="AY106" s="9">
        <v>85.1</v>
      </c>
      <c r="AZ106" s="9">
        <v>85.5</v>
      </c>
      <c r="BA106" s="9">
        <v>85.5</v>
      </c>
      <c r="BB106" s="9">
        <v>85.7</v>
      </c>
      <c r="BC106" s="9">
        <v>85.8</v>
      </c>
      <c r="BD106" s="9">
        <v>86.2</v>
      </c>
      <c r="BE106" s="9">
        <v>86.4</v>
      </c>
      <c r="BF106" s="9">
        <v>86.7</v>
      </c>
      <c r="BG106" s="9">
        <v>87</v>
      </c>
      <c r="BH106" s="9">
        <v>87.3</v>
      </c>
      <c r="BI106" s="9">
        <v>87.4</v>
      </c>
      <c r="BJ106" s="9">
        <v>87.6</v>
      </c>
      <c r="BK106" s="9">
        <v>88</v>
      </c>
      <c r="BL106" s="9">
        <v>88.3</v>
      </c>
      <c r="BM106" s="9">
        <v>88.6</v>
      </c>
      <c r="BN106" s="9">
        <v>88.6</v>
      </c>
      <c r="BO106" s="9">
        <v>88.8</v>
      </c>
      <c r="BP106" s="9">
        <v>89.3</v>
      </c>
      <c r="BQ106" s="9">
        <v>89.5</v>
      </c>
      <c r="BR106" s="9">
        <v>89.8</v>
      </c>
      <c r="BS106" s="9">
        <v>90.1</v>
      </c>
      <c r="BT106" s="9">
        <v>90.2</v>
      </c>
      <c r="BU106" s="9">
        <v>90.5</v>
      </c>
      <c r="BV106" s="9">
        <v>90.8</v>
      </c>
      <c r="BW106" s="9">
        <v>91.2</v>
      </c>
      <c r="BX106" s="9">
        <v>91.4</v>
      </c>
      <c r="BY106" s="9">
        <v>91.6</v>
      </c>
      <c r="BZ106" s="9">
        <v>91.9</v>
      </c>
      <c r="CA106" s="9">
        <v>92</v>
      </c>
      <c r="CB106" s="9">
        <v>92.2</v>
      </c>
      <c r="CC106" s="9">
        <v>92.5</v>
      </c>
      <c r="CD106" s="9">
        <v>92.7</v>
      </c>
      <c r="CE106" s="9">
        <v>93</v>
      </c>
      <c r="CF106" s="9">
        <v>93.4</v>
      </c>
      <c r="CG106" s="9">
        <v>93.7</v>
      </c>
      <c r="CH106" s="9">
        <v>94</v>
      </c>
      <c r="CI106" s="9">
        <v>94.1</v>
      </c>
      <c r="CJ106" s="9">
        <v>94.3</v>
      </c>
      <c r="CK106" s="9">
        <v>94.6</v>
      </c>
      <c r="CL106" s="9">
        <v>94.7</v>
      </c>
      <c r="CM106" s="9">
        <v>95.1</v>
      </c>
      <c r="CN106" s="9">
        <v>95.3</v>
      </c>
      <c r="CO106" s="9">
        <v>95.5</v>
      </c>
      <c r="CP106" s="9">
        <v>96.3</v>
      </c>
      <c r="CQ106" s="9">
        <v>96.7</v>
      </c>
      <c r="CR106" s="9">
        <v>97.3</v>
      </c>
      <c r="CS106" s="9">
        <v>97.7</v>
      </c>
      <c r="CT106" s="9">
        <v>98</v>
      </c>
      <c r="CU106" s="9">
        <v>98.7</v>
      </c>
      <c r="CV106" s="9">
        <v>100.1</v>
      </c>
      <c r="CW106" s="9">
        <v>100.3</v>
      </c>
      <c r="CX106" s="9">
        <v>101</v>
      </c>
      <c r="CY106" s="9">
        <v>102.1</v>
      </c>
      <c r="CZ106" s="9">
        <v>103.2</v>
      </c>
      <c r="DA106" s="9">
        <v>103.8</v>
      </c>
      <c r="DB106" s="9">
        <v>107.6</v>
      </c>
    </row>
    <row r="107" spans="1:106">
      <c r="A107" s="1" t="s">
        <v>423</v>
      </c>
      <c r="B107" s="1" t="s">
        <v>398</v>
      </c>
      <c r="C107" s="1" t="s">
        <v>19</v>
      </c>
      <c r="D107" s="1" t="s">
        <v>360</v>
      </c>
      <c r="E107" s="6">
        <v>587</v>
      </c>
      <c r="F107" s="9">
        <v>85.4</v>
      </c>
      <c r="G107" s="9">
        <v>10</v>
      </c>
      <c r="H107" s="9">
        <v>59</v>
      </c>
      <c r="I107" s="9">
        <v>64.3</v>
      </c>
      <c r="J107" s="9">
        <v>65.2</v>
      </c>
      <c r="K107" s="9">
        <v>66</v>
      </c>
      <c r="L107" s="9">
        <v>68.2</v>
      </c>
      <c r="M107" s="9">
        <v>69.8</v>
      </c>
      <c r="N107" s="9">
        <v>70.099999999999994</v>
      </c>
      <c r="O107" s="9">
        <v>71.2</v>
      </c>
      <c r="P107" s="9">
        <v>72</v>
      </c>
      <c r="Q107" s="9">
        <v>72.3</v>
      </c>
      <c r="R107" s="9">
        <v>73.2</v>
      </c>
      <c r="S107" s="9">
        <v>73.8</v>
      </c>
      <c r="T107" s="9">
        <v>74.599999999999994</v>
      </c>
      <c r="U107" s="9">
        <v>75.2</v>
      </c>
      <c r="V107" s="9">
        <v>75.5</v>
      </c>
      <c r="W107" s="9">
        <v>75.8</v>
      </c>
      <c r="X107" s="9">
        <v>76.400000000000006</v>
      </c>
      <c r="Y107" s="9">
        <v>76.599999999999994</v>
      </c>
      <c r="Z107" s="9">
        <v>76.7</v>
      </c>
      <c r="AA107" s="9">
        <v>77.5</v>
      </c>
      <c r="AB107" s="9">
        <v>77.900000000000006</v>
      </c>
      <c r="AC107" s="9">
        <v>78.2</v>
      </c>
      <c r="AD107" s="9">
        <v>78.5</v>
      </c>
      <c r="AE107" s="9">
        <v>78.8</v>
      </c>
      <c r="AF107" s="9">
        <v>79</v>
      </c>
      <c r="AG107" s="9">
        <v>79.400000000000006</v>
      </c>
      <c r="AH107" s="9">
        <v>79.8</v>
      </c>
      <c r="AI107" s="9">
        <v>80.099999999999994</v>
      </c>
      <c r="AJ107" s="9">
        <v>80.2</v>
      </c>
      <c r="AK107" s="9">
        <v>80.8</v>
      </c>
      <c r="AL107" s="9">
        <v>81.2</v>
      </c>
      <c r="AM107" s="9">
        <v>81.400000000000006</v>
      </c>
      <c r="AN107" s="9">
        <v>81.599999999999994</v>
      </c>
      <c r="AO107" s="9">
        <v>81.900000000000006</v>
      </c>
      <c r="AP107" s="9">
        <v>82.4</v>
      </c>
      <c r="AQ107" s="9">
        <v>82.5</v>
      </c>
      <c r="AR107" s="9">
        <v>82.5</v>
      </c>
      <c r="AS107" s="9">
        <v>82.8</v>
      </c>
      <c r="AT107" s="9">
        <v>83.1</v>
      </c>
      <c r="AU107" s="9">
        <v>83.2</v>
      </c>
      <c r="AV107" s="9">
        <v>83.5</v>
      </c>
      <c r="AW107" s="9">
        <v>83.7</v>
      </c>
      <c r="AX107" s="9">
        <v>84</v>
      </c>
      <c r="AY107" s="9">
        <v>84.2</v>
      </c>
      <c r="AZ107" s="9">
        <v>84.5</v>
      </c>
      <c r="BA107" s="9">
        <v>84.7</v>
      </c>
      <c r="BB107" s="9">
        <v>85</v>
      </c>
      <c r="BC107" s="9">
        <v>85.4</v>
      </c>
      <c r="BD107" s="9">
        <v>85.7</v>
      </c>
      <c r="BE107" s="9">
        <v>85.9</v>
      </c>
      <c r="BF107" s="9">
        <v>86.3</v>
      </c>
      <c r="BG107" s="9">
        <v>86.4</v>
      </c>
      <c r="BH107" s="9">
        <v>86.5</v>
      </c>
      <c r="BI107" s="9">
        <v>86.9</v>
      </c>
      <c r="BJ107" s="9">
        <v>87.1</v>
      </c>
      <c r="BK107" s="9">
        <v>87.2</v>
      </c>
      <c r="BL107" s="9">
        <v>87.4</v>
      </c>
      <c r="BM107" s="9">
        <v>87.5</v>
      </c>
      <c r="BN107" s="9">
        <v>87.7</v>
      </c>
      <c r="BO107" s="9">
        <v>88.2</v>
      </c>
      <c r="BP107" s="9">
        <v>88.3</v>
      </c>
      <c r="BQ107" s="9">
        <v>88.5</v>
      </c>
      <c r="BR107" s="9">
        <v>88.5</v>
      </c>
      <c r="BS107" s="9">
        <v>88.8</v>
      </c>
      <c r="BT107" s="9">
        <v>89</v>
      </c>
      <c r="BU107" s="9">
        <v>89.2</v>
      </c>
      <c r="BV107" s="9">
        <v>89.5</v>
      </c>
      <c r="BW107" s="9">
        <v>89.7</v>
      </c>
      <c r="BX107" s="9">
        <v>89.8</v>
      </c>
      <c r="BY107" s="9">
        <v>90.2</v>
      </c>
      <c r="BZ107" s="9">
        <v>90.4</v>
      </c>
      <c r="CA107" s="9">
        <v>90.7</v>
      </c>
      <c r="CB107" s="9">
        <v>90.8</v>
      </c>
      <c r="CC107" s="9">
        <v>91.1</v>
      </c>
      <c r="CD107" s="9">
        <v>91.3</v>
      </c>
      <c r="CE107" s="9">
        <v>91.6</v>
      </c>
      <c r="CF107" s="9">
        <v>92</v>
      </c>
      <c r="CG107" s="9">
        <v>92.4</v>
      </c>
      <c r="CH107" s="9">
        <v>93</v>
      </c>
      <c r="CI107" s="9">
        <v>93.2</v>
      </c>
      <c r="CJ107" s="9">
        <v>93.8</v>
      </c>
      <c r="CK107" s="9">
        <v>94</v>
      </c>
      <c r="CL107" s="9">
        <v>94.3</v>
      </c>
      <c r="CM107" s="9">
        <v>94.7</v>
      </c>
      <c r="CN107" s="9">
        <v>95.1</v>
      </c>
      <c r="CO107" s="9">
        <v>95.3</v>
      </c>
      <c r="CP107" s="9">
        <v>95.5</v>
      </c>
      <c r="CQ107" s="9">
        <v>96.2</v>
      </c>
      <c r="CR107" s="9">
        <v>96.6</v>
      </c>
      <c r="CS107" s="9">
        <v>97.1</v>
      </c>
      <c r="CT107" s="9">
        <v>98.2</v>
      </c>
      <c r="CU107" s="9">
        <v>99</v>
      </c>
      <c r="CV107" s="9">
        <v>99.4</v>
      </c>
      <c r="CW107" s="9">
        <v>100</v>
      </c>
      <c r="CX107" s="9">
        <v>100.7</v>
      </c>
      <c r="CY107" s="9">
        <v>102.1</v>
      </c>
      <c r="CZ107" s="9">
        <v>105.3</v>
      </c>
      <c r="DA107" s="9">
        <v>109</v>
      </c>
      <c r="DB107" s="9">
        <v>110.6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안내</vt:lpstr>
      <vt:lpstr>입력_결과</vt:lpstr>
      <vt:lpstr>D_BMI</vt:lpstr>
      <vt:lpstr>D_WAIST</vt:lpstr>
      <vt:lpstr>D_SBP</vt:lpstr>
      <vt:lpstr>D_DBP</vt:lpstr>
      <vt:lpstr>D_FBG</vt:lpstr>
      <vt:lpstr>D_TC</vt:lpstr>
      <vt:lpstr>D_HDL</vt:lpstr>
      <vt:lpstr>D_TG</vt:lpstr>
      <vt:lpstr>D_LDL</vt:lpstr>
      <vt:lpstr>D_HB</vt:lpstr>
      <vt:lpstr>D_CR</vt:lpstr>
      <vt:lpstr>D_EGFR</vt:lpstr>
      <vt:lpstr>D_AST</vt:lpstr>
      <vt:lpstr>D_ALT</vt:lpstr>
      <vt:lpstr>D_GGT</vt:lpstr>
      <vt:lpstr>M_신장체중</vt:lpstr>
      <vt:lpstr>K_영양조사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이사라</dc:creator>
  <cp:lastModifiedBy>이사라</cp:lastModifiedBy>
  <dcterms:created xsi:type="dcterms:W3CDTF">2026-09-14T10:59:30Z</dcterms:created>
  <dcterms:modified xsi:type="dcterms:W3CDTF">2026-10-06T08:58:03Z</dcterms:modified>
</cp:coreProperties>
</file>
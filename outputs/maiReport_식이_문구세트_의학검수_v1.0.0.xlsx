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이사라\AppData\Local\Temp\claude\C--Users-----Documents-Project-maiReport\de191c12-f917-427b-8479-a7229e623801\scratchpad\"/>
    </mc:Choice>
  </mc:AlternateContent>
  <xr:revisionPtr revIDLastSave="0" documentId="8_{1B87A559-C246-4B92-8421-11CBF341A135}" xr6:coauthVersionLast="47" xr6:coauthVersionMax="47" xr10:uidLastSave="{00000000-0000-0000-0000-000000000000}"/>
  <bookViews>
    <workbookView xWindow="2660" yWindow="2660" windowWidth="28800" windowHeight="15410" xr2:uid="{E53919E9-E904-4308-8260-B4355B6CA0A6}"/>
  </bookViews>
  <sheets>
    <sheet name="안내" sheetId="1" r:id="rId1"/>
    <sheet name="검수결과" sheetId="2" r:id="rId2"/>
    <sheet name="신규금지규칙" sheetId="3" r:id="rId3"/>
    <sheet name="쟁점" sheetId="4" r:id="rId4"/>
  </sheets>
  <definedNames>
    <definedName name="_xlnm._FilterDatabase" localSheetId="1" hidden="1">검수결과!$A$1:$N$1</definedName>
    <definedName name="_xlnm._FilterDatabase" localSheetId="2" hidden="1">신규금지규칙!$A$1:$E$1</definedName>
    <definedName name="_xlnm._FilterDatabase" localSheetId="3" hidden="1">쟁점!$A$1:$E$1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1" l="1"/>
  <c r="C10" i="1"/>
  <c r="C9" i="1"/>
  <c r="C8" i="1"/>
  <c r="C7" i="1"/>
  <c r="C6" i="1"/>
  <c r="C5" i="1"/>
</calcChain>
</file>

<file path=xl/sharedStrings.xml><?xml version="1.0" encoding="utf-8"?>
<sst xmlns="http://schemas.openxmlformats.org/spreadsheetml/2006/main" count="2267" uniqueCount="850">
  <si>
    <t>ID</t>
  </si>
  <si>
    <t>묶음</t>
  </si>
  <si>
    <t>축</t>
  </si>
  <si>
    <t>단계</t>
  </si>
  <si>
    <t>원안 문구</t>
  </si>
  <si>
    <t>검수 후 문구</t>
  </si>
  <si>
    <t>자</t>
  </si>
  <si>
    <t>이유 한 줄</t>
  </si>
  <si>
    <t>표시</t>
  </si>
  <si>
    <t>근거</t>
  </si>
  <si>
    <t>기존 제한</t>
  </si>
  <si>
    <t>판정</t>
  </si>
  <si>
    <t>추가 제한</t>
  </si>
  <si>
    <t>검수 의견</t>
  </si>
  <si>
    <t>N1</t>
  </si>
  <si>
    <t>1차</t>
  </si>
  <si>
    <t>끼니 규칙</t>
  </si>
  <si>
    <t>입문</t>
  </si>
  <si>
    <t>아침에 우유나 두유 한 잔</t>
  </si>
  <si>
    <t>마실 것 하나라도 아침 끼니가 돼요.</t>
  </si>
  <si>
    <t>오전 진입</t>
  </si>
  <si>
    <t>식생활지침 수칙 1 · 5</t>
  </si>
  <si>
    <t>—</t>
  </si>
  <si>
    <t>승인</t>
  </si>
  <si>
    <t>N2</t>
  </si>
  <si>
    <t>아침에 과일 한 조각</t>
  </si>
  <si>
    <t>손이 가는 것부터 아침을 시작해요.</t>
  </si>
  <si>
    <t>삭제</t>
  </si>
  <si>
    <t>과일을 「더 먹기」로 권하는 문구다. 대체 맥락이 아니어서 당뇨 · 비만 사용자에게는 열량과 당이 순증한다. 빈속에 과일만 먹으면 식후 혈당도 크게 오른다. 끼니 규칙 입문 칸에는 N1(우유 · 두유) · N47 · N94가 이미 있어 빼도 칸이 빈다고 보기 어렵다.</t>
  </si>
  <si>
    <t>N3</t>
  </si>
  <si>
    <t>기본</t>
  </si>
  <si>
    <t>점심은 늦지 않게 챙기기</t>
  </si>
  <si>
    <t>점심이 늦어지면 저녁까지 몰아 먹게 돼요.</t>
  </si>
  <si>
    <t>식생활지침 수칙 4</t>
  </si>
  <si>
    <t>N4</t>
  </si>
  <si>
    <t>도전</t>
  </si>
  <si>
    <t>오늘 세 끼 모두 챙기기</t>
  </si>
  <si>
    <t>세 끼가 다 있으면 한 끼 양이 자연히 줄어요.</t>
  </si>
  <si>
    <t>식생활지침 수칙 1 · 4</t>
  </si>
  <si>
    <t>N5</t>
  </si>
  <si>
    <t>주말에도 아침 거르지 않기</t>
  </si>
  <si>
    <t>주말 아침을 지키면 주중 리듬이 무너지지 않아요.</t>
  </si>
  <si>
    <t>오전 진입 토 · 일</t>
  </si>
  <si>
    <t>식생활지침 수칙 5</t>
  </si>
  <si>
    <t>N6</t>
  </si>
  <si>
    <t>채소</t>
  </si>
  <si>
    <t>국 대신 나물 한 접시</t>
  </si>
  <si>
    <t>국물 자리에 채소를 넣으면 나트륨도 함께 줄어요.</t>
  </si>
  <si>
    <t>식생활지침 수칙 1 · 2</t>
  </si>
  <si>
    <t>신장 3기↑</t>
  </si>
  <si>
    <t>N7</t>
  </si>
  <si>
    <t>고기 먹을 땐 쌈 채소 함께</t>
  </si>
  <si>
    <t>쌈 채소는 가장 쉽게 채소를 더하는 방법이에요.</t>
  </si>
  <si>
    <t>식생활지침 수칙 1</t>
  </si>
  <si>
    <t>N8</t>
  </si>
  <si>
    <t>외식 때 채소 반찬 하나 추가</t>
  </si>
  <si>
    <t>외식은 채소가 가장 빠지기 쉬운 끼니예요.</t>
  </si>
  <si>
    <t>식생활지침 수칙 1 · WHO 400g</t>
  </si>
  <si>
    <t>N9</t>
  </si>
  <si>
    <t>매 끼니 채소 두 가지</t>
  </si>
  <si>
    <t>끼니마다 두 가지면 하루 다섯 접시에 가까워져요.</t>
  </si>
  <si>
    <t>WHO 400g(5접시)</t>
  </si>
  <si>
    <t>N10</t>
  </si>
  <si>
    <t>점심도 채소부터 먼저</t>
  </si>
  <si>
    <t>저녁뿐 아니라 점심에도 순서를 바꿔 보는 단계예요.</t>
  </si>
  <si>
    <t>식사 순서 무작위 대조 연구</t>
  </si>
  <si>
    <t>N11</t>
  </si>
  <si>
    <t>단 음료 · 단 간식</t>
  </si>
  <si>
    <t>커피는 시럽 · 크림 빼고</t>
  </si>
  <si>
    <t>커피 한 잔의 시럽이 하루 당 권고량의 절반이에요.</t>
  </si>
  <si>
    <t>WHO 당류 지침</t>
  </si>
  <si>
    <t>N12</t>
  </si>
  <si>
    <t>탄산음료 대신 탄산수</t>
  </si>
  <si>
    <t>톡 쏘는 느낌은 그대로, 당만 빠져요.</t>
  </si>
  <si>
    <t>N13</t>
  </si>
  <si>
    <t>요구르트는 무가당으로</t>
  </si>
  <si>
    <t>가당 요구르트 한 개에 각설탕 세 개 분량이 들어 있어요.</t>
  </si>
  <si>
    <t>WHO 당류 지침 · 식약처 당류 표시</t>
  </si>
  <si>
    <t>N14</t>
  </si>
  <si>
    <t>과일주스 대신 생과일</t>
  </si>
  <si>
    <t>주스는 과일의 당만 남고 섬유질은 빠져요.</t>
  </si>
  <si>
    <t>WHO 당류 지침(주스는 유리당)</t>
  </si>
  <si>
    <t>N15</t>
  </si>
  <si>
    <t>단 간식 오늘 하루 쉬기</t>
  </si>
  <si>
    <t>간식의 당은 끼니보다 눈에 안 띄게 쌓여요.</t>
  </si>
  <si>
    <t>섭식장애 임신·수유</t>
  </si>
  <si>
    <t>N16</t>
  </si>
  <si>
    <t>짠맛 · 국물</t>
  </si>
  <si>
    <t>라면 국물은 남기기</t>
  </si>
  <si>
    <t>라면 나트륨의 3분의 2는 국물에 있어요.</t>
  </si>
  <si>
    <t>식약처 나트륨 실측</t>
  </si>
  <si>
    <t>N17</t>
  </si>
  <si>
    <t>간장 · 소스에 찍지 않기</t>
  </si>
  <si>
    <t>찍어 먹는 간장이 반찬 하나만큼 짜요.</t>
  </si>
  <si>
    <t>고혈압학회 2022(식탁 소금 추가 금지)</t>
  </si>
  <si>
    <t>N18</t>
  </si>
  <si>
    <t>김치는 평소의 절반</t>
  </si>
  <si>
    <t>한국인 나트륨의 첫째 급원이 김치예요.</t>
  </si>
  <si>
    <t>국민건강영양조사 나트륨 급원 · WHO</t>
  </si>
  <si>
    <t>N19</t>
  </si>
  <si>
    <t>젓갈 · 장아찌 한 끼 빼기</t>
  </si>
  <si>
    <t>절임 반찬 한 젓가락이 국 한 그릇만큼 짜요.</t>
  </si>
  <si>
    <t>N20</t>
  </si>
  <si>
    <t>외식 때 소스는 따로 달라고</t>
  </si>
  <si>
    <t>따로 받으면 양을 내가 정할 수 있어요.</t>
  </si>
  <si>
    <t>고혈압학회 2022</t>
  </si>
  <si>
    <t>N21</t>
  </si>
  <si>
    <t>오늘 세 끼 국물 없이</t>
  </si>
  <si>
    <t>국물을 하루 끊으면 나트륨이 절반 가까이 줄어요.</t>
  </si>
  <si>
    <t>식약처 실측 · WHO</t>
  </si>
  <si>
    <t>N22</t>
  </si>
  <si>
    <t>저녁 술 없이 보내기</t>
  </si>
  <si>
    <t>절주는 혈압 · 간 · 요산 모두에 첫 번째 권고예요.</t>
  </si>
  <si>
    <t>저녁 연결 전용</t>
  </si>
  <si>
    <t>고혈압학회 2022 · 대한간학회 지방간 지침 · 통풍 지침</t>
  </si>
  <si>
    <t>임신·수유 (금주 문구로 대체 검토)</t>
  </si>
  <si>
    <t>N23</t>
  </si>
  <si>
    <t>반주는 한 잔까지</t>
  </si>
  <si>
    <t>하루 한 잔을 넘기면 혈압과 중성지방이 함께 올라요.</t>
  </si>
  <si>
    <t>고혈압학회 2022(남 2잔 · 여 1잔 이하)</t>
  </si>
  <si>
    <t>임신·수유 간질환</t>
  </si>
  <si>
    <t>N24</t>
  </si>
  <si>
    <t>식사 시각</t>
  </si>
  <si>
    <t>밤 9시 이후엔 물만</t>
  </si>
  <si>
    <t>시각을 하나 정해 두면 야식 결정이 쉬워져요.</t>
  </si>
  <si>
    <t>저녁</t>
  </si>
  <si>
    <t>비만학회 식사요법(야식 회피) 약함</t>
  </si>
  <si>
    <t>섭식장애</t>
  </si>
  <si>
    <t>N75(잠들기 전 2시간은 물만) · N165와 같은 행동이며, 「밤 9시」는 취침 시각이 제각각인 사용자에게 임의값이다. 취침 기준인 N75를 남긴다.</t>
  </si>
  <si>
    <t>N25</t>
  </si>
  <si>
    <t>저녁은 8시 전에 마치기</t>
  </si>
  <si>
    <t>저녁이 늦어질수록 야식과 수면 둘 다 영향을 받아요.</t>
  </si>
  <si>
    <t>ACG 위식도역류 지침 · 관찰 연구</t>
  </si>
  <si>
    <t>N26</t>
  </si>
  <si>
    <t>야식 대신 일찍 잠자리로</t>
  </si>
  <si>
    <t>늦은 허기는 졸림과 헷갈리기 쉬워요.</t>
  </si>
  <si>
    <t>수면위생 약함</t>
  </si>
  <si>
    <t>보류</t>
  </si>
  <si>
    <t>식이 축 문구인데 실제 행동은 취침이다. 수면 목표와 같은 행동이 두 타일에 나갈 수 있다. 수면 축 설계 후 어디에 둘지 정한다.</t>
  </si>
  <si>
    <t>N27</t>
  </si>
  <si>
    <t>저녁 뒤엔 먹지 않고 마무리</t>
  </si>
  <si>
    <t>저녁이 하루의 마지막 끼니가 되게 하는 단계예요.</t>
  </si>
  <si>
    <t>비만학회 식사요법 · 관찰 연구</t>
  </si>
  <si>
    <t>조건부</t>
  </si>
  <si>
    <t>당뇨병</t>
  </si>
  <si>
    <t>야간 공복을 늘리는 행동이다. 인슐린 · 설포닐우레아 사용자는 야간 저혈당 위험이 있는데 처방 정보가 없어 약물을 알 수 없다. 기존 당뇨 금지와 같은 원칙으로 확진 전원에 적용한다. N122에는 이미 표시돼 있다.</t>
  </si>
  <si>
    <t>N28</t>
  </si>
  <si>
    <t>식사 속도 · 양</t>
  </si>
  <si>
    <t>밥은 작은 그릇에 담기</t>
  </si>
  <si>
    <t>그릇이 작아지면 양은 줄고 포만감은 같아요.</t>
  </si>
  <si>
    <t>비만학회 행동치료(자극 조절)</t>
  </si>
  <si>
    <t>N29</t>
  </si>
  <si>
    <t>TV · 휴대폰 끄고 식사</t>
  </si>
  <si>
    <t>화면을 보며 먹으면 얼마나 먹었는지 놓쳐요.</t>
  </si>
  <si>
    <t>N30</t>
  </si>
  <si>
    <t>한 입에 스무 번 씹기</t>
  </si>
  <si>
    <t>씹는 횟수가 늘면 속도가 자연히 느려져요.</t>
  </si>
  <si>
    <t>식사 속도 메타분석 · 20회는 통용값</t>
  </si>
  <si>
    <t>확인 필요</t>
  </si>
  <si>
    <t>연하곤란 · 뇌졸중 후유증</t>
  </si>
  <si>
    <t>해롭지는 않으나 수행이 불가능한 집단이 있다. 연하곤란(R13)은 진단 층에서 제외돼 있고 뇌졸중 후유증(I69)은 심혈관질환 연결에 포함된다. 서비스 대상 정책에서 함께 볼 항목.</t>
  </si>
  <si>
    <t>N31</t>
  </si>
  <si>
    <t>밥은 젓가락으로 먹기</t>
  </si>
  <si>
    <t>젓가락은 한 번에 덜 뜨게 해서 속도를 늦춰요.</t>
  </si>
  <si>
    <t>식사 속도 메타분석</t>
  </si>
  <si>
    <t>N32</t>
  </si>
  <si>
    <t>밥 더 담지 않기</t>
  </si>
  <si>
    <t>한 그릇에서 멈추는 습관이 과식을 막아요.</t>
  </si>
  <si>
    <t>섭식장애 임신·수유 암 치료 중</t>
  </si>
  <si>
    <t>N33</t>
  </si>
  <si>
    <t>단백질</t>
  </si>
  <si>
    <t>아침에 달걀 하나</t>
  </si>
  <si>
    <t>달걀 하나로 아침 단백질이 채워져요.</t>
  </si>
  <si>
    <t>영양소 섭취기준 · 식생활지침 수칙 1</t>
  </si>
  <si>
    <t>신장질환</t>
  </si>
  <si>
    <t>N34</t>
  </si>
  <si>
    <t>두유나 우유 한 잔 챙기기</t>
  </si>
  <si>
    <t>마시는 단백질은 반찬이 없어도 챙길 수 있어요.</t>
  </si>
  <si>
    <t>식생활지침 수칙 1(우유 · 유제품)</t>
  </si>
  <si>
    <t>N35</t>
  </si>
  <si>
    <t>생선 반찬 한 끼</t>
  </si>
  <si>
    <t>생선은 단백질과 좋은 지방을 함께 줘요.</t>
  </si>
  <si>
    <t>식생활지침 수칙 1 · 지질동맥경화학회 5판</t>
  </si>
  <si>
    <t>신장질환 통풍(2차)</t>
  </si>
  <si>
    <t>N36</t>
  </si>
  <si>
    <t>두부 반 모 반찬으로</t>
  </si>
  <si>
    <t>두부 반 모가 고기 한 접시 단백질과 비슷해요.</t>
  </si>
  <si>
    <t>영양소 섭취기준(콩류)</t>
  </si>
  <si>
    <t>N37</t>
  </si>
  <si>
    <t>끼니마다 다른 단백질 반찬</t>
  </si>
  <si>
    <t>고기 · 생선 · 달걀 · 콩을 돌리면 영양이 고르게 돼요.</t>
  </si>
  <si>
    <t>N38</t>
  </si>
  <si>
    <t>기름진 음식</t>
  </si>
  <si>
    <t>튀김 대신 구이 · 찜 한 끼</t>
  </si>
  <si>
    <t>조리법만 바꿔도 지방이 절반 이하로 줘요.</t>
  </si>
  <si>
    <t>식생활지침 수칙 2 · 지질학회 5판</t>
  </si>
  <si>
    <t>N39</t>
  </si>
  <si>
    <t>삼겹살 대신 목살 · 안심</t>
  </si>
  <si>
    <t>같은 고기라도 부위로 포화지방이 크게 달라요.</t>
  </si>
  <si>
    <t>지질학회 5판(포화지방)</t>
  </si>
  <si>
    <t>N40</t>
  </si>
  <si>
    <t>드레싱 · 마요네즈는 반만</t>
  </si>
  <si>
    <t>샐러드의 지방은 대부분 드레싱에서 와요.</t>
  </si>
  <si>
    <t>WHO 건강식(지방 30% 미만)</t>
  </si>
  <si>
    <t>N41</t>
  </si>
  <si>
    <t>라면 대신 국수 · 밥 한 끼</t>
  </si>
  <si>
    <t>라면 한 봉지 지방이 하루 권고의 4분의 1이에요.</t>
  </si>
  <si>
    <t>식약처 영양표시 · WHO</t>
  </si>
  <si>
    <t>N42</t>
  </si>
  <si>
    <t>튀김 없는 하루</t>
  </si>
  <si>
    <t>튀김을 하루 끊는 것이 포화지방을 줄이는 가장 큰 한 걸음이에요.</t>
  </si>
  <si>
    <t>지질학회 5판</t>
  </si>
  <si>
    <t>N43</t>
  </si>
  <si>
    <t>기름진 음식은 점심에만</t>
  </si>
  <si>
    <t>저녁 지방은 활동으로 쓰이지 못하고 남아요.</t>
  </si>
  <si>
    <t>열량 배분 연구 · 지질학회 약함</t>
  </si>
  <si>
    <t>수정</t>
  </si>
  <si>
    <t>이유 문장 완화 필요. 열량 배분 연구는 총열량 · 체중에 대한 것이지 지방을 낮에 먹으면 낫다는 근거가 아니다. 「낮에 먹는 쪽이 체중 관리에 유리했어요」 수준으로 낮춘다.</t>
  </si>
  <si>
    <t>N44</t>
  </si>
  <si>
    <t>회복 풀</t>
  </si>
  <si>
    <t>회복</t>
  </si>
  <si>
    <t>따뜻한 물 한 잔으로 시작</t>
  </si>
  <si>
    <t>못 먹은 뒤엔 물부터 채우는 게 부담이 없어요.</t>
  </si>
  <si>
    <t>식생활지침 수칙 3(물) 약함</t>
  </si>
  <si>
    <t>심부전 · 투석</t>
  </si>
  <si>
    <t>수분 섭취를 늘리는 행동이다. 심부전(I50)과 투석(Z49 · Z99.2)은 수분 제한 대상이라 역방향이 된다. 상병코드 추천 ⑤가 「오늘 물 6잔류 문구가 있다면 제외 — 현재 세트에 없음」이라 적었는데, 확장으로 생겼다.</t>
  </si>
  <si>
    <t>N45</t>
  </si>
  <si>
    <t>과일 한 조각으로 빈 끼 메우기</t>
  </si>
  <si>
    <t>빈 끼는 우유나 두유 한 잔</t>
  </si>
  <si>
    <t>과일은 준비 없이 바로 먹을 수 있는 회복 끼니예요.</t>
  </si>
  <si>
    <t>오후 진입</t>
  </si>
  <si>
    <t>신장 3기↑ (칼륨)</t>
  </si>
  <si>
    <t>신장 3기↑(칼륨) · 당뇨병</t>
  </si>
  <si>
    <t>회복 풀은 결식을 메우는 자리인데 과일만으로는 단백질과 열량이 모자란다. 같은 회복 맥락에서 우유 · 두유가 낫다.</t>
  </si>
  <si>
    <t>N46</t>
  </si>
  <si>
    <t>부담 줄이기 풀</t>
  </si>
  <si>
    <t>부담</t>
  </si>
  <si>
    <t>커피 대신 따뜻한 차 한 잔</t>
  </si>
  <si>
    <t>피곤한 날 카페인은 잠을 더 밀어내요.</t>
  </si>
  <si>
    <t>카페인 · 수면 실험(2013)</t>
  </si>
  <si>
    <t>N47</t>
  </si>
  <si>
    <t>2차</t>
  </si>
  <si>
    <t>일어나서 한 시간 안에 한 입</t>
  </si>
  <si>
    <t>시간을 정해 두면 아침을 건너뛰기 어려워져요.</t>
  </si>
  <si>
    <t>N48</t>
  </si>
  <si>
    <t>아침 대신 바나나 하나</t>
  </si>
  <si>
    <t>준비 없이 먹을 수 있는 아침 대용이에요.</t>
  </si>
  <si>
    <t>바나나는 혈당지수가 높고 칼륨도 많다. 아침을 대체하는 단독 과일로는 식후 혈당이 크게 오른다.</t>
  </si>
  <si>
    <t>N49</t>
  </si>
  <si>
    <t>회의 · 일정 사이 점심 챙기기</t>
  </si>
  <si>
    <t>바쁜 날 거른 점심은 저녁 과식으로 돌아와요.</t>
  </si>
  <si>
    <t>사무실</t>
  </si>
  <si>
    <t>N50</t>
  </si>
  <si>
    <t>늦어도 저녁은 가볍게라도</t>
  </si>
  <si>
    <t>늦은 저녁을 거르면 야식으로 이어지기 쉬워요.</t>
  </si>
  <si>
    <t>N51</t>
  </si>
  <si>
    <t>출근길에 아침 챙겨 먹기</t>
  </si>
  <si>
    <t>집에서 못 먹었어도 아침은 챙길 수 있어요.</t>
  </si>
  <si>
    <t>오전 진입 평일</t>
  </si>
  <si>
    <t>N52</t>
  </si>
  <si>
    <t>세 끼 시각 모두 평소대로</t>
  </si>
  <si>
    <t>끼니 시각이 고정되면 허기의 리듬도 고정돼요.</t>
  </si>
  <si>
    <t>관찰 연구 약함</t>
  </si>
  <si>
    <t>N53</t>
  </si>
  <si>
    <t>편의점 끼니엔 샐러드 하나 추가</t>
  </si>
  <si>
    <t>편의점 끼니는 채소가 가장 빠지는 자리예요.</t>
  </si>
  <si>
    <t>편의점</t>
  </si>
  <si>
    <t>N54</t>
  </si>
  <si>
    <t>배달 주문에 채소 메뉴 하나</t>
  </si>
  <si>
    <t>배달은 채소 메뉴를 따로 고르지 않으면 없어요.</t>
  </si>
  <si>
    <t>배달</t>
  </si>
  <si>
    <t>N55</t>
  </si>
  <si>
    <t>회식 안주는 채소부터</t>
  </si>
  <si>
    <t>채소를 먼저 먹으면 술과 기름진 안주가 줄어요.</t>
  </si>
  <si>
    <t>저녁 회식</t>
  </si>
  <si>
    <t>식사 순서 연구 · 식생활지침 수칙 1</t>
  </si>
  <si>
    <t>N56</t>
  </si>
  <si>
    <t>국에 채소 한 줌 더 넣기</t>
  </si>
  <si>
    <t>끓이는 국에 채소를 더하면 나트륨 대비 채소 비율이 올라요.</t>
  </si>
  <si>
    <t>N57</t>
  </si>
  <si>
    <t>채소 없는 끼니 없이 하루</t>
  </si>
  <si>
    <t>세 끼 모두 채소가 있으면 하루 권고량에 닿아요.</t>
  </si>
  <si>
    <t>WHO 400g</t>
  </si>
  <si>
    <t>N58</t>
  </si>
  <si>
    <t>저녁 반찬 절반은 채소로</t>
  </si>
  <si>
    <t>저녁 접시의 절반을 채소로 채우는 것이 권고 형태예요.</t>
  </si>
  <si>
    <t>식생활지침 · WHO(접시 절반 채소)</t>
  </si>
  <si>
    <t>N59</t>
  </si>
  <si>
    <t>편의점에선 물이나 무가당 차</t>
  </si>
  <si>
    <t>편의점 음료 코너의 대부분이 가당 음료예요.</t>
  </si>
  <si>
    <t>N60</t>
  </si>
  <si>
    <t>카페 음료는 한 사이즈 작게</t>
  </si>
  <si>
    <t>사이즈 하나 차이가 각설탕 두세 개 차이예요.</t>
  </si>
  <si>
    <t>카페</t>
  </si>
  <si>
    <t>N61</t>
  </si>
  <si>
    <t>사무실 단 간식은 한 번만</t>
  </si>
  <si>
    <t>사무실 간식은 세지 않으면 하루 서너 번이 돼요.</t>
  </si>
  <si>
    <t>N62</t>
  </si>
  <si>
    <t>운동 후 스포츠음료 대신 물</t>
  </si>
  <si>
    <t>한 시간 안 운동엔 물로 충분해요.</t>
  </si>
  <si>
    <t>N63</t>
  </si>
  <si>
    <t>디저트는 나눠 먹기</t>
  </si>
  <si>
    <t>반만 먹어도 맛은 그대로, 당은 절반이에요.</t>
  </si>
  <si>
    <t>N64</t>
  </si>
  <si>
    <t>빵 · 케이크 대신 과일 한 줌</t>
  </si>
  <si>
    <t>같은 단맛이라도 과일은 섬유질이 따라와요.</t>
  </si>
  <si>
    <t>N65</t>
  </si>
  <si>
    <t>찌개는 앞접시에 건더기만</t>
  </si>
  <si>
    <t>앞접시로 옮기면 국물을 자연히 덜 먹게 돼요.</t>
  </si>
  <si>
    <t>N66</t>
  </si>
  <si>
    <t>국은 반 그릇만 담기</t>
  </si>
  <si>
    <t>담는 양을 줄이는 게 남기는 것보다 쉬워요.</t>
  </si>
  <si>
    <t>WHO 나트륨</t>
  </si>
  <si>
    <t>N67</t>
  </si>
  <si>
    <t>짠 반찬은 한 끼에 한 가지만</t>
  </si>
  <si>
    <t>김치 · 장아찌 · 젓갈이 겹치면 한 끼에 하루치가 돼요.</t>
  </si>
  <si>
    <t>국민건강영양조사 나트륨 급원</t>
  </si>
  <si>
    <t>N68</t>
  </si>
  <si>
    <t>볶음밥 대신 흰밥에 반찬</t>
  </si>
  <si>
    <t>볶음밥 한 그릇은 흰밥 한 끼보다 나트륨이 두 배예요.</t>
  </si>
  <si>
    <t>N69</t>
  </si>
  <si>
    <t>배달 음식엔 소스 반만</t>
  </si>
  <si>
    <t>배달 음식 나트륨의 절반은 함께 오는 소스에 있어요.</t>
  </si>
  <si>
    <t>N70</t>
  </si>
  <si>
    <t>오늘 김치는 한 접시만</t>
  </si>
  <si>
    <t>김치 한 접시면 하루 나트륨 권고의 3분의 1이에요.</t>
  </si>
  <si>
    <t>국민건강영양조사 · WHO</t>
  </si>
  <si>
    <t>N71</t>
  </si>
  <si>
    <t>저녁 먹고 바로 양치</t>
  </si>
  <si>
    <t>양치를 하면 다시 먹을 마음이 줄어요.</t>
  </si>
  <si>
    <t>행동치료 자극 조절 약함</t>
  </si>
  <si>
    <t>N72</t>
  </si>
  <si>
    <t>야식 생각나면 물 한 잔 먼저</t>
  </si>
  <si>
    <t>물 한 잔 뒤에도 배고프면 그때 정해요.</t>
  </si>
  <si>
    <t>대체 행동 약함</t>
  </si>
  <si>
    <t>N73</t>
  </si>
  <si>
    <t>저녁 시각 어제와 같게</t>
  </si>
  <si>
    <t>저녁 시각이 일정하면 야식 욕구도 일정해져요.</t>
  </si>
  <si>
    <t>N74</t>
  </si>
  <si>
    <t>회식 뒤 2차 음식은 건너뛰기</t>
  </si>
  <si>
    <t>회식 후 라면 · 국수가 하루 중 가장 늦은 열량이에요.</t>
  </si>
  <si>
    <t>비만학회 식사요법(야식 회피)</t>
  </si>
  <si>
    <t>N75</t>
  </si>
  <si>
    <t>잠들기 전 2시간은 물만</t>
  </si>
  <si>
    <t>취침 전 2시간 공복이 역류와 수면에 좋아요.</t>
  </si>
  <si>
    <t>ACG 위식도역류 지침(2~3시간)</t>
  </si>
  <si>
    <t>N76</t>
  </si>
  <si>
    <t>첫 숟갈 뒤 물 한 모금</t>
  </si>
  <si>
    <t>시작을 늦추면 식사 전체가 느려져요.</t>
  </si>
  <si>
    <t>N77</t>
  </si>
  <si>
    <t>한 숟갈 양을 절반으로</t>
  </si>
  <si>
    <t>숟갈이 작아지면 씹는 시간이 늘어요.</t>
  </si>
  <si>
    <t>N78</t>
  </si>
  <si>
    <t>식사 중간에 한 번 멈추기</t>
  </si>
  <si>
    <t>중간에 멈추면 배부른지 확인할 틈이 생겨요.</t>
  </si>
  <si>
    <t>비만학회 행동치료</t>
  </si>
  <si>
    <t>N79</t>
  </si>
  <si>
    <t>배달 음식은 접시에 옮겨 담기</t>
  </si>
  <si>
    <t>용기째 먹으면 얼마나 먹었는지 안 보여요.</t>
  </si>
  <si>
    <t>N80</t>
  </si>
  <si>
    <t>뷔페 · 회식에선 한 접시만</t>
  </si>
  <si>
    <t>한 접시로 정하면 양을 세지 않아도 돼요.</t>
  </si>
  <si>
    <t>회식 · 뷔페</t>
  </si>
  <si>
    <t>N81</t>
  </si>
  <si>
    <t>배부르면 남기기</t>
  </si>
  <si>
    <t>남기는 것이 과식보다 나아요.</t>
  </si>
  <si>
    <t>식생활지침 수칙 4 · 6(필요한 만큼만)</t>
  </si>
  <si>
    <t>N82</t>
  </si>
  <si>
    <t>간식으로 삶은 달걀 하나</t>
  </si>
  <si>
    <t>과자 대신 달걀은 배도 오래 차요.</t>
  </si>
  <si>
    <t>영양소 섭취기준</t>
  </si>
  <si>
    <t>N83</t>
  </si>
  <si>
    <t>편의점 끼니엔 달걀 · 두부 추가</t>
  </si>
  <si>
    <t>편의점 끼니는 탄수화물만 남기 쉬워요.</t>
  </si>
  <si>
    <t>N84</t>
  </si>
  <si>
    <t>닭가슴살 · 살코기 한 끼</t>
  </si>
  <si>
    <t>기름 적은 고기가 단백질을 채우는 가장 쉬운 길이에요.</t>
  </si>
  <si>
    <t>영양소 섭취기준 · 지질학회 5판</t>
  </si>
  <si>
    <t>N85</t>
  </si>
  <si>
    <t>콩 반찬 한 가지 챙기기</t>
  </si>
  <si>
    <t>콩은 고기 없이도 단백질을 채워요.</t>
  </si>
  <si>
    <t>식생활지침 수칙 1(콩류)</t>
  </si>
  <si>
    <t>N86</t>
  </si>
  <si>
    <t>매 끼니 단백질 손바닥 크기</t>
  </si>
  <si>
    <t>손바닥 크기가 한 끼 단백질 권고량의 눈대중이에요.</t>
  </si>
  <si>
    <t>영양소 섭취기준(성인 끼니 20g 안팎)</t>
  </si>
  <si>
    <t>N87</t>
  </si>
  <si>
    <t>저녁 단백질은 생선 · 두부로</t>
  </si>
  <si>
    <t>저녁엔 소화가 가벼운 단백질이 좋아요.</t>
  </si>
  <si>
    <t>지질학회 5판 · 식생활지침</t>
  </si>
  <si>
    <t>N88</t>
  </si>
  <si>
    <t>치킨은 껍질 빼고</t>
  </si>
  <si>
    <t>치킨 지방의 절반은 껍질에 있어요.</t>
  </si>
  <si>
    <t>N89</t>
  </si>
  <si>
    <t>볶음 대신 데친 반찬 한 가지</t>
  </si>
  <si>
    <t>데치면 기름이 거의 들어가지 않아요.</t>
  </si>
  <si>
    <t>식생활지침 수칙 2</t>
  </si>
  <si>
    <t>N90</t>
  </si>
  <si>
    <t>삼겹살 대신 수육</t>
  </si>
  <si>
    <t>삶으면 기름이 빠져 같은 고기라도 지방이 줄어요.</t>
  </si>
  <si>
    <t>N91</t>
  </si>
  <si>
    <t>패스트푸드 대신 한식 한 끼</t>
  </si>
  <si>
    <t>한식 백반이 햄버거 세트보다 포화지방이 적어요.</t>
  </si>
  <si>
    <t>N92</t>
  </si>
  <si>
    <t>배달 음식 없는 하루</t>
  </si>
  <si>
    <t>배달 메뉴 대부분이 튀김 · 볶음이에요.</t>
  </si>
  <si>
    <t>지질학회 5판 · 식생활지침 수칙 2</t>
  </si>
  <si>
    <t>N93</t>
  </si>
  <si>
    <t>저녁은 기름 없이 조리한 것만</t>
  </si>
  <si>
    <t>저녁 포화지방은 밤새 남아요.</t>
  </si>
  <si>
    <t>지질학회 5판 약함</t>
  </si>
  <si>
    <t>N94</t>
  </si>
  <si>
    <t>3차</t>
  </si>
  <si>
    <t>전날 밤에 아침거리 꺼내 두기</t>
  </si>
  <si>
    <t>아침에 고민할 일이 없으면 덜 거르게 돼요.</t>
  </si>
  <si>
    <t>N95</t>
  </si>
  <si>
    <t>점심 시각 알림 맞춰 두기</t>
  </si>
  <si>
    <t>바쁜 날엔 알림 하나가 끼니를 지켜 줘요.</t>
  </si>
  <si>
    <t>식생활지침 수칙 4 약함</t>
  </si>
  <si>
    <t>N96</t>
  </si>
  <si>
    <t>구내식당 점심 챙기기</t>
  </si>
  <si>
    <t>정해진 시각에 나오는 끼니가 리듬을 만들어요.</t>
  </si>
  <si>
    <t>급식</t>
  </si>
  <si>
    <t>N97</t>
  </si>
  <si>
    <t>출장 · 여행에도 아침 챙기기</t>
  </si>
  <si>
    <t>일정이 바뀌어도 첫 끼는 지킬 수 있어요.</t>
  </si>
  <si>
    <t>오전 진입 여행</t>
  </si>
  <si>
    <t>N98</t>
  </si>
  <si>
    <t>야근하는 날에도 저녁 제때</t>
  </si>
  <si>
    <t>늦춘 저녁은 야식 한 끼로 바뀌어요.</t>
  </si>
  <si>
    <t>저녁 야근</t>
  </si>
  <si>
    <t>N99</t>
  </si>
  <si>
    <t>연휴에도 끼니 시각 지키기</t>
  </si>
  <si>
    <t>연휴에 무너진 리듬은 되돌리는 데 더 걸려요.</t>
  </si>
  <si>
    <t>명절 · 연휴</t>
  </si>
  <si>
    <t>N100</t>
  </si>
  <si>
    <t>장 볼 때 채소 한 가지 담기</t>
  </si>
  <si>
    <t>집에 있어야 끼니에 올라와요.</t>
  </si>
  <si>
    <t>마트</t>
  </si>
  <si>
    <t>N101</t>
  </si>
  <si>
    <t>구내식당에선 나물 반찬 먼저</t>
  </si>
  <si>
    <t>이미 나온 반찬이라 고르기만 하면 돼요.</t>
  </si>
  <si>
    <t>N102</t>
  </si>
  <si>
    <t>아침에도 채소 한 가지</t>
  </si>
  <si>
    <t>아침은 채소가 가장 자주 빠지는 끼니예요.</t>
  </si>
  <si>
    <t>N103</t>
  </si>
  <si>
    <t>김밥 · 덮밥엔 채소 더 넣기</t>
  </si>
  <si>
    <t>한 그릇 음식은 채소를 따로 챙겨야 해요.</t>
  </si>
  <si>
    <t>편의점 · 배달</t>
  </si>
  <si>
    <t>N104</t>
  </si>
  <si>
    <t>명절 상에서도 나물 먼저</t>
  </si>
  <si>
    <t>명절 상엔 나물이 있으니 순서만 바꾸면 돼요.</t>
  </si>
  <si>
    <t>명절</t>
  </si>
  <si>
    <t>N105</t>
  </si>
  <si>
    <t>하루 채소 다섯 접시 채우기</t>
  </si>
  <si>
    <t>다섯 접시가 하루 400g에 해당해요.</t>
  </si>
  <si>
    <t>N106</t>
  </si>
  <si>
    <t>물병 채워 두고 시작하기</t>
  </si>
  <si>
    <t>손에 물이 있으면 단 음료를 덜 찾게 돼요.</t>
  </si>
  <si>
    <t>식생활지침 수칙 3(물)</t>
  </si>
  <si>
    <t>N107</t>
  </si>
  <si>
    <t>단 간식은 사 두지 않기</t>
  </si>
  <si>
    <t>집에 없으면 먹을 일도 없어요.</t>
  </si>
  <si>
    <t>N108</t>
  </si>
  <si>
    <t>카페에선 아메리카노나 차</t>
  </si>
  <si>
    <t>카페 음료 한 잔이 하루 당 권고량을 채우기도 해요.</t>
  </si>
  <si>
    <t>N109</t>
  </si>
  <si>
    <t>모임 음료는 물로 하기</t>
  </si>
  <si>
    <t>모임에선 마시는 횟수가 눈에 안 띄게 늘어요.</t>
  </si>
  <si>
    <t>명절 · 회식</t>
  </si>
  <si>
    <t>N110</t>
  </si>
  <si>
    <t>달달한 커피 오늘은 쉬기</t>
  </si>
  <si>
    <t>매일 마시던 한 잔을 하루 빼 보는 단계예요.</t>
  </si>
  <si>
    <t>N111</t>
  </si>
  <si>
    <t>후식 · 디저트 없이 하루</t>
  </si>
  <si>
    <t>끼니 뒤 습관으로 먹는 단것이 하루 당의 큰 몫이에요.</t>
  </si>
  <si>
    <t>WHO 당류 지침(5% ≈ 25g)</t>
  </si>
  <si>
    <t>N112</t>
  </si>
  <si>
    <t>식탁에 소금 · 간장 두지 않기</t>
  </si>
  <si>
    <t>손이 닿지 않으면 더 넣지 않게 돼요.</t>
  </si>
  <si>
    <t>N113</t>
  </si>
  <si>
    <t>국은 마지막에 간하기</t>
  </si>
  <si>
    <t>끓이며 간하면 짠맛이 겹쳐 쌓여요.</t>
  </si>
  <si>
    <t>WHO 나트륨 약함</t>
  </si>
  <si>
    <t>N114</t>
  </si>
  <si>
    <t>구내식당 국은 받지 않기</t>
  </si>
  <si>
    <t>받지 않는 쪽이 남기는 것보다 쉬워요.</t>
  </si>
  <si>
    <t>N115</t>
  </si>
  <si>
    <t>장 볼 때 나트륨 표시 보기</t>
  </si>
  <si>
    <t>같은 제품군에도 나트륨 차이가 두 배까지 나요.</t>
  </si>
  <si>
    <t>식약처 영양표시</t>
  </si>
  <si>
    <t>N116</t>
  </si>
  <si>
    <t>오늘은 라면 · 즉석식품 없이</t>
  </si>
  <si>
    <t>즉석식품 한 끼가 하루 나트륨의 절반이에요.</t>
  </si>
  <si>
    <t>식약처 나트륨 실측 · WHO</t>
  </si>
  <si>
    <t>N117</t>
  </si>
  <si>
    <t>명절 음식은 국물 없이</t>
  </si>
  <si>
    <t>명절엔 탕 · 국이 끼니마다 올라와요.</t>
  </si>
  <si>
    <t>N118</t>
  </si>
  <si>
    <t>야근 간식 대신 저녁 먼저</t>
  </si>
  <si>
    <t>저녁을 챙기면 밤에 군것질이 줄어요.</t>
  </si>
  <si>
    <t>N119</t>
  </si>
  <si>
    <t>저녁 먹고 부엌 정리하기</t>
  </si>
  <si>
    <t>정리해 두면 다시 꺼내 먹기 번거로워져요.</t>
  </si>
  <si>
    <t>N120</t>
  </si>
  <si>
    <t>주말에도 저녁 시각 지키기</t>
  </si>
  <si>
    <t>주말 저녁이 늦어지면 야식으로 이어져요.</t>
  </si>
  <si>
    <t>저녁 토 · 일</t>
  </si>
  <si>
    <t>N121</t>
  </si>
  <si>
    <t>회식은 1차까지만</t>
  </si>
  <si>
    <t>2차가 하루 중 가장 늦은 끼니가 돼요.</t>
  </si>
  <si>
    <t>N122</t>
  </si>
  <si>
    <t>저녁부터 아침까지 12시간 비우기</t>
  </si>
  <si>
    <t>밤 사이 공복 시간이 길수록 체중 관리에 유리했어요.</t>
  </si>
  <si>
    <t>섭식장애 당뇨 약물</t>
  </si>
  <si>
    <t>N123</t>
  </si>
  <si>
    <t>한 끼는 앉아서 먹기</t>
  </si>
  <si>
    <t>서서 먹으면 빨리 먹고 양도 놓쳐요.</t>
  </si>
  <si>
    <t>N124</t>
  </si>
  <si>
    <t>먹을 만큼만 덜어 담기</t>
  </si>
  <si>
    <t>덜어 담으면 얼마나 먹는지 처음부터 보여요.</t>
  </si>
  <si>
    <t>명절 · 뷔페</t>
  </si>
  <si>
    <t>N125</t>
  </si>
  <si>
    <t>배달은 1인분만 주문하기</t>
  </si>
  <si>
    <t>남은 양은 대개 그날 다 먹게 돼요.</t>
  </si>
  <si>
    <t>N126</t>
  </si>
  <si>
    <t>회식에선 앞접시 쓰기</t>
  </si>
  <si>
    <t>덜어 먹으면 함께 먹는 자리에서도 양이 보여요.</t>
  </si>
  <si>
    <t>N127</t>
  </si>
  <si>
    <t>명절 상에선 한 접시만</t>
  </si>
  <si>
    <t>N128</t>
  </si>
  <si>
    <t>저녁에 두부 한 가지</t>
  </si>
  <si>
    <t>데우기만 하면 되는 단백질 반찬이에요.</t>
  </si>
  <si>
    <t>N129</t>
  </si>
  <si>
    <t>무가당 요구르트 하나 챙기기</t>
  </si>
  <si>
    <t>반찬을 차리지 않아도 단백질을 더할 수 있어요.</t>
  </si>
  <si>
    <t>N130</t>
  </si>
  <si>
    <t>점심 단백질 반찬 확인하기</t>
  </si>
  <si>
    <t>한 그릇 점심엔 단백질이 빠져 있기도 해요.</t>
  </si>
  <si>
    <t>N131</t>
  </si>
  <si>
    <t>샐러드에 달걀이나 닭가슴살</t>
  </si>
  <si>
    <t>채소만 먹으면 금방 배가 꺼져요.</t>
  </si>
  <si>
    <t>N132</t>
  </si>
  <si>
    <t>아침 단백질까지 챙기기</t>
  </si>
  <si>
    <t>아침이 하루 중 단백질이 가장 적은 끼니예요.</t>
  </si>
  <si>
    <t>영양소 섭취기준(끼니 분산)</t>
  </si>
  <si>
    <t>N133</t>
  </si>
  <si>
    <t>과자 대신 견과류 사 두기</t>
  </si>
  <si>
    <t>집에 둔 간식이 그날 먹는 간식이에요.</t>
  </si>
  <si>
    <t>WHO 건강식 · 비만학회 행동치료</t>
  </si>
  <si>
    <t>만성 신장질환(전 단계)</t>
  </si>
  <si>
    <t>견과류는 칼륨 · 인이 높다. 확정 세트의 「간식은 견과류 한 줌으로」가 이미 신장 전 단계 금지인데, 같은 성격인 이 문구들에는 빠져 있거나 3기 이상으로만 적혀 있다.</t>
  </si>
  <si>
    <t>N134</t>
  </si>
  <si>
    <t>구내식당 튀김은 한 조각만</t>
  </si>
  <si>
    <t>덜 담는 것으로 충분해요. 빼지 않아도 돼요.</t>
  </si>
  <si>
    <t>N135</t>
  </si>
  <si>
    <t>고기 구울 땐 기름 두르지 않기</t>
  </si>
  <si>
    <t>고기에서 나온 기름으로 충분해요.</t>
  </si>
  <si>
    <t>N136</t>
  </si>
  <si>
    <t>명절 전 · 튀김은 한 접시만</t>
  </si>
  <si>
    <t>명절 상은 기름진 음식이 한꺼번에 올라와요.</t>
  </si>
  <si>
    <t>N137</t>
  </si>
  <si>
    <t>회식 안주는 구이 · 찜으로</t>
  </si>
  <si>
    <t>안주 조리법만 바꿔도 지방이 크게 줄어요.</t>
  </si>
  <si>
    <t>N138</t>
  </si>
  <si>
    <t>곡류 · 식이섬유</t>
  </si>
  <si>
    <t>흰밥에 잡곡 한 숟갈 섞기</t>
  </si>
  <si>
    <t>한 숟갈부터 섞으면 입에 붙어요.</t>
  </si>
  <si>
    <t>식생활지침 수칙 1(통곡물)</t>
  </si>
  <si>
    <t>N139</t>
  </si>
  <si>
    <t>흰빵 대신 통밀빵</t>
  </si>
  <si>
    <t>같은 빵이라도 식후 혈당이 덜 올라요.</t>
  </si>
  <si>
    <t>편의점 · 카페</t>
  </si>
  <si>
    <t>당뇨병학회 진료지침(식이섬유)</t>
  </si>
  <si>
    <t>N140</t>
  </si>
  <si>
    <t>한 끼는 잡곡밥으로</t>
  </si>
  <si>
    <t>끼니 하나만 바꿔도 하루 식이섬유가 늘어요.</t>
  </si>
  <si>
    <t>당뇨병학회 · 지질학회 5판</t>
  </si>
  <si>
    <t>N141</t>
  </si>
  <si>
    <t>장 볼 때 통곡물 한 가지</t>
  </si>
  <si>
    <t>사 두어야 끼니에 올릴 수 있어요.</t>
  </si>
  <si>
    <t>N142</t>
  </si>
  <si>
    <t>오늘 밥은 모두 잡곡으로</t>
  </si>
  <si>
    <t>하루 전부를 바꿔 보는 단계예요.</t>
  </si>
  <si>
    <t>신장 3기↑ 위장 수술 후</t>
  </si>
  <si>
    <t>N143</t>
  </si>
  <si>
    <t>죽이나 국밥으로 한 끼</t>
  </si>
  <si>
    <t>속이 편한 한 그릇이 다시 먹기 시작하기 좋아요.</t>
  </si>
  <si>
    <t>영양상담 표준 조언 약함</t>
  </si>
  <si>
    <t>N144</t>
  </si>
  <si>
    <t>먹을 수 있는 것부터 반 그릇</t>
  </si>
  <si>
    <t>못 먹은 날엔 양보다 시작이 먼저예요.</t>
  </si>
  <si>
    <t>식생활지침 수칙 1 약함</t>
  </si>
  <si>
    <t>N145</t>
  </si>
  <si>
    <t>저녁은 익힌 채소로 가볍게</t>
  </si>
  <si>
    <t>익힌 채소는 속에 부담이 적어요.</t>
  </si>
  <si>
    <t>N146</t>
  </si>
  <si>
    <t>늦은 저녁엔 국물 적게</t>
  </si>
  <si>
    <t>늦게 먹은 국물은 속쓰림과 부기로 남아요.</t>
  </si>
  <si>
    <t>ACG 위식도역류 지침 약함</t>
  </si>
  <si>
    <t>N147</t>
  </si>
  <si>
    <t>4차</t>
  </si>
  <si>
    <t>아침에 오트밀 한 그릇</t>
  </si>
  <si>
    <t>귀리는 섬유질이 많은 아침거리예요.</t>
  </si>
  <si>
    <t>당뇨병학회 식이섬유 · 전곡</t>
  </si>
  <si>
    <t>N148</t>
  </si>
  <si>
    <t>밥에 콩 한 숟갈 섞기</t>
  </si>
  <si>
    <t>콩을 섞으면 섬유질과 단백질이 같이 늘어요.</t>
  </si>
  <si>
    <t>N149</t>
  </si>
  <si>
    <t>간식은 고구마 한 개로</t>
  </si>
  <si>
    <t>간식은 고구마 반 개로</t>
  </si>
  <si>
    <t>고구마는 섬유질이 많아 오래 든든해요.</t>
  </si>
  <si>
    <t>고구마 한 개(약 200g)는 탄수화물 40g 안팎으로 간식 한 번 분량을 넘는다. 당뇨 · 혈당 경계 사용자에게 간식으로 권하기에 많다.</t>
  </si>
  <si>
    <t>N150</t>
  </si>
  <si>
    <t>시리얼은 통곡물로 고르기</t>
  </si>
  <si>
    <t>시리얼은 당 적은 것으로</t>
  </si>
  <si>
    <t>겉면의 통곡물 표시를 확인해요.</t>
  </si>
  <si>
    <t>지질동맥경화학회 5판(통곡)</t>
  </si>
  <si>
    <t>시판 통곡물 시리얼도 첨가당이 많다. 「통곡물」만 보게 하면 당을 놓친다.</t>
  </si>
  <si>
    <t>N151</t>
  </si>
  <si>
    <t>국수는 메밀 · 통밀면으로</t>
  </si>
  <si>
    <t>같은 면이라도 거친 곡물이 천천히 소화돼요.</t>
  </si>
  <si>
    <t>N152</t>
  </si>
  <si>
    <t>잡곡밥 하루 두 끼로</t>
  </si>
  <si>
    <t>한 끼에서 두 끼로 늘리는 단계예요.</t>
  </si>
  <si>
    <t>N153</t>
  </si>
  <si>
    <t>반찬에 버섯 한 가지</t>
  </si>
  <si>
    <t>버섯은 열량 부담 없이 섬유질을 더해요.</t>
  </si>
  <si>
    <t>N154</t>
  </si>
  <si>
    <t>해조류 반찬 한 가지</t>
  </si>
  <si>
    <t>미역 · 김은 섬유질이 많은 반찬이에요.</t>
  </si>
  <si>
    <t>미역 · 김은 요오드가 매우 높다. 갑상선기능항진증 · 자가면역 갑상선질환에서 문제가 되는데, 갑상선(E03)은 진단 층에서 「가져오지 않음」이라 제한을 걸 수단이 없다. 제한 불가능한 위험은 문구를 빼는 것이 맞다.</t>
  </si>
  <si>
    <t>N155</t>
  </si>
  <si>
    <t>과일은 껍질째 먹기</t>
  </si>
  <si>
    <t>껍질 쪽에 섬유질이 몰려 있어요.</t>
  </si>
  <si>
    <t>WHO 채소·과일 400g</t>
  </si>
  <si>
    <t>N156</t>
  </si>
  <si>
    <t>샐러드에 콩 한 줌 더</t>
  </si>
  <si>
    <t>콩을 더하면 포만감이 오래 가요.</t>
  </si>
  <si>
    <t>지질동맥경화학회 5판(콩류)</t>
  </si>
  <si>
    <t>N157</t>
  </si>
  <si>
    <t>밥 · 빵 · 면 모두 통곡으로</t>
  </si>
  <si>
    <t>하루 곡류를 통째로 바꿔 보는 단계예요.</t>
  </si>
  <si>
    <t>위 절제 · 비만수술</t>
  </si>
  <si>
    <t>섬유질을 한 번에 크게 늘리는 행동이다. 위 절제 · 비만수술 후에는 소화 부담과 덤핑을 유발할 수 있다. N142에는 이미 표시돼 있다.</t>
  </si>
  <si>
    <t>N158</t>
  </si>
  <si>
    <t>매 끼니 섬유질 반찬 하나</t>
  </si>
  <si>
    <t>끼니마다 있으면 하루 권고량에 가까워져요.</t>
  </si>
  <si>
    <t>N159</t>
  </si>
  <si>
    <t>흰쌀 없이 하루 보내기</t>
  </si>
  <si>
    <t>잡곡 · 현미로만 채우는 단계예요.</t>
  </si>
  <si>
    <t>N142(오늘 밥은 모두 잡곡으로) · N157(밥·빵·면 모두 통곡으로)과 같은 행동이다. 같은 칸에 셋을 두면 회전 의미가 없다.</t>
  </si>
  <si>
    <t>N160</t>
  </si>
  <si>
    <t>간식은 과일 · 견과로만</t>
  </si>
  <si>
    <t>가공 간식을 통째로 바꾸는 단계예요.</t>
  </si>
  <si>
    <t>WHO 건강식</t>
  </si>
  <si>
    <t>N161</t>
  </si>
  <si>
    <t>콩류 반찬 하루 두 번</t>
  </si>
  <si>
    <t>콩은 섬유질과 단백질을 같이 채워요.</t>
  </si>
  <si>
    <t>N162</t>
  </si>
  <si>
    <t>아침은 통곡물로 고정하기</t>
  </si>
  <si>
    <t>하루 첫 끼를 정해 두면 흔들리지 않아요.</t>
  </si>
  <si>
    <t>N163</t>
  </si>
  <si>
    <t>저녁 시각 30분 당기기</t>
  </si>
  <si>
    <t>조금씩 당기면 무리 없이 바뀌어요.</t>
  </si>
  <si>
    <t>관찰 연구</t>
  </si>
  <si>
    <t>N164</t>
  </si>
  <si>
    <t>약속 있는 날에도 저녁 제때</t>
  </si>
  <si>
    <t>약속이 있는 날이 가장 어려운 날이에요.</t>
  </si>
  <si>
    <t>N165</t>
  </si>
  <si>
    <t>저녁 뒤엔 마시는 것도 물로</t>
  </si>
  <si>
    <t>늦은 시간엔 음료도 열량이 돼요.</t>
  </si>
  <si>
    <t>N75와 중복. 4차에서 내가 추가했으나 기존 문구가 근거(ACG 지침)가 더 분명하다.</t>
  </si>
  <si>
    <t>N166</t>
  </si>
  <si>
    <t>간식도 단백질로 챙기기</t>
  </si>
  <si>
    <t>견과 · 요구르트 · 달걀이면 충분해요.</t>
  </si>
  <si>
    <t>N167</t>
  </si>
  <si>
    <t>붉은 고기 없는 하루</t>
  </si>
  <si>
    <t>생선 · 콩 · 달걀로도 채워져요.</t>
  </si>
  <si>
    <t>지질동맥경화학회 5판</t>
  </si>
  <si>
    <t>신장 3기↑ 철결핍 빈혈</t>
  </si>
  <si>
    <t>N168</t>
  </si>
  <si>
    <t>오늘 조리는 굽거나 찌기로</t>
  </si>
  <si>
    <t>조리법만 바꿔도 기름이 크게 줄어요.</t>
  </si>
  <si>
    <t>N169</t>
  </si>
  <si>
    <t>한 끼를 30분에 걸쳐 먹기</t>
  </si>
  <si>
    <t>20분에서 한 단계 더 늘려 보는 단계예요.</t>
  </si>
  <si>
    <t>기본 칸의 「한 끼는 20분 이상 천천히」와 차이가 10분뿐이다. 도전 단계로서 난이도 차이가 있는지 임상 판단이 필요하다.</t>
  </si>
  <si>
    <t>N170</t>
  </si>
  <si>
    <t>혼자 먹어도 상 차려 먹기</t>
  </si>
  <si>
    <t>대충 때우는 끼니가 줄어요.</t>
  </si>
  <si>
    <t>N171</t>
  </si>
  <si>
    <t>혼밥에도 그릇에 덜어 먹기</t>
  </si>
  <si>
    <t>봉지째 먹으면 양을 놓쳐요.</t>
  </si>
  <si>
    <t>N172</t>
  </si>
  <si>
    <t>혼밥에도 채소 한 가지</t>
  </si>
  <si>
    <t>혼자 먹는 끼니에서 채소가 먼저 빠져요.</t>
  </si>
  <si>
    <t>N173</t>
  </si>
  <si>
    <t>혼밥에도 단백질 한 가지</t>
  </si>
  <si>
    <t>간단히 먹을수록 단백질이 빠지기 쉬워요.</t>
  </si>
  <si>
    <t>N174</t>
  </si>
  <si>
    <t>도시락에 채소 한 칸</t>
  </si>
  <si>
    <t>미리 담아 두면 그날 채소가 확보돼요.</t>
  </si>
  <si>
    <t>N175</t>
  </si>
  <si>
    <t>도시락에 달걀 하나</t>
  </si>
  <si>
    <t>가장 손쉬운 단백질 한 가지예요.</t>
  </si>
  <si>
    <t>N176</t>
  </si>
  <si>
    <t>도시락 국물은 빼기</t>
  </si>
  <si>
    <t>국물을 빼면 짠맛이 가장 많이 줄어요.</t>
  </si>
  <si>
    <t>N177</t>
  </si>
  <si>
    <t>도시락 반찬은 구이로</t>
  </si>
  <si>
    <t>튀김은 식으면 기름이 더 느껴져요.</t>
  </si>
  <si>
    <t>N178</t>
  </si>
  <si>
    <t>가족 반찬에 채소 하나 더</t>
  </si>
  <si>
    <t>함께 먹는 반찬이 늘면 나도 늘어요.</t>
  </si>
  <si>
    <t>N179</t>
  </si>
  <si>
    <t>국은 각자 그릇에 덜기</t>
  </si>
  <si>
    <t>큰 냄비째 두면 더 먹게 돼요.</t>
  </si>
  <si>
    <t>N180</t>
  </si>
  <si>
    <t>같이 먹을 땐 속도 맞추기</t>
  </si>
  <si>
    <t>빨리 먹는 사람을 따라가지 않게 돼요.</t>
  </si>
  <si>
    <t>N181</t>
  </si>
  <si>
    <t>냉면 국물은 반만</t>
  </si>
  <si>
    <t>여름 면 요리 나트륨도 국물에 있어요.</t>
  </si>
  <si>
    <t>N182</t>
  </si>
  <si>
    <t>아이스크림 대신 얼린 과일</t>
  </si>
  <si>
    <t>시원한 느낌은 그대로 당만 줄어요.</t>
  </si>
  <si>
    <t>N183</t>
  </si>
  <si>
    <t>국물 위 기름은 걷어내기</t>
  </si>
  <si>
    <t>떠 있는 기름만 걷어도 달라져요.</t>
  </si>
  <si>
    <t>N184</t>
  </si>
  <si>
    <t>더운 날 음료는 물부터</t>
  </si>
  <si>
    <t>갈증부터 채우면 단 음료가 덜 당겨요.</t>
  </si>
  <si>
    <t>N185</t>
  </si>
  <si>
    <t>식후 커피는 무가당으로</t>
  </si>
  <si>
    <t>식후 한 잔이 매일이면 쌓여요.</t>
  </si>
  <si>
    <t>N186</t>
  </si>
  <si>
    <t>목마르면 물 한 잔 먼저</t>
  </si>
  <si>
    <t>갈증을 허기로 착각하기 쉬워요.</t>
  </si>
  <si>
    <t>N187</t>
  </si>
  <si>
    <t>식사 뒤 바로 치우기</t>
  </si>
  <si>
    <t>남은 음식을 계속 집는 걸 막아요.</t>
  </si>
  <si>
    <t>N188</t>
  </si>
  <si>
    <t>조금씩 자주 나눠 먹기</t>
  </si>
  <si>
    <t>한 번에 못 먹으면 횟수를 늘려요.</t>
  </si>
  <si>
    <t>영양상담 표준 조언</t>
  </si>
  <si>
    <t>N189</t>
  </si>
  <si>
    <t>물이나 국물로 수분 먼저</t>
  </si>
  <si>
    <t>미지근한 물부터 한 잔</t>
  </si>
  <si>
    <t>못 먹은 날엔 수분부터 채워요.</t>
  </si>
  <si>
    <t>국물은 나트륨 급원이다. 회복 풀이라도 고혈압 · 신장 · 심부전에 역방향이다. 4차에서 내가 만든 문구의 오류.</t>
  </si>
  <si>
    <t>N190</t>
  </si>
  <si>
    <t>저녁은 익숙한 음식으로</t>
  </si>
  <si>
    <t>피곤한 날엔 새로운 음식이 부담돼요.</t>
  </si>
  <si>
    <t>N191</t>
  </si>
  <si>
    <t>저녁은 한 그릇 음식으로</t>
  </si>
  <si>
    <t>저녁은 차리기 쉬운 것으로</t>
  </si>
  <si>
    <t>차리는 수고를 줄이는 것도 방법이에요.</t>
  </si>
  <si>
    <t>고혈압 · 신장질환</t>
  </si>
  <si>
    <t>「한 그릇 음식」은 국밥 · 덮밥 · 라면을 떠올리게 해 나트륨이 높다. 피곤한 날 부담을 줄인다는 취지는 조리 수고로 표현하는 편이 안전하다.</t>
  </si>
  <si>
    <t>질환 유형</t>
  </si>
  <si>
    <t>상병코드</t>
  </si>
  <si>
    <t>추가할 금지 문구</t>
  </si>
  <si>
    <t>임상 근거</t>
  </si>
  <si>
    <t>기존 문서 반영 위치</t>
  </si>
  <si>
    <t>I50 · Z49 · Z99.2 · Z94.0</t>
  </si>
  <si>
    <t>N44 따뜻한 물 한 잔으로 시작 · N72 야식 생각나면 물 한 잔 먼저 · N106 물병 채워 두고 시작하기 · N186 목마르면 물 한 잔 먼저 · N189 미지근한 물부터 한 잔</t>
  </si>
  <si>
    <t>수분 섭취를 늘리는 행동. 심부전은 울혈 악화, 투석 환자는 체중 증가와 폐부종 위험. 심부전의 수분 제한은 개인차가 있으나 「더 마시라」는 방향은 어느 쪽에도 맞지 않는다.</t>
  </si>
  <si>
    <t>상병코드 추천 ② 2-5 심혈관질환 금지 열 · ③ 투석 행</t>
  </si>
  <si>
    <t>당뇨병(확진 전원)</t>
  </si>
  <si>
    <t>E10~E14</t>
  </si>
  <si>
    <t>N27 저녁 뒤엔 먹지 않고 마무리 · N75 잠들기 전 2시간은 물만 · N48 아침 대신 바나나 하나 · N149 간식은 고구마 반 개로</t>
  </si>
  <si>
    <t>야간 공복 연장은 인슐린 · 설포닐우레아 사용자에게 야간 저혈당 위험. 처방 정보가 연동되지 않아 약물 종류를 알 수 없으므로 기존 당뇨 금지와 같은 원칙으로 확진 전원에 적용. 바나나 · 고구마는 혈당지수와 탄수화물량이 간식 한 번 분량을 넘는다.</t>
  </si>
  <si>
    <t>상병코드 추천 ② 2-1 당뇨병 금지 열</t>
  </si>
  <si>
    <t>N18 · N19</t>
  </si>
  <si>
    <t>N133 과자 대신 견과류 사 두기 · N160 간식은 과일 · 견과로만 · N166 간식도 단백질로 챙기기 · 확정 「과일은 한 줌만」</t>
  </si>
  <si>
    <t>견과류와 과일은 칼륨 · 인이 높다. 확정 세트의 「간식은 견과류 한 줌으로」 「채소 · 과일 한 접시 더」가 이미 같은 이유로 금지인데 동일 성격 문구에 빠져 있다.</t>
  </si>
  <si>
    <t>상병코드 추천 ② 2-4 만성 신장질환 금지 열</t>
  </si>
  <si>
    <t>Z90.3 · Z98.0 · K91.1</t>
  </si>
  <si>
    <t>N157 밥 · 빵 · 면 모두 통곡으로 · N162 아침은 통곡물로 고정하기</t>
  </si>
  <si>
    <t>섬유질을 한 번에 크게 늘리면 소화 부담과 덤핑을 유발할 수 있다. N142에는 이미 표시돼 있어 일관성이 필요하다.</t>
  </si>
  <si>
    <t>상병코드 추천 ③ 위 절제 · 비만수술 행</t>
  </si>
  <si>
    <t>고혈압 · 만성 신장질환</t>
  </si>
  <si>
    <t>I10~I15 · N18 · N19</t>
  </si>
  <si>
    <t>N191 저녁은 차리기 쉬운 것으로(원안: 한 그릇 음식으로)</t>
  </si>
  <si>
    <t>「한 그릇 음식」은 국밥 · 덮밥 · 라면을 떠올리게 해 나트륨이 높다. 문구를 조리 수고로 바꾸면 제한 없이 쓸 수 있으나, 원안을 유지한다면 제한이 필요하다.</t>
  </si>
  <si>
    <t>상병코드 추천 ② 2-2 고혈압 · 2-4 신장질환</t>
  </si>
  <si>
    <t>갑상선질환 (신규 검토)</t>
  </si>
  <si>
    <t>E05 · E06 · E03</t>
  </si>
  <si>
    <t>N154 해조류 반찬 한 가지 → 삭제 권고</t>
  </si>
  <si>
    <t>미역 · 김은 요오드 함량이 매우 높다. 갑상선기능항진증과 자가면역 갑상선질환에서 문제가 된다. 갑상선은 현재 「가져오지 않음」이라 제한을 걸 수단이 없으므로, 금지 전용 유형으로 추가하든지 문구를 빼든지 택해야 한다. 문구 하나 때문에 질환 유형을 늘리는 것보다 빼는 쪽을 권한다.</t>
  </si>
  <si>
    <t>상병코드 추천 ⑤ 가져오지 않는 것 · ⑨ 검토 포인트 신규</t>
  </si>
  <si>
    <t>R13 · I69 · G30 · F00~F03</t>
  </si>
  <si>
    <t>N30 한 입에 스무 번 씹기 · N31 밥은 젓가락으로 먹기 (확인 필요)</t>
  </si>
  <si>
    <t>해롭지는 않으나 수행이 불가능한 집단이 있다. 진단 층이 아니라 서비스 대상 정책에서 다룰 문제라는 기존 판단과 같은 성격이다.</t>
  </si>
  <si>
    <t>상병코드 추천 ⑨-5 인지 · 연하 장애 대상 정책</t>
  </si>
  <si>
    <t>#</t>
  </si>
  <si>
    <t>항목</t>
  </si>
  <si>
    <t>쟁점</t>
  </si>
  <si>
    <t>결정 주체</t>
  </si>
  <si>
    <t>과일 문구의 범위</t>
  </si>
  <si>
    <t>과당 섭취가 해롭다는 지적에 따라 과일 문구를 줄일지</t>
  </si>
  <si>
    <t>구분해서 본다. WHO 당류 지침은 유리당(첨가당 · 주스)을 제한하며 통과일은 명시적으로 제외한다. 과당의 해로움 근거는 첨가 과당 · 액상과당 · 가당 음료에 대한 것이고, 통과일 섭취는 코호트에서 일관되게 심혈관 · 당뇨 위험 감소와 연관된다. 다만 「대체」가 아니라 「추가」로 권하는 문구는 당뇨 · 비만 사용자에게 열량과 당이 순증하므로 뺄 근거가 있다. 대체형(주스→생과일, 케이크→과일, 아이스크림→얼린 과일)은 유지, 추가형(N2 아침에 과일 한 조각, N45 빈 끼를 과일로)은 삭제 · 수정했다.</t>
  </si>
  <si>
    <t>기획 · 의학팀</t>
  </si>
  <si>
    <t>N26 야식 대신 일찍 잠자리로</t>
  </si>
  <si>
    <t>식이 축 문구인데 실제 행동은 취침이다</t>
  </si>
  <si>
    <t>수면 목표가 같은 행동을 낼 경우 두 타일에 같은 말이 나간다. 수면 축 설계 후 어디에 둘지 정한다. 그때까지 보류.</t>
  </si>
  <si>
    <t>기획</t>
  </si>
  <si>
    <t>N169 한 끼를 30분에 걸쳐 먹기</t>
  </si>
  <si>
    <t>기본 칸의 「20분 이상」과 10분 차이뿐</t>
  </si>
  <si>
    <t>단계 구분이 되는지 임상 판단 필요. 되지 않는다면 도전 칸은 다른 행동(예: 식사 중 두 번 멈추기)으로 채우는 편이 낫다.</t>
  </si>
  <si>
    <t>의학팀</t>
  </si>
  <si>
    <t>N167 붉은 고기 없는 하루</t>
  </si>
  <si>
    <t>지질 이득과 철결핍 빈혈 위험이 충돌</t>
  </si>
  <si>
    <t>지질동맥경화학회는 적색육 · 가공육 제한을 권고하고, 철결핍 빈혈에서는 헴철 급원이 줄어 불리하다. 제한 열에 둘 다 표시했으나 우선순위는 임상 판단이다.</t>
  </si>
  <si>
    <t>「물만」 계열 세 문구</t>
  </si>
  <si>
    <t>N24 · N75 · N165가 사실상 같은 행동</t>
  </si>
  <si>
    <t>취침 기준이고 근거(ACG 지침)가 분명한 N75만 남기고 둘을 삭제했다. N24의 「밤 9시」는 취침 시각이 제각각인 사용자에게 임의값이다.</t>
  </si>
  <si>
    <t>통곡 전면 전환 세 문구</t>
  </si>
  <si>
    <t>N142 · N157 · N159가 같은 행동</t>
  </si>
  <si>
    <t>N159를 삭제했다. 같은 칸에 셋을 두면 회전의 의미가 없다.</t>
  </si>
  <si>
    <t>근거 강도 「약함」 문구의 비중</t>
  </si>
  <si>
    <t>지침 수준 권고가 없는 문구가 세트에 섞여 있다</t>
  </si>
  <si>
    <t>「약함」 표시 자체는 유지하되, 같은 칸에 약함 문구만 남는 상황을 막아야 한다. 문구 선정에서 약함은 후순위로 두는 규칙을 검토한다.</t>
  </si>
  <si>
    <t>검수자 자격</t>
  </si>
  <si>
    <t>이 검수는 실제 의학팀 승인을 대체하지 않는다</t>
  </si>
  <si>
    <t>가정의학 임상 관점에서 지침 대조와 안전 검토를 수행한 결과이며, 문구 단위 최종 승인은 의학팀이 해야 한다. 특히 신규 금지 규칙 7건과 쟁점 4건은 의학팀 확인 전 반영하지 않는 것이 맞다.</t>
  </si>
  <si>
    <t>maiReport 식이 문구 세트 · 의학 검수 결과</t>
  </si>
  <si>
    <t>확장 초안 191개를 가정의학 임상 관점에서 검수했다. 실제 의학팀 최종 승인을 대체하지 않는다 — 쟁점 8번 참조.</t>
  </si>
  <si>
    <t>뜻</t>
  </si>
  <si>
    <t>건수</t>
  </si>
  <si>
    <t>처리</t>
  </si>
  <si>
    <t>그대로 쓸 수 있다</t>
  </si>
  <si>
    <t>문구 세트에 편입</t>
  </si>
  <si>
    <t>금지 · 제한을 추가하면 쓸 수 있다</t>
  </si>
  <si>
    <t>신규금지규칙 시트 반영 후 편입</t>
  </si>
  <si>
    <t>문구나 이유 문장을 고쳐야 한다</t>
  </si>
  <si>
    <t>검수 후 문구 열 적용</t>
  </si>
  <si>
    <t>해롭지는 않으나 수행 불가 집단이 있다</t>
  </si>
  <si>
    <t>서비스 대상 정책에서 판단</t>
  </si>
  <si>
    <t>축 적합성 · 단계 구분에 의문</t>
  </si>
  <si>
    <t>설계 확정 후 재검토</t>
  </si>
  <si>
    <t>제한 불가 위험 또는 중복</t>
  </si>
  <si>
    <t>세트에서 뺀다</t>
  </si>
  <si>
    <t>합계</t>
  </si>
  <si>
    <t>가장 중요한 것</t>
  </si>
  <si>
    <t>· 수분을 늘리는 문구 5개에 심부전 · 투석 금지가 없다. 상병코드 추천이 「그런 문구가 생기면 제외하라」고 미리 적어 둔 항목이 확장으로 실제 생겼다.</t>
  </si>
  <si>
    <t>· 야간 공복을 늘리는 문구에 당뇨 금지가 빠져 있다. 처방 정보가 없어 저혈당 위험군을 가릴 수 없으므로 확진 전원에 적용해야 한다.</t>
  </si>
  <si>
    <t>· 해조류 문구는 요오드 때문에 갑상선질환에 문제가 되는데, 갑상선은 진단 층에서 가져오지 않아 제한을 걸 수단이 없다. 그래서 삭제를 권한다.</t>
  </si>
  <si>
    <t>· 견과류 · 과일의 신장 제한이 확정 세트와 확장 세트에서 서로 다르게 적용돼 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</si>
</sst>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Malgun Gothic"/>
      <family val="3"/>
      <charset val="129"/>
    </font>
    <font>
      <sz val="11"/>
      <color rgb="FF808080"/>
      <name val="Malgun Gothic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3764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Fill="1" applyBorder="1" applyAlignment="1">
      <alignment vertical="top"/>
    </xf>
    <xf numFmtId="0" fontId="4" fillId="2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top" wrapText="1"/>
    </xf>
    <xf numFmtId="0" fontId="5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3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</cellXfs>
  <cellStyles count="1">
    <cellStyle name="표준" xfId="0" builtinId="0"/>
  </cellStyles>
  <dxfs count="6"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E4E1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D0D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7341E-3ECD-41D3-B650-670B60F066B4}">
  <dimension ref="A1:D17"/>
  <sheetViews>
    <sheetView tabSelected="1" workbookViewId="0"/>
  </sheetViews>
  <sheetFormatPr defaultRowHeight="17"/>
  <cols>
    <col min="1" max="1" width="14.58203125" customWidth="1"/>
    <col min="2" max="2" width="40.58203125" customWidth="1"/>
    <col min="3" max="3" width="9.58203125" customWidth="1"/>
    <col min="4" max="4" width="36.58203125" customWidth="1"/>
  </cols>
  <sheetData>
    <row r="1" spans="1:4" ht="21">
      <c r="A1" s="8" t="s">
        <v>827</v>
      </c>
    </row>
    <row r="2" spans="1:4">
      <c r="A2" s="9" t="s">
        <v>828</v>
      </c>
    </row>
    <row r="4" spans="1:4">
      <c r="A4" s="2" t="s">
        <v>11</v>
      </c>
      <c r="B4" s="2" t="s">
        <v>829</v>
      </c>
      <c r="C4" s="2" t="s">
        <v>830</v>
      </c>
      <c r="D4" s="2" t="s">
        <v>831</v>
      </c>
    </row>
    <row r="5" spans="1:4" ht="32">
      <c r="A5" s="5" t="s">
        <v>23</v>
      </c>
      <c r="B5" s="5" t="s">
        <v>832</v>
      </c>
      <c r="C5" s="5">
        <f>COUNTIF(검수결과!L:L,"승인")</f>
        <v>164</v>
      </c>
      <c r="D5" s="5" t="s">
        <v>833</v>
      </c>
    </row>
    <row r="6" spans="1:4" ht="64">
      <c r="A6" s="5" t="s">
        <v>143</v>
      </c>
      <c r="B6" s="5" t="s">
        <v>834</v>
      </c>
      <c r="C6" s="5">
        <f>COUNTIF(검수결과!L:L,"조건부")</f>
        <v>12</v>
      </c>
      <c r="D6" s="5" t="s">
        <v>835</v>
      </c>
    </row>
    <row r="7" spans="1:4" ht="64">
      <c r="A7" s="5" t="s">
        <v>216</v>
      </c>
      <c r="B7" s="5" t="s">
        <v>836</v>
      </c>
      <c r="C7" s="5">
        <f>COUNTIF(검수결과!L:L,"수정")</f>
        <v>6</v>
      </c>
      <c r="D7" s="5" t="s">
        <v>837</v>
      </c>
    </row>
    <row r="8" spans="1:4" ht="64">
      <c r="A8" s="5" t="s">
        <v>158</v>
      </c>
      <c r="B8" s="5" t="s">
        <v>838</v>
      </c>
      <c r="C8" s="5">
        <f>COUNTIF(검수결과!L:L,"확인 필요")</f>
        <v>2</v>
      </c>
      <c r="D8" s="5" t="s">
        <v>839</v>
      </c>
    </row>
    <row r="9" spans="1:4" ht="48">
      <c r="A9" s="5" t="s">
        <v>137</v>
      </c>
      <c r="B9" s="5" t="s">
        <v>840</v>
      </c>
      <c r="C9" s="5">
        <f>COUNTIF(검수결과!L:L,"보류")</f>
        <v>2</v>
      </c>
      <c r="D9" s="5" t="s">
        <v>841</v>
      </c>
    </row>
    <row r="10" spans="1:4" ht="48">
      <c r="A10" s="5" t="s">
        <v>27</v>
      </c>
      <c r="B10" s="5" t="s">
        <v>842</v>
      </c>
      <c r="C10" s="5">
        <f>COUNTIF(검수결과!L:L,"삭제")</f>
        <v>5</v>
      </c>
      <c r="D10" s="5" t="s">
        <v>843</v>
      </c>
    </row>
    <row r="11" spans="1:4">
      <c r="A11" s="6" t="s">
        <v>844</v>
      </c>
      <c r="B11" s="5"/>
      <c r="C11" s="6">
        <f>SUM(C5:C10)</f>
        <v>191</v>
      </c>
      <c r="D11" s="5"/>
    </row>
    <row r="13" spans="1:4">
      <c r="A13" s="4" t="s">
        <v>845</v>
      </c>
    </row>
    <row r="14" spans="1:4">
      <c r="A14" s="7" t="s">
        <v>846</v>
      </c>
    </row>
    <row r="15" spans="1:4">
      <c r="A15" s="7" t="s">
        <v>847</v>
      </c>
    </row>
    <row r="16" spans="1:4">
      <c r="A16" s="7" t="s">
        <v>848</v>
      </c>
    </row>
    <row r="17" spans="1:1">
      <c r="A17" s="7" t="s">
        <v>849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781C-07E7-4393-BF75-138E1A6EB613}">
  <dimension ref="A1:N192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2" width="7.58203125" customWidth="1"/>
    <col min="3" max="3" width="14.58203125" customWidth="1"/>
    <col min="4" max="4" width="7.58203125" customWidth="1"/>
    <col min="5" max="6" width="28.58203125" customWidth="1"/>
    <col min="7" max="7" width="4.58203125" customWidth="1"/>
    <col min="8" max="8" width="40.58203125" customWidth="1"/>
    <col min="9" max="9" width="10.58203125" customWidth="1"/>
    <col min="10" max="10" width="32.58203125" customWidth="1"/>
    <col min="11" max="11" width="18.58203125" customWidth="1"/>
    <col min="12" max="12" width="10.58203125" customWidth="1"/>
    <col min="13" max="13" width="20.58203125" customWidth="1"/>
    <col min="14" max="14" width="62.5820312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3" t="s">
        <v>18</v>
      </c>
      <c r="F2" s="3" t="s">
        <v>18</v>
      </c>
      <c r="G2" s="1">
        <v>14</v>
      </c>
      <c r="H2" s="3" t="s">
        <v>19</v>
      </c>
      <c r="I2" s="1" t="s">
        <v>20</v>
      </c>
      <c r="J2" s="3" t="s">
        <v>21</v>
      </c>
      <c r="K2" s="3" t="s">
        <v>22</v>
      </c>
      <c r="L2" s="1" t="s">
        <v>23</v>
      </c>
      <c r="M2" s="3"/>
      <c r="N2" s="3"/>
    </row>
    <row r="3" spans="1:14" ht="64">
      <c r="A3" s="1" t="s">
        <v>24</v>
      </c>
      <c r="B3" s="1" t="s">
        <v>15</v>
      </c>
      <c r="C3" s="1" t="s">
        <v>16</v>
      </c>
      <c r="D3" s="1" t="s">
        <v>17</v>
      </c>
      <c r="E3" s="3" t="s">
        <v>25</v>
      </c>
      <c r="F3" s="3" t="s">
        <v>25</v>
      </c>
      <c r="G3" s="1">
        <v>11</v>
      </c>
      <c r="H3" s="3" t="s">
        <v>26</v>
      </c>
      <c r="I3" s="1" t="s">
        <v>20</v>
      </c>
      <c r="J3" s="3" t="s">
        <v>21</v>
      </c>
      <c r="K3" s="3" t="s">
        <v>22</v>
      </c>
      <c r="L3" s="1" t="s">
        <v>27</v>
      </c>
      <c r="M3" s="3"/>
      <c r="N3" s="3" t="s">
        <v>28</v>
      </c>
    </row>
    <row r="4" spans="1:14">
      <c r="A4" s="1" t="s">
        <v>29</v>
      </c>
      <c r="B4" s="1" t="s">
        <v>15</v>
      </c>
      <c r="C4" s="1" t="s">
        <v>16</v>
      </c>
      <c r="D4" s="1" t="s">
        <v>30</v>
      </c>
      <c r="E4" s="3" t="s">
        <v>31</v>
      </c>
      <c r="F4" s="3" t="s">
        <v>31</v>
      </c>
      <c r="G4" s="1">
        <v>13</v>
      </c>
      <c r="H4" s="3" t="s">
        <v>32</v>
      </c>
      <c r="I4" s="1" t="s">
        <v>22</v>
      </c>
      <c r="J4" s="3" t="s">
        <v>33</v>
      </c>
      <c r="K4" s="3" t="s">
        <v>22</v>
      </c>
      <c r="L4" s="1" t="s">
        <v>23</v>
      </c>
      <c r="M4" s="3"/>
      <c r="N4" s="3"/>
    </row>
    <row r="5" spans="1:14">
      <c r="A5" s="1" t="s">
        <v>34</v>
      </c>
      <c r="B5" s="1" t="s">
        <v>15</v>
      </c>
      <c r="C5" s="1" t="s">
        <v>16</v>
      </c>
      <c r="D5" s="1" t="s">
        <v>35</v>
      </c>
      <c r="E5" s="3" t="s">
        <v>36</v>
      </c>
      <c r="F5" s="3" t="s">
        <v>36</v>
      </c>
      <c r="G5" s="1">
        <v>13</v>
      </c>
      <c r="H5" s="3" t="s">
        <v>37</v>
      </c>
      <c r="I5" s="1" t="s">
        <v>22</v>
      </c>
      <c r="J5" s="3" t="s">
        <v>38</v>
      </c>
      <c r="K5" s="3" t="s">
        <v>22</v>
      </c>
      <c r="L5" s="1" t="s">
        <v>23</v>
      </c>
      <c r="M5" s="3"/>
      <c r="N5" s="3"/>
    </row>
    <row r="6" spans="1:14">
      <c r="A6" s="1" t="s">
        <v>39</v>
      </c>
      <c r="B6" s="1" t="s">
        <v>15</v>
      </c>
      <c r="C6" s="1" t="s">
        <v>16</v>
      </c>
      <c r="D6" s="1" t="s">
        <v>35</v>
      </c>
      <c r="E6" s="3" t="s">
        <v>40</v>
      </c>
      <c r="F6" s="3" t="s">
        <v>40</v>
      </c>
      <c r="G6" s="1">
        <v>14</v>
      </c>
      <c r="H6" s="3" t="s">
        <v>41</v>
      </c>
      <c r="I6" s="1" t="s">
        <v>42</v>
      </c>
      <c r="J6" s="3" t="s">
        <v>43</v>
      </c>
      <c r="K6" s="3" t="s">
        <v>22</v>
      </c>
      <c r="L6" s="1" t="s">
        <v>23</v>
      </c>
      <c r="M6" s="3"/>
      <c r="N6" s="3"/>
    </row>
    <row r="7" spans="1:14">
      <c r="A7" s="1" t="s">
        <v>44</v>
      </c>
      <c r="B7" s="1" t="s">
        <v>15</v>
      </c>
      <c r="C7" s="1" t="s">
        <v>45</v>
      </c>
      <c r="D7" s="1" t="s">
        <v>17</v>
      </c>
      <c r="E7" s="3" t="s">
        <v>46</v>
      </c>
      <c r="F7" s="3" t="s">
        <v>46</v>
      </c>
      <c r="G7" s="1">
        <v>12</v>
      </c>
      <c r="H7" s="3" t="s">
        <v>47</v>
      </c>
      <c r="I7" s="1" t="s">
        <v>22</v>
      </c>
      <c r="J7" s="3" t="s">
        <v>48</v>
      </c>
      <c r="K7" s="3" t="s">
        <v>49</v>
      </c>
      <c r="L7" s="1" t="s">
        <v>23</v>
      </c>
      <c r="M7" s="3"/>
      <c r="N7" s="3"/>
    </row>
    <row r="8" spans="1:14">
      <c r="A8" s="1" t="s">
        <v>50</v>
      </c>
      <c r="B8" s="1" t="s">
        <v>15</v>
      </c>
      <c r="C8" s="1" t="s">
        <v>45</v>
      </c>
      <c r="D8" s="1" t="s">
        <v>17</v>
      </c>
      <c r="E8" s="3" t="s">
        <v>51</v>
      </c>
      <c r="F8" s="3" t="s">
        <v>51</v>
      </c>
      <c r="G8" s="1">
        <v>15</v>
      </c>
      <c r="H8" s="3" t="s">
        <v>52</v>
      </c>
      <c r="I8" s="1" t="s">
        <v>22</v>
      </c>
      <c r="J8" s="3" t="s">
        <v>53</v>
      </c>
      <c r="K8" s="3" t="s">
        <v>49</v>
      </c>
      <c r="L8" s="1" t="s">
        <v>23</v>
      </c>
      <c r="M8" s="3"/>
      <c r="N8" s="3"/>
    </row>
    <row r="9" spans="1:14">
      <c r="A9" s="1" t="s">
        <v>54</v>
      </c>
      <c r="B9" s="1" t="s">
        <v>15</v>
      </c>
      <c r="C9" s="1" t="s">
        <v>45</v>
      </c>
      <c r="D9" s="1" t="s">
        <v>30</v>
      </c>
      <c r="E9" s="3" t="s">
        <v>55</v>
      </c>
      <c r="F9" s="3" t="s">
        <v>55</v>
      </c>
      <c r="G9" s="1">
        <v>16</v>
      </c>
      <c r="H9" s="3" t="s">
        <v>56</v>
      </c>
      <c r="I9" s="1" t="s">
        <v>22</v>
      </c>
      <c r="J9" s="3" t="s">
        <v>57</v>
      </c>
      <c r="K9" s="3" t="s">
        <v>49</v>
      </c>
      <c r="L9" s="1" t="s">
        <v>23</v>
      </c>
      <c r="M9" s="3"/>
      <c r="N9" s="3"/>
    </row>
    <row r="10" spans="1:14">
      <c r="A10" s="1" t="s">
        <v>58</v>
      </c>
      <c r="B10" s="1" t="s">
        <v>15</v>
      </c>
      <c r="C10" s="1" t="s">
        <v>45</v>
      </c>
      <c r="D10" s="1" t="s">
        <v>35</v>
      </c>
      <c r="E10" s="3" t="s">
        <v>59</v>
      </c>
      <c r="F10" s="3" t="s">
        <v>59</v>
      </c>
      <c r="G10" s="1">
        <v>12</v>
      </c>
      <c r="H10" s="3" t="s">
        <v>60</v>
      </c>
      <c r="I10" s="1" t="s">
        <v>22</v>
      </c>
      <c r="J10" s="3" t="s">
        <v>61</v>
      </c>
      <c r="K10" s="3" t="s">
        <v>49</v>
      </c>
      <c r="L10" s="1" t="s">
        <v>23</v>
      </c>
      <c r="M10" s="3"/>
      <c r="N10" s="3"/>
    </row>
    <row r="11" spans="1:14">
      <c r="A11" s="1" t="s">
        <v>62</v>
      </c>
      <c r="B11" s="1" t="s">
        <v>15</v>
      </c>
      <c r="C11" s="1" t="s">
        <v>45</v>
      </c>
      <c r="D11" s="1" t="s">
        <v>35</v>
      </c>
      <c r="E11" s="3" t="s">
        <v>63</v>
      </c>
      <c r="F11" s="3" t="s">
        <v>63</v>
      </c>
      <c r="G11" s="1">
        <v>11</v>
      </c>
      <c r="H11" s="3" t="s">
        <v>64</v>
      </c>
      <c r="I11" s="1" t="s">
        <v>22</v>
      </c>
      <c r="J11" s="3" t="s">
        <v>65</v>
      </c>
      <c r="K11" s="3" t="s">
        <v>49</v>
      </c>
      <c r="L11" s="1" t="s">
        <v>23</v>
      </c>
      <c r="M11" s="3"/>
      <c r="N11" s="3"/>
    </row>
    <row r="12" spans="1:14">
      <c r="A12" s="1" t="s">
        <v>66</v>
      </c>
      <c r="B12" s="1" t="s">
        <v>15</v>
      </c>
      <c r="C12" s="1" t="s">
        <v>67</v>
      </c>
      <c r="D12" s="1" t="s">
        <v>17</v>
      </c>
      <c r="E12" s="3" t="s">
        <v>68</v>
      </c>
      <c r="F12" s="3" t="s">
        <v>68</v>
      </c>
      <c r="G12" s="1">
        <v>14</v>
      </c>
      <c r="H12" s="3" t="s">
        <v>69</v>
      </c>
      <c r="I12" s="1" t="s">
        <v>22</v>
      </c>
      <c r="J12" s="3" t="s">
        <v>70</v>
      </c>
      <c r="K12" s="3" t="s">
        <v>22</v>
      </c>
      <c r="L12" s="1" t="s">
        <v>23</v>
      </c>
      <c r="M12" s="3"/>
      <c r="N12" s="3"/>
    </row>
    <row r="13" spans="1:14">
      <c r="A13" s="1" t="s">
        <v>71</v>
      </c>
      <c r="B13" s="1" t="s">
        <v>15</v>
      </c>
      <c r="C13" s="1" t="s">
        <v>67</v>
      </c>
      <c r="D13" s="1" t="s">
        <v>17</v>
      </c>
      <c r="E13" s="3" t="s">
        <v>72</v>
      </c>
      <c r="F13" s="3" t="s">
        <v>72</v>
      </c>
      <c r="G13" s="1">
        <v>11</v>
      </c>
      <c r="H13" s="3" t="s">
        <v>73</v>
      </c>
      <c r="I13" s="1" t="s">
        <v>22</v>
      </c>
      <c r="J13" s="3" t="s">
        <v>70</v>
      </c>
      <c r="K13" s="3" t="s">
        <v>22</v>
      </c>
      <c r="L13" s="1" t="s">
        <v>23</v>
      </c>
      <c r="M13" s="3"/>
      <c r="N13" s="3"/>
    </row>
    <row r="14" spans="1:14" ht="32">
      <c r="A14" s="1" t="s">
        <v>74</v>
      </c>
      <c r="B14" s="1" t="s">
        <v>15</v>
      </c>
      <c r="C14" s="1" t="s">
        <v>67</v>
      </c>
      <c r="D14" s="1" t="s">
        <v>30</v>
      </c>
      <c r="E14" s="3" t="s">
        <v>75</v>
      </c>
      <c r="F14" s="3" t="s">
        <v>75</v>
      </c>
      <c r="G14" s="1">
        <v>11</v>
      </c>
      <c r="H14" s="3" t="s">
        <v>76</v>
      </c>
      <c r="I14" s="1" t="s">
        <v>22</v>
      </c>
      <c r="J14" s="3" t="s">
        <v>77</v>
      </c>
      <c r="K14" s="3" t="s">
        <v>22</v>
      </c>
      <c r="L14" s="1" t="s">
        <v>23</v>
      </c>
      <c r="M14" s="3"/>
      <c r="N14" s="3"/>
    </row>
    <row r="15" spans="1:14">
      <c r="A15" s="1" t="s">
        <v>78</v>
      </c>
      <c r="B15" s="1" t="s">
        <v>15</v>
      </c>
      <c r="C15" s="1" t="s">
        <v>67</v>
      </c>
      <c r="D15" s="1" t="s">
        <v>30</v>
      </c>
      <c r="E15" s="3" t="s">
        <v>79</v>
      </c>
      <c r="F15" s="3" t="s">
        <v>79</v>
      </c>
      <c r="G15" s="1">
        <v>11</v>
      </c>
      <c r="H15" s="3" t="s">
        <v>80</v>
      </c>
      <c r="I15" s="1" t="s">
        <v>22</v>
      </c>
      <c r="J15" s="3" t="s">
        <v>81</v>
      </c>
      <c r="K15" s="3" t="s">
        <v>22</v>
      </c>
      <c r="L15" s="1" t="s">
        <v>23</v>
      </c>
      <c r="M15" s="3"/>
      <c r="N15" s="3"/>
    </row>
    <row r="16" spans="1:14">
      <c r="A16" s="1" t="s">
        <v>82</v>
      </c>
      <c r="B16" s="1" t="s">
        <v>15</v>
      </c>
      <c r="C16" s="1" t="s">
        <v>67</v>
      </c>
      <c r="D16" s="1" t="s">
        <v>35</v>
      </c>
      <c r="E16" s="3" t="s">
        <v>83</v>
      </c>
      <c r="F16" s="3" t="s">
        <v>83</v>
      </c>
      <c r="G16" s="1">
        <v>13</v>
      </c>
      <c r="H16" s="3" t="s">
        <v>84</v>
      </c>
      <c r="I16" s="1" t="s">
        <v>22</v>
      </c>
      <c r="J16" s="3" t="s">
        <v>70</v>
      </c>
      <c r="K16" s="3" t="s">
        <v>85</v>
      </c>
      <c r="L16" s="1" t="s">
        <v>23</v>
      </c>
      <c r="M16" s="3"/>
      <c r="N16" s="3"/>
    </row>
    <row r="17" spans="1:14">
      <c r="A17" s="1" t="s">
        <v>86</v>
      </c>
      <c r="B17" s="1" t="s">
        <v>15</v>
      </c>
      <c r="C17" s="1" t="s">
        <v>87</v>
      </c>
      <c r="D17" s="1" t="s">
        <v>17</v>
      </c>
      <c r="E17" s="3" t="s">
        <v>88</v>
      </c>
      <c r="F17" s="3" t="s">
        <v>88</v>
      </c>
      <c r="G17" s="1">
        <v>10</v>
      </c>
      <c r="H17" s="3" t="s">
        <v>89</v>
      </c>
      <c r="I17" s="1" t="s">
        <v>22</v>
      </c>
      <c r="J17" s="3" t="s">
        <v>90</v>
      </c>
      <c r="K17" s="3" t="s">
        <v>22</v>
      </c>
      <c r="L17" s="1" t="s">
        <v>23</v>
      </c>
      <c r="M17" s="3"/>
      <c r="N17" s="3"/>
    </row>
    <row r="18" spans="1:14">
      <c r="A18" s="1" t="s">
        <v>91</v>
      </c>
      <c r="B18" s="1" t="s">
        <v>15</v>
      </c>
      <c r="C18" s="1" t="s">
        <v>87</v>
      </c>
      <c r="D18" s="1" t="s">
        <v>17</v>
      </c>
      <c r="E18" s="3" t="s">
        <v>92</v>
      </c>
      <c r="F18" s="3" t="s">
        <v>92</v>
      </c>
      <c r="G18" s="1">
        <v>14</v>
      </c>
      <c r="H18" s="3" t="s">
        <v>93</v>
      </c>
      <c r="I18" s="1" t="s">
        <v>22</v>
      </c>
      <c r="J18" s="3" t="s">
        <v>94</v>
      </c>
      <c r="K18" s="3" t="s">
        <v>22</v>
      </c>
      <c r="L18" s="1" t="s">
        <v>23</v>
      </c>
      <c r="M18" s="3"/>
      <c r="N18" s="3"/>
    </row>
    <row r="19" spans="1:14">
      <c r="A19" s="1" t="s">
        <v>95</v>
      </c>
      <c r="B19" s="1" t="s">
        <v>15</v>
      </c>
      <c r="C19" s="1" t="s">
        <v>87</v>
      </c>
      <c r="D19" s="1" t="s">
        <v>30</v>
      </c>
      <c r="E19" s="3" t="s">
        <v>96</v>
      </c>
      <c r="F19" s="3" t="s">
        <v>96</v>
      </c>
      <c r="G19" s="1">
        <v>10</v>
      </c>
      <c r="H19" s="3" t="s">
        <v>97</v>
      </c>
      <c r="I19" s="1" t="s">
        <v>22</v>
      </c>
      <c r="J19" s="3" t="s">
        <v>98</v>
      </c>
      <c r="K19" s="3" t="s">
        <v>22</v>
      </c>
      <c r="L19" s="1" t="s">
        <v>23</v>
      </c>
      <c r="M19" s="3"/>
      <c r="N19" s="3"/>
    </row>
    <row r="20" spans="1:14">
      <c r="A20" s="1" t="s">
        <v>99</v>
      </c>
      <c r="B20" s="1" t="s">
        <v>15</v>
      </c>
      <c r="C20" s="1" t="s">
        <v>87</v>
      </c>
      <c r="D20" s="1" t="s">
        <v>30</v>
      </c>
      <c r="E20" s="3" t="s">
        <v>100</v>
      </c>
      <c r="F20" s="3" t="s">
        <v>100</v>
      </c>
      <c r="G20" s="1">
        <v>15</v>
      </c>
      <c r="H20" s="3" t="s">
        <v>101</v>
      </c>
      <c r="I20" s="1" t="s">
        <v>22</v>
      </c>
      <c r="J20" s="3" t="s">
        <v>90</v>
      </c>
      <c r="K20" s="3" t="s">
        <v>22</v>
      </c>
      <c r="L20" s="1" t="s">
        <v>23</v>
      </c>
      <c r="M20" s="3"/>
      <c r="N20" s="3"/>
    </row>
    <row r="21" spans="1:14">
      <c r="A21" s="1" t="s">
        <v>102</v>
      </c>
      <c r="B21" s="1" t="s">
        <v>15</v>
      </c>
      <c r="C21" s="1" t="s">
        <v>87</v>
      </c>
      <c r="D21" s="1" t="s">
        <v>35</v>
      </c>
      <c r="E21" s="3" t="s">
        <v>103</v>
      </c>
      <c r="F21" s="3" t="s">
        <v>103</v>
      </c>
      <c r="G21" s="1">
        <v>15</v>
      </c>
      <c r="H21" s="3" t="s">
        <v>104</v>
      </c>
      <c r="I21" s="1" t="s">
        <v>22</v>
      </c>
      <c r="J21" s="3" t="s">
        <v>105</v>
      </c>
      <c r="K21" s="3" t="s">
        <v>22</v>
      </c>
      <c r="L21" s="1" t="s">
        <v>23</v>
      </c>
      <c r="M21" s="3"/>
      <c r="N21" s="3"/>
    </row>
    <row r="22" spans="1:14">
      <c r="A22" s="1" t="s">
        <v>106</v>
      </c>
      <c r="B22" s="1" t="s">
        <v>15</v>
      </c>
      <c r="C22" s="1" t="s">
        <v>87</v>
      </c>
      <c r="D22" s="1" t="s">
        <v>35</v>
      </c>
      <c r="E22" s="3" t="s">
        <v>107</v>
      </c>
      <c r="F22" s="3" t="s">
        <v>107</v>
      </c>
      <c r="G22" s="1">
        <v>12</v>
      </c>
      <c r="H22" s="3" t="s">
        <v>108</v>
      </c>
      <c r="I22" s="1" t="s">
        <v>22</v>
      </c>
      <c r="J22" s="3" t="s">
        <v>109</v>
      </c>
      <c r="K22" s="3" t="s">
        <v>22</v>
      </c>
      <c r="L22" s="1" t="s">
        <v>23</v>
      </c>
      <c r="M22" s="3"/>
      <c r="N22" s="3"/>
    </row>
    <row r="23" spans="1:14" ht="32">
      <c r="A23" s="1" t="s">
        <v>110</v>
      </c>
      <c r="B23" s="1" t="s">
        <v>15</v>
      </c>
      <c r="C23" s="1" t="s">
        <v>87</v>
      </c>
      <c r="D23" s="1" t="s">
        <v>30</v>
      </c>
      <c r="E23" s="3" t="s">
        <v>111</v>
      </c>
      <c r="F23" s="3" t="s">
        <v>111</v>
      </c>
      <c r="G23" s="1">
        <v>11</v>
      </c>
      <c r="H23" s="3" t="s">
        <v>112</v>
      </c>
      <c r="I23" s="1" t="s">
        <v>113</v>
      </c>
      <c r="J23" s="3" t="s">
        <v>114</v>
      </c>
      <c r="K23" s="3" t="s">
        <v>115</v>
      </c>
      <c r="L23" s="1" t="s">
        <v>23</v>
      </c>
      <c r="M23" s="3"/>
      <c r="N23" s="3"/>
    </row>
    <row r="24" spans="1:14">
      <c r="A24" s="1" t="s">
        <v>116</v>
      </c>
      <c r="B24" s="1" t="s">
        <v>15</v>
      </c>
      <c r="C24" s="1" t="s">
        <v>87</v>
      </c>
      <c r="D24" s="1" t="s">
        <v>35</v>
      </c>
      <c r="E24" s="3" t="s">
        <v>117</v>
      </c>
      <c r="F24" s="3" t="s">
        <v>117</v>
      </c>
      <c r="G24" s="1">
        <v>9</v>
      </c>
      <c r="H24" s="3" t="s">
        <v>118</v>
      </c>
      <c r="I24" s="1" t="s">
        <v>113</v>
      </c>
      <c r="J24" s="3" t="s">
        <v>119</v>
      </c>
      <c r="K24" s="3" t="s">
        <v>120</v>
      </c>
      <c r="L24" s="1" t="s">
        <v>23</v>
      </c>
      <c r="M24" s="3"/>
      <c r="N24" s="3"/>
    </row>
    <row r="25" spans="1:14" ht="32">
      <c r="A25" s="1" t="s">
        <v>121</v>
      </c>
      <c r="B25" s="1" t="s">
        <v>15</v>
      </c>
      <c r="C25" s="1" t="s">
        <v>122</v>
      </c>
      <c r="D25" s="1" t="s">
        <v>17</v>
      </c>
      <c r="E25" s="3" t="s">
        <v>123</v>
      </c>
      <c r="F25" s="3" t="s">
        <v>123</v>
      </c>
      <c r="G25" s="1">
        <v>11</v>
      </c>
      <c r="H25" s="3" t="s">
        <v>124</v>
      </c>
      <c r="I25" s="1" t="s">
        <v>125</v>
      </c>
      <c r="J25" s="3" t="s">
        <v>126</v>
      </c>
      <c r="K25" s="3" t="s">
        <v>127</v>
      </c>
      <c r="L25" s="1" t="s">
        <v>27</v>
      </c>
      <c r="M25" s="3"/>
      <c r="N25" s="3" t="s">
        <v>128</v>
      </c>
    </row>
    <row r="26" spans="1:14">
      <c r="A26" s="1" t="s">
        <v>129</v>
      </c>
      <c r="B26" s="1" t="s">
        <v>15</v>
      </c>
      <c r="C26" s="1" t="s">
        <v>122</v>
      </c>
      <c r="D26" s="1" t="s">
        <v>30</v>
      </c>
      <c r="E26" s="3" t="s">
        <v>130</v>
      </c>
      <c r="F26" s="3" t="s">
        <v>130</v>
      </c>
      <c r="G26" s="1">
        <v>13</v>
      </c>
      <c r="H26" s="3" t="s">
        <v>131</v>
      </c>
      <c r="I26" s="1" t="s">
        <v>125</v>
      </c>
      <c r="J26" s="3" t="s">
        <v>132</v>
      </c>
      <c r="K26" s="3" t="s">
        <v>127</v>
      </c>
      <c r="L26" s="1" t="s">
        <v>23</v>
      </c>
      <c r="M26" s="3"/>
      <c r="N26" s="3"/>
    </row>
    <row r="27" spans="1:14" ht="32">
      <c r="A27" s="1" t="s">
        <v>133</v>
      </c>
      <c r="B27" s="1" t="s">
        <v>15</v>
      </c>
      <c r="C27" s="1" t="s">
        <v>122</v>
      </c>
      <c r="D27" s="1" t="s">
        <v>30</v>
      </c>
      <c r="E27" s="3" t="s">
        <v>134</v>
      </c>
      <c r="F27" s="3" t="s">
        <v>134</v>
      </c>
      <c r="G27" s="1">
        <v>13</v>
      </c>
      <c r="H27" s="3" t="s">
        <v>135</v>
      </c>
      <c r="I27" s="1" t="s">
        <v>125</v>
      </c>
      <c r="J27" s="3" t="s">
        <v>136</v>
      </c>
      <c r="K27" s="3" t="s">
        <v>127</v>
      </c>
      <c r="L27" s="1" t="s">
        <v>137</v>
      </c>
      <c r="M27" s="3"/>
      <c r="N27" s="3" t="s">
        <v>138</v>
      </c>
    </row>
    <row r="28" spans="1:14" ht="48">
      <c r="A28" s="1" t="s">
        <v>139</v>
      </c>
      <c r="B28" s="1" t="s">
        <v>15</v>
      </c>
      <c r="C28" s="1" t="s">
        <v>122</v>
      </c>
      <c r="D28" s="1" t="s">
        <v>35</v>
      </c>
      <c r="E28" s="3" t="s">
        <v>140</v>
      </c>
      <c r="F28" s="3" t="s">
        <v>140</v>
      </c>
      <c r="G28" s="1">
        <v>15</v>
      </c>
      <c r="H28" s="3" t="s">
        <v>141</v>
      </c>
      <c r="I28" s="1" t="s">
        <v>125</v>
      </c>
      <c r="J28" s="3" t="s">
        <v>142</v>
      </c>
      <c r="K28" s="3" t="s">
        <v>127</v>
      </c>
      <c r="L28" s="1" t="s">
        <v>143</v>
      </c>
      <c r="M28" s="3" t="s">
        <v>144</v>
      </c>
      <c r="N28" s="3" t="s">
        <v>145</v>
      </c>
    </row>
    <row r="29" spans="1:14">
      <c r="A29" s="1" t="s">
        <v>146</v>
      </c>
      <c r="B29" s="1" t="s">
        <v>15</v>
      </c>
      <c r="C29" s="1" t="s">
        <v>147</v>
      </c>
      <c r="D29" s="1" t="s">
        <v>17</v>
      </c>
      <c r="E29" s="3" t="s">
        <v>148</v>
      </c>
      <c r="F29" s="3" t="s">
        <v>148</v>
      </c>
      <c r="G29" s="1">
        <v>12</v>
      </c>
      <c r="H29" s="3" t="s">
        <v>149</v>
      </c>
      <c r="I29" s="1" t="s">
        <v>22</v>
      </c>
      <c r="J29" s="3" t="s">
        <v>150</v>
      </c>
      <c r="K29" s="3" t="s">
        <v>127</v>
      </c>
      <c r="L29" s="1" t="s">
        <v>23</v>
      </c>
      <c r="M29" s="3"/>
      <c r="N29" s="3"/>
    </row>
    <row r="30" spans="1:14">
      <c r="A30" s="1" t="s">
        <v>151</v>
      </c>
      <c r="B30" s="1" t="s">
        <v>15</v>
      </c>
      <c r="C30" s="1" t="s">
        <v>147</v>
      </c>
      <c r="D30" s="1" t="s">
        <v>17</v>
      </c>
      <c r="E30" s="3" t="s">
        <v>152</v>
      </c>
      <c r="F30" s="3" t="s">
        <v>152</v>
      </c>
      <c r="G30" s="1">
        <v>14</v>
      </c>
      <c r="H30" s="3" t="s">
        <v>153</v>
      </c>
      <c r="I30" s="1" t="s">
        <v>22</v>
      </c>
      <c r="J30" s="3" t="s">
        <v>150</v>
      </c>
      <c r="K30" s="3" t="s">
        <v>127</v>
      </c>
      <c r="L30" s="1" t="s">
        <v>23</v>
      </c>
      <c r="M30" s="3"/>
      <c r="N30" s="3"/>
    </row>
    <row r="31" spans="1:14" ht="48">
      <c r="A31" s="1" t="s">
        <v>154</v>
      </c>
      <c r="B31" s="1" t="s">
        <v>15</v>
      </c>
      <c r="C31" s="1" t="s">
        <v>147</v>
      </c>
      <c r="D31" s="1" t="s">
        <v>30</v>
      </c>
      <c r="E31" s="3" t="s">
        <v>155</v>
      </c>
      <c r="F31" s="3" t="s">
        <v>155</v>
      </c>
      <c r="G31" s="1">
        <v>12</v>
      </c>
      <c r="H31" s="3" t="s">
        <v>156</v>
      </c>
      <c r="I31" s="1" t="s">
        <v>22</v>
      </c>
      <c r="J31" s="3" t="s">
        <v>157</v>
      </c>
      <c r="K31" s="3" t="s">
        <v>127</v>
      </c>
      <c r="L31" s="1" t="s">
        <v>158</v>
      </c>
      <c r="M31" s="3" t="s">
        <v>159</v>
      </c>
      <c r="N31" s="3" t="s">
        <v>160</v>
      </c>
    </row>
    <row r="32" spans="1:14" ht="48">
      <c r="A32" s="1" t="s">
        <v>161</v>
      </c>
      <c r="B32" s="1" t="s">
        <v>15</v>
      </c>
      <c r="C32" s="1" t="s">
        <v>147</v>
      </c>
      <c r="D32" s="1" t="s">
        <v>30</v>
      </c>
      <c r="E32" s="3" t="s">
        <v>162</v>
      </c>
      <c r="F32" s="3" t="s">
        <v>162</v>
      </c>
      <c r="G32" s="1">
        <v>11</v>
      </c>
      <c r="H32" s="3" t="s">
        <v>163</v>
      </c>
      <c r="I32" s="1" t="s">
        <v>22</v>
      </c>
      <c r="J32" s="3" t="s">
        <v>164</v>
      </c>
      <c r="K32" s="3" t="s">
        <v>127</v>
      </c>
      <c r="L32" s="1" t="s">
        <v>158</v>
      </c>
      <c r="M32" s="3" t="s">
        <v>159</v>
      </c>
      <c r="N32" s="3" t="s">
        <v>160</v>
      </c>
    </row>
    <row r="33" spans="1:14" ht="32">
      <c r="A33" s="1" t="s">
        <v>165</v>
      </c>
      <c r="B33" s="1" t="s">
        <v>15</v>
      </c>
      <c r="C33" s="1" t="s">
        <v>147</v>
      </c>
      <c r="D33" s="1" t="s">
        <v>35</v>
      </c>
      <c r="E33" s="3" t="s">
        <v>166</v>
      </c>
      <c r="F33" s="3" t="s">
        <v>166</v>
      </c>
      <c r="G33" s="1">
        <v>9</v>
      </c>
      <c r="H33" s="3" t="s">
        <v>167</v>
      </c>
      <c r="I33" s="1" t="s">
        <v>22</v>
      </c>
      <c r="J33" s="3" t="s">
        <v>33</v>
      </c>
      <c r="K33" s="3" t="s">
        <v>168</v>
      </c>
      <c r="L33" s="1" t="s">
        <v>23</v>
      </c>
      <c r="M33" s="3"/>
      <c r="N33" s="3"/>
    </row>
    <row r="34" spans="1:14">
      <c r="A34" s="1" t="s">
        <v>169</v>
      </c>
      <c r="B34" s="1" t="s">
        <v>15</v>
      </c>
      <c r="C34" s="1" t="s">
        <v>170</v>
      </c>
      <c r="D34" s="1" t="s">
        <v>17</v>
      </c>
      <c r="E34" s="3" t="s">
        <v>171</v>
      </c>
      <c r="F34" s="3" t="s">
        <v>171</v>
      </c>
      <c r="G34" s="1">
        <v>9</v>
      </c>
      <c r="H34" s="3" t="s">
        <v>172</v>
      </c>
      <c r="I34" s="1" t="s">
        <v>20</v>
      </c>
      <c r="J34" s="3" t="s">
        <v>173</v>
      </c>
      <c r="K34" s="3" t="s">
        <v>174</v>
      </c>
      <c r="L34" s="1" t="s">
        <v>23</v>
      </c>
      <c r="M34" s="3"/>
      <c r="N34" s="3"/>
    </row>
    <row r="35" spans="1:14">
      <c r="A35" s="1" t="s">
        <v>175</v>
      </c>
      <c r="B35" s="1" t="s">
        <v>15</v>
      </c>
      <c r="C35" s="1" t="s">
        <v>170</v>
      </c>
      <c r="D35" s="1" t="s">
        <v>17</v>
      </c>
      <c r="E35" s="3" t="s">
        <v>176</v>
      </c>
      <c r="F35" s="3" t="s">
        <v>176</v>
      </c>
      <c r="G35" s="1">
        <v>14</v>
      </c>
      <c r="H35" s="3" t="s">
        <v>177</v>
      </c>
      <c r="I35" s="1" t="s">
        <v>22</v>
      </c>
      <c r="J35" s="3" t="s">
        <v>178</v>
      </c>
      <c r="K35" s="3" t="s">
        <v>174</v>
      </c>
      <c r="L35" s="1" t="s">
        <v>23</v>
      </c>
      <c r="M35" s="3"/>
      <c r="N35" s="3"/>
    </row>
    <row r="36" spans="1:14">
      <c r="A36" s="1" t="s">
        <v>179</v>
      </c>
      <c r="B36" s="1" t="s">
        <v>15</v>
      </c>
      <c r="C36" s="1" t="s">
        <v>170</v>
      </c>
      <c r="D36" s="1" t="s">
        <v>30</v>
      </c>
      <c r="E36" s="3" t="s">
        <v>180</v>
      </c>
      <c r="F36" s="3" t="s">
        <v>180</v>
      </c>
      <c r="G36" s="1">
        <v>9</v>
      </c>
      <c r="H36" s="3" t="s">
        <v>181</v>
      </c>
      <c r="I36" s="1" t="s">
        <v>22</v>
      </c>
      <c r="J36" s="3" t="s">
        <v>182</v>
      </c>
      <c r="K36" s="3" t="s">
        <v>183</v>
      </c>
      <c r="L36" s="1" t="s">
        <v>23</v>
      </c>
      <c r="M36" s="3"/>
      <c r="N36" s="3"/>
    </row>
    <row r="37" spans="1:14">
      <c r="A37" s="1" t="s">
        <v>184</v>
      </c>
      <c r="B37" s="1" t="s">
        <v>15</v>
      </c>
      <c r="C37" s="1" t="s">
        <v>170</v>
      </c>
      <c r="D37" s="1" t="s">
        <v>30</v>
      </c>
      <c r="E37" s="3" t="s">
        <v>185</v>
      </c>
      <c r="F37" s="3" t="s">
        <v>185</v>
      </c>
      <c r="G37" s="1">
        <v>11</v>
      </c>
      <c r="H37" s="3" t="s">
        <v>186</v>
      </c>
      <c r="I37" s="1" t="s">
        <v>22</v>
      </c>
      <c r="J37" s="3" t="s">
        <v>187</v>
      </c>
      <c r="K37" s="3" t="s">
        <v>174</v>
      </c>
      <c r="L37" s="1" t="s">
        <v>23</v>
      </c>
      <c r="M37" s="3"/>
      <c r="N37" s="3"/>
    </row>
    <row r="38" spans="1:14">
      <c r="A38" s="1" t="s">
        <v>188</v>
      </c>
      <c r="B38" s="1" t="s">
        <v>15</v>
      </c>
      <c r="C38" s="1" t="s">
        <v>170</v>
      </c>
      <c r="D38" s="1" t="s">
        <v>35</v>
      </c>
      <c r="E38" s="3" t="s">
        <v>189</v>
      </c>
      <c r="F38" s="3" t="s">
        <v>189</v>
      </c>
      <c r="G38" s="1">
        <v>14</v>
      </c>
      <c r="H38" s="3" t="s">
        <v>190</v>
      </c>
      <c r="I38" s="1" t="s">
        <v>22</v>
      </c>
      <c r="J38" s="3" t="s">
        <v>53</v>
      </c>
      <c r="K38" s="3" t="s">
        <v>174</v>
      </c>
      <c r="L38" s="1" t="s">
        <v>23</v>
      </c>
      <c r="M38" s="3"/>
      <c r="N38" s="3"/>
    </row>
    <row r="39" spans="1:14">
      <c r="A39" s="1" t="s">
        <v>191</v>
      </c>
      <c r="B39" s="1" t="s">
        <v>15</v>
      </c>
      <c r="C39" s="1" t="s">
        <v>192</v>
      </c>
      <c r="D39" s="1" t="s">
        <v>17</v>
      </c>
      <c r="E39" s="3" t="s">
        <v>193</v>
      </c>
      <c r="F39" s="3" t="s">
        <v>193</v>
      </c>
      <c r="G39" s="1">
        <v>16</v>
      </c>
      <c r="H39" s="3" t="s">
        <v>194</v>
      </c>
      <c r="I39" s="1" t="s">
        <v>22</v>
      </c>
      <c r="J39" s="3" t="s">
        <v>195</v>
      </c>
      <c r="K39" s="3" t="s">
        <v>22</v>
      </c>
      <c r="L39" s="1" t="s">
        <v>23</v>
      </c>
      <c r="M39" s="3"/>
      <c r="N39" s="3"/>
    </row>
    <row r="40" spans="1:14">
      <c r="A40" s="1" t="s">
        <v>196</v>
      </c>
      <c r="B40" s="1" t="s">
        <v>15</v>
      </c>
      <c r="C40" s="1" t="s">
        <v>192</v>
      </c>
      <c r="D40" s="1" t="s">
        <v>17</v>
      </c>
      <c r="E40" s="3" t="s">
        <v>197</v>
      </c>
      <c r="F40" s="3" t="s">
        <v>197</v>
      </c>
      <c r="G40" s="1">
        <v>14</v>
      </c>
      <c r="H40" s="3" t="s">
        <v>198</v>
      </c>
      <c r="I40" s="1" t="s">
        <v>22</v>
      </c>
      <c r="J40" s="3" t="s">
        <v>199</v>
      </c>
      <c r="K40" s="3" t="s">
        <v>22</v>
      </c>
      <c r="L40" s="1" t="s">
        <v>23</v>
      </c>
      <c r="M40" s="3"/>
      <c r="N40" s="3"/>
    </row>
    <row r="41" spans="1:14">
      <c r="A41" s="1" t="s">
        <v>200</v>
      </c>
      <c r="B41" s="1" t="s">
        <v>15</v>
      </c>
      <c r="C41" s="1" t="s">
        <v>192</v>
      </c>
      <c r="D41" s="1" t="s">
        <v>30</v>
      </c>
      <c r="E41" s="3" t="s">
        <v>201</v>
      </c>
      <c r="F41" s="3" t="s">
        <v>201</v>
      </c>
      <c r="G41" s="1">
        <v>14</v>
      </c>
      <c r="H41" s="3" t="s">
        <v>202</v>
      </c>
      <c r="I41" s="1" t="s">
        <v>22</v>
      </c>
      <c r="J41" s="3" t="s">
        <v>203</v>
      </c>
      <c r="K41" s="3" t="s">
        <v>22</v>
      </c>
      <c r="L41" s="1" t="s">
        <v>23</v>
      </c>
      <c r="M41" s="3"/>
      <c r="N41" s="3"/>
    </row>
    <row r="42" spans="1:14">
      <c r="A42" s="1" t="s">
        <v>204</v>
      </c>
      <c r="B42" s="1" t="s">
        <v>15</v>
      </c>
      <c r="C42" s="1" t="s">
        <v>192</v>
      </c>
      <c r="D42" s="1" t="s">
        <v>30</v>
      </c>
      <c r="E42" s="3" t="s">
        <v>205</v>
      </c>
      <c r="F42" s="3" t="s">
        <v>205</v>
      </c>
      <c r="G42" s="1">
        <v>16</v>
      </c>
      <c r="H42" s="3" t="s">
        <v>206</v>
      </c>
      <c r="I42" s="1" t="s">
        <v>22</v>
      </c>
      <c r="J42" s="3" t="s">
        <v>207</v>
      </c>
      <c r="K42" s="3" t="s">
        <v>22</v>
      </c>
      <c r="L42" s="1" t="s">
        <v>23</v>
      </c>
      <c r="M42" s="3"/>
      <c r="N42" s="3"/>
    </row>
    <row r="43" spans="1:14" ht="32">
      <c r="A43" s="1" t="s">
        <v>208</v>
      </c>
      <c r="B43" s="1" t="s">
        <v>15</v>
      </c>
      <c r="C43" s="1" t="s">
        <v>192</v>
      </c>
      <c r="D43" s="1" t="s">
        <v>35</v>
      </c>
      <c r="E43" s="3" t="s">
        <v>209</v>
      </c>
      <c r="F43" s="3" t="s">
        <v>209</v>
      </c>
      <c r="G43" s="1">
        <v>8</v>
      </c>
      <c r="H43" s="3" t="s">
        <v>210</v>
      </c>
      <c r="I43" s="1" t="s">
        <v>22</v>
      </c>
      <c r="J43" s="3" t="s">
        <v>211</v>
      </c>
      <c r="K43" s="3" t="s">
        <v>22</v>
      </c>
      <c r="L43" s="1" t="s">
        <v>23</v>
      </c>
      <c r="M43" s="3"/>
      <c r="N43" s="3"/>
    </row>
    <row r="44" spans="1:14" ht="48">
      <c r="A44" s="1" t="s">
        <v>212</v>
      </c>
      <c r="B44" s="1" t="s">
        <v>15</v>
      </c>
      <c r="C44" s="1" t="s">
        <v>192</v>
      </c>
      <c r="D44" s="1" t="s">
        <v>35</v>
      </c>
      <c r="E44" s="3" t="s">
        <v>213</v>
      </c>
      <c r="F44" s="3" t="s">
        <v>213</v>
      </c>
      <c r="G44" s="1">
        <v>12</v>
      </c>
      <c r="H44" s="3" t="s">
        <v>214</v>
      </c>
      <c r="I44" s="1" t="s">
        <v>22</v>
      </c>
      <c r="J44" s="3" t="s">
        <v>215</v>
      </c>
      <c r="K44" s="3" t="s">
        <v>22</v>
      </c>
      <c r="L44" s="1" t="s">
        <v>216</v>
      </c>
      <c r="M44" s="3"/>
      <c r="N44" s="3" t="s">
        <v>217</v>
      </c>
    </row>
    <row r="45" spans="1:14" ht="48">
      <c r="A45" s="1" t="s">
        <v>218</v>
      </c>
      <c r="B45" s="1" t="s">
        <v>15</v>
      </c>
      <c r="C45" s="1" t="s">
        <v>219</v>
      </c>
      <c r="D45" s="1" t="s">
        <v>220</v>
      </c>
      <c r="E45" s="3" t="s">
        <v>221</v>
      </c>
      <c r="F45" s="3" t="s">
        <v>221</v>
      </c>
      <c r="G45" s="1">
        <v>14</v>
      </c>
      <c r="H45" s="3" t="s">
        <v>222</v>
      </c>
      <c r="I45" s="1" t="s">
        <v>20</v>
      </c>
      <c r="J45" s="3" t="s">
        <v>223</v>
      </c>
      <c r="K45" s="3" t="s">
        <v>22</v>
      </c>
      <c r="L45" s="1" t="s">
        <v>143</v>
      </c>
      <c r="M45" s="3" t="s">
        <v>224</v>
      </c>
      <c r="N45" s="3" t="s">
        <v>225</v>
      </c>
    </row>
    <row r="46" spans="1:14" ht="32">
      <c r="A46" s="1" t="s">
        <v>226</v>
      </c>
      <c r="B46" s="1" t="s">
        <v>15</v>
      </c>
      <c r="C46" s="1" t="s">
        <v>219</v>
      </c>
      <c r="D46" s="1" t="s">
        <v>220</v>
      </c>
      <c r="E46" s="3" t="s">
        <v>227</v>
      </c>
      <c r="F46" s="3" t="s">
        <v>228</v>
      </c>
      <c r="G46" s="1">
        <v>15</v>
      </c>
      <c r="H46" s="3" t="s">
        <v>229</v>
      </c>
      <c r="I46" s="1" t="s">
        <v>230</v>
      </c>
      <c r="J46" s="3" t="s">
        <v>53</v>
      </c>
      <c r="K46" s="3" t="s">
        <v>231</v>
      </c>
      <c r="L46" s="1" t="s">
        <v>216</v>
      </c>
      <c r="M46" s="3" t="s">
        <v>232</v>
      </c>
      <c r="N46" s="3" t="s">
        <v>233</v>
      </c>
    </row>
    <row r="47" spans="1:14">
      <c r="A47" s="1" t="s">
        <v>234</v>
      </c>
      <c r="B47" s="1" t="s">
        <v>15</v>
      </c>
      <c r="C47" s="1" t="s">
        <v>235</v>
      </c>
      <c r="D47" s="1" t="s">
        <v>236</v>
      </c>
      <c r="E47" s="3" t="s">
        <v>237</v>
      </c>
      <c r="F47" s="3" t="s">
        <v>237</v>
      </c>
      <c r="G47" s="1">
        <v>15</v>
      </c>
      <c r="H47" s="3" t="s">
        <v>238</v>
      </c>
      <c r="I47" s="1" t="s">
        <v>22</v>
      </c>
      <c r="J47" s="3" t="s">
        <v>239</v>
      </c>
      <c r="K47" s="3" t="s">
        <v>22</v>
      </c>
      <c r="L47" s="1" t="s">
        <v>23</v>
      </c>
      <c r="M47" s="3"/>
      <c r="N47" s="3"/>
    </row>
    <row r="48" spans="1:14">
      <c r="A48" s="1" t="s">
        <v>240</v>
      </c>
      <c r="B48" s="1" t="s">
        <v>241</v>
      </c>
      <c r="C48" s="1" t="s">
        <v>16</v>
      </c>
      <c r="D48" s="1" t="s">
        <v>17</v>
      </c>
      <c r="E48" s="3" t="s">
        <v>242</v>
      </c>
      <c r="F48" s="3" t="s">
        <v>242</v>
      </c>
      <c r="G48" s="1">
        <v>16</v>
      </c>
      <c r="H48" s="3" t="s">
        <v>243</v>
      </c>
      <c r="I48" s="1" t="s">
        <v>20</v>
      </c>
      <c r="J48" s="3" t="s">
        <v>43</v>
      </c>
      <c r="K48" s="3" t="s">
        <v>22</v>
      </c>
      <c r="L48" s="1" t="s">
        <v>23</v>
      </c>
      <c r="M48" s="3"/>
      <c r="N48" s="3"/>
    </row>
    <row r="49" spans="1:14" ht="32">
      <c r="A49" s="1" t="s">
        <v>244</v>
      </c>
      <c r="B49" s="1" t="s">
        <v>241</v>
      </c>
      <c r="C49" s="1" t="s">
        <v>16</v>
      </c>
      <c r="D49" s="1" t="s">
        <v>17</v>
      </c>
      <c r="E49" s="3" t="s">
        <v>245</v>
      </c>
      <c r="F49" s="3" t="s">
        <v>245</v>
      </c>
      <c r="G49" s="1">
        <v>12</v>
      </c>
      <c r="H49" s="3" t="s">
        <v>246</v>
      </c>
      <c r="I49" s="1" t="s">
        <v>20</v>
      </c>
      <c r="J49" s="3" t="s">
        <v>21</v>
      </c>
      <c r="K49" s="3" t="s">
        <v>49</v>
      </c>
      <c r="L49" s="1" t="s">
        <v>143</v>
      </c>
      <c r="M49" s="3" t="s">
        <v>144</v>
      </c>
      <c r="N49" s="3" t="s">
        <v>247</v>
      </c>
    </row>
    <row r="50" spans="1:14">
      <c r="A50" s="1" t="s">
        <v>248</v>
      </c>
      <c r="B50" s="1" t="s">
        <v>241</v>
      </c>
      <c r="C50" s="1" t="s">
        <v>16</v>
      </c>
      <c r="D50" s="1" t="s">
        <v>30</v>
      </c>
      <c r="E50" s="3" t="s">
        <v>249</v>
      </c>
      <c r="F50" s="3" t="s">
        <v>249</v>
      </c>
      <c r="G50" s="1">
        <v>17</v>
      </c>
      <c r="H50" s="3" t="s">
        <v>250</v>
      </c>
      <c r="I50" s="1" t="s">
        <v>251</v>
      </c>
      <c r="J50" s="3" t="s">
        <v>33</v>
      </c>
      <c r="K50" s="3" t="s">
        <v>22</v>
      </c>
      <c r="L50" s="1" t="s">
        <v>23</v>
      </c>
      <c r="M50" s="3"/>
      <c r="N50" s="3"/>
    </row>
    <row r="51" spans="1:14">
      <c r="A51" s="1" t="s">
        <v>252</v>
      </c>
      <c r="B51" s="1" t="s">
        <v>241</v>
      </c>
      <c r="C51" s="1" t="s">
        <v>16</v>
      </c>
      <c r="D51" s="1" t="s">
        <v>30</v>
      </c>
      <c r="E51" s="3" t="s">
        <v>253</v>
      </c>
      <c r="F51" s="3" t="s">
        <v>253</v>
      </c>
      <c r="G51" s="1">
        <v>13</v>
      </c>
      <c r="H51" s="3" t="s">
        <v>254</v>
      </c>
      <c r="I51" s="1" t="s">
        <v>125</v>
      </c>
      <c r="J51" s="3" t="s">
        <v>38</v>
      </c>
      <c r="K51" s="3" t="s">
        <v>127</v>
      </c>
      <c r="L51" s="1" t="s">
        <v>23</v>
      </c>
      <c r="M51" s="3"/>
      <c r="N51" s="3"/>
    </row>
    <row r="52" spans="1:14">
      <c r="A52" s="1" t="s">
        <v>255</v>
      </c>
      <c r="B52" s="1" t="s">
        <v>241</v>
      </c>
      <c r="C52" s="1" t="s">
        <v>16</v>
      </c>
      <c r="D52" s="1" t="s">
        <v>35</v>
      </c>
      <c r="E52" s="3" t="s">
        <v>256</v>
      </c>
      <c r="F52" s="3" t="s">
        <v>256</v>
      </c>
      <c r="G52" s="1">
        <v>13</v>
      </c>
      <c r="H52" s="3" t="s">
        <v>257</v>
      </c>
      <c r="I52" s="1" t="s">
        <v>258</v>
      </c>
      <c r="J52" s="3" t="s">
        <v>43</v>
      </c>
      <c r="K52" s="3" t="s">
        <v>22</v>
      </c>
      <c r="L52" s="1" t="s">
        <v>23</v>
      </c>
      <c r="M52" s="3"/>
      <c r="N52" s="3"/>
    </row>
    <row r="53" spans="1:14">
      <c r="A53" s="1" t="s">
        <v>259</v>
      </c>
      <c r="B53" s="1" t="s">
        <v>241</v>
      </c>
      <c r="C53" s="1" t="s">
        <v>16</v>
      </c>
      <c r="D53" s="1" t="s">
        <v>35</v>
      </c>
      <c r="E53" s="3" t="s">
        <v>260</v>
      </c>
      <c r="F53" s="3" t="s">
        <v>260</v>
      </c>
      <c r="G53" s="1">
        <v>14</v>
      </c>
      <c r="H53" s="3" t="s">
        <v>261</v>
      </c>
      <c r="I53" s="1" t="s">
        <v>22</v>
      </c>
      <c r="J53" s="3" t="s">
        <v>262</v>
      </c>
      <c r="K53" s="3" t="s">
        <v>22</v>
      </c>
      <c r="L53" s="1" t="s">
        <v>23</v>
      </c>
      <c r="M53" s="3"/>
      <c r="N53" s="3"/>
    </row>
    <row r="54" spans="1:14">
      <c r="A54" s="1" t="s">
        <v>263</v>
      </c>
      <c r="B54" s="1" t="s">
        <v>241</v>
      </c>
      <c r="C54" s="1" t="s">
        <v>45</v>
      </c>
      <c r="D54" s="1" t="s">
        <v>17</v>
      </c>
      <c r="E54" s="3" t="s">
        <v>264</v>
      </c>
      <c r="F54" s="3" t="s">
        <v>264</v>
      </c>
      <c r="G54" s="1">
        <v>17</v>
      </c>
      <c r="H54" s="3" t="s">
        <v>265</v>
      </c>
      <c r="I54" s="1" t="s">
        <v>266</v>
      </c>
      <c r="J54" s="3" t="s">
        <v>53</v>
      </c>
      <c r="K54" s="3" t="s">
        <v>49</v>
      </c>
      <c r="L54" s="1" t="s">
        <v>23</v>
      </c>
      <c r="M54" s="3"/>
      <c r="N54" s="3"/>
    </row>
    <row r="55" spans="1:14">
      <c r="A55" s="1" t="s">
        <v>267</v>
      </c>
      <c r="B55" s="1" t="s">
        <v>241</v>
      </c>
      <c r="C55" s="1" t="s">
        <v>45</v>
      </c>
      <c r="D55" s="1" t="s">
        <v>17</v>
      </c>
      <c r="E55" s="3" t="s">
        <v>268</v>
      </c>
      <c r="F55" s="3" t="s">
        <v>268</v>
      </c>
      <c r="G55" s="1">
        <v>15</v>
      </c>
      <c r="H55" s="3" t="s">
        <v>269</v>
      </c>
      <c r="I55" s="1" t="s">
        <v>270</v>
      </c>
      <c r="J55" s="3" t="s">
        <v>53</v>
      </c>
      <c r="K55" s="3" t="s">
        <v>49</v>
      </c>
      <c r="L55" s="1" t="s">
        <v>23</v>
      </c>
      <c r="M55" s="3"/>
      <c r="N55" s="3"/>
    </row>
    <row r="56" spans="1:14">
      <c r="A56" s="1" t="s">
        <v>271</v>
      </c>
      <c r="B56" s="1" t="s">
        <v>241</v>
      </c>
      <c r="C56" s="1" t="s">
        <v>45</v>
      </c>
      <c r="D56" s="1" t="s">
        <v>30</v>
      </c>
      <c r="E56" s="3" t="s">
        <v>272</v>
      </c>
      <c r="F56" s="3" t="s">
        <v>272</v>
      </c>
      <c r="G56" s="1">
        <v>11</v>
      </c>
      <c r="H56" s="3" t="s">
        <v>273</v>
      </c>
      <c r="I56" s="1" t="s">
        <v>274</v>
      </c>
      <c r="J56" s="3" t="s">
        <v>275</v>
      </c>
      <c r="K56" s="3" t="s">
        <v>49</v>
      </c>
      <c r="L56" s="1" t="s">
        <v>23</v>
      </c>
      <c r="M56" s="3"/>
      <c r="N56" s="3"/>
    </row>
    <row r="57" spans="1:14" ht="32">
      <c r="A57" s="1" t="s">
        <v>276</v>
      </c>
      <c r="B57" s="1" t="s">
        <v>241</v>
      </c>
      <c r="C57" s="1" t="s">
        <v>45</v>
      </c>
      <c r="D57" s="1" t="s">
        <v>30</v>
      </c>
      <c r="E57" s="3" t="s">
        <v>277</v>
      </c>
      <c r="F57" s="3" t="s">
        <v>277</v>
      </c>
      <c r="G57" s="1">
        <v>14</v>
      </c>
      <c r="H57" s="3" t="s">
        <v>278</v>
      </c>
      <c r="I57" s="1" t="s">
        <v>22</v>
      </c>
      <c r="J57" s="3" t="s">
        <v>48</v>
      </c>
      <c r="K57" s="3" t="s">
        <v>49</v>
      </c>
      <c r="L57" s="1" t="s">
        <v>23</v>
      </c>
      <c r="M57" s="3"/>
      <c r="N57" s="3"/>
    </row>
    <row r="58" spans="1:14">
      <c r="A58" s="1" t="s">
        <v>279</v>
      </c>
      <c r="B58" s="1" t="s">
        <v>241</v>
      </c>
      <c r="C58" s="1" t="s">
        <v>45</v>
      </c>
      <c r="D58" s="1" t="s">
        <v>35</v>
      </c>
      <c r="E58" s="3" t="s">
        <v>280</v>
      </c>
      <c r="F58" s="3" t="s">
        <v>280</v>
      </c>
      <c r="G58" s="1">
        <v>14</v>
      </c>
      <c r="H58" s="3" t="s">
        <v>281</v>
      </c>
      <c r="I58" s="1" t="s">
        <v>22</v>
      </c>
      <c r="J58" s="3" t="s">
        <v>282</v>
      </c>
      <c r="K58" s="3" t="s">
        <v>49</v>
      </c>
      <c r="L58" s="1" t="s">
        <v>23</v>
      </c>
      <c r="M58" s="3"/>
      <c r="N58" s="3"/>
    </row>
    <row r="59" spans="1:14" ht="32">
      <c r="A59" s="1" t="s">
        <v>283</v>
      </c>
      <c r="B59" s="1" t="s">
        <v>241</v>
      </c>
      <c r="C59" s="1" t="s">
        <v>45</v>
      </c>
      <c r="D59" s="1" t="s">
        <v>35</v>
      </c>
      <c r="E59" s="3" t="s">
        <v>284</v>
      </c>
      <c r="F59" s="3" t="s">
        <v>284</v>
      </c>
      <c r="G59" s="1">
        <v>13</v>
      </c>
      <c r="H59" s="3" t="s">
        <v>285</v>
      </c>
      <c r="I59" s="1" t="s">
        <v>125</v>
      </c>
      <c r="J59" s="3" t="s">
        <v>286</v>
      </c>
      <c r="K59" s="3" t="s">
        <v>49</v>
      </c>
      <c r="L59" s="1" t="s">
        <v>23</v>
      </c>
      <c r="M59" s="3"/>
      <c r="N59" s="3"/>
    </row>
    <row r="60" spans="1:14">
      <c r="A60" s="1" t="s">
        <v>287</v>
      </c>
      <c r="B60" s="1" t="s">
        <v>241</v>
      </c>
      <c r="C60" s="1" t="s">
        <v>67</v>
      </c>
      <c r="D60" s="1" t="s">
        <v>17</v>
      </c>
      <c r="E60" s="3" t="s">
        <v>288</v>
      </c>
      <c r="F60" s="3" t="s">
        <v>288</v>
      </c>
      <c r="G60" s="1">
        <v>15</v>
      </c>
      <c r="H60" s="3" t="s">
        <v>289</v>
      </c>
      <c r="I60" s="1" t="s">
        <v>266</v>
      </c>
      <c r="J60" s="3" t="s">
        <v>70</v>
      </c>
      <c r="K60" s="3" t="s">
        <v>22</v>
      </c>
      <c r="L60" s="1" t="s">
        <v>23</v>
      </c>
      <c r="M60" s="3"/>
      <c r="N60" s="3"/>
    </row>
    <row r="61" spans="1:14">
      <c r="A61" s="1" t="s">
        <v>290</v>
      </c>
      <c r="B61" s="1" t="s">
        <v>241</v>
      </c>
      <c r="C61" s="1" t="s">
        <v>67</v>
      </c>
      <c r="D61" s="1" t="s">
        <v>17</v>
      </c>
      <c r="E61" s="3" t="s">
        <v>291</v>
      </c>
      <c r="F61" s="3" t="s">
        <v>291</v>
      </c>
      <c r="G61" s="1">
        <v>15</v>
      </c>
      <c r="H61" s="3" t="s">
        <v>292</v>
      </c>
      <c r="I61" s="1" t="s">
        <v>293</v>
      </c>
      <c r="J61" s="3" t="s">
        <v>70</v>
      </c>
      <c r="K61" s="3" t="s">
        <v>22</v>
      </c>
      <c r="L61" s="1" t="s">
        <v>23</v>
      </c>
      <c r="M61" s="3"/>
      <c r="N61" s="3"/>
    </row>
    <row r="62" spans="1:14">
      <c r="A62" s="1" t="s">
        <v>294</v>
      </c>
      <c r="B62" s="1" t="s">
        <v>241</v>
      </c>
      <c r="C62" s="1" t="s">
        <v>67</v>
      </c>
      <c r="D62" s="1" t="s">
        <v>30</v>
      </c>
      <c r="E62" s="3" t="s">
        <v>295</v>
      </c>
      <c r="F62" s="3" t="s">
        <v>295</v>
      </c>
      <c r="G62" s="1">
        <v>14</v>
      </c>
      <c r="H62" s="3" t="s">
        <v>296</v>
      </c>
      <c r="I62" s="1" t="s">
        <v>251</v>
      </c>
      <c r="J62" s="3" t="s">
        <v>70</v>
      </c>
      <c r="K62" s="3" t="s">
        <v>127</v>
      </c>
      <c r="L62" s="1" t="s">
        <v>23</v>
      </c>
      <c r="M62" s="3"/>
      <c r="N62" s="3"/>
    </row>
    <row r="63" spans="1:14">
      <c r="A63" s="1" t="s">
        <v>297</v>
      </c>
      <c r="B63" s="1" t="s">
        <v>241</v>
      </c>
      <c r="C63" s="1" t="s">
        <v>67</v>
      </c>
      <c r="D63" s="1" t="s">
        <v>30</v>
      </c>
      <c r="E63" s="3" t="s">
        <v>298</v>
      </c>
      <c r="F63" s="3" t="s">
        <v>298</v>
      </c>
      <c r="G63" s="1">
        <v>15</v>
      </c>
      <c r="H63" s="3" t="s">
        <v>299</v>
      </c>
      <c r="I63" s="1" t="s">
        <v>22</v>
      </c>
      <c r="J63" s="3" t="s">
        <v>70</v>
      </c>
      <c r="K63" s="3" t="s">
        <v>22</v>
      </c>
      <c r="L63" s="1" t="s">
        <v>23</v>
      </c>
      <c r="M63" s="3"/>
      <c r="N63" s="3"/>
    </row>
    <row r="64" spans="1:14">
      <c r="A64" s="1" t="s">
        <v>300</v>
      </c>
      <c r="B64" s="1" t="s">
        <v>241</v>
      </c>
      <c r="C64" s="1" t="s">
        <v>67</v>
      </c>
      <c r="D64" s="1" t="s">
        <v>35</v>
      </c>
      <c r="E64" s="3" t="s">
        <v>301</v>
      </c>
      <c r="F64" s="3" t="s">
        <v>301</v>
      </c>
      <c r="G64" s="1">
        <v>10</v>
      </c>
      <c r="H64" s="3" t="s">
        <v>302</v>
      </c>
      <c r="I64" s="1" t="s">
        <v>22</v>
      </c>
      <c r="J64" s="3" t="s">
        <v>70</v>
      </c>
      <c r="K64" s="3" t="s">
        <v>127</v>
      </c>
      <c r="L64" s="1" t="s">
        <v>23</v>
      </c>
      <c r="M64" s="3"/>
      <c r="N64" s="3"/>
    </row>
    <row r="65" spans="1:14">
      <c r="A65" s="1" t="s">
        <v>303</v>
      </c>
      <c r="B65" s="1" t="s">
        <v>241</v>
      </c>
      <c r="C65" s="1" t="s">
        <v>67</v>
      </c>
      <c r="D65" s="1" t="s">
        <v>35</v>
      </c>
      <c r="E65" s="3" t="s">
        <v>304</v>
      </c>
      <c r="F65" s="3" t="s">
        <v>304</v>
      </c>
      <c r="G65" s="1">
        <v>17</v>
      </c>
      <c r="H65" s="3" t="s">
        <v>305</v>
      </c>
      <c r="I65" s="1" t="s">
        <v>22</v>
      </c>
      <c r="J65" s="3" t="s">
        <v>48</v>
      </c>
      <c r="K65" s="3" t="s">
        <v>49</v>
      </c>
      <c r="L65" s="1" t="s">
        <v>23</v>
      </c>
      <c r="M65" s="3"/>
      <c r="N65" s="3"/>
    </row>
    <row r="66" spans="1:14">
      <c r="A66" s="1" t="s">
        <v>306</v>
      </c>
      <c r="B66" s="1" t="s">
        <v>241</v>
      </c>
      <c r="C66" s="1" t="s">
        <v>87</v>
      </c>
      <c r="D66" s="1" t="s">
        <v>17</v>
      </c>
      <c r="E66" s="3" t="s">
        <v>307</v>
      </c>
      <c r="F66" s="3" t="s">
        <v>307</v>
      </c>
      <c r="G66" s="1">
        <v>13</v>
      </c>
      <c r="H66" s="3" t="s">
        <v>308</v>
      </c>
      <c r="I66" s="1" t="s">
        <v>22</v>
      </c>
      <c r="J66" s="3" t="s">
        <v>90</v>
      </c>
      <c r="K66" s="3" t="s">
        <v>22</v>
      </c>
      <c r="L66" s="1" t="s">
        <v>23</v>
      </c>
      <c r="M66" s="3"/>
      <c r="N66" s="3"/>
    </row>
    <row r="67" spans="1:14">
      <c r="A67" s="1" t="s">
        <v>309</v>
      </c>
      <c r="B67" s="1" t="s">
        <v>241</v>
      </c>
      <c r="C67" s="1" t="s">
        <v>87</v>
      </c>
      <c r="D67" s="1" t="s">
        <v>17</v>
      </c>
      <c r="E67" s="3" t="s">
        <v>310</v>
      </c>
      <c r="F67" s="3" t="s">
        <v>310</v>
      </c>
      <c r="G67" s="1">
        <v>11</v>
      </c>
      <c r="H67" s="3" t="s">
        <v>311</v>
      </c>
      <c r="I67" s="1" t="s">
        <v>22</v>
      </c>
      <c r="J67" s="3" t="s">
        <v>312</v>
      </c>
      <c r="K67" s="3" t="s">
        <v>22</v>
      </c>
      <c r="L67" s="1" t="s">
        <v>23</v>
      </c>
      <c r="M67" s="3"/>
      <c r="N67" s="3"/>
    </row>
    <row r="68" spans="1:14">
      <c r="A68" s="1" t="s">
        <v>313</v>
      </c>
      <c r="B68" s="1" t="s">
        <v>241</v>
      </c>
      <c r="C68" s="1" t="s">
        <v>87</v>
      </c>
      <c r="D68" s="1" t="s">
        <v>30</v>
      </c>
      <c r="E68" s="3" t="s">
        <v>314</v>
      </c>
      <c r="F68" s="3" t="s">
        <v>314</v>
      </c>
      <c r="G68" s="1">
        <v>16</v>
      </c>
      <c r="H68" s="3" t="s">
        <v>315</v>
      </c>
      <c r="I68" s="1" t="s">
        <v>22</v>
      </c>
      <c r="J68" s="3" t="s">
        <v>316</v>
      </c>
      <c r="K68" s="3" t="s">
        <v>22</v>
      </c>
      <c r="L68" s="1" t="s">
        <v>23</v>
      </c>
      <c r="M68" s="3"/>
      <c r="N68" s="3"/>
    </row>
    <row r="69" spans="1:14">
      <c r="A69" s="1" t="s">
        <v>317</v>
      </c>
      <c r="B69" s="1" t="s">
        <v>241</v>
      </c>
      <c r="C69" s="1" t="s">
        <v>87</v>
      </c>
      <c r="D69" s="1" t="s">
        <v>30</v>
      </c>
      <c r="E69" s="3" t="s">
        <v>318</v>
      </c>
      <c r="F69" s="3" t="s">
        <v>318</v>
      </c>
      <c r="G69" s="1">
        <v>13</v>
      </c>
      <c r="H69" s="3" t="s">
        <v>319</v>
      </c>
      <c r="I69" s="1" t="s">
        <v>22</v>
      </c>
      <c r="J69" s="3" t="s">
        <v>90</v>
      </c>
      <c r="K69" s="3" t="s">
        <v>22</v>
      </c>
      <c r="L69" s="1" t="s">
        <v>23</v>
      </c>
      <c r="M69" s="3"/>
      <c r="N69" s="3"/>
    </row>
    <row r="70" spans="1:14">
      <c r="A70" s="1" t="s">
        <v>320</v>
      </c>
      <c r="B70" s="1" t="s">
        <v>241</v>
      </c>
      <c r="C70" s="1" t="s">
        <v>87</v>
      </c>
      <c r="D70" s="1" t="s">
        <v>35</v>
      </c>
      <c r="E70" s="3" t="s">
        <v>321</v>
      </c>
      <c r="F70" s="3" t="s">
        <v>321</v>
      </c>
      <c r="G70" s="1">
        <v>12</v>
      </c>
      <c r="H70" s="3" t="s">
        <v>322</v>
      </c>
      <c r="I70" s="1" t="s">
        <v>270</v>
      </c>
      <c r="J70" s="3" t="s">
        <v>90</v>
      </c>
      <c r="K70" s="3" t="s">
        <v>22</v>
      </c>
      <c r="L70" s="1" t="s">
        <v>23</v>
      </c>
      <c r="M70" s="3"/>
      <c r="N70" s="3"/>
    </row>
    <row r="71" spans="1:14">
      <c r="A71" s="1" t="s">
        <v>323</v>
      </c>
      <c r="B71" s="1" t="s">
        <v>241</v>
      </c>
      <c r="C71" s="1" t="s">
        <v>87</v>
      </c>
      <c r="D71" s="1" t="s">
        <v>35</v>
      </c>
      <c r="E71" s="3" t="s">
        <v>324</v>
      </c>
      <c r="F71" s="3" t="s">
        <v>324</v>
      </c>
      <c r="G71" s="1">
        <v>12</v>
      </c>
      <c r="H71" s="3" t="s">
        <v>325</v>
      </c>
      <c r="I71" s="1" t="s">
        <v>22</v>
      </c>
      <c r="J71" s="3" t="s">
        <v>326</v>
      </c>
      <c r="K71" s="3" t="s">
        <v>22</v>
      </c>
      <c r="L71" s="1" t="s">
        <v>23</v>
      </c>
      <c r="M71" s="3"/>
      <c r="N71" s="3"/>
    </row>
    <row r="72" spans="1:14">
      <c r="A72" s="1" t="s">
        <v>327</v>
      </c>
      <c r="B72" s="1" t="s">
        <v>241</v>
      </c>
      <c r="C72" s="1" t="s">
        <v>122</v>
      </c>
      <c r="D72" s="1" t="s">
        <v>17</v>
      </c>
      <c r="E72" s="3" t="s">
        <v>328</v>
      </c>
      <c r="F72" s="3" t="s">
        <v>328</v>
      </c>
      <c r="G72" s="1">
        <v>11</v>
      </c>
      <c r="H72" s="3" t="s">
        <v>329</v>
      </c>
      <c r="I72" s="1" t="s">
        <v>125</v>
      </c>
      <c r="J72" s="3" t="s">
        <v>330</v>
      </c>
      <c r="K72" s="3" t="s">
        <v>127</v>
      </c>
      <c r="L72" s="1" t="s">
        <v>23</v>
      </c>
      <c r="M72" s="3"/>
      <c r="N72" s="3"/>
    </row>
    <row r="73" spans="1:14" ht="48">
      <c r="A73" s="1" t="s">
        <v>331</v>
      </c>
      <c r="B73" s="1" t="s">
        <v>241</v>
      </c>
      <c r="C73" s="1" t="s">
        <v>122</v>
      </c>
      <c r="D73" s="1" t="s">
        <v>17</v>
      </c>
      <c r="E73" s="3" t="s">
        <v>332</v>
      </c>
      <c r="F73" s="3" t="s">
        <v>332</v>
      </c>
      <c r="G73" s="1">
        <v>16</v>
      </c>
      <c r="H73" s="3" t="s">
        <v>333</v>
      </c>
      <c r="I73" s="1" t="s">
        <v>125</v>
      </c>
      <c r="J73" s="3" t="s">
        <v>334</v>
      </c>
      <c r="K73" s="3" t="s">
        <v>127</v>
      </c>
      <c r="L73" s="1" t="s">
        <v>143</v>
      </c>
      <c r="M73" s="3" t="s">
        <v>224</v>
      </c>
      <c r="N73" s="3" t="s">
        <v>225</v>
      </c>
    </row>
    <row r="74" spans="1:14">
      <c r="A74" s="1" t="s">
        <v>335</v>
      </c>
      <c r="B74" s="1" t="s">
        <v>241</v>
      </c>
      <c r="C74" s="1" t="s">
        <v>122</v>
      </c>
      <c r="D74" s="1" t="s">
        <v>30</v>
      </c>
      <c r="E74" s="3" t="s">
        <v>336</v>
      </c>
      <c r="F74" s="3" t="s">
        <v>336</v>
      </c>
      <c r="G74" s="1">
        <v>12</v>
      </c>
      <c r="H74" s="3" t="s">
        <v>337</v>
      </c>
      <c r="I74" s="1" t="s">
        <v>125</v>
      </c>
      <c r="J74" s="3" t="s">
        <v>262</v>
      </c>
      <c r="K74" s="3" t="s">
        <v>127</v>
      </c>
      <c r="L74" s="1" t="s">
        <v>23</v>
      </c>
      <c r="M74" s="3"/>
      <c r="N74" s="3"/>
    </row>
    <row r="75" spans="1:14">
      <c r="A75" s="1" t="s">
        <v>338</v>
      </c>
      <c r="B75" s="1" t="s">
        <v>241</v>
      </c>
      <c r="C75" s="1" t="s">
        <v>122</v>
      </c>
      <c r="D75" s="1" t="s">
        <v>30</v>
      </c>
      <c r="E75" s="3" t="s">
        <v>339</v>
      </c>
      <c r="F75" s="3" t="s">
        <v>339</v>
      </c>
      <c r="G75" s="1">
        <v>16</v>
      </c>
      <c r="H75" s="3" t="s">
        <v>340</v>
      </c>
      <c r="I75" s="1" t="s">
        <v>274</v>
      </c>
      <c r="J75" s="3" t="s">
        <v>341</v>
      </c>
      <c r="K75" s="3" t="s">
        <v>127</v>
      </c>
      <c r="L75" s="1" t="s">
        <v>23</v>
      </c>
      <c r="M75" s="3"/>
      <c r="N75" s="3"/>
    </row>
    <row r="76" spans="1:14" ht="48">
      <c r="A76" s="1" t="s">
        <v>342</v>
      </c>
      <c r="B76" s="1" t="s">
        <v>241</v>
      </c>
      <c r="C76" s="1" t="s">
        <v>122</v>
      </c>
      <c r="D76" s="1" t="s">
        <v>35</v>
      </c>
      <c r="E76" s="3" t="s">
        <v>343</v>
      </c>
      <c r="F76" s="3" t="s">
        <v>343</v>
      </c>
      <c r="G76" s="1">
        <v>13</v>
      </c>
      <c r="H76" s="3" t="s">
        <v>344</v>
      </c>
      <c r="I76" s="1" t="s">
        <v>125</v>
      </c>
      <c r="J76" s="3" t="s">
        <v>345</v>
      </c>
      <c r="K76" s="3" t="s">
        <v>127</v>
      </c>
      <c r="L76" s="1" t="s">
        <v>143</v>
      </c>
      <c r="M76" s="3" t="s">
        <v>144</v>
      </c>
      <c r="N76" s="3" t="s">
        <v>145</v>
      </c>
    </row>
    <row r="77" spans="1:14">
      <c r="A77" s="1" t="s">
        <v>346</v>
      </c>
      <c r="B77" s="1" t="s">
        <v>241</v>
      </c>
      <c r="C77" s="1" t="s">
        <v>147</v>
      </c>
      <c r="D77" s="1" t="s">
        <v>17</v>
      </c>
      <c r="E77" s="3" t="s">
        <v>347</v>
      </c>
      <c r="F77" s="3" t="s">
        <v>347</v>
      </c>
      <c r="G77" s="1">
        <v>13</v>
      </c>
      <c r="H77" s="3" t="s">
        <v>348</v>
      </c>
      <c r="I77" s="1" t="s">
        <v>22</v>
      </c>
      <c r="J77" s="3" t="s">
        <v>164</v>
      </c>
      <c r="K77" s="3" t="s">
        <v>127</v>
      </c>
      <c r="L77" s="1" t="s">
        <v>23</v>
      </c>
      <c r="M77" s="3"/>
      <c r="N77" s="3"/>
    </row>
    <row r="78" spans="1:14">
      <c r="A78" s="1" t="s">
        <v>349</v>
      </c>
      <c r="B78" s="1" t="s">
        <v>241</v>
      </c>
      <c r="C78" s="1" t="s">
        <v>147</v>
      </c>
      <c r="D78" s="1" t="s">
        <v>17</v>
      </c>
      <c r="E78" s="3" t="s">
        <v>350</v>
      </c>
      <c r="F78" s="3" t="s">
        <v>350</v>
      </c>
      <c r="G78" s="1">
        <v>12</v>
      </c>
      <c r="H78" s="3" t="s">
        <v>351</v>
      </c>
      <c r="I78" s="1" t="s">
        <v>22</v>
      </c>
      <c r="J78" s="3" t="s">
        <v>164</v>
      </c>
      <c r="K78" s="3" t="s">
        <v>127</v>
      </c>
      <c r="L78" s="1" t="s">
        <v>23</v>
      </c>
      <c r="M78" s="3"/>
      <c r="N78" s="3"/>
    </row>
    <row r="79" spans="1:14">
      <c r="A79" s="1" t="s">
        <v>352</v>
      </c>
      <c r="B79" s="1" t="s">
        <v>241</v>
      </c>
      <c r="C79" s="1" t="s">
        <v>147</v>
      </c>
      <c r="D79" s="1" t="s">
        <v>30</v>
      </c>
      <c r="E79" s="3" t="s">
        <v>353</v>
      </c>
      <c r="F79" s="3" t="s">
        <v>353</v>
      </c>
      <c r="G79" s="1">
        <v>14</v>
      </c>
      <c r="H79" s="3" t="s">
        <v>354</v>
      </c>
      <c r="I79" s="1" t="s">
        <v>22</v>
      </c>
      <c r="J79" s="3" t="s">
        <v>355</v>
      </c>
      <c r="K79" s="3" t="s">
        <v>127</v>
      </c>
      <c r="L79" s="1" t="s">
        <v>23</v>
      </c>
      <c r="M79" s="3"/>
      <c r="N79" s="3"/>
    </row>
    <row r="80" spans="1:14">
      <c r="A80" s="1" t="s">
        <v>356</v>
      </c>
      <c r="B80" s="1" t="s">
        <v>241</v>
      </c>
      <c r="C80" s="1" t="s">
        <v>147</v>
      </c>
      <c r="D80" s="1" t="s">
        <v>30</v>
      </c>
      <c r="E80" s="3" t="s">
        <v>357</v>
      </c>
      <c r="F80" s="3" t="s">
        <v>357</v>
      </c>
      <c r="G80" s="1">
        <v>16</v>
      </c>
      <c r="H80" s="3" t="s">
        <v>358</v>
      </c>
      <c r="I80" s="1" t="s">
        <v>270</v>
      </c>
      <c r="J80" s="3" t="s">
        <v>150</v>
      </c>
      <c r="K80" s="3" t="s">
        <v>127</v>
      </c>
      <c r="L80" s="1" t="s">
        <v>23</v>
      </c>
      <c r="M80" s="3"/>
      <c r="N80" s="3"/>
    </row>
    <row r="81" spans="1:14">
      <c r="A81" s="1" t="s">
        <v>359</v>
      </c>
      <c r="B81" s="1" t="s">
        <v>241</v>
      </c>
      <c r="C81" s="1" t="s">
        <v>147</v>
      </c>
      <c r="D81" s="1" t="s">
        <v>35</v>
      </c>
      <c r="E81" s="3" t="s">
        <v>360</v>
      </c>
      <c r="F81" s="3" t="s">
        <v>360</v>
      </c>
      <c r="G81" s="1">
        <v>15</v>
      </c>
      <c r="H81" s="3" t="s">
        <v>361</v>
      </c>
      <c r="I81" s="1" t="s">
        <v>362</v>
      </c>
      <c r="J81" s="3" t="s">
        <v>33</v>
      </c>
      <c r="K81" s="3" t="s">
        <v>85</v>
      </c>
      <c r="L81" s="1" t="s">
        <v>23</v>
      </c>
      <c r="M81" s="3"/>
      <c r="N81" s="3"/>
    </row>
    <row r="82" spans="1:14" ht="32">
      <c r="A82" s="1" t="s">
        <v>363</v>
      </c>
      <c r="B82" s="1" t="s">
        <v>241</v>
      </c>
      <c r="C82" s="1" t="s">
        <v>147</v>
      </c>
      <c r="D82" s="1" t="s">
        <v>35</v>
      </c>
      <c r="E82" s="3" t="s">
        <v>364</v>
      </c>
      <c r="F82" s="3" t="s">
        <v>364</v>
      </c>
      <c r="G82" s="1">
        <v>8</v>
      </c>
      <c r="H82" s="3" t="s">
        <v>365</v>
      </c>
      <c r="I82" s="1" t="s">
        <v>22</v>
      </c>
      <c r="J82" s="3" t="s">
        <v>366</v>
      </c>
      <c r="K82" s="3" t="s">
        <v>168</v>
      </c>
      <c r="L82" s="1" t="s">
        <v>23</v>
      </c>
      <c r="M82" s="3"/>
      <c r="N82" s="3"/>
    </row>
    <row r="83" spans="1:14">
      <c r="A83" s="1" t="s">
        <v>367</v>
      </c>
      <c r="B83" s="1" t="s">
        <v>241</v>
      </c>
      <c r="C83" s="1" t="s">
        <v>170</v>
      </c>
      <c r="D83" s="1" t="s">
        <v>17</v>
      </c>
      <c r="E83" s="3" t="s">
        <v>368</v>
      </c>
      <c r="F83" s="3" t="s">
        <v>368</v>
      </c>
      <c r="G83" s="1">
        <v>13</v>
      </c>
      <c r="H83" s="3" t="s">
        <v>369</v>
      </c>
      <c r="I83" s="1" t="s">
        <v>22</v>
      </c>
      <c r="J83" s="3" t="s">
        <v>370</v>
      </c>
      <c r="K83" s="3" t="s">
        <v>174</v>
      </c>
      <c r="L83" s="1" t="s">
        <v>23</v>
      </c>
      <c r="M83" s="3"/>
      <c r="N83" s="3"/>
    </row>
    <row r="84" spans="1:14">
      <c r="A84" s="1" t="s">
        <v>371</v>
      </c>
      <c r="B84" s="1" t="s">
        <v>241</v>
      </c>
      <c r="C84" s="1" t="s">
        <v>170</v>
      </c>
      <c r="D84" s="1" t="s">
        <v>17</v>
      </c>
      <c r="E84" s="3" t="s">
        <v>372</v>
      </c>
      <c r="F84" s="3" t="s">
        <v>372</v>
      </c>
      <c r="G84" s="1">
        <v>18</v>
      </c>
      <c r="H84" s="3" t="s">
        <v>373</v>
      </c>
      <c r="I84" s="1" t="s">
        <v>266</v>
      </c>
      <c r="J84" s="3" t="s">
        <v>53</v>
      </c>
      <c r="K84" s="3" t="s">
        <v>174</v>
      </c>
      <c r="L84" s="1" t="s">
        <v>23</v>
      </c>
      <c r="M84" s="3"/>
      <c r="N84" s="3"/>
    </row>
    <row r="85" spans="1:14" ht="32">
      <c r="A85" s="1" t="s">
        <v>374</v>
      </c>
      <c r="B85" s="1" t="s">
        <v>241</v>
      </c>
      <c r="C85" s="1" t="s">
        <v>170</v>
      </c>
      <c r="D85" s="1" t="s">
        <v>30</v>
      </c>
      <c r="E85" s="3" t="s">
        <v>375</v>
      </c>
      <c r="F85" s="3" t="s">
        <v>375</v>
      </c>
      <c r="G85" s="1">
        <v>14</v>
      </c>
      <c r="H85" s="3" t="s">
        <v>376</v>
      </c>
      <c r="I85" s="1" t="s">
        <v>22</v>
      </c>
      <c r="J85" s="3" t="s">
        <v>377</v>
      </c>
      <c r="K85" s="3" t="s">
        <v>174</v>
      </c>
      <c r="L85" s="1" t="s">
        <v>23</v>
      </c>
      <c r="M85" s="3"/>
      <c r="N85" s="3"/>
    </row>
    <row r="86" spans="1:14">
      <c r="A86" s="1" t="s">
        <v>378</v>
      </c>
      <c r="B86" s="1" t="s">
        <v>241</v>
      </c>
      <c r="C86" s="1" t="s">
        <v>170</v>
      </c>
      <c r="D86" s="1" t="s">
        <v>30</v>
      </c>
      <c r="E86" s="3" t="s">
        <v>379</v>
      </c>
      <c r="F86" s="3" t="s">
        <v>379</v>
      </c>
      <c r="G86" s="1">
        <v>13</v>
      </c>
      <c r="H86" s="3" t="s">
        <v>380</v>
      </c>
      <c r="I86" s="1" t="s">
        <v>22</v>
      </c>
      <c r="J86" s="3" t="s">
        <v>381</v>
      </c>
      <c r="K86" s="3" t="s">
        <v>174</v>
      </c>
      <c r="L86" s="1" t="s">
        <v>23</v>
      </c>
      <c r="M86" s="3"/>
      <c r="N86" s="3"/>
    </row>
    <row r="87" spans="1:14">
      <c r="A87" s="1" t="s">
        <v>382</v>
      </c>
      <c r="B87" s="1" t="s">
        <v>241</v>
      </c>
      <c r="C87" s="1" t="s">
        <v>170</v>
      </c>
      <c r="D87" s="1" t="s">
        <v>35</v>
      </c>
      <c r="E87" s="3" t="s">
        <v>383</v>
      </c>
      <c r="F87" s="3" t="s">
        <v>383</v>
      </c>
      <c r="G87" s="1">
        <v>15</v>
      </c>
      <c r="H87" s="3" t="s">
        <v>384</v>
      </c>
      <c r="I87" s="1" t="s">
        <v>22</v>
      </c>
      <c r="J87" s="3" t="s">
        <v>385</v>
      </c>
      <c r="K87" s="3" t="s">
        <v>174</v>
      </c>
      <c r="L87" s="1" t="s">
        <v>23</v>
      </c>
      <c r="M87" s="3"/>
      <c r="N87" s="3"/>
    </row>
    <row r="88" spans="1:14">
      <c r="A88" s="1" t="s">
        <v>386</v>
      </c>
      <c r="B88" s="1" t="s">
        <v>241</v>
      </c>
      <c r="C88" s="1" t="s">
        <v>170</v>
      </c>
      <c r="D88" s="1" t="s">
        <v>35</v>
      </c>
      <c r="E88" s="3" t="s">
        <v>387</v>
      </c>
      <c r="F88" s="3" t="s">
        <v>387</v>
      </c>
      <c r="G88" s="1">
        <v>16</v>
      </c>
      <c r="H88" s="3" t="s">
        <v>388</v>
      </c>
      <c r="I88" s="1" t="s">
        <v>125</v>
      </c>
      <c r="J88" s="3" t="s">
        <v>389</v>
      </c>
      <c r="K88" s="3" t="s">
        <v>183</v>
      </c>
      <c r="L88" s="1" t="s">
        <v>23</v>
      </c>
      <c r="M88" s="3"/>
      <c r="N88" s="3"/>
    </row>
    <row r="89" spans="1:14">
      <c r="A89" s="1" t="s">
        <v>390</v>
      </c>
      <c r="B89" s="1" t="s">
        <v>241</v>
      </c>
      <c r="C89" s="1" t="s">
        <v>192</v>
      </c>
      <c r="D89" s="1" t="s">
        <v>17</v>
      </c>
      <c r="E89" s="3" t="s">
        <v>391</v>
      </c>
      <c r="F89" s="3" t="s">
        <v>391</v>
      </c>
      <c r="G89" s="1">
        <v>9</v>
      </c>
      <c r="H89" s="3" t="s">
        <v>392</v>
      </c>
      <c r="I89" s="1" t="s">
        <v>270</v>
      </c>
      <c r="J89" s="3" t="s">
        <v>199</v>
      </c>
      <c r="K89" s="3" t="s">
        <v>22</v>
      </c>
      <c r="L89" s="1" t="s">
        <v>23</v>
      </c>
      <c r="M89" s="3"/>
      <c r="N89" s="3"/>
    </row>
    <row r="90" spans="1:14">
      <c r="A90" s="1" t="s">
        <v>393</v>
      </c>
      <c r="B90" s="1" t="s">
        <v>241</v>
      </c>
      <c r="C90" s="1" t="s">
        <v>192</v>
      </c>
      <c r="D90" s="1" t="s">
        <v>17</v>
      </c>
      <c r="E90" s="3" t="s">
        <v>394</v>
      </c>
      <c r="F90" s="3" t="s">
        <v>394</v>
      </c>
      <c r="G90" s="1">
        <v>16</v>
      </c>
      <c r="H90" s="3" t="s">
        <v>395</v>
      </c>
      <c r="I90" s="1" t="s">
        <v>22</v>
      </c>
      <c r="J90" s="3" t="s">
        <v>396</v>
      </c>
      <c r="K90" s="3" t="s">
        <v>22</v>
      </c>
      <c r="L90" s="1" t="s">
        <v>23</v>
      </c>
      <c r="M90" s="3"/>
      <c r="N90" s="3"/>
    </row>
    <row r="91" spans="1:14">
      <c r="A91" s="1" t="s">
        <v>397</v>
      </c>
      <c r="B91" s="1" t="s">
        <v>241</v>
      </c>
      <c r="C91" s="1" t="s">
        <v>192</v>
      </c>
      <c r="D91" s="1" t="s">
        <v>30</v>
      </c>
      <c r="E91" s="3" t="s">
        <v>398</v>
      </c>
      <c r="F91" s="3" t="s">
        <v>398</v>
      </c>
      <c r="G91" s="1">
        <v>9</v>
      </c>
      <c r="H91" s="3" t="s">
        <v>399</v>
      </c>
      <c r="I91" s="1" t="s">
        <v>22</v>
      </c>
      <c r="J91" s="3" t="s">
        <v>211</v>
      </c>
      <c r="K91" s="3" t="s">
        <v>22</v>
      </c>
      <c r="L91" s="1" t="s">
        <v>23</v>
      </c>
      <c r="M91" s="3"/>
      <c r="N91" s="3"/>
    </row>
    <row r="92" spans="1:14">
      <c r="A92" s="1" t="s">
        <v>400</v>
      </c>
      <c r="B92" s="1" t="s">
        <v>241</v>
      </c>
      <c r="C92" s="1" t="s">
        <v>192</v>
      </c>
      <c r="D92" s="1" t="s">
        <v>30</v>
      </c>
      <c r="E92" s="3" t="s">
        <v>401</v>
      </c>
      <c r="F92" s="3" t="s">
        <v>401</v>
      </c>
      <c r="G92" s="1">
        <v>15</v>
      </c>
      <c r="H92" s="3" t="s">
        <v>402</v>
      </c>
      <c r="I92" s="1" t="s">
        <v>22</v>
      </c>
      <c r="J92" s="3" t="s">
        <v>207</v>
      </c>
      <c r="K92" s="3" t="s">
        <v>22</v>
      </c>
      <c r="L92" s="1" t="s">
        <v>23</v>
      </c>
      <c r="M92" s="3"/>
      <c r="N92" s="3"/>
    </row>
    <row r="93" spans="1:14">
      <c r="A93" s="1" t="s">
        <v>403</v>
      </c>
      <c r="B93" s="1" t="s">
        <v>241</v>
      </c>
      <c r="C93" s="1" t="s">
        <v>192</v>
      </c>
      <c r="D93" s="1" t="s">
        <v>35</v>
      </c>
      <c r="E93" s="3" t="s">
        <v>404</v>
      </c>
      <c r="F93" s="3" t="s">
        <v>404</v>
      </c>
      <c r="G93" s="1">
        <v>11</v>
      </c>
      <c r="H93" s="3" t="s">
        <v>405</v>
      </c>
      <c r="I93" s="1" t="s">
        <v>270</v>
      </c>
      <c r="J93" s="3" t="s">
        <v>406</v>
      </c>
      <c r="K93" s="3" t="s">
        <v>22</v>
      </c>
      <c r="L93" s="1" t="s">
        <v>23</v>
      </c>
      <c r="M93" s="3"/>
      <c r="N93" s="3"/>
    </row>
    <row r="94" spans="1:14">
      <c r="A94" s="1" t="s">
        <v>407</v>
      </c>
      <c r="B94" s="1" t="s">
        <v>241</v>
      </c>
      <c r="C94" s="1" t="s">
        <v>192</v>
      </c>
      <c r="D94" s="1" t="s">
        <v>35</v>
      </c>
      <c r="E94" s="3" t="s">
        <v>408</v>
      </c>
      <c r="F94" s="3" t="s">
        <v>408</v>
      </c>
      <c r="G94" s="1">
        <v>16</v>
      </c>
      <c r="H94" s="3" t="s">
        <v>409</v>
      </c>
      <c r="I94" s="1" t="s">
        <v>125</v>
      </c>
      <c r="J94" s="3" t="s">
        <v>410</v>
      </c>
      <c r="K94" s="3" t="s">
        <v>22</v>
      </c>
      <c r="L94" s="1" t="s">
        <v>23</v>
      </c>
      <c r="M94" s="3"/>
      <c r="N94" s="3"/>
    </row>
    <row r="95" spans="1:14">
      <c r="A95" s="1" t="s">
        <v>411</v>
      </c>
      <c r="B95" s="1" t="s">
        <v>412</v>
      </c>
      <c r="C95" s="1" t="s">
        <v>16</v>
      </c>
      <c r="D95" s="1" t="s">
        <v>17</v>
      </c>
      <c r="E95" s="3" t="s">
        <v>413</v>
      </c>
      <c r="F95" s="3" t="s">
        <v>413</v>
      </c>
      <c r="G95" s="1">
        <v>16</v>
      </c>
      <c r="H95" s="3" t="s">
        <v>414</v>
      </c>
      <c r="I95" s="1" t="s">
        <v>125</v>
      </c>
      <c r="J95" s="3" t="s">
        <v>150</v>
      </c>
      <c r="K95" s="3" t="s">
        <v>22</v>
      </c>
      <c r="L95" s="1" t="s">
        <v>23</v>
      </c>
      <c r="M95" s="3"/>
      <c r="N95" s="3"/>
    </row>
    <row r="96" spans="1:14">
      <c r="A96" s="1" t="s">
        <v>415</v>
      </c>
      <c r="B96" s="1" t="s">
        <v>412</v>
      </c>
      <c r="C96" s="1" t="s">
        <v>16</v>
      </c>
      <c r="D96" s="1" t="s">
        <v>17</v>
      </c>
      <c r="E96" s="3" t="s">
        <v>416</v>
      </c>
      <c r="F96" s="3" t="s">
        <v>416</v>
      </c>
      <c r="G96" s="1">
        <v>14</v>
      </c>
      <c r="H96" s="3" t="s">
        <v>417</v>
      </c>
      <c r="I96" s="1" t="s">
        <v>251</v>
      </c>
      <c r="J96" s="3" t="s">
        <v>418</v>
      </c>
      <c r="K96" s="3" t="s">
        <v>22</v>
      </c>
      <c r="L96" s="1" t="s">
        <v>23</v>
      </c>
      <c r="M96" s="3"/>
      <c r="N96" s="3"/>
    </row>
    <row r="97" spans="1:14">
      <c r="A97" s="1" t="s">
        <v>419</v>
      </c>
      <c r="B97" s="1" t="s">
        <v>412</v>
      </c>
      <c r="C97" s="1" t="s">
        <v>16</v>
      </c>
      <c r="D97" s="1" t="s">
        <v>30</v>
      </c>
      <c r="E97" s="3" t="s">
        <v>420</v>
      </c>
      <c r="F97" s="3" t="s">
        <v>420</v>
      </c>
      <c r="G97" s="1">
        <v>11</v>
      </c>
      <c r="H97" s="3" t="s">
        <v>421</v>
      </c>
      <c r="I97" s="1" t="s">
        <v>422</v>
      </c>
      <c r="J97" s="3" t="s">
        <v>38</v>
      </c>
      <c r="K97" s="3" t="s">
        <v>22</v>
      </c>
      <c r="L97" s="1" t="s">
        <v>23</v>
      </c>
      <c r="M97" s="3"/>
      <c r="N97" s="3"/>
    </row>
    <row r="98" spans="1:14">
      <c r="A98" s="1" t="s">
        <v>423</v>
      </c>
      <c r="B98" s="1" t="s">
        <v>412</v>
      </c>
      <c r="C98" s="1" t="s">
        <v>16</v>
      </c>
      <c r="D98" s="1" t="s">
        <v>30</v>
      </c>
      <c r="E98" s="3" t="s">
        <v>424</v>
      </c>
      <c r="F98" s="3" t="s">
        <v>424</v>
      </c>
      <c r="G98" s="1">
        <v>16</v>
      </c>
      <c r="H98" s="3" t="s">
        <v>425</v>
      </c>
      <c r="I98" s="1" t="s">
        <v>426</v>
      </c>
      <c r="J98" s="3" t="s">
        <v>43</v>
      </c>
      <c r="K98" s="3" t="s">
        <v>22</v>
      </c>
      <c r="L98" s="1" t="s">
        <v>23</v>
      </c>
      <c r="M98" s="3"/>
      <c r="N98" s="3"/>
    </row>
    <row r="99" spans="1:14">
      <c r="A99" s="1" t="s">
        <v>427</v>
      </c>
      <c r="B99" s="1" t="s">
        <v>412</v>
      </c>
      <c r="C99" s="1" t="s">
        <v>16</v>
      </c>
      <c r="D99" s="1" t="s">
        <v>35</v>
      </c>
      <c r="E99" s="3" t="s">
        <v>428</v>
      </c>
      <c r="F99" s="3" t="s">
        <v>428</v>
      </c>
      <c r="G99" s="1">
        <v>14</v>
      </c>
      <c r="H99" s="3" t="s">
        <v>429</v>
      </c>
      <c r="I99" s="1" t="s">
        <v>430</v>
      </c>
      <c r="J99" s="3" t="s">
        <v>341</v>
      </c>
      <c r="K99" s="3" t="s">
        <v>127</v>
      </c>
      <c r="L99" s="1" t="s">
        <v>23</v>
      </c>
      <c r="M99" s="3"/>
      <c r="N99" s="3"/>
    </row>
    <row r="100" spans="1:14">
      <c r="A100" s="1" t="s">
        <v>431</v>
      </c>
      <c r="B100" s="1" t="s">
        <v>412</v>
      </c>
      <c r="C100" s="1" t="s">
        <v>16</v>
      </c>
      <c r="D100" s="1" t="s">
        <v>35</v>
      </c>
      <c r="E100" s="3" t="s">
        <v>432</v>
      </c>
      <c r="F100" s="3" t="s">
        <v>432</v>
      </c>
      <c r="G100" s="1">
        <v>14</v>
      </c>
      <c r="H100" s="3" t="s">
        <v>433</v>
      </c>
      <c r="I100" s="1" t="s">
        <v>434</v>
      </c>
      <c r="J100" s="3" t="s">
        <v>262</v>
      </c>
      <c r="K100" s="3" t="s">
        <v>22</v>
      </c>
      <c r="L100" s="1" t="s">
        <v>23</v>
      </c>
      <c r="M100" s="3"/>
      <c r="N100" s="3"/>
    </row>
    <row r="101" spans="1:14">
      <c r="A101" s="1" t="s">
        <v>435</v>
      </c>
      <c r="B101" s="1" t="s">
        <v>412</v>
      </c>
      <c r="C101" s="1" t="s">
        <v>45</v>
      </c>
      <c r="D101" s="1" t="s">
        <v>17</v>
      </c>
      <c r="E101" s="3" t="s">
        <v>436</v>
      </c>
      <c r="F101" s="3" t="s">
        <v>436</v>
      </c>
      <c r="G101" s="1">
        <v>16</v>
      </c>
      <c r="H101" s="3" t="s">
        <v>437</v>
      </c>
      <c r="I101" s="1" t="s">
        <v>438</v>
      </c>
      <c r="J101" s="3" t="s">
        <v>53</v>
      </c>
      <c r="K101" s="3" t="s">
        <v>49</v>
      </c>
      <c r="L101" s="1" t="s">
        <v>23</v>
      </c>
      <c r="M101" s="3"/>
      <c r="N101" s="3"/>
    </row>
    <row r="102" spans="1:14">
      <c r="A102" s="1" t="s">
        <v>439</v>
      </c>
      <c r="B102" s="1" t="s">
        <v>412</v>
      </c>
      <c r="C102" s="1" t="s">
        <v>45</v>
      </c>
      <c r="D102" s="1" t="s">
        <v>17</v>
      </c>
      <c r="E102" s="3" t="s">
        <v>440</v>
      </c>
      <c r="F102" s="3" t="s">
        <v>440</v>
      </c>
      <c r="G102" s="1">
        <v>15</v>
      </c>
      <c r="H102" s="3" t="s">
        <v>441</v>
      </c>
      <c r="I102" s="1" t="s">
        <v>422</v>
      </c>
      <c r="J102" s="3" t="s">
        <v>275</v>
      </c>
      <c r="K102" s="3" t="s">
        <v>49</v>
      </c>
      <c r="L102" s="1" t="s">
        <v>23</v>
      </c>
      <c r="M102" s="3"/>
      <c r="N102" s="3"/>
    </row>
    <row r="103" spans="1:14">
      <c r="A103" s="1" t="s">
        <v>442</v>
      </c>
      <c r="B103" s="1" t="s">
        <v>412</v>
      </c>
      <c r="C103" s="1" t="s">
        <v>45</v>
      </c>
      <c r="D103" s="1" t="s">
        <v>30</v>
      </c>
      <c r="E103" s="3" t="s">
        <v>443</v>
      </c>
      <c r="F103" s="3" t="s">
        <v>443</v>
      </c>
      <c r="G103" s="1">
        <v>12</v>
      </c>
      <c r="H103" s="3" t="s">
        <v>444</v>
      </c>
      <c r="I103" s="1" t="s">
        <v>20</v>
      </c>
      <c r="J103" s="3" t="s">
        <v>61</v>
      </c>
      <c r="K103" s="3" t="s">
        <v>49</v>
      </c>
      <c r="L103" s="1" t="s">
        <v>23</v>
      </c>
      <c r="M103" s="3"/>
      <c r="N103" s="3"/>
    </row>
    <row r="104" spans="1:14">
      <c r="A104" s="1" t="s">
        <v>445</v>
      </c>
      <c r="B104" s="1" t="s">
        <v>412</v>
      </c>
      <c r="C104" s="1" t="s">
        <v>45</v>
      </c>
      <c r="D104" s="1" t="s">
        <v>30</v>
      </c>
      <c r="E104" s="3" t="s">
        <v>446</v>
      </c>
      <c r="F104" s="3" t="s">
        <v>446</v>
      </c>
      <c r="G104" s="1">
        <v>16</v>
      </c>
      <c r="H104" s="3" t="s">
        <v>447</v>
      </c>
      <c r="I104" s="1" t="s">
        <v>448</v>
      </c>
      <c r="J104" s="3" t="s">
        <v>53</v>
      </c>
      <c r="K104" s="3" t="s">
        <v>49</v>
      </c>
      <c r="L104" s="1" t="s">
        <v>23</v>
      </c>
      <c r="M104" s="3"/>
      <c r="N104" s="3"/>
    </row>
    <row r="105" spans="1:14">
      <c r="A105" s="1" t="s">
        <v>449</v>
      </c>
      <c r="B105" s="1" t="s">
        <v>412</v>
      </c>
      <c r="C105" s="1" t="s">
        <v>45</v>
      </c>
      <c r="D105" s="1" t="s">
        <v>35</v>
      </c>
      <c r="E105" s="3" t="s">
        <v>450</v>
      </c>
      <c r="F105" s="3" t="s">
        <v>450</v>
      </c>
      <c r="G105" s="1">
        <v>13</v>
      </c>
      <c r="H105" s="3" t="s">
        <v>451</v>
      </c>
      <c r="I105" s="1" t="s">
        <v>452</v>
      </c>
      <c r="J105" s="3" t="s">
        <v>65</v>
      </c>
      <c r="K105" s="3" t="s">
        <v>49</v>
      </c>
      <c r="L105" s="1" t="s">
        <v>23</v>
      </c>
      <c r="M105" s="3"/>
      <c r="N105" s="3"/>
    </row>
    <row r="106" spans="1:14">
      <c r="A106" s="1" t="s">
        <v>453</v>
      </c>
      <c r="B106" s="1" t="s">
        <v>412</v>
      </c>
      <c r="C106" s="1" t="s">
        <v>45</v>
      </c>
      <c r="D106" s="1" t="s">
        <v>35</v>
      </c>
      <c r="E106" s="3" t="s">
        <v>454</v>
      </c>
      <c r="F106" s="3" t="s">
        <v>454</v>
      </c>
      <c r="G106" s="1">
        <v>15</v>
      </c>
      <c r="H106" s="3" t="s">
        <v>455</v>
      </c>
      <c r="I106" s="1" t="s">
        <v>22</v>
      </c>
      <c r="J106" s="3" t="s">
        <v>61</v>
      </c>
      <c r="K106" s="3" t="s">
        <v>49</v>
      </c>
      <c r="L106" s="1" t="s">
        <v>23</v>
      </c>
      <c r="M106" s="3"/>
      <c r="N106" s="3"/>
    </row>
    <row r="107" spans="1:14" ht="48">
      <c r="A107" s="1" t="s">
        <v>456</v>
      </c>
      <c r="B107" s="1" t="s">
        <v>412</v>
      </c>
      <c r="C107" s="1" t="s">
        <v>67</v>
      </c>
      <c r="D107" s="1" t="s">
        <v>17</v>
      </c>
      <c r="E107" s="3" t="s">
        <v>457</v>
      </c>
      <c r="F107" s="3" t="s">
        <v>457</v>
      </c>
      <c r="G107" s="1">
        <v>13</v>
      </c>
      <c r="H107" s="3" t="s">
        <v>458</v>
      </c>
      <c r="I107" s="1" t="s">
        <v>251</v>
      </c>
      <c r="J107" s="3" t="s">
        <v>459</v>
      </c>
      <c r="K107" s="3" t="s">
        <v>22</v>
      </c>
      <c r="L107" s="1" t="s">
        <v>143</v>
      </c>
      <c r="M107" s="3" t="s">
        <v>224</v>
      </c>
      <c r="N107" s="3" t="s">
        <v>225</v>
      </c>
    </row>
    <row r="108" spans="1:14">
      <c r="A108" s="1" t="s">
        <v>460</v>
      </c>
      <c r="B108" s="1" t="s">
        <v>412</v>
      </c>
      <c r="C108" s="1" t="s">
        <v>67</v>
      </c>
      <c r="D108" s="1" t="s">
        <v>17</v>
      </c>
      <c r="E108" s="3" t="s">
        <v>461</v>
      </c>
      <c r="F108" s="3" t="s">
        <v>461</v>
      </c>
      <c r="G108" s="1">
        <v>13</v>
      </c>
      <c r="H108" s="3" t="s">
        <v>462</v>
      </c>
      <c r="I108" s="1" t="s">
        <v>438</v>
      </c>
      <c r="J108" s="3" t="s">
        <v>150</v>
      </c>
      <c r="K108" s="3" t="s">
        <v>22</v>
      </c>
      <c r="L108" s="1" t="s">
        <v>23</v>
      </c>
      <c r="M108" s="3"/>
      <c r="N108" s="3"/>
    </row>
    <row r="109" spans="1:14">
      <c r="A109" s="1" t="s">
        <v>463</v>
      </c>
      <c r="B109" s="1" t="s">
        <v>412</v>
      </c>
      <c r="C109" s="1" t="s">
        <v>67</v>
      </c>
      <c r="D109" s="1" t="s">
        <v>30</v>
      </c>
      <c r="E109" s="3" t="s">
        <v>464</v>
      </c>
      <c r="F109" s="3" t="s">
        <v>464</v>
      </c>
      <c r="G109" s="1">
        <v>13</v>
      </c>
      <c r="H109" s="3" t="s">
        <v>465</v>
      </c>
      <c r="I109" s="1" t="s">
        <v>293</v>
      </c>
      <c r="J109" s="3" t="s">
        <v>70</v>
      </c>
      <c r="K109" s="3" t="s">
        <v>22</v>
      </c>
      <c r="L109" s="1" t="s">
        <v>23</v>
      </c>
      <c r="M109" s="3"/>
      <c r="N109" s="3"/>
    </row>
    <row r="110" spans="1:14">
      <c r="A110" s="1" t="s">
        <v>466</v>
      </c>
      <c r="B110" s="1" t="s">
        <v>412</v>
      </c>
      <c r="C110" s="1" t="s">
        <v>67</v>
      </c>
      <c r="D110" s="1" t="s">
        <v>30</v>
      </c>
      <c r="E110" s="3" t="s">
        <v>467</v>
      </c>
      <c r="F110" s="3" t="s">
        <v>467</v>
      </c>
      <c r="G110" s="1">
        <v>12</v>
      </c>
      <c r="H110" s="3" t="s">
        <v>468</v>
      </c>
      <c r="I110" s="1" t="s">
        <v>469</v>
      </c>
      <c r="J110" s="3" t="s">
        <v>70</v>
      </c>
      <c r="K110" s="3" t="s">
        <v>22</v>
      </c>
      <c r="L110" s="1" t="s">
        <v>23</v>
      </c>
      <c r="M110" s="3"/>
      <c r="N110" s="3"/>
    </row>
    <row r="111" spans="1:14">
      <c r="A111" s="1" t="s">
        <v>470</v>
      </c>
      <c r="B111" s="1" t="s">
        <v>412</v>
      </c>
      <c r="C111" s="1" t="s">
        <v>67</v>
      </c>
      <c r="D111" s="1" t="s">
        <v>35</v>
      </c>
      <c r="E111" s="3" t="s">
        <v>471</v>
      </c>
      <c r="F111" s="3" t="s">
        <v>471</v>
      </c>
      <c r="G111" s="1">
        <v>13</v>
      </c>
      <c r="H111" s="3" t="s">
        <v>472</v>
      </c>
      <c r="I111" s="1" t="s">
        <v>20</v>
      </c>
      <c r="J111" s="3" t="s">
        <v>70</v>
      </c>
      <c r="K111" s="3" t="s">
        <v>22</v>
      </c>
      <c r="L111" s="1" t="s">
        <v>23</v>
      </c>
      <c r="M111" s="3"/>
      <c r="N111" s="3"/>
    </row>
    <row r="112" spans="1:14">
      <c r="A112" s="1" t="s">
        <v>473</v>
      </c>
      <c r="B112" s="1" t="s">
        <v>412</v>
      </c>
      <c r="C112" s="1" t="s">
        <v>67</v>
      </c>
      <c r="D112" s="1" t="s">
        <v>35</v>
      </c>
      <c r="E112" s="3" t="s">
        <v>474</v>
      </c>
      <c r="F112" s="3" t="s">
        <v>474</v>
      </c>
      <c r="G112" s="1">
        <v>14</v>
      </c>
      <c r="H112" s="3" t="s">
        <v>475</v>
      </c>
      <c r="I112" s="1" t="s">
        <v>22</v>
      </c>
      <c r="J112" s="3" t="s">
        <v>476</v>
      </c>
      <c r="K112" s="3" t="s">
        <v>127</v>
      </c>
      <c r="L112" s="1" t="s">
        <v>23</v>
      </c>
      <c r="M112" s="3"/>
      <c r="N112" s="3"/>
    </row>
    <row r="113" spans="1:14">
      <c r="A113" s="1" t="s">
        <v>477</v>
      </c>
      <c r="B113" s="1" t="s">
        <v>412</v>
      </c>
      <c r="C113" s="1" t="s">
        <v>87</v>
      </c>
      <c r="D113" s="1" t="s">
        <v>17</v>
      </c>
      <c r="E113" s="3" t="s">
        <v>478</v>
      </c>
      <c r="F113" s="3" t="s">
        <v>478</v>
      </c>
      <c r="G113" s="1">
        <v>17</v>
      </c>
      <c r="H113" s="3" t="s">
        <v>479</v>
      </c>
      <c r="I113" s="1" t="s">
        <v>22</v>
      </c>
      <c r="J113" s="3" t="s">
        <v>94</v>
      </c>
      <c r="K113" s="3" t="s">
        <v>22</v>
      </c>
      <c r="L113" s="1" t="s">
        <v>23</v>
      </c>
      <c r="M113" s="3"/>
      <c r="N113" s="3"/>
    </row>
    <row r="114" spans="1:14">
      <c r="A114" s="1" t="s">
        <v>480</v>
      </c>
      <c r="B114" s="1" t="s">
        <v>412</v>
      </c>
      <c r="C114" s="1" t="s">
        <v>87</v>
      </c>
      <c r="D114" s="1" t="s">
        <v>17</v>
      </c>
      <c r="E114" s="3" t="s">
        <v>481</v>
      </c>
      <c r="F114" s="3" t="s">
        <v>481</v>
      </c>
      <c r="G114" s="1">
        <v>11</v>
      </c>
      <c r="H114" s="3" t="s">
        <v>482</v>
      </c>
      <c r="I114" s="1" t="s">
        <v>22</v>
      </c>
      <c r="J114" s="3" t="s">
        <v>483</v>
      </c>
      <c r="K114" s="3" t="s">
        <v>22</v>
      </c>
      <c r="L114" s="1" t="s">
        <v>23</v>
      </c>
      <c r="M114" s="3"/>
      <c r="N114" s="3"/>
    </row>
    <row r="115" spans="1:14">
      <c r="A115" s="1" t="s">
        <v>484</v>
      </c>
      <c r="B115" s="1" t="s">
        <v>412</v>
      </c>
      <c r="C115" s="1" t="s">
        <v>87</v>
      </c>
      <c r="D115" s="1" t="s">
        <v>30</v>
      </c>
      <c r="E115" s="3" t="s">
        <v>485</v>
      </c>
      <c r="F115" s="3" t="s">
        <v>485</v>
      </c>
      <c r="G115" s="1">
        <v>13</v>
      </c>
      <c r="H115" s="3" t="s">
        <v>486</v>
      </c>
      <c r="I115" s="1" t="s">
        <v>422</v>
      </c>
      <c r="J115" s="3" t="s">
        <v>90</v>
      </c>
      <c r="K115" s="3" t="s">
        <v>22</v>
      </c>
      <c r="L115" s="1" t="s">
        <v>23</v>
      </c>
      <c r="M115" s="3"/>
      <c r="N115" s="3"/>
    </row>
    <row r="116" spans="1:14">
      <c r="A116" s="1" t="s">
        <v>487</v>
      </c>
      <c r="B116" s="1" t="s">
        <v>412</v>
      </c>
      <c r="C116" s="1" t="s">
        <v>87</v>
      </c>
      <c r="D116" s="1" t="s">
        <v>30</v>
      </c>
      <c r="E116" s="3" t="s">
        <v>488</v>
      </c>
      <c r="F116" s="3" t="s">
        <v>488</v>
      </c>
      <c r="G116" s="1">
        <v>15</v>
      </c>
      <c r="H116" s="3" t="s">
        <v>489</v>
      </c>
      <c r="I116" s="1" t="s">
        <v>438</v>
      </c>
      <c r="J116" s="3" t="s">
        <v>490</v>
      </c>
      <c r="K116" s="3" t="s">
        <v>22</v>
      </c>
      <c r="L116" s="1" t="s">
        <v>23</v>
      </c>
      <c r="M116" s="3"/>
      <c r="N116" s="3"/>
    </row>
    <row r="117" spans="1:14">
      <c r="A117" s="1" t="s">
        <v>491</v>
      </c>
      <c r="B117" s="1" t="s">
        <v>412</v>
      </c>
      <c r="C117" s="1" t="s">
        <v>87</v>
      </c>
      <c r="D117" s="1" t="s">
        <v>35</v>
      </c>
      <c r="E117" s="3" t="s">
        <v>492</v>
      </c>
      <c r="F117" s="3" t="s">
        <v>492</v>
      </c>
      <c r="G117" s="1">
        <v>16</v>
      </c>
      <c r="H117" s="3" t="s">
        <v>493</v>
      </c>
      <c r="I117" s="1" t="s">
        <v>22</v>
      </c>
      <c r="J117" s="3" t="s">
        <v>494</v>
      </c>
      <c r="K117" s="3" t="s">
        <v>22</v>
      </c>
      <c r="L117" s="1" t="s">
        <v>23</v>
      </c>
      <c r="M117" s="3"/>
      <c r="N117" s="3"/>
    </row>
    <row r="118" spans="1:14">
      <c r="A118" s="1" t="s">
        <v>495</v>
      </c>
      <c r="B118" s="1" t="s">
        <v>412</v>
      </c>
      <c r="C118" s="1" t="s">
        <v>87</v>
      </c>
      <c r="D118" s="1" t="s">
        <v>35</v>
      </c>
      <c r="E118" s="3" t="s">
        <v>496</v>
      </c>
      <c r="F118" s="3" t="s">
        <v>496</v>
      </c>
      <c r="G118" s="1">
        <v>12</v>
      </c>
      <c r="H118" s="3" t="s">
        <v>497</v>
      </c>
      <c r="I118" s="1" t="s">
        <v>452</v>
      </c>
      <c r="J118" s="3" t="s">
        <v>109</v>
      </c>
      <c r="K118" s="3" t="s">
        <v>22</v>
      </c>
      <c r="L118" s="1" t="s">
        <v>23</v>
      </c>
      <c r="M118" s="3"/>
      <c r="N118" s="3"/>
    </row>
    <row r="119" spans="1:14">
      <c r="A119" s="1" t="s">
        <v>498</v>
      </c>
      <c r="B119" s="1" t="s">
        <v>412</v>
      </c>
      <c r="C119" s="1" t="s">
        <v>122</v>
      </c>
      <c r="D119" s="1" t="s">
        <v>17</v>
      </c>
      <c r="E119" s="3" t="s">
        <v>499</v>
      </c>
      <c r="F119" s="3" t="s">
        <v>499</v>
      </c>
      <c r="G119" s="1">
        <v>14</v>
      </c>
      <c r="H119" s="3" t="s">
        <v>500</v>
      </c>
      <c r="I119" s="1" t="s">
        <v>430</v>
      </c>
      <c r="J119" s="3" t="s">
        <v>341</v>
      </c>
      <c r="K119" s="3" t="s">
        <v>127</v>
      </c>
      <c r="L119" s="1" t="s">
        <v>23</v>
      </c>
      <c r="M119" s="3"/>
      <c r="N119" s="3"/>
    </row>
    <row r="120" spans="1:14">
      <c r="A120" s="1" t="s">
        <v>501</v>
      </c>
      <c r="B120" s="1" t="s">
        <v>412</v>
      </c>
      <c r="C120" s="1" t="s">
        <v>122</v>
      </c>
      <c r="D120" s="1" t="s">
        <v>17</v>
      </c>
      <c r="E120" s="3" t="s">
        <v>502</v>
      </c>
      <c r="F120" s="3" t="s">
        <v>502</v>
      </c>
      <c r="G120" s="1">
        <v>13</v>
      </c>
      <c r="H120" s="3" t="s">
        <v>503</v>
      </c>
      <c r="I120" s="1" t="s">
        <v>125</v>
      </c>
      <c r="J120" s="3" t="s">
        <v>150</v>
      </c>
      <c r="K120" s="3" t="s">
        <v>127</v>
      </c>
      <c r="L120" s="1" t="s">
        <v>23</v>
      </c>
      <c r="M120" s="3"/>
      <c r="N120" s="3"/>
    </row>
    <row r="121" spans="1:14">
      <c r="A121" s="1" t="s">
        <v>504</v>
      </c>
      <c r="B121" s="1" t="s">
        <v>412</v>
      </c>
      <c r="C121" s="1" t="s">
        <v>122</v>
      </c>
      <c r="D121" s="1" t="s">
        <v>30</v>
      </c>
      <c r="E121" s="3" t="s">
        <v>505</v>
      </c>
      <c r="F121" s="3" t="s">
        <v>505</v>
      </c>
      <c r="G121" s="1">
        <v>14</v>
      </c>
      <c r="H121" s="3" t="s">
        <v>506</v>
      </c>
      <c r="I121" s="1" t="s">
        <v>507</v>
      </c>
      <c r="J121" s="3" t="s">
        <v>262</v>
      </c>
      <c r="K121" s="3" t="s">
        <v>127</v>
      </c>
      <c r="L121" s="1" t="s">
        <v>23</v>
      </c>
      <c r="M121" s="3"/>
      <c r="N121" s="3"/>
    </row>
    <row r="122" spans="1:14">
      <c r="A122" s="1" t="s">
        <v>508</v>
      </c>
      <c r="B122" s="1" t="s">
        <v>412</v>
      </c>
      <c r="C122" s="1" t="s">
        <v>122</v>
      </c>
      <c r="D122" s="1" t="s">
        <v>30</v>
      </c>
      <c r="E122" s="3" t="s">
        <v>509</v>
      </c>
      <c r="F122" s="3" t="s">
        <v>509</v>
      </c>
      <c r="G122" s="1">
        <v>9</v>
      </c>
      <c r="H122" s="3" t="s">
        <v>510</v>
      </c>
      <c r="I122" s="1" t="s">
        <v>274</v>
      </c>
      <c r="J122" s="3" t="s">
        <v>341</v>
      </c>
      <c r="K122" s="3" t="s">
        <v>127</v>
      </c>
      <c r="L122" s="1" t="s">
        <v>23</v>
      </c>
      <c r="M122" s="3"/>
      <c r="N122" s="3"/>
    </row>
    <row r="123" spans="1:14">
      <c r="A123" s="1" t="s">
        <v>511</v>
      </c>
      <c r="B123" s="1" t="s">
        <v>412</v>
      </c>
      <c r="C123" s="1" t="s">
        <v>122</v>
      </c>
      <c r="D123" s="1" t="s">
        <v>35</v>
      </c>
      <c r="E123" s="3" t="s">
        <v>512</v>
      </c>
      <c r="F123" s="3" t="s">
        <v>512</v>
      </c>
      <c r="G123" s="1">
        <v>18</v>
      </c>
      <c r="H123" s="3" t="s">
        <v>513</v>
      </c>
      <c r="I123" s="1" t="s">
        <v>125</v>
      </c>
      <c r="J123" s="3" t="s">
        <v>262</v>
      </c>
      <c r="K123" s="3" t="s">
        <v>514</v>
      </c>
      <c r="L123" s="1" t="s">
        <v>23</v>
      </c>
      <c r="M123" s="3"/>
      <c r="N123" s="3"/>
    </row>
    <row r="124" spans="1:14">
      <c r="A124" s="1" t="s">
        <v>515</v>
      </c>
      <c r="B124" s="1" t="s">
        <v>412</v>
      </c>
      <c r="C124" s="1" t="s">
        <v>147</v>
      </c>
      <c r="D124" s="1" t="s">
        <v>17</v>
      </c>
      <c r="E124" s="3" t="s">
        <v>516</v>
      </c>
      <c r="F124" s="3" t="s">
        <v>516</v>
      </c>
      <c r="G124" s="1">
        <v>11</v>
      </c>
      <c r="H124" s="3" t="s">
        <v>517</v>
      </c>
      <c r="I124" s="1" t="s">
        <v>251</v>
      </c>
      <c r="J124" s="3" t="s">
        <v>150</v>
      </c>
      <c r="K124" s="3" t="s">
        <v>127</v>
      </c>
      <c r="L124" s="1" t="s">
        <v>23</v>
      </c>
      <c r="M124" s="3"/>
      <c r="N124" s="3"/>
    </row>
    <row r="125" spans="1:14">
      <c r="A125" s="1" t="s">
        <v>518</v>
      </c>
      <c r="B125" s="1" t="s">
        <v>412</v>
      </c>
      <c r="C125" s="1" t="s">
        <v>147</v>
      </c>
      <c r="D125" s="1" t="s">
        <v>17</v>
      </c>
      <c r="E125" s="3" t="s">
        <v>519</v>
      </c>
      <c r="F125" s="3" t="s">
        <v>519</v>
      </c>
      <c r="G125" s="1">
        <v>12</v>
      </c>
      <c r="H125" s="3" t="s">
        <v>520</v>
      </c>
      <c r="I125" s="1" t="s">
        <v>521</v>
      </c>
      <c r="J125" s="3" t="s">
        <v>33</v>
      </c>
      <c r="K125" s="3" t="s">
        <v>127</v>
      </c>
      <c r="L125" s="1" t="s">
        <v>23</v>
      </c>
      <c r="M125" s="3"/>
      <c r="N125" s="3"/>
    </row>
    <row r="126" spans="1:14">
      <c r="A126" s="1" t="s">
        <v>522</v>
      </c>
      <c r="B126" s="1" t="s">
        <v>412</v>
      </c>
      <c r="C126" s="1" t="s">
        <v>147</v>
      </c>
      <c r="D126" s="1" t="s">
        <v>30</v>
      </c>
      <c r="E126" s="3" t="s">
        <v>523</v>
      </c>
      <c r="F126" s="3" t="s">
        <v>523</v>
      </c>
      <c r="G126" s="1">
        <v>13</v>
      </c>
      <c r="H126" s="3" t="s">
        <v>524</v>
      </c>
      <c r="I126" s="1" t="s">
        <v>270</v>
      </c>
      <c r="J126" s="3" t="s">
        <v>150</v>
      </c>
      <c r="K126" s="3" t="s">
        <v>127</v>
      </c>
      <c r="L126" s="1" t="s">
        <v>23</v>
      </c>
      <c r="M126" s="3"/>
      <c r="N126" s="3"/>
    </row>
    <row r="127" spans="1:14">
      <c r="A127" s="1" t="s">
        <v>525</v>
      </c>
      <c r="B127" s="1" t="s">
        <v>412</v>
      </c>
      <c r="C127" s="1" t="s">
        <v>147</v>
      </c>
      <c r="D127" s="1" t="s">
        <v>30</v>
      </c>
      <c r="E127" s="3" t="s">
        <v>526</v>
      </c>
      <c r="F127" s="3" t="s">
        <v>526</v>
      </c>
      <c r="G127" s="1">
        <v>11</v>
      </c>
      <c r="H127" s="3" t="s">
        <v>527</v>
      </c>
      <c r="I127" s="1" t="s">
        <v>274</v>
      </c>
      <c r="J127" s="3" t="s">
        <v>33</v>
      </c>
      <c r="K127" s="3" t="s">
        <v>127</v>
      </c>
      <c r="L127" s="1" t="s">
        <v>23</v>
      </c>
      <c r="M127" s="3"/>
      <c r="N127" s="3"/>
    </row>
    <row r="128" spans="1:14">
      <c r="A128" s="1" t="s">
        <v>528</v>
      </c>
      <c r="B128" s="1" t="s">
        <v>412</v>
      </c>
      <c r="C128" s="1" t="s">
        <v>147</v>
      </c>
      <c r="D128" s="1" t="s">
        <v>35</v>
      </c>
      <c r="E128" s="3" t="s">
        <v>529</v>
      </c>
      <c r="F128" s="3" t="s">
        <v>529</v>
      </c>
      <c r="G128" s="1">
        <v>12</v>
      </c>
      <c r="H128" s="3" t="s">
        <v>361</v>
      </c>
      <c r="I128" s="1" t="s">
        <v>452</v>
      </c>
      <c r="J128" s="3" t="s">
        <v>33</v>
      </c>
      <c r="K128" s="3" t="s">
        <v>85</v>
      </c>
      <c r="L128" s="1" t="s">
        <v>23</v>
      </c>
      <c r="M128" s="3"/>
      <c r="N128" s="3"/>
    </row>
    <row r="129" spans="1:14">
      <c r="A129" s="1" t="s">
        <v>530</v>
      </c>
      <c r="B129" s="1" t="s">
        <v>412</v>
      </c>
      <c r="C129" s="1" t="s">
        <v>170</v>
      </c>
      <c r="D129" s="1" t="s">
        <v>17</v>
      </c>
      <c r="E129" s="3" t="s">
        <v>531</v>
      </c>
      <c r="F129" s="3" t="s">
        <v>531</v>
      </c>
      <c r="G129" s="1">
        <v>11</v>
      </c>
      <c r="H129" s="3" t="s">
        <v>532</v>
      </c>
      <c r="I129" s="1" t="s">
        <v>125</v>
      </c>
      <c r="J129" s="3" t="s">
        <v>187</v>
      </c>
      <c r="K129" s="3" t="s">
        <v>174</v>
      </c>
      <c r="L129" s="1" t="s">
        <v>23</v>
      </c>
      <c r="M129" s="3"/>
      <c r="N129" s="3"/>
    </row>
    <row r="130" spans="1:14">
      <c r="A130" s="1" t="s">
        <v>533</v>
      </c>
      <c r="B130" s="1" t="s">
        <v>412</v>
      </c>
      <c r="C130" s="1" t="s">
        <v>170</v>
      </c>
      <c r="D130" s="1" t="s">
        <v>17</v>
      </c>
      <c r="E130" s="3" t="s">
        <v>534</v>
      </c>
      <c r="F130" s="3" t="s">
        <v>534</v>
      </c>
      <c r="G130" s="1">
        <v>15</v>
      </c>
      <c r="H130" s="3" t="s">
        <v>535</v>
      </c>
      <c r="I130" s="1" t="s">
        <v>266</v>
      </c>
      <c r="J130" s="3" t="s">
        <v>178</v>
      </c>
      <c r="K130" s="3" t="s">
        <v>174</v>
      </c>
      <c r="L130" s="1" t="s">
        <v>23</v>
      </c>
      <c r="M130" s="3"/>
      <c r="N130" s="3"/>
    </row>
    <row r="131" spans="1:14">
      <c r="A131" s="1" t="s">
        <v>536</v>
      </c>
      <c r="B131" s="1" t="s">
        <v>412</v>
      </c>
      <c r="C131" s="1" t="s">
        <v>170</v>
      </c>
      <c r="D131" s="1" t="s">
        <v>30</v>
      </c>
      <c r="E131" s="3" t="s">
        <v>537</v>
      </c>
      <c r="F131" s="3" t="s">
        <v>537</v>
      </c>
      <c r="G131" s="1">
        <v>14</v>
      </c>
      <c r="H131" s="3" t="s">
        <v>538</v>
      </c>
      <c r="I131" s="1" t="s">
        <v>422</v>
      </c>
      <c r="J131" s="3" t="s">
        <v>370</v>
      </c>
      <c r="K131" s="3" t="s">
        <v>174</v>
      </c>
      <c r="L131" s="1" t="s">
        <v>23</v>
      </c>
      <c r="M131" s="3"/>
      <c r="N131" s="3"/>
    </row>
    <row r="132" spans="1:14">
      <c r="A132" s="1" t="s">
        <v>539</v>
      </c>
      <c r="B132" s="1" t="s">
        <v>412</v>
      </c>
      <c r="C132" s="1" t="s">
        <v>170</v>
      </c>
      <c r="D132" s="1" t="s">
        <v>30</v>
      </c>
      <c r="E132" s="3" t="s">
        <v>540</v>
      </c>
      <c r="F132" s="3" t="s">
        <v>540</v>
      </c>
      <c r="G132" s="1">
        <v>14</v>
      </c>
      <c r="H132" s="3" t="s">
        <v>541</v>
      </c>
      <c r="I132" s="1" t="s">
        <v>266</v>
      </c>
      <c r="J132" s="3" t="s">
        <v>377</v>
      </c>
      <c r="K132" s="3" t="s">
        <v>174</v>
      </c>
      <c r="L132" s="1" t="s">
        <v>23</v>
      </c>
      <c r="M132" s="3"/>
      <c r="N132" s="3"/>
    </row>
    <row r="133" spans="1:14">
      <c r="A133" s="1" t="s">
        <v>542</v>
      </c>
      <c r="B133" s="1" t="s">
        <v>412</v>
      </c>
      <c r="C133" s="1" t="s">
        <v>170</v>
      </c>
      <c r="D133" s="1" t="s">
        <v>35</v>
      </c>
      <c r="E133" s="3" t="s">
        <v>543</v>
      </c>
      <c r="F133" s="3" t="s">
        <v>543</v>
      </c>
      <c r="G133" s="1">
        <v>12</v>
      </c>
      <c r="H133" s="3" t="s">
        <v>544</v>
      </c>
      <c r="I133" s="1" t="s">
        <v>20</v>
      </c>
      <c r="J133" s="3" t="s">
        <v>545</v>
      </c>
      <c r="K133" s="3" t="s">
        <v>174</v>
      </c>
      <c r="L133" s="1" t="s">
        <v>23</v>
      </c>
      <c r="M133" s="3"/>
      <c r="N133" s="3"/>
    </row>
    <row r="134" spans="1:14" ht="32">
      <c r="A134" s="1" t="s">
        <v>546</v>
      </c>
      <c r="B134" s="1" t="s">
        <v>412</v>
      </c>
      <c r="C134" s="1" t="s">
        <v>192</v>
      </c>
      <c r="D134" s="1" t="s">
        <v>17</v>
      </c>
      <c r="E134" s="3" t="s">
        <v>547</v>
      </c>
      <c r="F134" s="3" t="s">
        <v>547</v>
      </c>
      <c r="G134" s="1">
        <v>14</v>
      </c>
      <c r="H134" s="3" t="s">
        <v>548</v>
      </c>
      <c r="I134" s="1" t="s">
        <v>438</v>
      </c>
      <c r="J134" s="3" t="s">
        <v>549</v>
      </c>
      <c r="K134" s="3" t="s">
        <v>22</v>
      </c>
      <c r="L134" s="1" t="s">
        <v>143</v>
      </c>
      <c r="M134" s="3" t="s">
        <v>550</v>
      </c>
      <c r="N134" s="3" t="s">
        <v>551</v>
      </c>
    </row>
    <row r="135" spans="1:14">
      <c r="A135" s="1" t="s">
        <v>552</v>
      </c>
      <c r="B135" s="1" t="s">
        <v>412</v>
      </c>
      <c r="C135" s="1" t="s">
        <v>192</v>
      </c>
      <c r="D135" s="1" t="s">
        <v>17</v>
      </c>
      <c r="E135" s="3" t="s">
        <v>553</v>
      </c>
      <c r="F135" s="3" t="s">
        <v>553</v>
      </c>
      <c r="G135" s="1">
        <v>14</v>
      </c>
      <c r="H135" s="3" t="s">
        <v>554</v>
      </c>
      <c r="I135" s="1" t="s">
        <v>422</v>
      </c>
      <c r="J135" s="3" t="s">
        <v>396</v>
      </c>
      <c r="K135" s="3" t="s">
        <v>22</v>
      </c>
      <c r="L135" s="1" t="s">
        <v>23</v>
      </c>
      <c r="M135" s="3"/>
      <c r="N135" s="3"/>
    </row>
    <row r="136" spans="1:14">
      <c r="A136" s="1" t="s">
        <v>555</v>
      </c>
      <c r="B136" s="1" t="s">
        <v>412</v>
      </c>
      <c r="C136" s="1" t="s">
        <v>192</v>
      </c>
      <c r="D136" s="1" t="s">
        <v>30</v>
      </c>
      <c r="E136" s="3" t="s">
        <v>556</v>
      </c>
      <c r="F136" s="3" t="s">
        <v>556</v>
      </c>
      <c r="G136" s="1">
        <v>17</v>
      </c>
      <c r="H136" s="3" t="s">
        <v>557</v>
      </c>
      <c r="I136" s="1" t="s">
        <v>22</v>
      </c>
      <c r="J136" s="3" t="s">
        <v>199</v>
      </c>
      <c r="K136" s="3" t="s">
        <v>22</v>
      </c>
      <c r="L136" s="1" t="s">
        <v>23</v>
      </c>
      <c r="M136" s="3"/>
      <c r="N136" s="3"/>
    </row>
    <row r="137" spans="1:14">
      <c r="A137" s="1" t="s">
        <v>558</v>
      </c>
      <c r="B137" s="1" t="s">
        <v>412</v>
      </c>
      <c r="C137" s="1" t="s">
        <v>192</v>
      </c>
      <c r="D137" s="1" t="s">
        <v>30</v>
      </c>
      <c r="E137" s="3" t="s">
        <v>559</v>
      </c>
      <c r="F137" s="3" t="s">
        <v>559</v>
      </c>
      <c r="G137" s="1">
        <v>16</v>
      </c>
      <c r="H137" s="3" t="s">
        <v>560</v>
      </c>
      <c r="I137" s="1" t="s">
        <v>452</v>
      </c>
      <c r="J137" s="3" t="s">
        <v>406</v>
      </c>
      <c r="K137" s="3" t="s">
        <v>22</v>
      </c>
      <c r="L137" s="1" t="s">
        <v>23</v>
      </c>
      <c r="M137" s="3"/>
      <c r="N137" s="3"/>
    </row>
    <row r="138" spans="1:14">
      <c r="A138" s="1" t="s">
        <v>561</v>
      </c>
      <c r="B138" s="1" t="s">
        <v>412</v>
      </c>
      <c r="C138" s="1" t="s">
        <v>192</v>
      </c>
      <c r="D138" s="1" t="s">
        <v>35</v>
      </c>
      <c r="E138" s="3" t="s">
        <v>562</v>
      </c>
      <c r="F138" s="3" t="s">
        <v>562</v>
      </c>
      <c r="G138" s="1">
        <v>15</v>
      </c>
      <c r="H138" s="3" t="s">
        <v>563</v>
      </c>
      <c r="I138" s="1" t="s">
        <v>274</v>
      </c>
      <c r="J138" s="3" t="s">
        <v>211</v>
      </c>
      <c r="K138" s="3" t="s">
        <v>22</v>
      </c>
      <c r="L138" s="1" t="s">
        <v>23</v>
      </c>
      <c r="M138" s="3"/>
      <c r="N138" s="3"/>
    </row>
    <row r="139" spans="1:14">
      <c r="A139" s="1" t="s">
        <v>564</v>
      </c>
      <c r="B139" s="1" t="s">
        <v>412</v>
      </c>
      <c r="C139" s="1" t="s">
        <v>565</v>
      </c>
      <c r="D139" s="1" t="s">
        <v>17</v>
      </c>
      <c r="E139" s="3" t="s">
        <v>566</v>
      </c>
      <c r="F139" s="3" t="s">
        <v>566</v>
      </c>
      <c r="G139" s="1">
        <v>14</v>
      </c>
      <c r="H139" s="3" t="s">
        <v>567</v>
      </c>
      <c r="I139" s="1" t="s">
        <v>22</v>
      </c>
      <c r="J139" s="3" t="s">
        <v>568</v>
      </c>
      <c r="K139" s="3" t="s">
        <v>49</v>
      </c>
      <c r="L139" s="1" t="s">
        <v>23</v>
      </c>
      <c r="M139" s="3"/>
      <c r="N139" s="3"/>
    </row>
    <row r="140" spans="1:14">
      <c r="A140" s="1" t="s">
        <v>569</v>
      </c>
      <c r="B140" s="1" t="s">
        <v>412</v>
      </c>
      <c r="C140" s="1" t="s">
        <v>565</v>
      </c>
      <c r="D140" s="1" t="s">
        <v>17</v>
      </c>
      <c r="E140" s="3" t="s">
        <v>570</v>
      </c>
      <c r="F140" s="3" t="s">
        <v>570</v>
      </c>
      <c r="G140" s="1">
        <v>9</v>
      </c>
      <c r="H140" s="3" t="s">
        <v>571</v>
      </c>
      <c r="I140" s="1" t="s">
        <v>572</v>
      </c>
      <c r="J140" s="3" t="s">
        <v>573</v>
      </c>
      <c r="K140" s="3" t="s">
        <v>49</v>
      </c>
      <c r="L140" s="1" t="s">
        <v>23</v>
      </c>
      <c r="M140" s="3"/>
      <c r="N140" s="3"/>
    </row>
    <row r="141" spans="1:14">
      <c r="A141" s="1" t="s">
        <v>574</v>
      </c>
      <c r="B141" s="1" t="s">
        <v>412</v>
      </c>
      <c r="C141" s="1" t="s">
        <v>565</v>
      </c>
      <c r="D141" s="1" t="s">
        <v>30</v>
      </c>
      <c r="E141" s="3" t="s">
        <v>575</v>
      </c>
      <c r="F141" s="3" t="s">
        <v>575</v>
      </c>
      <c r="G141" s="1">
        <v>10</v>
      </c>
      <c r="H141" s="3" t="s">
        <v>576</v>
      </c>
      <c r="I141" s="1" t="s">
        <v>22</v>
      </c>
      <c r="J141" s="3" t="s">
        <v>577</v>
      </c>
      <c r="K141" s="3" t="s">
        <v>49</v>
      </c>
      <c r="L141" s="1" t="s">
        <v>23</v>
      </c>
      <c r="M141" s="3"/>
      <c r="N141" s="3"/>
    </row>
    <row r="142" spans="1:14">
      <c r="A142" s="1" t="s">
        <v>578</v>
      </c>
      <c r="B142" s="1" t="s">
        <v>412</v>
      </c>
      <c r="C142" s="1" t="s">
        <v>565</v>
      </c>
      <c r="D142" s="1" t="s">
        <v>30</v>
      </c>
      <c r="E142" s="3" t="s">
        <v>579</v>
      </c>
      <c r="F142" s="3" t="s">
        <v>579</v>
      </c>
      <c r="G142" s="1">
        <v>14</v>
      </c>
      <c r="H142" s="3" t="s">
        <v>580</v>
      </c>
      <c r="I142" s="1" t="s">
        <v>438</v>
      </c>
      <c r="J142" s="3" t="s">
        <v>568</v>
      </c>
      <c r="K142" s="3" t="s">
        <v>49</v>
      </c>
      <c r="L142" s="1" t="s">
        <v>23</v>
      </c>
      <c r="M142" s="3"/>
      <c r="N142" s="3"/>
    </row>
    <row r="143" spans="1:14" ht="32">
      <c r="A143" s="1" t="s">
        <v>581</v>
      </c>
      <c r="B143" s="1" t="s">
        <v>412</v>
      </c>
      <c r="C143" s="1" t="s">
        <v>565</v>
      </c>
      <c r="D143" s="1" t="s">
        <v>35</v>
      </c>
      <c r="E143" s="3" t="s">
        <v>582</v>
      </c>
      <c r="F143" s="3" t="s">
        <v>582</v>
      </c>
      <c r="G143" s="1">
        <v>13</v>
      </c>
      <c r="H143" s="3" t="s">
        <v>583</v>
      </c>
      <c r="I143" s="1" t="s">
        <v>22</v>
      </c>
      <c r="J143" s="3" t="s">
        <v>573</v>
      </c>
      <c r="K143" s="3" t="s">
        <v>584</v>
      </c>
      <c r="L143" s="1" t="s">
        <v>23</v>
      </c>
      <c r="M143" s="3"/>
      <c r="N143" s="3"/>
    </row>
    <row r="144" spans="1:14">
      <c r="A144" s="1" t="s">
        <v>585</v>
      </c>
      <c r="B144" s="1" t="s">
        <v>412</v>
      </c>
      <c r="C144" s="1" t="s">
        <v>219</v>
      </c>
      <c r="D144" s="1" t="s">
        <v>220</v>
      </c>
      <c r="E144" s="3" t="s">
        <v>586</v>
      </c>
      <c r="F144" s="3" t="s">
        <v>586</v>
      </c>
      <c r="G144" s="1">
        <v>12</v>
      </c>
      <c r="H144" s="3" t="s">
        <v>587</v>
      </c>
      <c r="I144" s="1" t="s">
        <v>22</v>
      </c>
      <c r="J144" s="3" t="s">
        <v>588</v>
      </c>
      <c r="K144" s="3" t="s">
        <v>22</v>
      </c>
      <c r="L144" s="1" t="s">
        <v>23</v>
      </c>
      <c r="M144" s="3"/>
      <c r="N144" s="3"/>
    </row>
    <row r="145" spans="1:14">
      <c r="A145" s="1" t="s">
        <v>589</v>
      </c>
      <c r="B145" s="1" t="s">
        <v>412</v>
      </c>
      <c r="C145" s="1" t="s">
        <v>219</v>
      </c>
      <c r="D145" s="1" t="s">
        <v>220</v>
      </c>
      <c r="E145" s="3" t="s">
        <v>590</v>
      </c>
      <c r="F145" s="3" t="s">
        <v>590</v>
      </c>
      <c r="G145" s="1">
        <v>16</v>
      </c>
      <c r="H145" s="3" t="s">
        <v>591</v>
      </c>
      <c r="I145" s="1" t="s">
        <v>22</v>
      </c>
      <c r="J145" s="3" t="s">
        <v>592</v>
      </c>
      <c r="K145" s="3" t="s">
        <v>22</v>
      </c>
      <c r="L145" s="1" t="s">
        <v>23</v>
      </c>
      <c r="M145" s="3"/>
      <c r="N145" s="3"/>
    </row>
    <row r="146" spans="1:14">
      <c r="A146" s="1" t="s">
        <v>593</v>
      </c>
      <c r="B146" s="1" t="s">
        <v>412</v>
      </c>
      <c r="C146" s="1" t="s">
        <v>235</v>
      </c>
      <c r="D146" s="1" t="s">
        <v>236</v>
      </c>
      <c r="E146" s="3" t="s">
        <v>594</v>
      </c>
      <c r="F146" s="3" t="s">
        <v>594</v>
      </c>
      <c r="G146" s="1">
        <v>14</v>
      </c>
      <c r="H146" s="3" t="s">
        <v>595</v>
      </c>
      <c r="I146" s="1" t="s">
        <v>125</v>
      </c>
      <c r="J146" s="3" t="s">
        <v>592</v>
      </c>
      <c r="K146" s="3" t="s">
        <v>49</v>
      </c>
      <c r="L146" s="1" t="s">
        <v>23</v>
      </c>
      <c r="M146" s="3"/>
      <c r="N146" s="3"/>
    </row>
    <row r="147" spans="1:14">
      <c r="A147" s="1" t="s">
        <v>596</v>
      </c>
      <c r="B147" s="1" t="s">
        <v>412</v>
      </c>
      <c r="C147" s="1" t="s">
        <v>235</v>
      </c>
      <c r="D147" s="1" t="s">
        <v>236</v>
      </c>
      <c r="E147" s="3" t="s">
        <v>597</v>
      </c>
      <c r="F147" s="3" t="s">
        <v>597</v>
      </c>
      <c r="G147" s="1">
        <v>12</v>
      </c>
      <c r="H147" s="3" t="s">
        <v>598</v>
      </c>
      <c r="I147" s="1" t="s">
        <v>125</v>
      </c>
      <c r="J147" s="3" t="s">
        <v>599</v>
      </c>
      <c r="K147" s="3" t="s">
        <v>22</v>
      </c>
      <c r="L147" s="1" t="s">
        <v>23</v>
      </c>
      <c r="M147" s="3"/>
      <c r="N147" s="3"/>
    </row>
    <row r="148" spans="1:14">
      <c r="A148" s="1" t="s">
        <v>600</v>
      </c>
      <c r="B148" s="1" t="s">
        <v>601</v>
      </c>
      <c r="C148" s="1" t="s">
        <v>565</v>
      </c>
      <c r="D148" s="1" t="s">
        <v>17</v>
      </c>
      <c r="E148" s="3" t="s">
        <v>602</v>
      </c>
      <c r="F148" s="3" t="s">
        <v>602</v>
      </c>
      <c r="G148" s="1">
        <v>12</v>
      </c>
      <c r="H148" s="3" t="s">
        <v>603</v>
      </c>
      <c r="I148" s="1" t="s">
        <v>20</v>
      </c>
      <c r="J148" s="3" t="s">
        <v>604</v>
      </c>
      <c r="K148" s="3" t="s">
        <v>49</v>
      </c>
      <c r="L148" s="1" t="s">
        <v>23</v>
      </c>
      <c r="M148" s="3"/>
      <c r="N148" s="3"/>
    </row>
    <row r="149" spans="1:14">
      <c r="A149" s="1" t="s">
        <v>605</v>
      </c>
      <c r="B149" s="1" t="s">
        <v>601</v>
      </c>
      <c r="C149" s="1" t="s">
        <v>565</v>
      </c>
      <c r="D149" s="1" t="s">
        <v>17</v>
      </c>
      <c r="E149" s="3" t="s">
        <v>606</v>
      </c>
      <c r="F149" s="3" t="s">
        <v>606</v>
      </c>
      <c r="G149" s="1">
        <v>12</v>
      </c>
      <c r="H149" s="3" t="s">
        <v>607</v>
      </c>
      <c r="I149" s="1" t="s">
        <v>22</v>
      </c>
      <c r="J149" s="3" t="s">
        <v>53</v>
      </c>
      <c r="K149" s="3" t="s">
        <v>49</v>
      </c>
      <c r="L149" s="1" t="s">
        <v>23</v>
      </c>
      <c r="M149" s="3"/>
      <c r="N149" s="3"/>
    </row>
    <row r="150" spans="1:14" ht="32">
      <c r="A150" s="1" t="s">
        <v>608</v>
      </c>
      <c r="B150" s="1" t="s">
        <v>601</v>
      </c>
      <c r="C150" s="1" t="s">
        <v>565</v>
      </c>
      <c r="D150" s="1" t="s">
        <v>17</v>
      </c>
      <c r="E150" s="3" t="s">
        <v>609</v>
      </c>
      <c r="F150" s="3" t="s">
        <v>610</v>
      </c>
      <c r="G150" s="1">
        <v>12</v>
      </c>
      <c r="H150" s="3" t="s">
        <v>611</v>
      </c>
      <c r="I150" s="1" t="s">
        <v>22</v>
      </c>
      <c r="J150" s="3" t="s">
        <v>53</v>
      </c>
      <c r="K150" s="3" t="s">
        <v>49</v>
      </c>
      <c r="L150" s="1" t="s">
        <v>216</v>
      </c>
      <c r="M150" s="3" t="s">
        <v>144</v>
      </c>
      <c r="N150" s="3" t="s">
        <v>612</v>
      </c>
    </row>
    <row r="151" spans="1:14">
      <c r="A151" s="1" t="s">
        <v>613</v>
      </c>
      <c r="B151" s="1" t="s">
        <v>601</v>
      </c>
      <c r="C151" s="1" t="s">
        <v>565</v>
      </c>
      <c r="D151" s="1" t="s">
        <v>17</v>
      </c>
      <c r="E151" s="3" t="s">
        <v>614</v>
      </c>
      <c r="F151" s="3" t="s">
        <v>615</v>
      </c>
      <c r="G151" s="1">
        <v>13</v>
      </c>
      <c r="H151" s="3" t="s">
        <v>616</v>
      </c>
      <c r="I151" s="1" t="s">
        <v>22</v>
      </c>
      <c r="J151" s="3" t="s">
        <v>617</v>
      </c>
      <c r="K151" s="3" t="s">
        <v>49</v>
      </c>
      <c r="L151" s="1" t="s">
        <v>216</v>
      </c>
      <c r="M151" s="3"/>
      <c r="N151" s="3" t="s">
        <v>618</v>
      </c>
    </row>
    <row r="152" spans="1:14">
      <c r="A152" s="1" t="s">
        <v>619</v>
      </c>
      <c r="B152" s="1" t="s">
        <v>601</v>
      </c>
      <c r="C152" s="1" t="s">
        <v>565</v>
      </c>
      <c r="D152" s="1" t="s">
        <v>17</v>
      </c>
      <c r="E152" s="3" t="s">
        <v>620</v>
      </c>
      <c r="F152" s="3" t="s">
        <v>620</v>
      </c>
      <c r="G152" s="1">
        <v>14</v>
      </c>
      <c r="H152" s="3" t="s">
        <v>621</v>
      </c>
      <c r="I152" s="1" t="s">
        <v>22</v>
      </c>
      <c r="J152" s="3" t="s">
        <v>604</v>
      </c>
      <c r="K152" s="3" t="s">
        <v>49</v>
      </c>
      <c r="L152" s="1" t="s">
        <v>23</v>
      </c>
      <c r="M152" s="3"/>
      <c r="N152" s="3"/>
    </row>
    <row r="153" spans="1:14">
      <c r="A153" s="1" t="s">
        <v>622</v>
      </c>
      <c r="B153" s="1" t="s">
        <v>601</v>
      </c>
      <c r="C153" s="1" t="s">
        <v>565</v>
      </c>
      <c r="D153" s="1" t="s">
        <v>30</v>
      </c>
      <c r="E153" s="3" t="s">
        <v>623</v>
      </c>
      <c r="F153" s="3" t="s">
        <v>623</v>
      </c>
      <c r="G153" s="1">
        <v>11</v>
      </c>
      <c r="H153" s="3" t="s">
        <v>624</v>
      </c>
      <c r="I153" s="1" t="s">
        <v>22</v>
      </c>
      <c r="J153" s="3" t="s">
        <v>604</v>
      </c>
      <c r="K153" s="3" t="s">
        <v>49</v>
      </c>
      <c r="L153" s="1" t="s">
        <v>23</v>
      </c>
      <c r="M153" s="3"/>
      <c r="N153" s="3"/>
    </row>
    <row r="154" spans="1:14">
      <c r="A154" s="1" t="s">
        <v>625</v>
      </c>
      <c r="B154" s="1" t="s">
        <v>601</v>
      </c>
      <c r="C154" s="1" t="s">
        <v>565</v>
      </c>
      <c r="D154" s="1" t="s">
        <v>30</v>
      </c>
      <c r="E154" s="3" t="s">
        <v>626</v>
      </c>
      <c r="F154" s="3" t="s">
        <v>626</v>
      </c>
      <c r="G154" s="1">
        <v>11</v>
      </c>
      <c r="H154" s="3" t="s">
        <v>627</v>
      </c>
      <c r="I154" s="1" t="s">
        <v>22</v>
      </c>
      <c r="J154" s="3" t="s">
        <v>53</v>
      </c>
      <c r="K154" s="3" t="s">
        <v>49</v>
      </c>
      <c r="L154" s="1" t="s">
        <v>23</v>
      </c>
      <c r="M154" s="3"/>
      <c r="N154" s="3"/>
    </row>
    <row r="155" spans="1:14" ht="48">
      <c r="A155" s="1" t="s">
        <v>628</v>
      </c>
      <c r="B155" s="1" t="s">
        <v>601</v>
      </c>
      <c r="C155" s="1" t="s">
        <v>565</v>
      </c>
      <c r="D155" s="1" t="s">
        <v>30</v>
      </c>
      <c r="E155" s="3" t="s">
        <v>629</v>
      </c>
      <c r="F155" s="3" t="s">
        <v>629</v>
      </c>
      <c r="G155" s="1">
        <v>11</v>
      </c>
      <c r="H155" s="3" t="s">
        <v>630</v>
      </c>
      <c r="I155" s="1" t="s">
        <v>22</v>
      </c>
      <c r="J155" s="3" t="s">
        <v>53</v>
      </c>
      <c r="K155" s="3" t="s">
        <v>49</v>
      </c>
      <c r="L155" s="1" t="s">
        <v>27</v>
      </c>
      <c r="M155" s="3"/>
      <c r="N155" s="3" t="s">
        <v>631</v>
      </c>
    </row>
    <row r="156" spans="1:14">
      <c r="A156" s="1" t="s">
        <v>632</v>
      </c>
      <c r="B156" s="1" t="s">
        <v>601</v>
      </c>
      <c r="C156" s="1" t="s">
        <v>565</v>
      </c>
      <c r="D156" s="1" t="s">
        <v>30</v>
      </c>
      <c r="E156" s="3" t="s">
        <v>633</v>
      </c>
      <c r="F156" s="3" t="s">
        <v>633</v>
      </c>
      <c r="G156" s="1">
        <v>10</v>
      </c>
      <c r="H156" s="3" t="s">
        <v>634</v>
      </c>
      <c r="I156" s="1" t="s">
        <v>22</v>
      </c>
      <c r="J156" s="3" t="s">
        <v>635</v>
      </c>
      <c r="K156" s="3" t="s">
        <v>49</v>
      </c>
      <c r="L156" s="1" t="s">
        <v>23</v>
      </c>
      <c r="M156" s="3"/>
      <c r="N156" s="3"/>
    </row>
    <row r="157" spans="1:14">
      <c r="A157" s="1" t="s">
        <v>636</v>
      </c>
      <c r="B157" s="1" t="s">
        <v>601</v>
      </c>
      <c r="C157" s="1" t="s">
        <v>565</v>
      </c>
      <c r="D157" s="1" t="s">
        <v>30</v>
      </c>
      <c r="E157" s="3" t="s">
        <v>637</v>
      </c>
      <c r="F157" s="3" t="s">
        <v>637</v>
      </c>
      <c r="G157" s="1">
        <v>12</v>
      </c>
      <c r="H157" s="3" t="s">
        <v>638</v>
      </c>
      <c r="I157" s="1" t="s">
        <v>22</v>
      </c>
      <c r="J157" s="3" t="s">
        <v>639</v>
      </c>
      <c r="K157" s="3" t="s">
        <v>49</v>
      </c>
      <c r="L157" s="1" t="s">
        <v>23</v>
      </c>
      <c r="M157" s="3"/>
      <c r="N157" s="3"/>
    </row>
    <row r="158" spans="1:14" ht="32">
      <c r="A158" s="1" t="s">
        <v>640</v>
      </c>
      <c r="B158" s="1" t="s">
        <v>601</v>
      </c>
      <c r="C158" s="1" t="s">
        <v>565</v>
      </c>
      <c r="D158" s="1" t="s">
        <v>35</v>
      </c>
      <c r="E158" s="3" t="s">
        <v>641</v>
      </c>
      <c r="F158" s="3" t="s">
        <v>641</v>
      </c>
      <c r="G158" s="1">
        <v>17</v>
      </c>
      <c r="H158" s="3" t="s">
        <v>642</v>
      </c>
      <c r="I158" s="1" t="s">
        <v>22</v>
      </c>
      <c r="J158" s="3" t="s">
        <v>604</v>
      </c>
      <c r="K158" s="3" t="s">
        <v>49</v>
      </c>
      <c r="L158" s="1" t="s">
        <v>143</v>
      </c>
      <c r="M158" s="3" t="s">
        <v>643</v>
      </c>
      <c r="N158" s="3" t="s">
        <v>644</v>
      </c>
    </row>
    <row r="159" spans="1:14">
      <c r="A159" s="1" t="s">
        <v>645</v>
      </c>
      <c r="B159" s="1" t="s">
        <v>601</v>
      </c>
      <c r="C159" s="1" t="s">
        <v>565</v>
      </c>
      <c r="D159" s="1" t="s">
        <v>35</v>
      </c>
      <c r="E159" s="3" t="s">
        <v>646</v>
      </c>
      <c r="F159" s="3" t="s">
        <v>646</v>
      </c>
      <c r="G159" s="1">
        <v>14</v>
      </c>
      <c r="H159" s="3" t="s">
        <v>647</v>
      </c>
      <c r="I159" s="1" t="s">
        <v>22</v>
      </c>
      <c r="J159" s="3" t="s">
        <v>53</v>
      </c>
      <c r="K159" s="3" t="s">
        <v>49</v>
      </c>
      <c r="L159" s="1" t="s">
        <v>23</v>
      </c>
      <c r="M159" s="3"/>
      <c r="N159" s="3"/>
    </row>
    <row r="160" spans="1:14" ht="32">
      <c r="A160" s="1" t="s">
        <v>648</v>
      </c>
      <c r="B160" s="1" t="s">
        <v>601</v>
      </c>
      <c r="C160" s="1" t="s">
        <v>565</v>
      </c>
      <c r="D160" s="1" t="s">
        <v>35</v>
      </c>
      <c r="E160" s="3" t="s">
        <v>649</v>
      </c>
      <c r="F160" s="3" t="s">
        <v>649</v>
      </c>
      <c r="G160" s="1">
        <v>12</v>
      </c>
      <c r="H160" s="3" t="s">
        <v>650</v>
      </c>
      <c r="I160" s="1" t="s">
        <v>22</v>
      </c>
      <c r="J160" s="3" t="s">
        <v>604</v>
      </c>
      <c r="K160" s="3" t="s">
        <v>49</v>
      </c>
      <c r="L160" s="1" t="s">
        <v>27</v>
      </c>
      <c r="M160" s="3"/>
      <c r="N160" s="3" t="s">
        <v>651</v>
      </c>
    </row>
    <row r="161" spans="1:14" ht="32">
      <c r="A161" s="1" t="s">
        <v>652</v>
      </c>
      <c r="B161" s="1" t="s">
        <v>601</v>
      </c>
      <c r="C161" s="1" t="s">
        <v>565</v>
      </c>
      <c r="D161" s="1" t="s">
        <v>35</v>
      </c>
      <c r="E161" s="3" t="s">
        <v>653</v>
      </c>
      <c r="F161" s="3" t="s">
        <v>653</v>
      </c>
      <c r="G161" s="1">
        <v>13</v>
      </c>
      <c r="H161" s="3" t="s">
        <v>654</v>
      </c>
      <c r="I161" s="1" t="s">
        <v>22</v>
      </c>
      <c r="J161" s="3" t="s">
        <v>655</v>
      </c>
      <c r="K161" s="3" t="s">
        <v>49</v>
      </c>
      <c r="L161" s="1" t="s">
        <v>143</v>
      </c>
      <c r="M161" s="3" t="s">
        <v>550</v>
      </c>
      <c r="N161" s="3" t="s">
        <v>551</v>
      </c>
    </row>
    <row r="162" spans="1:14">
      <c r="A162" s="1" t="s">
        <v>656</v>
      </c>
      <c r="B162" s="1" t="s">
        <v>601</v>
      </c>
      <c r="C162" s="1" t="s">
        <v>565</v>
      </c>
      <c r="D162" s="1" t="s">
        <v>35</v>
      </c>
      <c r="E162" s="3" t="s">
        <v>657</v>
      </c>
      <c r="F162" s="3" t="s">
        <v>657</v>
      </c>
      <c r="G162" s="1">
        <v>12</v>
      </c>
      <c r="H162" s="3" t="s">
        <v>658</v>
      </c>
      <c r="I162" s="1" t="s">
        <v>22</v>
      </c>
      <c r="J162" s="3" t="s">
        <v>639</v>
      </c>
      <c r="K162" s="3" t="s">
        <v>49</v>
      </c>
      <c r="L162" s="1" t="s">
        <v>23</v>
      </c>
      <c r="M162" s="3"/>
      <c r="N162" s="3"/>
    </row>
    <row r="163" spans="1:14" ht="32">
      <c r="A163" s="1" t="s">
        <v>659</v>
      </c>
      <c r="B163" s="1" t="s">
        <v>601</v>
      </c>
      <c r="C163" s="1" t="s">
        <v>565</v>
      </c>
      <c r="D163" s="1" t="s">
        <v>35</v>
      </c>
      <c r="E163" s="3" t="s">
        <v>660</v>
      </c>
      <c r="F163" s="3" t="s">
        <v>660</v>
      </c>
      <c r="G163" s="1">
        <v>13</v>
      </c>
      <c r="H163" s="3" t="s">
        <v>661</v>
      </c>
      <c r="I163" s="1" t="s">
        <v>20</v>
      </c>
      <c r="J163" s="3" t="s">
        <v>604</v>
      </c>
      <c r="K163" s="3" t="s">
        <v>49</v>
      </c>
      <c r="L163" s="1" t="s">
        <v>143</v>
      </c>
      <c r="M163" s="3" t="s">
        <v>643</v>
      </c>
      <c r="N163" s="3" t="s">
        <v>644</v>
      </c>
    </row>
    <row r="164" spans="1:14">
      <c r="A164" s="1" t="s">
        <v>662</v>
      </c>
      <c r="B164" s="1" t="s">
        <v>601</v>
      </c>
      <c r="C164" s="1" t="s">
        <v>122</v>
      </c>
      <c r="D164" s="1" t="s">
        <v>35</v>
      </c>
      <c r="E164" s="3" t="s">
        <v>663</v>
      </c>
      <c r="F164" s="3" t="s">
        <v>663</v>
      </c>
      <c r="G164" s="1">
        <v>13</v>
      </c>
      <c r="H164" s="3" t="s">
        <v>664</v>
      </c>
      <c r="I164" s="1" t="s">
        <v>125</v>
      </c>
      <c r="J164" s="3" t="s">
        <v>665</v>
      </c>
      <c r="K164" s="3" t="s">
        <v>127</v>
      </c>
      <c r="L164" s="1" t="s">
        <v>23</v>
      </c>
      <c r="M164" s="3"/>
      <c r="N164" s="3"/>
    </row>
    <row r="165" spans="1:14">
      <c r="A165" s="1" t="s">
        <v>666</v>
      </c>
      <c r="B165" s="1" t="s">
        <v>601</v>
      </c>
      <c r="C165" s="1" t="s">
        <v>122</v>
      </c>
      <c r="D165" s="1" t="s">
        <v>35</v>
      </c>
      <c r="E165" s="3" t="s">
        <v>667</v>
      </c>
      <c r="F165" s="3" t="s">
        <v>667</v>
      </c>
      <c r="G165" s="1">
        <v>15</v>
      </c>
      <c r="H165" s="3" t="s">
        <v>668</v>
      </c>
      <c r="I165" s="1" t="s">
        <v>125</v>
      </c>
      <c r="J165" s="3" t="s">
        <v>341</v>
      </c>
      <c r="K165" s="3" t="s">
        <v>127</v>
      </c>
      <c r="L165" s="1" t="s">
        <v>23</v>
      </c>
      <c r="M165" s="3"/>
      <c r="N165" s="3"/>
    </row>
    <row r="166" spans="1:14">
      <c r="A166" s="1" t="s">
        <v>669</v>
      </c>
      <c r="B166" s="1" t="s">
        <v>601</v>
      </c>
      <c r="C166" s="1" t="s">
        <v>122</v>
      </c>
      <c r="D166" s="1" t="s">
        <v>35</v>
      </c>
      <c r="E166" s="3" t="s">
        <v>670</v>
      </c>
      <c r="F166" s="3" t="s">
        <v>670</v>
      </c>
      <c r="G166" s="1">
        <v>15</v>
      </c>
      <c r="H166" s="3" t="s">
        <v>671</v>
      </c>
      <c r="I166" s="1" t="s">
        <v>125</v>
      </c>
      <c r="J166" s="3" t="s">
        <v>341</v>
      </c>
      <c r="K166" s="3" t="s">
        <v>127</v>
      </c>
      <c r="L166" s="1" t="s">
        <v>27</v>
      </c>
      <c r="M166" s="3"/>
      <c r="N166" s="3" t="s">
        <v>672</v>
      </c>
    </row>
    <row r="167" spans="1:14" ht="32">
      <c r="A167" s="1" t="s">
        <v>673</v>
      </c>
      <c r="B167" s="1" t="s">
        <v>601</v>
      </c>
      <c r="C167" s="1" t="s">
        <v>170</v>
      </c>
      <c r="D167" s="1" t="s">
        <v>35</v>
      </c>
      <c r="E167" s="3" t="s">
        <v>674</v>
      </c>
      <c r="F167" s="3" t="s">
        <v>674</v>
      </c>
      <c r="G167" s="1">
        <v>12</v>
      </c>
      <c r="H167" s="3" t="s">
        <v>675</v>
      </c>
      <c r="I167" s="1" t="s">
        <v>22</v>
      </c>
      <c r="J167" s="3" t="s">
        <v>370</v>
      </c>
      <c r="K167" s="3" t="s">
        <v>49</v>
      </c>
      <c r="L167" s="1" t="s">
        <v>143</v>
      </c>
      <c r="M167" s="3" t="s">
        <v>550</v>
      </c>
      <c r="N167" s="3" t="s">
        <v>551</v>
      </c>
    </row>
    <row r="168" spans="1:14">
      <c r="A168" s="1" t="s">
        <v>676</v>
      </c>
      <c r="B168" s="1" t="s">
        <v>601</v>
      </c>
      <c r="C168" s="1" t="s">
        <v>170</v>
      </c>
      <c r="D168" s="1" t="s">
        <v>35</v>
      </c>
      <c r="E168" s="3" t="s">
        <v>677</v>
      </c>
      <c r="F168" s="3" t="s">
        <v>677</v>
      </c>
      <c r="G168" s="1">
        <v>11</v>
      </c>
      <c r="H168" s="3" t="s">
        <v>678</v>
      </c>
      <c r="I168" s="1" t="s">
        <v>22</v>
      </c>
      <c r="J168" s="3" t="s">
        <v>679</v>
      </c>
      <c r="K168" s="3" t="s">
        <v>680</v>
      </c>
      <c r="L168" s="1" t="s">
        <v>23</v>
      </c>
      <c r="M168" s="3"/>
      <c r="N168" s="3"/>
    </row>
    <row r="169" spans="1:14">
      <c r="A169" s="1" t="s">
        <v>681</v>
      </c>
      <c r="B169" s="1" t="s">
        <v>601</v>
      </c>
      <c r="C169" s="1" t="s">
        <v>192</v>
      </c>
      <c r="D169" s="1" t="s">
        <v>35</v>
      </c>
      <c r="E169" s="3" t="s">
        <v>682</v>
      </c>
      <c r="F169" s="3" t="s">
        <v>682</v>
      </c>
      <c r="G169" s="1">
        <v>14</v>
      </c>
      <c r="H169" s="3" t="s">
        <v>683</v>
      </c>
      <c r="I169" s="1" t="s">
        <v>22</v>
      </c>
      <c r="J169" s="3" t="s">
        <v>679</v>
      </c>
      <c r="K169" s="3" t="s">
        <v>22</v>
      </c>
      <c r="L169" s="1" t="s">
        <v>23</v>
      </c>
      <c r="M169" s="3"/>
      <c r="N169" s="3"/>
    </row>
    <row r="170" spans="1:14" ht="32">
      <c r="A170" s="1" t="s">
        <v>684</v>
      </c>
      <c r="B170" s="1" t="s">
        <v>601</v>
      </c>
      <c r="C170" s="1" t="s">
        <v>147</v>
      </c>
      <c r="D170" s="1" t="s">
        <v>35</v>
      </c>
      <c r="E170" s="3" t="s">
        <v>685</v>
      </c>
      <c r="F170" s="3" t="s">
        <v>685</v>
      </c>
      <c r="G170" s="1">
        <v>15</v>
      </c>
      <c r="H170" s="3" t="s">
        <v>686</v>
      </c>
      <c r="I170" s="1" t="s">
        <v>22</v>
      </c>
      <c r="J170" s="3" t="s">
        <v>164</v>
      </c>
      <c r="K170" s="3" t="s">
        <v>127</v>
      </c>
      <c r="L170" s="1" t="s">
        <v>137</v>
      </c>
      <c r="M170" s="3"/>
      <c r="N170" s="3" t="s">
        <v>687</v>
      </c>
    </row>
    <row r="171" spans="1:14">
      <c r="A171" s="1" t="s">
        <v>688</v>
      </c>
      <c r="B171" s="1" t="s">
        <v>601</v>
      </c>
      <c r="C171" s="1" t="s">
        <v>16</v>
      </c>
      <c r="D171" s="1" t="s">
        <v>17</v>
      </c>
      <c r="E171" s="3" t="s">
        <v>689</v>
      </c>
      <c r="F171" s="3" t="s">
        <v>689</v>
      </c>
      <c r="G171" s="1">
        <v>14</v>
      </c>
      <c r="H171" s="3" t="s">
        <v>690</v>
      </c>
      <c r="I171" s="1" t="s">
        <v>22</v>
      </c>
      <c r="J171" s="3" t="s">
        <v>53</v>
      </c>
      <c r="K171" s="3" t="s">
        <v>22</v>
      </c>
      <c r="L171" s="1" t="s">
        <v>23</v>
      </c>
      <c r="M171" s="3"/>
      <c r="N171" s="3"/>
    </row>
    <row r="172" spans="1:14">
      <c r="A172" s="1" t="s">
        <v>691</v>
      </c>
      <c r="B172" s="1" t="s">
        <v>601</v>
      </c>
      <c r="C172" s="1" t="s">
        <v>147</v>
      </c>
      <c r="D172" s="1" t="s">
        <v>17</v>
      </c>
      <c r="E172" s="3" t="s">
        <v>692</v>
      </c>
      <c r="F172" s="3" t="s">
        <v>692</v>
      </c>
      <c r="G172" s="1">
        <v>14</v>
      </c>
      <c r="H172" s="3" t="s">
        <v>693</v>
      </c>
      <c r="I172" s="1" t="s">
        <v>22</v>
      </c>
      <c r="J172" s="3" t="s">
        <v>150</v>
      </c>
      <c r="K172" s="3" t="s">
        <v>127</v>
      </c>
      <c r="L172" s="1" t="s">
        <v>23</v>
      </c>
      <c r="M172" s="3"/>
      <c r="N172" s="3"/>
    </row>
    <row r="173" spans="1:14">
      <c r="A173" s="1" t="s">
        <v>694</v>
      </c>
      <c r="B173" s="1" t="s">
        <v>601</v>
      </c>
      <c r="C173" s="1" t="s">
        <v>45</v>
      </c>
      <c r="D173" s="1" t="s">
        <v>17</v>
      </c>
      <c r="E173" s="3" t="s">
        <v>695</v>
      </c>
      <c r="F173" s="3" t="s">
        <v>695</v>
      </c>
      <c r="G173" s="1">
        <v>12</v>
      </c>
      <c r="H173" s="3" t="s">
        <v>696</v>
      </c>
      <c r="I173" s="1" t="s">
        <v>22</v>
      </c>
      <c r="J173" s="3" t="s">
        <v>53</v>
      </c>
      <c r="K173" s="3" t="s">
        <v>49</v>
      </c>
      <c r="L173" s="1" t="s">
        <v>23</v>
      </c>
      <c r="M173" s="3"/>
      <c r="N173" s="3"/>
    </row>
    <row r="174" spans="1:14">
      <c r="A174" s="1" t="s">
        <v>697</v>
      </c>
      <c r="B174" s="1" t="s">
        <v>601</v>
      </c>
      <c r="C174" s="1" t="s">
        <v>170</v>
      </c>
      <c r="D174" s="1" t="s">
        <v>17</v>
      </c>
      <c r="E174" s="3" t="s">
        <v>698</v>
      </c>
      <c r="F174" s="3" t="s">
        <v>698</v>
      </c>
      <c r="G174" s="1">
        <v>13</v>
      </c>
      <c r="H174" s="3" t="s">
        <v>699</v>
      </c>
      <c r="I174" s="1" t="s">
        <v>22</v>
      </c>
      <c r="J174" s="3" t="s">
        <v>370</v>
      </c>
      <c r="K174" s="3" t="s">
        <v>49</v>
      </c>
      <c r="L174" s="1" t="s">
        <v>23</v>
      </c>
      <c r="M174" s="3"/>
      <c r="N174" s="3"/>
    </row>
    <row r="175" spans="1:14">
      <c r="A175" s="1" t="s">
        <v>700</v>
      </c>
      <c r="B175" s="1" t="s">
        <v>601</v>
      </c>
      <c r="C175" s="1" t="s">
        <v>45</v>
      </c>
      <c r="D175" s="1" t="s">
        <v>17</v>
      </c>
      <c r="E175" s="3" t="s">
        <v>701</v>
      </c>
      <c r="F175" s="3" t="s">
        <v>701</v>
      </c>
      <c r="G175" s="1">
        <v>11</v>
      </c>
      <c r="H175" s="3" t="s">
        <v>702</v>
      </c>
      <c r="I175" s="1" t="s">
        <v>22</v>
      </c>
      <c r="J175" s="3" t="s">
        <v>53</v>
      </c>
      <c r="K175" s="3" t="s">
        <v>49</v>
      </c>
      <c r="L175" s="1" t="s">
        <v>23</v>
      </c>
      <c r="M175" s="3"/>
      <c r="N175" s="3"/>
    </row>
    <row r="176" spans="1:14">
      <c r="A176" s="1" t="s">
        <v>703</v>
      </c>
      <c r="B176" s="1" t="s">
        <v>601</v>
      </c>
      <c r="C176" s="1" t="s">
        <v>170</v>
      </c>
      <c r="D176" s="1" t="s">
        <v>17</v>
      </c>
      <c r="E176" s="3" t="s">
        <v>704</v>
      </c>
      <c r="F176" s="3" t="s">
        <v>704</v>
      </c>
      <c r="G176" s="1">
        <v>10</v>
      </c>
      <c r="H176" s="3" t="s">
        <v>705</v>
      </c>
      <c r="I176" s="1" t="s">
        <v>22</v>
      </c>
      <c r="J176" s="3" t="s">
        <v>370</v>
      </c>
      <c r="K176" s="3" t="s">
        <v>49</v>
      </c>
      <c r="L176" s="1" t="s">
        <v>23</v>
      </c>
      <c r="M176" s="3"/>
      <c r="N176" s="3"/>
    </row>
    <row r="177" spans="1:14">
      <c r="A177" s="1" t="s">
        <v>706</v>
      </c>
      <c r="B177" s="1" t="s">
        <v>601</v>
      </c>
      <c r="C177" s="1" t="s">
        <v>87</v>
      </c>
      <c r="D177" s="1" t="s">
        <v>30</v>
      </c>
      <c r="E177" s="3" t="s">
        <v>707</v>
      </c>
      <c r="F177" s="3" t="s">
        <v>707</v>
      </c>
      <c r="G177" s="1">
        <v>10</v>
      </c>
      <c r="H177" s="3" t="s">
        <v>708</v>
      </c>
      <c r="I177" s="1" t="s">
        <v>22</v>
      </c>
      <c r="J177" s="3" t="s">
        <v>90</v>
      </c>
      <c r="K177" s="3" t="s">
        <v>22</v>
      </c>
      <c r="L177" s="1" t="s">
        <v>23</v>
      </c>
      <c r="M177" s="3"/>
      <c r="N177" s="3"/>
    </row>
    <row r="178" spans="1:14">
      <c r="A178" s="1" t="s">
        <v>709</v>
      </c>
      <c r="B178" s="1" t="s">
        <v>601</v>
      </c>
      <c r="C178" s="1" t="s">
        <v>192</v>
      </c>
      <c r="D178" s="1" t="s">
        <v>30</v>
      </c>
      <c r="E178" s="3" t="s">
        <v>710</v>
      </c>
      <c r="F178" s="3" t="s">
        <v>710</v>
      </c>
      <c r="G178" s="1">
        <v>11</v>
      </c>
      <c r="H178" s="3" t="s">
        <v>711</v>
      </c>
      <c r="I178" s="1" t="s">
        <v>22</v>
      </c>
      <c r="J178" s="3" t="s">
        <v>679</v>
      </c>
      <c r="K178" s="3" t="s">
        <v>22</v>
      </c>
      <c r="L178" s="1" t="s">
        <v>23</v>
      </c>
      <c r="M178" s="3"/>
      <c r="N178" s="3"/>
    </row>
    <row r="179" spans="1:14">
      <c r="A179" s="1" t="s">
        <v>712</v>
      </c>
      <c r="B179" s="1" t="s">
        <v>601</v>
      </c>
      <c r="C179" s="1" t="s">
        <v>45</v>
      </c>
      <c r="D179" s="1" t="s">
        <v>30</v>
      </c>
      <c r="E179" s="3" t="s">
        <v>713</v>
      </c>
      <c r="F179" s="3" t="s">
        <v>713</v>
      </c>
      <c r="G179" s="1">
        <v>14</v>
      </c>
      <c r="H179" s="3" t="s">
        <v>714</v>
      </c>
      <c r="I179" s="1" t="s">
        <v>22</v>
      </c>
      <c r="J179" s="3" t="s">
        <v>57</v>
      </c>
      <c r="K179" s="3" t="s">
        <v>49</v>
      </c>
      <c r="L179" s="1" t="s">
        <v>23</v>
      </c>
      <c r="M179" s="3"/>
      <c r="N179" s="3"/>
    </row>
    <row r="180" spans="1:14">
      <c r="A180" s="1" t="s">
        <v>715</v>
      </c>
      <c r="B180" s="1" t="s">
        <v>601</v>
      </c>
      <c r="C180" s="1" t="s">
        <v>87</v>
      </c>
      <c r="D180" s="1" t="s">
        <v>30</v>
      </c>
      <c r="E180" s="3" t="s">
        <v>716</v>
      </c>
      <c r="F180" s="3" t="s">
        <v>716</v>
      </c>
      <c r="G180" s="1">
        <v>12</v>
      </c>
      <c r="H180" s="3" t="s">
        <v>717</v>
      </c>
      <c r="I180" s="1" t="s">
        <v>22</v>
      </c>
      <c r="J180" s="3" t="s">
        <v>150</v>
      </c>
      <c r="K180" s="3" t="s">
        <v>22</v>
      </c>
      <c r="L180" s="1" t="s">
        <v>23</v>
      </c>
      <c r="M180" s="3"/>
      <c r="N180" s="3"/>
    </row>
    <row r="181" spans="1:14">
      <c r="A181" s="1" t="s">
        <v>718</v>
      </c>
      <c r="B181" s="1" t="s">
        <v>601</v>
      </c>
      <c r="C181" s="1" t="s">
        <v>147</v>
      </c>
      <c r="D181" s="1" t="s">
        <v>30</v>
      </c>
      <c r="E181" s="3" t="s">
        <v>719</v>
      </c>
      <c r="F181" s="3" t="s">
        <v>719</v>
      </c>
      <c r="G181" s="1">
        <v>14</v>
      </c>
      <c r="H181" s="3" t="s">
        <v>720</v>
      </c>
      <c r="I181" s="1" t="s">
        <v>22</v>
      </c>
      <c r="J181" s="3" t="s">
        <v>164</v>
      </c>
      <c r="K181" s="3" t="s">
        <v>127</v>
      </c>
      <c r="L181" s="1" t="s">
        <v>23</v>
      </c>
      <c r="M181" s="3"/>
      <c r="N181" s="3"/>
    </row>
    <row r="182" spans="1:14">
      <c r="A182" s="1" t="s">
        <v>721</v>
      </c>
      <c r="B182" s="1" t="s">
        <v>601</v>
      </c>
      <c r="C182" s="1" t="s">
        <v>87</v>
      </c>
      <c r="D182" s="1" t="s">
        <v>17</v>
      </c>
      <c r="E182" s="3" t="s">
        <v>722</v>
      </c>
      <c r="F182" s="3" t="s">
        <v>722</v>
      </c>
      <c r="G182" s="1">
        <v>9</v>
      </c>
      <c r="H182" s="3" t="s">
        <v>723</v>
      </c>
      <c r="I182" s="1" t="s">
        <v>22</v>
      </c>
      <c r="J182" s="3" t="s">
        <v>90</v>
      </c>
      <c r="K182" s="3" t="s">
        <v>22</v>
      </c>
      <c r="L182" s="1" t="s">
        <v>23</v>
      </c>
      <c r="M182" s="3"/>
      <c r="N182" s="3"/>
    </row>
    <row r="183" spans="1:14">
      <c r="A183" s="1" t="s">
        <v>724</v>
      </c>
      <c r="B183" s="1" t="s">
        <v>601</v>
      </c>
      <c r="C183" s="1" t="s">
        <v>67</v>
      </c>
      <c r="D183" s="1" t="s">
        <v>30</v>
      </c>
      <c r="E183" s="3" t="s">
        <v>725</v>
      </c>
      <c r="F183" s="3" t="s">
        <v>725</v>
      </c>
      <c r="G183" s="1">
        <v>14</v>
      </c>
      <c r="H183" s="3" t="s">
        <v>726</v>
      </c>
      <c r="I183" s="1" t="s">
        <v>22</v>
      </c>
      <c r="J183" s="3" t="s">
        <v>70</v>
      </c>
      <c r="K183" s="3" t="s">
        <v>22</v>
      </c>
      <c r="L183" s="1" t="s">
        <v>23</v>
      </c>
      <c r="M183" s="3"/>
      <c r="N183" s="3"/>
    </row>
    <row r="184" spans="1:14">
      <c r="A184" s="1" t="s">
        <v>727</v>
      </c>
      <c r="B184" s="1" t="s">
        <v>601</v>
      </c>
      <c r="C184" s="1" t="s">
        <v>192</v>
      </c>
      <c r="D184" s="1" t="s">
        <v>17</v>
      </c>
      <c r="E184" s="3" t="s">
        <v>728</v>
      </c>
      <c r="F184" s="3" t="s">
        <v>728</v>
      </c>
      <c r="G184" s="1">
        <v>13</v>
      </c>
      <c r="H184" s="3" t="s">
        <v>729</v>
      </c>
      <c r="I184" s="1" t="s">
        <v>22</v>
      </c>
      <c r="J184" s="3" t="s">
        <v>679</v>
      </c>
      <c r="K184" s="3" t="s">
        <v>22</v>
      </c>
      <c r="L184" s="1" t="s">
        <v>23</v>
      </c>
      <c r="M184" s="3"/>
      <c r="N184" s="3"/>
    </row>
    <row r="185" spans="1:14">
      <c r="A185" s="1" t="s">
        <v>730</v>
      </c>
      <c r="B185" s="1" t="s">
        <v>601</v>
      </c>
      <c r="C185" s="1" t="s">
        <v>67</v>
      </c>
      <c r="D185" s="1" t="s">
        <v>17</v>
      </c>
      <c r="E185" s="3" t="s">
        <v>731</v>
      </c>
      <c r="F185" s="3" t="s">
        <v>731</v>
      </c>
      <c r="G185" s="1">
        <v>12</v>
      </c>
      <c r="H185" s="3" t="s">
        <v>732</v>
      </c>
      <c r="I185" s="1" t="s">
        <v>22</v>
      </c>
      <c r="J185" s="3" t="s">
        <v>70</v>
      </c>
      <c r="K185" s="3" t="s">
        <v>22</v>
      </c>
      <c r="L185" s="1" t="s">
        <v>23</v>
      </c>
      <c r="M185" s="3"/>
      <c r="N185" s="3"/>
    </row>
    <row r="186" spans="1:14">
      <c r="A186" s="1" t="s">
        <v>733</v>
      </c>
      <c r="B186" s="1" t="s">
        <v>601</v>
      </c>
      <c r="C186" s="1" t="s">
        <v>67</v>
      </c>
      <c r="D186" s="1" t="s">
        <v>17</v>
      </c>
      <c r="E186" s="3" t="s">
        <v>734</v>
      </c>
      <c r="F186" s="3" t="s">
        <v>734</v>
      </c>
      <c r="G186" s="1">
        <v>12</v>
      </c>
      <c r="H186" s="3" t="s">
        <v>735</v>
      </c>
      <c r="I186" s="1" t="s">
        <v>22</v>
      </c>
      <c r="J186" s="3" t="s">
        <v>70</v>
      </c>
      <c r="K186" s="3" t="s">
        <v>22</v>
      </c>
      <c r="L186" s="1" t="s">
        <v>23</v>
      </c>
      <c r="M186" s="3"/>
      <c r="N186" s="3"/>
    </row>
    <row r="187" spans="1:14" ht="48">
      <c r="A187" s="1" t="s">
        <v>736</v>
      </c>
      <c r="B187" s="1" t="s">
        <v>601</v>
      </c>
      <c r="C187" s="1" t="s">
        <v>67</v>
      </c>
      <c r="D187" s="1" t="s">
        <v>17</v>
      </c>
      <c r="E187" s="3" t="s">
        <v>737</v>
      </c>
      <c r="F187" s="3" t="s">
        <v>737</v>
      </c>
      <c r="G187" s="1">
        <v>13</v>
      </c>
      <c r="H187" s="3" t="s">
        <v>738</v>
      </c>
      <c r="I187" s="1" t="s">
        <v>22</v>
      </c>
      <c r="J187" s="3" t="s">
        <v>70</v>
      </c>
      <c r="K187" s="3" t="s">
        <v>22</v>
      </c>
      <c r="L187" s="1" t="s">
        <v>143</v>
      </c>
      <c r="M187" s="3" t="s">
        <v>224</v>
      </c>
      <c r="N187" s="3" t="s">
        <v>225</v>
      </c>
    </row>
    <row r="188" spans="1:14">
      <c r="A188" s="1" t="s">
        <v>739</v>
      </c>
      <c r="B188" s="1" t="s">
        <v>601</v>
      </c>
      <c r="C188" s="1" t="s">
        <v>16</v>
      </c>
      <c r="D188" s="1" t="s">
        <v>30</v>
      </c>
      <c r="E188" s="3" t="s">
        <v>740</v>
      </c>
      <c r="F188" s="3" t="s">
        <v>740</v>
      </c>
      <c r="G188" s="1">
        <v>11</v>
      </c>
      <c r="H188" s="3" t="s">
        <v>741</v>
      </c>
      <c r="I188" s="1" t="s">
        <v>22</v>
      </c>
      <c r="J188" s="3" t="s">
        <v>150</v>
      </c>
      <c r="K188" s="3" t="s">
        <v>127</v>
      </c>
      <c r="L188" s="1" t="s">
        <v>23</v>
      </c>
      <c r="M188" s="3"/>
      <c r="N188" s="3"/>
    </row>
    <row r="189" spans="1:14">
      <c r="A189" s="1" t="s">
        <v>742</v>
      </c>
      <c r="B189" s="1" t="s">
        <v>601</v>
      </c>
      <c r="C189" s="1" t="s">
        <v>219</v>
      </c>
      <c r="D189" s="1" t="s">
        <v>22</v>
      </c>
      <c r="E189" s="3" t="s">
        <v>743</v>
      </c>
      <c r="F189" s="3" t="s">
        <v>743</v>
      </c>
      <c r="G189" s="1">
        <v>12</v>
      </c>
      <c r="H189" s="3" t="s">
        <v>744</v>
      </c>
      <c r="I189" s="1" t="s">
        <v>22</v>
      </c>
      <c r="J189" s="3" t="s">
        <v>745</v>
      </c>
      <c r="K189" s="3" t="s">
        <v>22</v>
      </c>
      <c r="L189" s="1" t="s">
        <v>23</v>
      </c>
      <c r="M189" s="3"/>
      <c r="N189" s="3"/>
    </row>
    <row r="190" spans="1:14" ht="32">
      <c r="A190" s="1" t="s">
        <v>746</v>
      </c>
      <c r="B190" s="1" t="s">
        <v>601</v>
      </c>
      <c r="C190" s="1" t="s">
        <v>219</v>
      </c>
      <c r="D190" s="1" t="s">
        <v>22</v>
      </c>
      <c r="E190" s="3" t="s">
        <v>747</v>
      </c>
      <c r="F190" s="3" t="s">
        <v>748</v>
      </c>
      <c r="G190" s="1">
        <v>12</v>
      </c>
      <c r="H190" s="3" t="s">
        <v>749</v>
      </c>
      <c r="I190" s="1" t="s">
        <v>22</v>
      </c>
      <c r="J190" s="3" t="s">
        <v>745</v>
      </c>
      <c r="K190" s="3" t="s">
        <v>22</v>
      </c>
      <c r="L190" s="1" t="s">
        <v>216</v>
      </c>
      <c r="M190" s="3" t="s">
        <v>224</v>
      </c>
      <c r="N190" s="3" t="s">
        <v>750</v>
      </c>
    </row>
    <row r="191" spans="1:14">
      <c r="A191" s="1" t="s">
        <v>751</v>
      </c>
      <c r="B191" s="1" t="s">
        <v>601</v>
      </c>
      <c r="C191" s="1" t="s">
        <v>235</v>
      </c>
      <c r="D191" s="1" t="s">
        <v>22</v>
      </c>
      <c r="E191" s="3" t="s">
        <v>752</v>
      </c>
      <c r="F191" s="3" t="s">
        <v>752</v>
      </c>
      <c r="G191" s="1">
        <v>12</v>
      </c>
      <c r="H191" s="3" t="s">
        <v>753</v>
      </c>
      <c r="I191" s="1" t="s">
        <v>22</v>
      </c>
      <c r="J191" s="3" t="s">
        <v>745</v>
      </c>
      <c r="K191" s="3" t="s">
        <v>22</v>
      </c>
      <c r="L191" s="1" t="s">
        <v>23</v>
      </c>
      <c r="M191" s="3"/>
      <c r="N191" s="3"/>
    </row>
    <row r="192" spans="1:14" ht="32">
      <c r="A192" s="1" t="s">
        <v>754</v>
      </c>
      <c r="B192" s="1" t="s">
        <v>601</v>
      </c>
      <c r="C192" s="1" t="s">
        <v>235</v>
      </c>
      <c r="D192" s="1" t="s">
        <v>22</v>
      </c>
      <c r="E192" s="3" t="s">
        <v>755</v>
      </c>
      <c r="F192" s="3" t="s">
        <v>756</v>
      </c>
      <c r="G192" s="1">
        <v>14</v>
      </c>
      <c r="H192" s="3" t="s">
        <v>757</v>
      </c>
      <c r="I192" s="1" t="s">
        <v>125</v>
      </c>
      <c r="J192" s="3" t="s">
        <v>745</v>
      </c>
      <c r="K192" s="3" t="s">
        <v>22</v>
      </c>
      <c r="L192" s="1" t="s">
        <v>216</v>
      </c>
      <c r="M192" s="3" t="s">
        <v>758</v>
      </c>
      <c r="N192" s="3" t="s">
        <v>759</v>
      </c>
    </row>
  </sheetData>
  <autoFilter ref="A1:N1" xr:uid="{DBEA781C-07E7-4393-BF75-138E1A6EB613}"/>
  <phoneticPr fontId="1" type="noConversion"/>
  <conditionalFormatting sqref="L2:L192">
    <cfRule type="cellIs" dxfId="5" priority="1" stopIfTrue="1" operator="equal">
      <formula>"""삭제"""</formula>
    </cfRule>
    <cfRule type="cellIs" dxfId="4" priority="2" stopIfTrue="1" operator="equal">
      <formula>"""보류"""</formula>
    </cfRule>
    <cfRule type="cellIs" dxfId="3" priority="3" stopIfTrue="1" operator="equal">
      <formula>"""수정"""</formula>
    </cfRule>
    <cfRule type="cellIs" dxfId="2" priority="4" stopIfTrue="1" operator="equal">
      <formula>"""조건부"""</formula>
    </cfRule>
    <cfRule type="cellIs" dxfId="1" priority="5" stopIfTrue="1" operator="equal">
      <formula>"""확인 필요"""</formula>
    </cfRule>
  </conditionalFormatting>
  <conditionalFormatting sqref="G2:G192">
    <cfRule type="cellIs" dxfId="0" priority="6" stopIfTrue="1" operator="greaterThan">
      <formula>22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31E91-9932-4D38-A29A-1DD626050276}">
  <dimension ref="A1:E8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20.58203125" customWidth="1"/>
    <col min="2" max="2" width="26.58203125" customWidth="1"/>
    <col min="3" max="3" width="54.58203125" customWidth="1"/>
    <col min="4" max="4" width="70.58203125" customWidth="1"/>
    <col min="5" max="5" width="32.58203125" customWidth="1"/>
  </cols>
  <sheetData>
    <row r="1" spans="1:5">
      <c r="A1" s="2" t="s">
        <v>760</v>
      </c>
      <c r="B1" s="2" t="s">
        <v>761</v>
      </c>
      <c r="C1" s="2" t="s">
        <v>762</v>
      </c>
      <c r="D1" s="2" t="s">
        <v>763</v>
      </c>
      <c r="E1" s="2" t="s">
        <v>764</v>
      </c>
    </row>
    <row r="2" spans="1:5" ht="48">
      <c r="A2" s="1" t="s">
        <v>224</v>
      </c>
      <c r="B2" s="1" t="s">
        <v>765</v>
      </c>
      <c r="C2" s="3" t="s">
        <v>766</v>
      </c>
      <c r="D2" s="3" t="s">
        <v>767</v>
      </c>
      <c r="E2" s="3" t="s">
        <v>768</v>
      </c>
    </row>
    <row r="3" spans="1:5" ht="48">
      <c r="A3" s="1" t="s">
        <v>769</v>
      </c>
      <c r="B3" s="1" t="s">
        <v>770</v>
      </c>
      <c r="C3" s="3" t="s">
        <v>771</v>
      </c>
      <c r="D3" s="3" t="s">
        <v>772</v>
      </c>
      <c r="E3" s="3" t="s">
        <v>773</v>
      </c>
    </row>
    <row r="4" spans="1:5" ht="32">
      <c r="A4" s="1" t="s">
        <v>550</v>
      </c>
      <c r="B4" s="1" t="s">
        <v>774</v>
      </c>
      <c r="C4" s="3" t="s">
        <v>775</v>
      </c>
      <c r="D4" s="3" t="s">
        <v>776</v>
      </c>
      <c r="E4" s="3" t="s">
        <v>777</v>
      </c>
    </row>
    <row r="5" spans="1:5" ht="32">
      <c r="A5" s="1" t="s">
        <v>643</v>
      </c>
      <c r="B5" s="1" t="s">
        <v>778</v>
      </c>
      <c r="C5" s="3" t="s">
        <v>779</v>
      </c>
      <c r="D5" s="3" t="s">
        <v>780</v>
      </c>
      <c r="E5" s="3" t="s">
        <v>781</v>
      </c>
    </row>
    <row r="6" spans="1:5" ht="32">
      <c r="A6" s="1" t="s">
        <v>782</v>
      </c>
      <c r="B6" s="1" t="s">
        <v>783</v>
      </c>
      <c r="C6" s="3" t="s">
        <v>784</v>
      </c>
      <c r="D6" s="3" t="s">
        <v>785</v>
      </c>
      <c r="E6" s="3" t="s">
        <v>786</v>
      </c>
    </row>
    <row r="7" spans="1:5" ht="64">
      <c r="A7" s="1" t="s">
        <v>787</v>
      </c>
      <c r="B7" s="1" t="s">
        <v>788</v>
      </c>
      <c r="C7" s="3" t="s">
        <v>789</v>
      </c>
      <c r="D7" s="3" t="s">
        <v>790</v>
      </c>
      <c r="E7" s="3" t="s">
        <v>791</v>
      </c>
    </row>
    <row r="8" spans="1:5" ht="32">
      <c r="A8" s="1" t="s">
        <v>159</v>
      </c>
      <c r="B8" s="1" t="s">
        <v>792</v>
      </c>
      <c r="C8" s="3" t="s">
        <v>793</v>
      </c>
      <c r="D8" s="3" t="s">
        <v>794</v>
      </c>
      <c r="E8" s="3" t="s">
        <v>795</v>
      </c>
    </row>
  </sheetData>
  <autoFilter ref="A1:E1" xr:uid="{37331E91-9932-4D38-A29A-1DD626050276}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1753-FFCC-443C-BCC8-01CEAAC52676}">
  <dimension ref="A1:E9"/>
  <sheetViews>
    <sheetView workbookViewId="0">
      <pane ySplit="1" topLeftCell="A2" activePane="bottomLeft" state="frozen"/>
      <selection pane="bottomLeft" activeCell="A2" sqref="A2"/>
    </sheetView>
  </sheetViews>
  <sheetFormatPr defaultRowHeight="17"/>
  <cols>
    <col min="1" max="1" width="5.58203125" customWidth="1"/>
    <col min="2" max="2" width="26.58203125" customWidth="1"/>
    <col min="3" max="3" width="34.58203125" customWidth="1"/>
    <col min="4" max="4" width="90.58203125" customWidth="1"/>
    <col min="5" max="5" width="14.58203125" customWidth="1"/>
  </cols>
  <sheetData>
    <row r="1" spans="1:5">
      <c r="A1" s="2" t="s">
        <v>796</v>
      </c>
      <c r="B1" s="2" t="s">
        <v>797</v>
      </c>
      <c r="C1" s="2" t="s">
        <v>798</v>
      </c>
      <c r="D1" s="2" t="s">
        <v>13</v>
      </c>
      <c r="E1" s="2" t="s">
        <v>799</v>
      </c>
    </row>
    <row r="2" spans="1:5" ht="80">
      <c r="A2" s="1">
        <v>1</v>
      </c>
      <c r="B2" s="1" t="s">
        <v>800</v>
      </c>
      <c r="C2" s="3" t="s">
        <v>801</v>
      </c>
      <c r="D2" s="3" t="s">
        <v>802</v>
      </c>
      <c r="E2" s="1" t="s">
        <v>803</v>
      </c>
    </row>
    <row r="3" spans="1:5">
      <c r="A3" s="1">
        <v>2</v>
      </c>
      <c r="B3" s="1" t="s">
        <v>804</v>
      </c>
      <c r="C3" s="3" t="s">
        <v>805</v>
      </c>
      <c r="D3" s="3" t="s">
        <v>806</v>
      </c>
      <c r="E3" s="1" t="s">
        <v>807</v>
      </c>
    </row>
    <row r="4" spans="1:5">
      <c r="A4" s="1">
        <v>3</v>
      </c>
      <c r="B4" s="1" t="s">
        <v>808</v>
      </c>
      <c r="C4" s="3" t="s">
        <v>809</v>
      </c>
      <c r="D4" s="3" t="s">
        <v>810</v>
      </c>
      <c r="E4" s="1" t="s">
        <v>811</v>
      </c>
    </row>
    <row r="5" spans="1:5" ht="32">
      <c r="A5" s="1">
        <v>4</v>
      </c>
      <c r="B5" s="1" t="s">
        <v>812</v>
      </c>
      <c r="C5" s="3" t="s">
        <v>813</v>
      </c>
      <c r="D5" s="3" t="s">
        <v>814</v>
      </c>
      <c r="E5" s="1" t="s">
        <v>811</v>
      </c>
    </row>
    <row r="6" spans="1:5" ht="32">
      <c r="A6" s="1">
        <v>5</v>
      </c>
      <c r="B6" s="1" t="s">
        <v>815</v>
      </c>
      <c r="C6" s="3" t="s">
        <v>816</v>
      </c>
      <c r="D6" s="3" t="s">
        <v>817</v>
      </c>
      <c r="E6" s="1" t="s">
        <v>807</v>
      </c>
    </row>
    <row r="7" spans="1:5">
      <c r="A7" s="1">
        <v>6</v>
      </c>
      <c r="B7" s="1" t="s">
        <v>818</v>
      </c>
      <c r="C7" s="3" t="s">
        <v>819</v>
      </c>
      <c r="D7" s="3" t="s">
        <v>820</v>
      </c>
      <c r="E7" s="1" t="s">
        <v>807</v>
      </c>
    </row>
    <row r="8" spans="1:5" ht="32">
      <c r="A8" s="1">
        <v>7</v>
      </c>
      <c r="B8" s="1" t="s">
        <v>821</v>
      </c>
      <c r="C8" s="3" t="s">
        <v>822</v>
      </c>
      <c r="D8" s="3" t="s">
        <v>823</v>
      </c>
      <c r="E8" s="1" t="s">
        <v>803</v>
      </c>
    </row>
    <row r="9" spans="1:5" ht="32">
      <c r="A9" s="1">
        <v>8</v>
      </c>
      <c r="B9" s="1" t="s">
        <v>824</v>
      </c>
      <c r="C9" s="3" t="s">
        <v>825</v>
      </c>
      <c r="D9" s="3" t="s">
        <v>826</v>
      </c>
      <c r="E9" s="1" t="s">
        <v>811</v>
      </c>
    </row>
  </sheetData>
  <autoFilter ref="A1:E1" xr:uid="{77FA1753-FFCC-443C-BCC8-01CEAAC5267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안내</vt:lpstr>
      <vt:lpstr>검수결과</vt:lpstr>
      <vt:lpstr>신규금지규칙</vt:lpstr>
      <vt:lpstr>쟁점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이사라</dc:creator>
  <cp:lastModifiedBy>이사라</cp:lastModifiedBy>
  <dcterms:created xsi:type="dcterms:W3CDTF">2026-09-21T03:47:48Z</dcterms:created>
  <dcterms:modified xsi:type="dcterms:W3CDTF">2026-09-21T03:47:49Z</dcterms:modified>
</cp:coreProperties>
</file>
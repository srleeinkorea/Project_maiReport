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metrics\"/>
    </mc:Choice>
  </mc:AlternateContent>
  <xr:revisionPtr revIDLastSave="0" documentId="8_{A3EDA591-97DF-4033-9F76-038B8FAC7707}" xr6:coauthVersionLast="47" xr6:coauthVersionMax="47" xr10:uidLastSave="{00000000-0000-0000-0000-000000000000}"/>
  <bookViews>
    <workbookView xWindow="-110" yWindow="-110" windowWidth="38620" windowHeight="21100" xr2:uid="{5CF8C501-EE9D-4227-9C05-2F54292BB4C8}"/>
  </bookViews>
  <sheets>
    <sheet name="입력_결과" sheetId="1" r:id="rId1"/>
    <sheet name="D_BMI" sheetId="2" r:id="rId2"/>
    <sheet name="D_WAIST" sheetId="3" r:id="rId3"/>
    <sheet name="D_SBP" sheetId="4" r:id="rId4"/>
    <sheet name="D_DBP" sheetId="5" r:id="rId5"/>
    <sheet name="D_FBG" sheetId="6" r:id="rId6"/>
    <sheet name="D_TC" sheetId="7" r:id="rId7"/>
    <sheet name="D_HDL" sheetId="8" r:id="rId8"/>
    <sheet name="D_TG" sheetId="9" r:id="rId9"/>
    <sheet name="D_LDL" sheetId="10" r:id="rId10"/>
    <sheet name="D_HB" sheetId="11" r:id="rId11"/>
    <sheet name="D_CR" sheetId="12" r:id="rId12"/>
    <sheet name="D_EGFR" sheetId="13" r:id="rId13"/>
    <sheet name="D_AST" sheetId="14" r:id="rId14"/>
    <sheet name="D_ALT" sheetId="15" r:id="rId15"/>
    <sheet name="D_GGT" sheetId="16" r:id="rId16"/>
    <sheet name="M_신장체중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1" i="1" l="1"/>
  <c r="I31" i="1"/>
  <c r="H31" i="1"/>
  <c r="G31" i="1"/>
  <c r="L31" i="1"/>
  <c r="M31" i="1"/>
  <c r="K30" i="1"/>
  <c r="I30" i="1"/>
  <c r="H30" i="1"/>
  <c r="G30" i="1"/>
  <c r="L30" i="1"/>
  <c r="M30" i="1"/>
  <c r="K21" i="1"/>
  <c r="L21" i="1"/>
  <c r="B8" i="1"/>
  <c r="B7" i="1"/>
  <c r="B6" i="1"/>
  <c r="M26" i="1"/>
  <c r="L26" i="1"/>
  <c r="M25" i="1"/>
  <c r="L25" i="1"/>
  <c r="M24" i="1"/>
  <c r="L24" i="1"/>
  <c r="M23" i="1"/>
  <c r="L23" i="1"/>
  <c r="M22" i="1"/>
  <c r="L22" i="1"/>
  <c r="M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G12" i="1"/>
  <c r="G21" i="1" l="1"/>
  <c r="H21" i="1" s="1"/>
  <c r="I21" i="1" s="1"/>
  <c r="J21" i="1" s="1"/>
  <c r="H12" i="1"/>
  <c r="K26" i="1"/>
  <c r="G26" i="1"/>
  <c r="K25" i="1"/>
  <c r="G25" i="1"/>
  <c r="K24" i="1"/>
  <c r="G24" i="1"/>
  <c r="K23" i="1"/>
  <c r="G23" i="1"/>
  <c r="K22" i="1"/>
  <c r="G22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I12" i="1" l="1"/>
  <c r="J12" i="1" s="1"/>
  <c r="H26" i="1"/>
  <c r="I26" i="1" s="1"/>
  <c r="J26" i="1" s="1"/>
  <c r="H25" i="1"/>
  <c r="I25" i="1" s="1"/>
  <c r="J25" i="1" s="1"/>
  <c r="H24" i="1"/>
  <c r="I24" i="1" s="1"/>
  <c r="J24" i="1" s="1"/>
  <c r="H23" i="1"/>
  <c r="I23" i="1" s="1"/>
  <c r="J23" i="1" s="1"/>
  <c r="H22" i="1"/>
  <c r="I22" i="1" s="1"/>
  <c r="J22" i="1" s="1"/>
  <c r="H20" i="1"/>
  <c r="I20" i="1" s="1"/>
  <c r="J20" i="1" s="1"/>
  <c r="H19" i="1"/>
  <c r="I19" i="1" s="1"/>
  <c r="J19" i="1" s="1"/>
  <c r="H18" i="1"/>
  <c r="I18" i="1" s="1"/>
  <c r="J18" i="1" s="1"/>
  <c r="H17" i="1"/>
  <c r="I17" i="1" s="1"/>
  <c r="J17" i="1" s="1"/>
  <c r="H16" i="1"/>
  <c r="I16" i="1" s="1"/>
  <c r="J16" i="1" s="1"/>
  <c r="H15" i="1"/>
  <c r="I15" i="1" s="1"/>
  <c r="J15" i="1" s="1"/>
  <c r="H14" i="1"/>
  <c r="I14" i="1" s="1"/>
  <c r="J14" i="1" s="1"/>
  <c r="H13" i="1"/>
  <c r="I13" i="1" s="1"/>
  <c r="J13" i="1" s="1"/>
  <c r="D38" i="1" l="1"/>
  <c r="C38" i="1"/>
  <c r="B38" i="1"/>
  <c r="B36" i="1"/>
  <c r="B37" i="1" s="1"/>
  <c r="B35" i="1"/>
  <c r="B34" i="1"/>
</calcChain>
</file>

<file path=xl/sharedStrings.xml><?xml version="1.0" encoding="utf-8"?>
<sst xmlns="http://schemas.openxmlformats.org/spreadsheetml/2006/main" count="2772" uniqueCount="344">
  <si>
    <t>체질량지수 분포 · 국민건강보험공단 건강검진통계 2024 (KOSIS, 전국) · 단위 kg/m²</t>
  </si>
  <si>
    <t>3~4행 하한·상한은 열 이름의 구간 경계. 양끝 개방 구간의 바깥 경계는 계산용 가정값(파란색). 데이터 셀(6행 이하)은 수정하지 마세요.</t>
  </si>
  <si>
    <t>하한</t>
  </si>
  <si>
    <t>상한</t>
  </si>
  <si>
    <t>키</t>
  </si>
  <si>
    <t>연령</t>
  </si>
  <si>
    <t>성별</t>
  </si>
  <si>
    <t>계</t>
  </si>
  <si>
    <t>저체중(18.5미만)</t>
  </si>
  <si>
    <t>정상(18.5~25미만)</t>
  </si>
  <si>
    <t>비만1단계(25~30미만)</t>
  </si>
  <si>
    <t>비만2단계(30~40미만)</t>
  </si>
  <si>
    <t>비만3단계(40이상)</t>
  </si>
  <si>
    <t>(미사용)</t>
  </si>
  <si>
    <t>계|합계</t>
  </si>
  <si>
    <t>합계</t>
  </si>
  <si>
    <t>계|남자</t>
  </si>
  <si>
    <t>남자</t>
  </si>
  <si>
    <t>계|여자</t>
  </si>
  <si>
    <t>여자</t>
  </si>
  <si>
    <t>19세이하|합계</t>
  </si>
  <si>
    <t>19세이하</t>
  </si>
  <si>
    <t>19세이하|남자</t>
  </si>
  <si>
    <t>19세이하|여자</t>
  </si>
  <si>
    <t>20-24세|합계</t>
  </si>
  <si>
    <t>20~24세</t>
  </si>
  <si>
    <t>20-24세|남자</t>
  </si>
  <si>
    <t>20-24세|여자</t>
  </si>
  <si>
    <t>25-29세|합계</t>
  </si>
  <si>
    <t>25~29세</t>
  </si>
  <si>
    <t>25-29세|남자</t>
  </si>
  <si>
    <t>25-29세|여자</t>
  </si>
  <si>
    <t>30-34세|합계</t>
  </si>
  <si>
    <t>30~34세</t>
  </si>
  <si>
    <t>30-34세|남자</t>
  </si>
  <si>
    <t>30-34세|여자</t>
  </si>
  <si>
    <t>35-39세|합계</t>
  </si>
  <si>
    <t>35~39세</t>
  </si>
  <si>
    <t>35-39세|남자</t>
  </si>
  <si>
    <t>35-39세|여자</t>
  </si>
  <si>
    <t>40-44세|합계</t>
  </si>
  <si>
    <t>40~44세</t>
  </si>
  <si>
    <t>40-44세|남자</t>
  </si>
  <si>
    <t>40-44세|여자</t>
  </si>
  <si>
    <t>45-49세|합계</t>
  </si>
  <si>
    <t>45~49세</t>
  </si>
  <si>
    <t>45-49세|남자</t>
  </si>
  <si>
    <t>45-49세|여자</t>
  </si>
  <si>
    <t>50-54세|합계</t>
  </si>
  <si>
    <t>50~54세</t>
  </si>
  <si>
    <t>50-54세|남자</t>
  </si>
  <si>
    <t>50-54세|여자</t>
  </si>
  <si>
    <t>55-59세|합계</t>
  </si>
  <si>
    <t>55~59세</t>
  </si>
  <si>
    <t>55-59세|남자</t>
  </si>
  <si>
    <t>55-59세|여자</t>
  </si>
  <si>
    <t>60-64세|합계</t>
  </si>
  <si>
    <t>60~64세</t>
  </si>
  <si>
    <t>60-64세|남자</t>
  </si>
  <si>
    <t>60-64세|여자</t>
  </si>
  <si>
    <t>65-69세|합계</t>
  </si>
  <si>
    <t>65~69세</t>
  </si>
  <si>
    <t>65-69세|남자</t>
  </si>
  <si>
    <t>65-69세|여자</t>
  </si>
  <si>
    <t>70-74세|합계</t>
  </si>
  <si>
    <t>70~74세</t>
  </si>
  <si>
    <t>70-74세|남자</t>
  </si>
  <si>
    <t>70-74세|여자</t>
  </si>
  <si>
    <t>75-79세|합계</t>
  </si>
  <si>
    <t>75~79세</t>
  </si>
  <si>
    <t>75-79세|남자</t>
  </si>
  <si>
    <t>75-79세|여자</t>
  </si>
  <si>
    <t>80-84세|합계</t>
  </si>
  <si>
    <t>80~84세</t>
  </si>
  <si>
    <t>80-84세|남자</t>
  </si>
  <si>
    <t>80-84세|여자</t>
  </si>
  <si>
    <t>85세이상|합계</t>
  </si>
  <si>
    <t>85세이상</t>
  </si>
  <si>
    <t>85세이상|남자</t>
  </si>
  <si>
    <t>85세이상|여자</t>
  </si>
  <si>
    <t>허리둘레 분포 · 국민건강보험공단 건강검진통계 2024 (KOSIS, 전국) · 단위 cm</t>
  </si>
  <si>
    <t>75cm미만</t>
  </si>
  <si>
    <t>75-79</t>
  </si>
  <si>
    <t>80-84</t>
  </si>
  <si>
    <t>85-89</t>
  </si>
  <si>
    <t>90-94</t>
  </si>
  <si>
    <t>95-99</t>
  </si>
  <si>
    <t>100-104</t>
  </si>
  <si>
    <t>105-109</t>
  </si>
  <si>
    <t>110cm이상</t>
  </si>
  <si>
    <t>수축기 혈압 분포 · 국민건강보험공단 건강검진통계 2024 (KOSIS, 전국) · 단위 mmHg</t>
  </si>
  <si>
    <t>110미만</t>
  </si>
  <si>
    <t>110-119</t>
  </si>
  <si>
    <t>120-129</t>
  </si>
  <si>
    <t>130-139</t>
  </si>
  <si>
    <t>140-149</t>
  </si>
  <si>
    <t>150-159</t>
  </si>
  <si>
    <t>160-169</t>
  </si>
  <si>
    <t>170-179</t>
  </si>
  <si>
    <t>180이상</t>
  </si>
  <si>
    <t>이완기 혈압 분포 · 국민건강보험공단 건강검진통계 2024 (KOSIS, 전국) · 단위 mmHg</t>
  </si>
  <si>
    <t>70미만</t>
  </si>
  <si>
    <t>70-79</t>
  </si>
  <si>
    <t>80-89</t>
  </si>
  <si>
    <t>90-99</t>
  </si>
  <si>
    <t>100-109</t>
  </si>
  <si>
    <t>120이상</t>
  </si>
  <si>
    <t>공복 혈당 분포 · 국민건강보험공단 건강검진통계 2024 (KOSIS, 전국) · 단위 mg/dL</t>
  </si>
  <si>
    <t>100미만</t>
  </si>
  <si>
    <t>110-125</t>
  </si>
  <si>
    <t>126-139</t>
  </si>
  <si>
    <t>140-159</t>
  </si>
  <si>
    <t>160-179</t>
  </si>
  <si>
    <t>180-199</t>
  </si>
  <si>
    <t>200이상</t>
  </si>
  <si>
    <t>총 콜레스테롤 분포 · 국민건강보험공단 건강검진통계 2024 (KOSIS, 전국) · 단위 mg/dL</t>
  </si>
  <si>
    <t>140미만</t>
  </si>
  <si>
    <t>200-219</t>
  </si>
  <si>
    <t>220-239</t>
  </si>
  <si>
    <t>240-259</t>
  </si>
  <si>
    <t>260-279</t>
  </si>
  <si>
    <t>280이상</t>
  </si>
  <si>
    <t>HDL 콜레스테롤 분포 · 국민건강보험공단 건강검진통계 2024 (KOSIS, 전국) · 단위 mg/dL</t>
  </si>
  <si>
    <t>30미만</t>
  </si>
  <si>
    <t>30-39</t>
  </si>
  <si>
    <t>40-49</t>
  </si>
  <si>
    <t>50-59</t>
  </si>
  <si>
    <t>60-69</t>
  </si>
  <si>
    <t>90이상</t>
  </si>
  <si>
    <t>중성지방 분포 · 국민건강보험공단 건강검진통계 2024 (KOSIS, 전국) · 단위 mg/dL</t>
  </si>
  <si>
    <t>50미만</t>
  </si>
  <si>
    <t>50-99</t>
  </si>
  <si>
    <t>100-149</t>
  </si>
  <si>
    <t>150-199</t>
  </si>
  <si>
    <t>200-299</t>
  </si>
  <si>
    <t>300-399</t>
  </si>
  <si>
    <t>400-499</t>
  </si>
  <si>
    <t>500이상</t>
  </si>
  <si>
    <t>LDL 콜레스테롤 분포 · 국민건강보험공단 건강검진통계 2024 (KOSIS, 전국) · 단위 mg/dL</t>
  </si>
  <si>
    <t>70-99</t>
  </si>
  <si>
    <t>100-129</t>
  </si>
  <si>
    <t>130-159</t>
  </si>
  <si>
    <t>160-189</t>
  </si>
  <si>
    <t>190이상</t>
  </si>
  <si>
    <t>혈색소 분포 · 국민건강보험공단 건강검진통계 2024 (KOSIS, 전국) · 단위 g/dL</t>
  </si>
  <si>
    <t>10.0미만</t>
  </si>
  <si>
    <t>10.0-10.9</t>
  </si>
  <si>
    <t>11.0-11.9</t>
  </si>
  <si>
    <t>12.0-12.9</t>
  </si>
  <si>
    <t>13.0-13.9</t>
  </si>
  <si>
    <t>14.0-14.9</t>
  </si>
  <si>
    <t>15.0-15.5</t>
  </si>
  <si>
    <t>15.6-15.9</t>
  </si>
  <si>
    <t>16.0-16.5</t>
  </si>
  <si>
    <t>16.6이상</t>
  </si>
  <si>
    <t>혈청 크레아티닌 분포 · 국민건강보험공단 건강검진통계 2024 (KOSIS, 전국) · 단위 mg/dL</t>
  </si>
  <si>
    <t>0.9미만</t>
  </si>
  <si>
    <t>0.9-1.0</t>
  </si>
  <si>
    <t>1.1-1.2</t>
  </si>
  <si>
    <t>1.3-1.4</t>
  </si>
  <si>
    <t>1.5-1.6</t>
  </si>
  <si>
    <t>1.7-1.8</t>
  </si>
  <si>
    <t>1.9-2.0</t>
  </si>
  <si>
    <t>2.1이상</t>
  </si>
  <si>
    <t>신사구체여과율 분포 · 국민건강보험공단 건강검진통계 2024 (KOSIS, 전국) · 단위 mL/min/1.73㎡</t>
  </si>
  <si>
    <t>60-79</t>
  </si>
  <si>
    <t>80-99</t>
  </si>
  <si>
    <t>150이상</t>
  </si>
  <si>
    <t>AST 분포 · 국민건강보험공단 건강검진통계 2024 (KOSIS, 전국) · 단위 U/L</t>
  </si>
  <si>
    <t>30이하</t>
  </si>
  <si>
    <t>31-40</t>
  </si>
  <si>
    <t>41-50</t>
  </si>
  <si>
    <t>51-60</t>
  </si>
  <si>
    <t>61-70</t>
  </si>
  <si>
    <t>71-80</t>
  </si>
  <si>
    <t>81-90</t>
  </si>
  <si>
    <t>91-100</t>
  </si>
  <si>
    <t>101이상</t>
  </si>
  <si>
    <t>ALT 분포 · 국민건강보험공단 건강검진통계 2024 (KOSIS, 전국) · 단위 U/L</t>
  </si>
  <si>
    <t>35이하</t>
  </si>
  <si>
    <t>36-40</t>
  </si>
  <si>
    <t>41-45</t>
  </si>
  <si>
    <t>46-50</t>
  </si>
  <si>
    <t>감마-GTP 분포 · 국민건강보험공단 건강검진통계 2024 (KOSIS, 전국) · 단위 U/L</t>
  </si>
  <si>
    <t>8미만</t>
  </si>
  <si>
    <t>36-45</t>
  </si>
  <si>
    <t>46-63</t>
  </si>
  <si>
    <t>64-77</t>
  </si>
  <si>
    <t>78-99</t>
  </si>
  <si>
    <t>100이상</t>
  </si>
  <si>
    <t>키·몸무게 · 국가기술표준원 제8차 한국인 인체치수조사 (2020 실측, KOSIS orgId 115 · DT_115019_002, DT_115019_125) · 성별 × 5세 구간(20~69세) 측정수·평균·표준편차·백분위. 국민건강영양조사는 표준편차를 공표하지 않아 이 표를 사용. 70세 이상은 없음. 키는 원표 mm를 cm로 환산.</t>
  </si>
  <si>
    <t>백분위 →</t>
  </si>
  <si>
    <t>항목</t>
  </si>
  <si>
    <t>측정수</t>
  </si>
  <si>
    <t>평균</t>
  </si>
  <si>
    <t>표준편차</t>
  </si>
  <si>
    <t>p1</t>
  </si>
  <si>
    <t>p5</t>
  </si>
  <si>
    <t>p10</t>
  </si>
  <si>
    <t>p25</t>
  </si>
  <si>
    <t>p50</t>
  </si>
  <si>
    <t>p75</t>
  </si>
  <si>
    <t>p90</t>
  </si>
  <si>
    <t>p95</t>
  </si>
  <si>
    <t>p99</t>
  </si>
  <si>
    <t>키|남자|20-24세</t>
  </si>
  <si>
    <t>20-24세</t>
  </si>
  <si>
    <t>키|남자|25-29세</t>
  </si>
  <si>
    <t>25-29세</t>
  </si>
  <si>
    <t>키|남자|30-34세</t>
  </si>
  <si>
    <t>30-34세</t>
  </si>
  <si>
    <t>키|남자|35-39세</t>
  </si>
  <si>
    <t>35-39세</t>
  </si>
  <si>
    <t>키|남자|40-44세</t>
  </si>
  <si>
    <t>40-44세</t>
  </si>
  <si>
    <t>키|남자|45-49세</t>
  </si>
  <si>
    <t>45-49세</t>
  </si>
  <si>
    <t>키|남자|50-54세</t>
  </si>
  <si>
    <t>50-54세</t>
  </si>
  <si>
    <t>키|남자|55-59세</t>
  </si>
  <si>
    <t>55-59세</t>
  </si>
  <si>
    <t>키|남자|60-64세</t>
  </si>
  <si>
    <t>60-64세</t>
  </si>
  <si>
    <t>키|남자|65-69세</t>
  </si>
  <si>
    <t>65-69세</t>
  </si>
  <si>
    <t>키|남자|전체</t>
  </si>
  <si>
    <t>전체</t>
  </si>
  <si>
    <t>키|여자|20-24세</t>
  </si>
  <si>
    <t>키|여자|25-29세</t>
  </si>
  <si>
    <t>키|여자|30-34세</t>
  </si>
  <si>
    <t>키|여자|35-39세</t>
  </si>
  <si>
    <t>키|여자|40-44세</t>
  </si>
  <si>
    <t>키|여자|45-49세</t>
  </si>
  <si>
    <t>키|여자|50-54세</t>
  </si>
  <si>
    <t>키|여자|55-59세</t>
  </si>
  <si>
    <t>키|여자|60-64세</t>
  </si>
  <si>
    <t>키|여자|65-69세</t>
  </si>
  <si>
    <t>키|여자|전체</t>
  </si>
  <si>
    <t>체중|남자|20-24세</t>
  </si>
  <si>
    <t>체중</t>
  </si>
  <si>
    <t>체중|남자|25-29세</t>
  </si>
  <si>
    <t>체중|남자|30-34세</t>
  </si>
  <si>
    <t>체중|남자|35-39세</t>
  </si>
  <si>
    <t>체중|남자|40-44세</t>
  </si>
  <si>
    <t>체중|남자|45-49세</t>
  </si>
  <si>
    <t>체중|남자|50-54세</t>
  </si>
  <si>
    <t>체중|남자|55-59세</t>
  </si>
  <si>
    <t>체중|남자|60-64세</t>
  </si>
  <si>
    <t>체중|남자|65-69세</t>
  </si>
  <si>
    <t>체중|남자|전체</t>
  </si>
  <si>
    <t>체중|여자|20-24세</t>
  </si>
  <si>
    <t>체중|여자|25-29세</t>
  </si>
  <si>
    <t>체중|여자|30-34세</t>
  </si>
  <si>
    <t>체중|여자|35-39세</t>
  </si>
  <si>
    <t>체중|여자|40-44세</t>
  </si>
  <si>
    <t>체중|여자|45-49세</t>
  </si>
  <si>
    <t>체중|여자|50-54세</t>
  </si>
  <si>
    <t>체중|여자|55-59세</t>
  </si>
  <si>
    <t>체중|여자|60-64세</t>
  </si>
  <si>
    <t>체중|여자|65-69세</t>
  </si>
  <si>
    <t>체중|여자|전체</t>
  </si>
  <si>
    <t>maiReport · 또래 등수(퍼센타일) 계산표</t>
  </si>
  <si>
    <t>노란 셀만 입력하세요. 기준: 국민건강보험공단 건강검진통계 2024(KOSIS) 전국 수검자. 판정(정상/이상)이 아니라 "같은 성별·연령대 수검자 중 위치"입니다.</t>
  </si>
  <si>
    <t>만 나이</t>
  </si>
  <si>
    <t>5세 구간 (키 형식: 45-49세)</t>
  </si>
  <si>
    <t>10세 구간</t>
  </si>
  <si>
    <t>조회 키</t>
  </si>
  <si>
    <t>성별은 남자 / 여자 로 입력. 20세 미만은 계산하지 않습니다. 예시 값은 프로토타입 검진결과 화면(남성 45세 가정)입니다.</t>
  </si>
  <si>
    <t>① 검진 항목 (분포표 기반 · 경험적 백분위)</t>
  </si>
  <si>
    <t>분포표 시트</t>
  </si>
  <si>
    <t>단위</t>
  </si>
  <si>
    <t>입력값</t>
  </si>
  <si>
    <t>방향</t>
  </si>
  <si>
    <t>저값 경고 기준</t>
  </si>
  <si>
    <t>분포 위치 P (%)</t>
  </si>
  <si>
    <t>또래 상위 % (rank)</t>
  </si>
  <si>
    <t>100명 중 N번째</t>
  </si>
  <si>
    <t>구간 라벨</t>
  </si>
  <si>
    <t>비고</t>
  </si>
  <si>
    <t>계산: 보정값 x</t>
  </si>
  <si>
    <t>계산: 행 번호</t>
  </si>
  <si>
    <t>체질량지수</t>
  </si>
  <si>
    <t>D_BMI</t>
  </si>
  <si>
    <t>kg/m²</t>
  </si>
  <si>
    <t>low</t>
  </si>
  <si>
    <t>허리둘레</t>
  </si>
  <si>
    <t>D_WAIST</t>
  </si>
  <si>
    <t>cm</t>
  </si>
  <si>
    <t>수축기 혈압</t>
  </si>
  <si>
    <t>D_SBP</t>
  </si>
  <si>
    <t>mmHg</t>
  </si>
  <si>
    <t>이완기 혈압</t>
  </si>
  <si>
    <t>D_DBP</t>
  </si>
  <si>
    <t>공복 혈당</t>
  </si>
  <si>
    <t>D_FBG</t>
  </si>
  <si>
    <t>mg/dL</t>
  </si>
  <si>
    <t>총 콜레스테롤</t>
  </si>
  <si>
    <t>D_TC</t>
  </si>
  <si>
    <t>HDL 콜레스테롤</t>
  </si>
  <si>
    <t>D_HDL</t>
  </si>
  <si>
    <t>high</t>
  </si>
  <si>
    <t>중성지방</t>
  </si>
  <si>
    <t>D_TG</t>
  </si>
  <si>
    <t>LDL 콜레스테롤</t>
  </si>
  <si>
    <t>D_LDL</t>
  </si>
  <si>
    <t>혈색소</t>
  </si>
  <si>
    <t>D_HB</t>
  </si>
  <si>
    <t>g/dL</t>
  </si>
  <si>
    <t>혈청 크레아티닌</t>
  </si>
  <si>
    <t>D_CR</t>
  </si>
  <si>
    <t>신사구체여과율</t>
  </si>
  <si>
    <t>D_EGFR</t>
  </si>
  <si>
    <t>mL/min/1.73㎡</t>
  </si>
  <si>
    <t>AST</t>
  </si>
  <si>
    <t>D_AST</t>
  </si>
  <si>
    <t>U/L</t>
  </si>
  <si>
    <t>ALT</t>
  </si>
  <si>
    <t>D_ALT</t>
  </si>
  <si>
    <t>감마-GTP</t>
  </si>
  <si>
    <t>D_GGT</t>
  </si>
  <si>
    <t>② 키·체중 (인체치수조사 2020 백분위표 보간 · 좋고 나쁨 없음)</t>
  </si>
  <si>
    <t>기준 시트</t>
  </si>
  <si>
    <t>큰 순 상위 %</t>
  </si>
  <si>
    <t>계산: 백분위 구간 k</t>
  </si>
  <si>
    <t>M_신장체중</t>
  </si>
  <si>
    <t>none</t>
  </si>
  <si>
    <t>kg</t>
  </si>
  <si>
    <t>③ 종합</t>
  </si>
  <si>
    <t>계산된 항목 수</t>
  </si>
  <si>
    <t>또래 평균보다 나쁜 항목 수 (rank&gt;50)</t>
  </si>
  <si>
    <t>평균 퍼센타일 (가중치 없음)</t>
  </si>
  <si>
    <t>종합 등급</t>
  </si>
  <si>
    <t>먼저 볼 항목 (rank 상위 3)</t>
  </si>
  <si>
    <t>산식과 규칙</t>
  </si>
  <si>
    <t>P(분포 위치) = [ Σ(상한≤x 구간 인원) + 해당 구간 인원 × (x−하한)/(상한−하한) ] ÷ 성별·연령 구간 총 인원 × 100   ← 정규분포 가정 없이 실제 수검자 분포에서 계산</t>
  </si>
  <si>
    <t>rank(또래 상위 %) = P (낮을수록 좋은 항목) 또는 100−P (높을수록 좋은 항목: HDL, 혈색소, 신사구체여과율)</t>
  </si>
  <si>
    <t>100명 중 N번째 = rank를 정수로 반올림하고 1~99로 제한. 0과 100은 표시하지 않음</t>
  </si>
  <si>
    <t>구간 라벨: 1~25 또래보다 좋음 / 26~60 또래 수준 / 61~85 또래보다 나쁨 / 86~99 또래 하위 15%</t>
  </si>
  <si>
    <t>저값 경고: BMI 18.5 미만, 수축기 90 미만, 이완기 60 미만이면 순위 대신 "확인 필요" (낮은 값이 상위로 보이는 것을 막음). 종합에서 제외</t>
  </si>
  <si>
    <t>키·체중은 방향이 없으므로 "큰 순 상위 %"로만 표시하고 종합에서 제외. 기준은 국가기술표준원 제8차 인체치수조사(2020 실측)의 성별·5세 구간 백분위표(p1~p99)를 선형 보간. p1 미만은 1, p99 이상은 99. 국민건강영양조사는 표준편차를 공표하지 않아 쓰지 않음. 70세 이상은 자료가 없어 계산하지 않음</t>
  </si>
  <si>
    <t>분포표(D_ 시트)는 KOSIS 건강검진통계 2024 "연령별 ○○ 분포 현황"의 전국 인원수. 양끝 개방 구간(예: 180 이상)의 바깥 경계는 각 시트 3~4행의 가정값(파란색)</t>
  </si>
  <si>
    <t>지질 4종(총콜레스테롤·HDL·중성지방·LDL)은 2024년 검사 주기 대상자만 집계. 20~39세 여성은 행이 0이라 계산되지 않음(비고에 표시)</t>
  </si>
  <si>
    <t>수검자 통계이므로 "또래 검진 수검자 중 위치"로 읽음. 검진기관 판정과는 별개의 축이며 의학적 판정을 대체하지 않음</t>
  </si>
  <si>
    <t>개발 규격: outputs/mai-report-metrics/maiReport_또래퍼센타일_산출규격.html (PCT-001). 이 표의 G~J 열 로직이 규격 4.3~4.6절과 대응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</si>
</sst>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"/>
    <numFmt numFmtId="177" formatCode="0.0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0000FF"/>
      <name val="Malgun Gothic"/>
      <family val="3"/>
      <charset val="129"/>
    </font>
    <font>
      <sz val="10"/>
      <color rgb="FF808080"/>
      <name val="Malgun Gothic"/>
      <family val="3"/>
      <charset val="129"/>
    </font>
    <font>
      <b/>
      <sz val="13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3" fontId="2" fillId="0" borderId="0" xfId="0" applyNumberFormat="1" applyFont="1">
      <alignment vertical="center"/>
    </xf>
    <xf numFmtId="176" fontId="4" fillId="2" borderId="0" xfId="0" applyNumberFormat="1" applyFont="1" applyFill="1">
      <alignment vertical="center"/>
    </xf>
    <xf numFmtId="17" fontId="4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3" borderId="0" xfId="0" applyFont="1" applyFill="1">
      <alignment vertical="center"/>
    </xf>
    <xf numFmtId="0" fontId="6" fillId="2" borderId="0" xfId="0" applyFont="1" applyFill="1">
      <alignment vertical="center"/>
    </xf>
    <xf numFmtId="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EC8A-11EB-4CA4-8E7F-0D63579AE893}">
  <dimension ref="A1:M50"/>
  <sheetViews>
    <sheetView tabSelected="1" workbookViewId="0">
      <pane ySplit="11" topLeftCell="A12" activePane="bottomLeft" state="frozen"/>
      <selection pane="bottomLeft" activeCell="A12" sqref="A12"/>
    </sheetView>
  </sheetViews>
  <sheetFormatPr defaultRowHeight="17"/>
  <cols>
    <col min="1" max="1" width="30.58203125" customWidth="1"/>
    <col min="2" max="3" width="14.58203125" customWidth="1"/>
    <col min="4" max="6" width="12.58203125" customWidth="1"/>
    <col min="7" max="10" width="16.58203125" customWidth="1"/>
    <col min="11" max="11" width="44.58203125" customWidth="1"/>
    <col min="12" max="13" width="14.58203125" customWidth="1"/>
  </cols>
  <sheetData>
    <row r="1" spans="1:13" ht="20.5">
      <c r="A1" s="11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262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 t="s">
        <v>6</v>
      </c>
      <c r="B4" s="12" t="s">
        <v>17</v>
      </c>
      <c r="C4" s="1"/>
      <c r="D4" s="1" t="s">
        <v>267</v>
      </c>
      <c r="E4" s="1"/>
      <c r="F4" s="1"/>
      <c r="G4" s="1"/>
      <c r="H4" s="1"/>
      <c r="I4" s="1"/>
      <c r="J4" s="1"/>
      <c r="K4" s="1"/>
      <c r="L4" s="1"/>
      <c r="M4" s="1"/>
    </row>
    <row r="5" spans="1:13">
      <c r="A5" s="1" t="s">
        <v>263</v>
      </c>
      <c r="B5" s="12">
        <v>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 t="s">
        <v>264</v>
      </c>
      <c r="B6" s="1" t="str">
        <f>IF(B5&lt;20,"19세이하",IF(B5&gt;=85,"85세이상",INT(B5/5)*5&amp;"-"&amp;INT(B5/5)*5+4&amp;"세"))</f>
        <v>45-49세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 t="s">
        <v>265</v>
      </c>
      <c r="B7" s="1" t="str">
        <f>IF(B5&lt;20,"19세이하",IF(B5&gt;=80,"80세이상",INT(B5/10)*10&amp;"대"))</f>
        <v>40대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 t="s">
        <v>266</v>
      </c>
      <c r="B8" s="1" t="str">
        <f>B6&amp;"|"&amp;B4</f>
        <v>45-49세|남자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3" t="s">
        <v>268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4" t="s">
        <v>192</v>
      </c>
      <c r="B11" s="4" t="s">
        <v>269</v>
      </c>
      <c r="C11" s="4" t="s">
        <v>270</v>
      </c>
      <c r="D11" s="4" t="s">
        <v>271</v>
      </c>
      <c r="E11" s="4" t="s">
        <v>272</v>
      </c>
      <c r="F11" s="4" t="s">
        <v>273</v>
      </c>
      <c r="G11" s="4" t="s">
        <v>274</v>
      </c>
      <c r="H11" s="4" t="s">
        <v>275</v>
      </c>
      <c r="I11" s="4" t="s">
        <v>276</v>
      </c>
      <c r="J11" s="4" t="s">
        <v>277</v>
      </c>
      <c r="K11" s="4" t="s">
        <v>278</v>
      </c>
      <c r="L11" s="13" t="s">
        <v>279</v>
      </c>
      <c r="M11" s="13" t="s">
        <v>280</v>
      </c>
    </row>
    <row r="12" spans="1:13">
      <c r="A12" s="1" t="s">
        <v>281</v>
      </c>
      <c r="B12" s="1" t="s">
        <v>282</v>
      </c>
      <c r="C12" s="1" t="s">
        <v>283</v>
      </c>
      <c r="D12" s="12">
        <v>24.5</v>
      </c>
      <c r="E12" s="1" t="s">
        <v>284</v>
      </c>
      <c r="F12" s="5">
        <v>18.5</v>
      </c>
      <c r="G12" s="9">
        <f ca="1">IF(OR(L12="",M12="",$B$5&lt;20),"",(SUMPRODUCT(--(INDIRECT("'D_BMI'!E4:P4")&lt;=L12),INDEX(INDIRECT("'D_BMI'!E6:P60"),M12,0))+SUMPRODUCT((INDIRECT("'D_BMI'!E3:P3")&lt;L12)*(INDIRECT("'D_BMI'!E4:P4")&gt;L12)*INDEX(INDIRECT("'D_BMI'!E6:P60"),M12,0)*(L12-INDIRECT("'D_BMI'!E3:P3"))/(INDIRECT("'D_BMI'!E4:P4")-INDIRECT("'D_BMI'!E3:P3"))))/INDEX(INDIRECT("'D_BMI'!D6:D60"),M12)*100)</f>
        <v>41.152953842643115</v>
      </c>
      <c r="H12" s="9">
        <f ca="1">IF(G12="","",IF(AND(F12&lt;&gt;"",D12&lt;F12),"확인 필요",IF(E12="low",G12,100-G12)))</f>
        <v>41.152953842643115</v>
      </c>
      <c r="I12" s="14">
        <f ca="1">IF(OR(H12="",H12="확인 필요"),"",MAX(1,MIN(99,ROUND(H12,0))))</f>
        <v>41</v>
      </c>
      <c r="J12" s="1" t="str">
        <f ca="1">IF(I12="","",IF(I12&lt;=25,"또래보다 좋음",IF(I12&lt;=60,"또래 수준",IF(I12&lt;=85,"또래보다 나쁨","또래 하위 15%"))))</f>
        <v>또래 수준</v>
      </c>
      <c r="K12" s="1" t="str">
        <f ca="1">IF(D12="","",IF(M12="","해당 연령·성별 행 없음",IF(INDEX(INDIRECT("'D_BMI'!D6:D60"),M12)=0,"이 연령·성별은 2024년 검사 대상 아님(지질 4년 주기)","")))</f>
        <v/>
      </c>
      <c r="L12" s="10">
        <f ca="1">IF(D12="","",MIN(MAX(D12,INDIRECT("'D_BMI'!E3")),MAX(INDIRECT("'D_BMI'!E4:P4"))-0.000000001))</f>
        <v>24.5</v>
      </c>
      <c r="M12" s="10">
        <f ca="1">IFERROR(MATCH($B$8,INDIRECT("'D_BMI'!A6:A60"),0),"")</f>
        <v>23</v>
      </c>
    </row>
    <row r="13" spans="1:13">
      <c r="A13" s="1" t="s">
        <v>285</v>
      </c>
      <c r="B13" s="1" t="s">
        <v>286</v>
      </c>
      <c r="C13" s="1" t="s">
        <v>287</v>
      </c>
      <c r="D13" s="12">
        <v>82</v>
      </c>
      <c r="E13" s="1" t="s">
        <v>284</v>
      </c>
      <c r="F13" s="5"/>
      <c r="G13" s="9">
        <f ca="1">IF(OR(L13="",M13="",$B$5&lt;20),"",(SUMPRODUCT(--(INDIRECT("'D_WAIST'!E4:P4")&lt;=L13),INDEX(INDIRECT("'D_WAIST'!E6:P60"),M13,0))+SUMPRODUCT((INDIRECT("'D_WAIST'!E3:P3")&lt;L13)*(INDIRECT("'D_WAIST'!E4:P4")&gt;L13)*INDEX(INDIRECT("'D_WAIST'!E6:P60"),M13,0)*(L13-INDIRECT("'D_WAIST'!E3:P3"))/(INDIRECT("'D_WAIST'!E4:P4")-INDIRECT("'D_WAIST'!E3:P3"))))/INDEX(INDIRECT("'D_WAIST'!D6:D60"),M13)*100)</f>
        <v>27.868978615738762</v>
      </c>
      <c r="H13" s="9">
        <f ca="1">IF(G13="","",IF(AND(F13&lt;&gt;"",D13&lt;F13),"확인 필요",IF(E13="low",G13,100-G13)))</f>
        <v>27.868978615738762</v>
      </c>
      <c r="I13" s="14">
        <f ca="1">IF(OR(H13="",H13="확인 필요"),"",MAX(1,MIN(99,ROUND(H13,0))))</f>
        <v>28</v>
      </c>
      <c r="J13" s="1" t="str">
        <f ca="1">IF(I13="","",IF(I13&lt;=25,"또래보다 좋음",IF(I13&lt;=60,"또래 수준",IF(I13&lt;=85,"또래보다 나쁨","또래 하위 15%"))))</f>
        <v>또래 수준</v>
      </c>
      <c r="K13" s="1" t="str">
        <f ca="1">IF(D13="","",IF(M13="","해당 연령·성별 행 없음",IF(INDEX(INDIRECT("'D_WAIST'!D6:D60"),M13)=0,"이 연령·성별은 2024년 검사 대상 아님(지질 4년 주기)","")))</f>
        <v/>
      </c>
      <c r="L13" s="10">
        <f ca="1">IF(D13="","",MIN(MAX(D13,INDIRECT("'D_WAIST'!E3")),MAX(INDIRECT("'D_WAIST'!E4:P4"))-0.000000001))</f>
        <v>82</v>
      </c>
      <c r="M13" s="10">
        <f ca="1">IFERROR(MATCH($B$8,INDIRECT("'D_WAIST'!A6:A60"),0),"")</f>
        <v>23</v>
      </c>
    </row>
    <row r="14" spans="1:13">
      <c r="A14" s="1" t="s">
        <v>288</v>
      </c>
      <c r="B14" s="1" t="s">
        <v>289</v>
      </c>
      <c r="C14" s="1" t="s">
        <v>290</v>
      </c>
      <c r="D14" s="12">
        <v>148</v>
      </c>
      <c r="E14" s="1" t="s">
        <v>284</v>
      </c>
      <c r="F14" s="5">
        <v>90</v>
      </c>
      <c r="G14" s="9">
        <f ca="1">IF(OR(L14="",M14="",$B$5&lt;20),"",(SUMPRODUCT(--(INDIRECT("'D_SBP'!E4:P4")&lt;=L14),INDEX(INDIRECT("'D_SBP'!E6:P60"),M14,0))+SUMPRODUCT((INDIRECT("'D_SBP'!E3:P3")&lt;L14)*(INDIRECT("'D_SBP'!E4:P4")&gt;L14)*INDEX(INDIRECT("'D_SBP'!E6:P60"),M14,0)*(L14-INDIRECT("'D_SBP'!E3:P3"))/(INDIRECT("'D_SBP'!E4:P4")-INDIRECT("'D_SBP'!E3:P3"))))/INDEX(INDIRECT("'D_SBP'!D6:D60"),M14)*100)</f>
        <v>94.679028377575776</v>
      </c>
      <c r="H14" s="9">
        <f ca="1">IF(G14="","",IF(AND(F14&lt;&gt;"",D14&lt;F14),"확인 필요",IF(E14="low",G14,100-G14)))</f>
        <v>94.679028377575776</v>
      </c>
      <c r="I14" s="14">
        <f ca="1">IF(OR(H14="",H14="확인 필요"),"",MAX(1,MIN(99,ROUND(H14,0))))</f>
        <v>95</v>
      </c>
      <c r="J14" s="1" t="str">
        <f ca="1">IF(I14="","",IF(I14&lt;=25,"또래보다 좋음",IF(I14&lt;=60,"또래 수준",IF(I14&lt;=85,"또래보다 나쁨","또래 하위 15%"))))</f>
        <v>또래 하위 15%</v>
      </c>
      <c r="K14" s="1" t="str">
        <f ca="1">IF(D14="","",IF(M14="","해당 연령·성별 행 없음",IF(INDEX(INDIRECT("'D_SBP'!D6:D60"),M14)=0,"이 연령·성별은 2024년 검사 대상 아님(지질 4년 주기)","")))</f>
        <v/>
      </c>
      <c r="L14" s="10">
        <f ca="1">IF(D14="","",MIN(MAX(D14,INDIRECT("'D_SBP'!E3")),MAX(INDIRECT("'D_SBP'!E4:P4"))-0.000000001))</f>
        <v>148</v>
      </c>
      <c r="M14" s="10">
        <f ca="1">IFERROR(MATCH($B$8,INDIRECT("'D_SBP'!A6:A60"),0),"")</f>
        <v>23</v>
      </c>
    </row>
    <row r="15" spans="1:13">
      <c r="A15" s="1" t="s">
        <v>291</v>
      </c>
      <c r="B15" s="1" t="s">
        <v>292</v>
      </c>
      <c r="C15" s="1" t="s">
        <v>290</v>
      </c>
      <c r="D15" s="12">
        <v>94</v>
      </c>
      <c r="E15" s="1" t="s">
        <v>284</v>
      </c>
      <c r="F15" s="5">
        <v>60</v>
      </c>
      <c r="G15" s="9">
        <f ca="1">IF(OR(L15="",M15="",$B$5&lt;20),"",(SUMPRODUCT(--(INDIRECT("'D_DBP'!E4:P4")&lt;=L15),INDEX(INDIRECT("'D_DBP'!E6:P60"),M15,0))+SUMPRODUCT((INDIRECT("'D_DBP'!E3:P3")&lt;L15)*(INDIRECT("'D_DBP'!E4:P4")&gt;L15)*INDEX(INDIRECT("'D_DBP'!E6:P60"),M15,0)*(L15-INDIRECT("'D_DBP'!E3:P3"))/(INDIRECT("'D_DBP'!E4:P4")-INDIRECT("'D_DBP'!E3:P3"))))/INDEX(INDIRECT("'D_DBP'!D6:D60"),M15)*100)</f>
        <v>90.389004654096922</v>
      </c>
      <c r="H15" s="9">
        <f ca="1">IF(G15="","",IF(AND(F15&lt;&gt;"",D15&lt;F15),"확인 필요",IF(E15="low",G15,100-G15)))</f>
        <v>90.389004654096922</v>
      </c>
      <c r="I15" s="14">
        <f ca="1">IF(OR(H15="",H15="확인 필요"),"",MAX(1,MIN(99,ROUND(H15,0))))</f>
        <v>90</v>
      </c>
      <c r="J15" s="1" t="str">
        <f ca="1">IF(I15="","",IF(I15&lt;=25,"또래보다 좋음",IF(I15&lt;=60,"또래 수준",IF(I15&lt;=85,"또래보다 나쁨","또래 하위 15%"))))</f>
        <v>또래 하위 15%</v>
      </c>
      <c r="K15" s="1" t="str">
        <f ca="1">IF(D15="","",IF(M15="","해당 연령·성별 행 없음",IF(INDEX(INDIRECT("'D_DBP'!D6:D60"),M15)=0,"이 연령·성별은 2024년 검사 대상 아님(지질 4년 주기)","")))</f>
        <v/>
      </c>
      <c r="L15" s="10">
        <f ca="1">IF(D15="","",MIN(MAX(D15,INDIRECT("'D_DBP'!E3")),MAX(INDIRECT("'D_DBP'!E4:P4"))-0.000000001))</f>
        <v>94</v>
      </c>
      <c r="M15" s="10">
        <f ca="1">IFERROR(MATCH($B$8,INDIRECT("'D_DBP'!A6:A60"),0),"")</f>
        <v>23</v>
      </c>
    </row>
    <row r="16" spans="1:13">
      <c r="A16" s="1" t="s">
        <v>293</v>
      </c>
      <c r="B16" s="1" t="s">
        <v>294</v>
      </c>
      <c r="C16" s="1" t="s">
        <v>295</v>
      </c>
      <c r="D16" s="12">
        <v>128</v>
      </c>
      <c r="E16" s="1" t="s">
        <v>284</v>
      </c>
      <c r="F16" s="5"/>
      <c r="G16" s="9">
        <f ca="1">IF(OR(L16="",M16="",$B$5&lt;20),"",(SUMPRODUCT(--(INDIRECT("'D_FBG'!E4:P4")&lt;=L16),INDEX(INDIRECT("'D_FBG'!E6:P60"),M16,0))+SUMPRODUCT((INDIRECT("'D_FBG'!E3:P3")&lt;L16)*(INDIRECT("'D_FBG'!E4:P4")&gt;L16)*INDEX(INDIRECT("'D_FBG'!E6:P60"),M16,0)*(L16-INDIRECT("'D_FBG'!E3:P3"))/(INDIRECT("'D_FBG'!E4:P4")-INDIRECT("'D_FBG'!E3:P3"))))/INDEX(INDIRECT("'D_FBG'!D6:D60"),M16)*100)</f>
        <v>91.145246281671021</v>
      </c>
      <c r="H16" s="9">
        <f ca="1">IF(G16="","",IF(AND(F16&lt;&gt;"",D16&lt;F16),"확인 필요",IF(E16="low",G16,100-G16)))</f>
        <v>91.145246281671021</v>
      </c>
      <c r="I16" s="14">
        <f ca="1">IF(OR(H16="",H16="확인 필요"),"",MAX(1,MIN(99,ROUND(H16,0))))</f>
        <v>91</v>
      </c>
      <c r="J16" s="1" t="str">
        <f ca="1">IF(I16="","",IF(I16&lt;=25,"또래보다 좋음",IF(I16&lt;=60,"또래 수준",IF(I16&lt;=85,"또래보다 나쁨","또래 하위 15%"))))</f>
        <v>또래 하위 15%</v>
      </c>
      <c r="K16" s="1" t="str">
        <f ca="1">IF(D16="","",IF(M16="","해당 연령·성별 행 없음",IF(INDEX(INDIRECT("'D_FBG'!D6:D60"),M16)=0,"이 연령·성별은 2024년 검사 대상 아님(지질 4년 주기)","")))</f>
        <v/>
      </c>
      <c r="L16" s="10">
        <f ca="1">IF(D16="","",MIN(MAX(D16,INDIRECT("'D_FBG'!E3")),MAX(INDIRECT("'D_FBG'!E4:P4"))-0.000000001))</f>
        <v>128</v>
      </c>
      <c r="M16" s="10">
        <f ca="1">IFERROR(MATCH($B$8,INDIRECT("'D_FBG'!A6:A60"),0),"")</f>
        <v>23</v>
      </c>
    </row>
    <row r="17" spans="1:13">
      <c r="A17" s="1" t="s">
        <v>296</v>
      </c>
      <c r="B17" s="1" t="s">
        <v>297</v>
      </c>
      <c r="C17" s="1" t="s">
        <v>295</v>
      </c>
      <c r="D17" s="12">
        <v>201</v>
      </c>
      <c r="E17" s="1" t="s">
        <v>284</v>
      </c>
      <c r="F17" s="5"/>
      <c r="G17" s="9">
        <f ca="1">IF(OR(L17="",M17="",$B$5&lt;20),"",(SUMPRODUCT(--(INDIRECT("'D_TC'!E4:P4")&lt;=L17),INDEX(INDIRECT("'D_TC'!E6:P60"),M17,0))+SUMPRODUCT((INDIRECT("'D_TC'!E3:P3")&lt;L17)*(INDIRECT("'D_TC'!E4:P4")&gt;L17)*INDEX(INDIRECT("'D_TC'!E6:P60"),M17,0)*(L17-INDIRECT("'D_TC'!E3:P3"))/(INDIRECT("'D_TC'!E4:P4")-INDIRECT("'D_TC'!E3:P3"))))/INDEX(INDIRECT("'D_TC'!D6:D60"),M17)*100)</f>
        <v>44.956146158002653</v>
      </c>
      <c r="H17" s="9">
        <f ca="1">IF(G17="","",IF(AND(F17&lt;&gt;"",D17&lt;F17),"확인 필요",IF(E17="low",G17,100-G17)))</f>
        <v>44.956146158002653</v>
      </c>
      <c r="I17" s="14">
        <f ca="1">IF(OR(H17="",H17="확인 필요"),"",MAX(1,MIN(99,ROUND(H17,0))))</f>
        <v>45</v>
      </c>
      <c r="J17" s="1" t="str">
        <f ca="1">IF(I17="","",IF(I17&lt;=25,"또래보다 좋음",IF(I17&lt;=60,"또래 수준",IF(I17&lt;=85,"또래보다 나쁨","또래 하위 15%"))))</f>
        <v>또래 수준</v>
      </c>
      <c r="K17" s="1" t="str">
        <f ca="1">IF(D17="","",IF(M17="","해당 연령·성별 행 없음",IF(INDEX(INDIRECT("'D_TC'!D6:D60"),M17)=0,"이 연령·성별은 2024년 검사 대상 아님(지질 4년 주기)","")))</f>
        <v/>
      </c>
      <c r="L17" s="10">
        <f ca="1">IF(D17="","",MIN(MAX(D17,INDIRECT("'D_TC'!E3")),MAX(INDIRECT("'D_TC'!E4:P4"))-0.000000001))</f>
        <v>201</v>
      </c>
      <c r="M17" s="10">
        <f ca="1">IFERROR(MATCH($B$8,INDIRECT("'D_TC'!A6:A60"),0),"")</f>
        <v>23</v>
      </c>
    </row>
    <row r="18" spans="1:13">
      <c r="A18" s="1" t="s">
        <v>298</v>
      </c>
      <c r="B18" s="1" t="s">
        <v>299</v>
      </c>
      <c r="C18" s="1" t="s">
        <v>295</v>
      </c>
      <c r="D18" s="12">
        <v>52</v>
      </c>
      <c r="E18" s="1" t="s">
        <v>300</v>
      </c>
      <c r="F18" s="5"/>
      <c r="G18" s="9">
        <f ca="1">IF(OR(L18="",M18="",$B$5&lt;20),"",(SUMPRODUCT(--(INDIRECT("'D_HDL'!E4:P4")&lt;=L18),INDEX(INDIRECT("'D_HDL'!E6:P60"),M18,0))+SUMPRODUCT((INDIRECT("'D_HDL'!E3:P3")&lt;L18)*(INDIRECT("'D_HDL'!E4:P4")&gt;L18)*INDEX(INDIRECT("'D_HDL'!E6:P60"),M18,0)*(L18-INDIRECT("'D_HDL'!E3:P3"))/(INDIRECT("'D_HDL'!E4:P4")-INDIRECT("'D_HDL'!E3:P3"))))/INDEX(INDIRECT("'D_HDL'!D6:D60"),M18)*100)</f>
        <v>51.834632905232048</v>
      </c>
      <c r="H18" s="9">
        <f ca="1">IF(G18="","",IF(AND(F18&lt;&gt;"",D18&lt;F18),"확인 필요",IF(E18="low",G18,100-G18)))</f>
        <v>48.165367094767952</v>
      </c>
      <c r="I18" s="14">
        <f ca="1">IF(OR(H18="",H18="확인 필요"),"",MAX(1,MIN(99,ROUND(H18,0))))</f>
        <v>48</v>
      </c>
      <c r="J18" s="1" t="str">
        <f ca="1">IF(I18="","",IF(I18&lt;=25,"또래보다 좋음",IF(I18&lt;=60,"또래 수준",IF(I18&lt;=85,"또래보다 나쁨","또래 하위 15%"))))</f>
        <v>또래 수준</v>
      </c>
      <c r="K18" s="1" t="str">
        <f ca="1">IF(D18="","",IF(M18="","해당 연령·성별 행 없음",IF(INDEX(INDIRECT("'D_HDL'!D6:D60"),M18)=0,"이 연령·성별은 2024년 검사 대상 아님(지질 4년 주기)","")))</f>
        <v/>
      </c>
      <c r="L18" s="10">
        <f ca="1">IF(D18="","",MIN(MAX(D18,INDIRECT("'D_HDL'!E3")),MAX(INDIRECT("'D_HDL'!E4:P4"))-0.000000001))</f>
        <v>52</v>
      </c>
      <c r="M18" s="10">
        <f ca="1">IFERROR(MATCH($B$8,INDIRECT("'D_HDL'!A6:A60"),0),"")</f>
        <v>23</v>
      </c>
    </row>
    <row r="19" spans="1:13">
      <c r="A19" s="1" t="s">
        <v>301</v>
      </c>
      <c r="B19" s="1" t="s">
        <v>302</v>
      </c>
      <c r="C19" s="1" t="s">
        <v>295</v>
      </c>
      <c r="D19" s="12">
        <v>115</v>
      </c>
      <c r="E19" s="1" t="s">
        <v>284</v>
      </c>
      <c r="F19" s="5"/>
      <c r="G19" s="9">
        <f ca="1">IF(OR(L19="",M19="",$B$5&lt;20),"",(SUMPRODUCT(--(INDIRECT("'D_TG'!E4:P4")&lt;=L19),INDEX(INDIRECT("'D_TG'!E6:P60"),M19,0))+SUMPRODUCT((INDIRECT("'D_TG'!E3:P3")&lt;L19)*(INDIRECT("'D_TG'!E4:P4")&gt;L19)*INDEX(INDIRECT("'D_TG'!E6:P60"),M19,0)*(L19-INDIRECT("'D_TG'!E3:P3"))/(INDIRECT("'D_TG'!E4:P4")-INDIRECT("'D_TG'!E3:P3"))))/INDEX(INDIRECT("'D_TG'!D6:D60"),M19)*100)</f>
        <v>36.912900339953481</v>
      </c>
      <c r="H19" s="9">
        <f ca="1">IF(G19="","",IF(AND(F19&lt;&gt;"",D19&lt;F19),"확인 필요",IF(E19="low",G19,100-G19)))</f>
        <v>36.912900339953481</v>
      </c>
      <c r="I19" s="14">
        <f ca="1">IF(OR(H19="",H19="확인 필요"),"",MAX(1,MIN(99,ROUND(H19,0))))</f>
        <v>37</v>
      </c>
      <c r="J19" s="1" t="str">
        <f ca="1">IF(I19="","",IF(I19&lt;=25,"또래보다 좋음",IF(I19&lt;=60,"또래 수준",IF(I19&lt;=85,"또래보다 나쁨","또래 하위 15%"))))</f>
        <v>또래 수준</v>
      </c>
      <c r="K19" s="1" t="str">
        <f ca="1">IF(D19="","",IF(M19="","해당 연령·성별 행 없음",IF(INDEX(INDIRECT("'D_TG'!D6:D60"),M19)=0,"이 연령·성별은 2024년 검사 대상 아님(지질 4년 주기)","")))</f>
        <v/>
      </c>
      <c r="L19" s="10">
        <f ca="1">IF(D19="","",MIN(MAX(D19,INDIRECT("'D_TG'!E3")),MAX(INDIRECT("'D_TG'!E4:P4"))-0.000000001))</f>
        <v>115</v>
      </c>
      <c r="M19" s="10">
        <f ca="1">IFERROR(MATCH($B$8,INDIRECT("'D_TG'!A6:A60"),0),"")</f>
        <v>23</v>
      </c>
    </row>
    <row r="20" spans="1:13">
      <c r="A20" s="1" t="s">
        <v>303</v>
      </c>
      <c r="B20" s="1" t="s">
        <v>304</v>
      </c>
      <c r="C20" s="1" t="s">
        <v>295</v>
      </c>
      <c r="D20" s="12">
        <v>126</v>
      </c>
      <c r="E20" s="1" t="s">
        <v>284</v>
      </c>
      <c r="F20" s="5"/>
      <c r="G20" s="9">
        <f ca="1">IF(OR(L20="",M20="",$B$5&lt;20),"",(SUMPRODUCT(--(INDIRECT("'D_LDL'!E4:P4")&lt;=L20),INDEX(INDIRECT("'D_LDL'!E6:P60"),M20,0))+SUMPRODUCT((INDIRECT("'D_LDL'!E3:P3")&lt;L20)*(INDIRECT("'D_LDL'!E4:P4")&gt;L20)*INDEX(INDIRECT("'D_LDL'!E6:P60"),M20,0)*(L20-INDIRECT("'D_LDL'!E3:P3"))/(INDIRECT("'D_LDL'!E4:P4")-INDIRECT("'D_LDL'!E3:P3"))))/INDEX(INDIRECT("'D_LDL'!D6:D60"),M20)*100)</f>
        <v>54.238586921228645</v>
      </c>
      <c r="H20" s="9">
        <f ca="1">IF(G20="","",IF(AND(F20&lt;&gt;"",D20&lt;F20),"확인 필요",IF(E20="low",G20,100-G20)))</f>
        <v>54.238586921228645</v>
      </c>
      <c r="I20" s="14">
        <f ca="1">IF(OR(H20="",H20="확인 필요"),"",MAX(1,MIN(99,ROUND(H20,0))))</f>
        <v>54</v>
      </c>
      <c r="J20" s="1" t="str">
        <f ca="1">IF(I20="","",IF(I20&lt;=25,"또래보다 좋음",IF(I20&lt;=60,"또래 수준",IF(I20&lt;=85,"또래보다 나쁨","또래 하위 15%"))))</f>
        <v>또래 수준</v>
      </c>
      <c r="K20" s="1" t="str">
        <f ca="1">IF(D20="","",IF(M20="","해당 연령·성별 행 없음",IF(INDEX(INDIRECT("'D_LDL'!D6:D60"),M20)=0,"이 연령·성별은 2024년 검사 대상 아님(지질 4년 주기)","")))</f>
        <v/>
      </c>
      <c r="L20" s="10">
        <f ca="1">IF(D20="","",MIN(MAX(D20,INDIRECT("'D_LDL'!E3")),MAX(INDIRECT("'D_LDL'!E4:P4"))-0.000000001))</f>
        <v>126</v>
      </c>
      <c r="M20" s="10">
        <f ca="1">IFERROR(MATCH($B$8,INDIRECT("'D_LDL'!A6:A60"),0),"")</f>
        <v>23</v>
      </c>
    </row>
    <row r="21" spans="1:13">
      <c r="A21" s="1" t="s">
        <v>305</v>
      </c>
      <c r="B21" s="1" t="s">
        <v>306</v>
      </c>
      <c r="C21" s="1" t="s">
        <v>307</v>
      </c>
      <c r="D21" s="12"/>
      <c r="E21" s="1" t="s">
        <v>300</v>
      </c>
      <c r="F21" s="5"/>
      <c r="G21" s="9" t="str">
        <f ca="1">IF(OR(L21="",M21="",$B$5&lt;20),"",(SUMPRODUCT(--(INDIRECT("'D_HB'!E4:P4")&lt;=L21),INDEX(INDIRECT("'D_HB'!E6:P60"),M21,0))+SUMPRODUCT((INDIRECT("'D_HB'!E3:P3")&lt;L21)*(INDIRECT("'D_HB'!E4:P4")&gt;L21)*INDEX(INDIRECT("'D_HB'!E6:P60"),M21,0)*(L21-INDIRECT("'D_HB'!E3:P3"))/(INDIRECT("'D_HB'!E4:P4")-INDIRECT("'D_HB'!E3:P3"))))/INDEX(INDIRECT("'D_HB'!D6:D60"),M21)*100)</f>
        <v/>
      </c>
      <c r="H21" s="9" t="str">
        <f ca="1">IF(G21="","",IF(AND(F21&lt;&gt;"",D21&lt;F21),"확인 필요",IF(E21="low",G21,100-G21)))</f>
        <v/>
      </c>
      <c r="I21" s="14" t="str">
        <f ca="1">IF(OR(H21="",H21="확인 필요"),"",MAX(1,MIN(99,ROUND(H21,0))))</f>
        <v/>
      </c>
      <c r="J21" s="1" t="str">
        <f ca="1">IF(I21="","",IF(I21&lt;=25,"또래보다 좋음",IF(I21&lt;=60,"또래 수준",IF(I21&lt;=85,"또래보다 나쁨","또래 하위 15%"))))</f>
        <v/>
      </c>
      <c r="K21" s="1" t="str">
        <f ca="1">IF(D21="","",IF(M21="","해당 연령·성별 행 없음",IF(INDEX(INDIRECT("'D_HB'!D6:D60"),M21)=0,"이 연령·성별은 2024년 검사 대상 아님(지질 4년 주기)","")))</f>
        <v/>
      </c>
      <c r="L21" s="10" t="str">
        <f ca="1">IF(D21="","",MIN(MAX(D21,INDIRECT("'D_HB'!E3")),MAX(INDIRECT("'D_HB'!E4:P4"))-0.000000001))</f>
        <v/>
      </c>
      <c r="M21" s="10">
        <f ca="1">IFERROR(MATCH($B$8,INDIRECT("'D_HB'!A6:A60"),0),"")</f>
        <v>23</v>
      </c>
    </row>
    <row r="22" spans="1:13">
      <c r="A22" s="1" t="s">
        <v>308</v>
      </c>
      <c r="B22" s="1" t="s">
        <v>309</v>
      </c>
      <c r="C22" s="1" t="s">
        <v>295</v>
      </c>
      <c r="D22" s="12">
        <v>1</v>
      </c>
      <c r="E22" s="1" t="s">
        <v>284</v>
      </c>
      <c r="F22" s="5"/>
      <c r="G22" s="9">
        <f ca="1">IF(OR(L22="",M22="",$B$5&lt;20),"",(SUMPRODUCT(--(INDIRECT("'D_CR'!E4:P4")&lt;=L22),INDEX(INDIRECT("'D_CR'!E6:P60"),M22,0))+SUMPRODUCT((INDIRECT("'D_CR'!E3:P3")&lt;L22)*(INDIRECT("'D_CR'!E4:P4")&gt;L22)*INDEX(INDIRECT("'D_CR'!E6:P60"),M22,0)*(L22-INDIRECT("'D_CR'!E3:P3"))/(INDIRECT("'D_CR'!E4:P4")-INDIRECT("'D_CR'!E3:P3"))))/INDEX(INDIRECT("'D_CR'!D6:D60"),M22)*100)</f>
        <v>52.262188110971408</v>
      </c>
      <c r="H22" s="9">
        <f ca="1">IF(G22="","",IF(AND(F22&lt;&gt;"",D22&lt;F22),"확인 필요",IF(E22="low",G22,100-G22)))</f>
        <v>52.262188110971408</v>
      </c>
      <c r="I22" s="14">
        <f ca="1">IF(OR(H22="",H22="확인 필요"),"",MAX(1,MIN(99,ROUND(H22,0))))</f>
        <v>52</v>
      </c>
      <c r="J22" s="1" t="str">
        <f ca="1">IF(I22="","",IF(I22&lt;=25,"또래보다 좋음",IF(I22&lt;=60,"또래 수준",IF(I22&lt;=85,"또래보다 나쁨","또래 하위 15%"))))</f>
        <v>또래 수준</v>
      </c>
      <c r="K22" s="1" t="str">
        <f ca="1">IF(D22="","",IF(M22="","해당 연령·성별 행 없음",IF(INDEX(INDIRECT("'D_CR'!D6:D60"),M22)=0,"이 연령·성별은 2024년 검사 대상 아님(지질 4년 주기)","")))</f>
        <v/>
      </c>
      <c r="L22" s="10">
        <f ca="1">IF(D22="","",MIN(MAX(D22,INDIRECT("'D_CR'!E3")),MAX(INDIRECT("'D_CR'!E4:P4"))-0.000000001))</f>
        <v>1</v>
      </c>
      <c r="M22" s="10">
        <f ca="1">IFERROR(MATCH($B$8,INDIRECT("'D_CR'!A6:A60"),0),"")</f>
        <v>23</v>
      </c>
    </row>
    <row r="23" spans="1:13">
      <c r="A23" s="1" t="s">
        <v>310</v>
      </c>
      <c r="B23" s="1" t="s">
        <v>311</v>
      </c>
      <c r="C23" s="1" t="s">
        <v>312</v>
      </c>
      <c r="D23" s="12">
        <v>93</v>
      </c>
      <c r="E23" s="1" t="s">
        <v>300</v>
      </c>
      <c r="F23" s="5"/>
      <c r="G23" s="9">
        <f ca="1">IF(OR(L23="",M23="",$B$5&lt;20),"",(SUMPRODUCT(--(INDIRECT("'D_EGFR'!E4:P4")&lt;=L23),INDEX(INDIRECT("'D_EGFR'!E6:P60"),M23,0))+SUMPRODUCT((INDIRECT("'D_EGFR'!E3:P3")&lt;L23)*(INDIRECT("'D_EGFR'!E4:P4")&gt;L23)*INDEX(INDIRECT("'D_EGFR'!E6:P60"),M23,0)*(L23-INDIRECT("'D_EGFR'!E3:P3"))/(INDIRECT("'D_EGFR'!E4:P4")-INDIRECT("'D_EGFR'!E3:P3"))))/INDEX(INDIRECT("'D_EGFR'!D6:D60"),M23)*100)</f>
        <v>39.377949742761174</v>
      </c>
      <c r="H23" s="9">
        <f ca="1">IF(G23="","",IF(AND(F23&lt;&gt;"",D23&lt;F23),"확인 필요",IF(E23="low",G23,100-G23)))</f>
        <v>60.622050257238826</v>
      </c>
      <c r="I23" s="14">
        <f ca="1">IF(OR(H23="",H23="확인 필요"),"",MAX(1,MIN(99,ROUND(H23,0))))</f>
        <v>61</v>
      </c>
      <c r="J23" s="1" t="str">
        <f ca="1">IF(I23="","",IF(I23&lt;=25,"또래보다 좋음",IF(I23&lt;=60,"또래 수준",IF(I23&lt;=85,"또래보다 나쁨","또래 하위 15%"))))</f>
        <v>또래보다 나쁨</v>
      </c>
      <c r="K23" s="1" t="str">
        <f ca="1">IF(D23="","",IF(M23="","해당 연령·성별 행 없음",IF(INDEX(INDIRECT("'D_EGFR'!D6:D60"),M23)=0,"이 연령·성별은 2024년 검사 대상 아님(지질 4년 주기)","")))</f>
        <v/>
      </c>
      <c r="L23" s="10">
        <f ca="1">IF(D23="","",MIN(MAX(D23,INDIRECT("'D_EGFR'!E3")),MAX(INDIRECT("'D_EGFR'!E4:P4"))-0.000000001))</f>
        <v>93</v>
      </c>
      <c r="M23" s="10">
        <f ca="1">IFERROR(MATCH($B$8,INDIRECT("'D_EGFR'!A6:A60"),0),"")</f>
        <v>23</v>
      </c>
    </row>
    <row r="24" spans="1:13">
      <c r="A24" s="1" t="s">
        <v>313</v>
      </c>
      <c r="B24" s="1" t="s">
        <v>314</v>
      </c>
      <c r="C24" s="1" t="s">
        <v>315</v>
      </c>
      <c r="D24" s="12">
        <v>21</v>
      </c>
      <c r="E24" s="1" t="s">
        <v>284</v>
      </c>
      <c r="F24" s="5"/>
      <c r="G24" s="9">
        <f ca="1">IF(OR(L24="",M24="",$B$5&lt;20),"",(SUMPRODUCT(--(INDIRECT("'D_AST'!E4:P4")&lt;=L24),INDEX(INDIRECT("'D_AST'!E6:P60"),M24,0))+SUMPRODUCT((INDIRECT("'D_AST'!E3:P3")&lt;L24)*(INDIRECT("'D_AST'!E4:P4")&gt;L24)*INDEX(INDIRECT("'D_AST'!E6:P60"),M24,0)*(L24-INDIRECT("'D_AST'!E3:P3"))/(INDIRECT("'D_AST'!E4:P4")-INDIRECT("'D_AST'!E3:P3"))))/INDEX(INDIRECT("'D_AST'!D6:D60"),M24)*100)</f>
        <v>44.127184553059159</v>
      </c>
      <c r="H24" s="9">
        <f ca="1">IF(G24="","",IF(AND(F24&lt;&gt;"",D24&lt;F24),"확인 필요",IF(E24="low",G24,100-G24)))</f>
        <v>44.127184553059159</v>
      </c>
      <c r="I24" s="14">
        <f ca="1">IF(OR(H24="",H24="확인 필요"),"",MAX(1,MIN(99,ROUND(H24,0))))</f>
        <v>44</v>
      </c>
      <c r="J24" s="1" t="str">
        <f ca="1">IF(I24="","",IF(I24&lt;=25,"또래보다 좋음",IF(I24&lt;=60,"또래 수준",IF(I24&lt;=85,"또래보다 나쁨","또래 하위 15%"))))</f>
        <v>또래 수준</v>
      </c>
      <c r="K24" s="1" t="str">
        <f ca="1">IF(D24="","",IF(M24="","해당 연령·성별 행 없음",IF(INDEX(INDIRECT("'D_AST'!D6:D60"),M24)=0,"이 연령·성별은 2024년 검사 대상 아님(지질 4년 주기)","")))</f>
        <v/>
      </c>
      <c r="L24" s="10">
        <f ca="1">IF(D24="","",MIN(MAX(D24,INDIRECT("'D_AST'!E3")),MAX(INDIRECT("'D_AST'!E4:P4"))-0.000000001))</f>
        <v>21</v>
      </c>
      <c r="M24" s="10">
        <f ca="1">IFERROR(MATCH($B$8,INDIRECT("'D_AST'!A6:A60"),0),"")</f>
        <v>23</v>
      </c>
    </row>
    <row r="25" spans="1:13">
      <c r="A25" s="1" t="s">
        <v>316</v>
      </c>
      <c r="B25" s="1" t="s">
        <v>317</v>
      </c>
      <c r="C25" s="1" t="s">
        <v>315</v>
      </c>
      <c r="D25" s="12">
        <v>26</v>
      </c>
      <c r="E25" s="1" t="s">
        <v>284</v>
      </c>
      <c r="F25" s="5"/>
      <c r="G25" s="9">
        <f ca="1">IF(OR(L25="",M25="",$B$5&lt;20),"",(SUMPRODUCT(--(INDIRECT("'D_ALT'!E4:P4")&lt;=L25),INDEX(INDIRECT("'D_ALT'!E6:P60"),M25,0))+SUMPRODUCT((INDIRECT("'D_ALT'!E3:P3")&lt;L25)*(INDIRECT("'D_ALT'!E4:P4")&gt;L25)*INDEX(INDIRECT("'D_ALT'!E6:P60"),M25,0)*(L25-INDIRECT("'D_ALT'!E3:P3"))/(INDIRECT("'D_ALT'!E4:P4")-INDIRECT("'D_ALT'!E3:P3"))))/INDEX(INDIRECT("'D_ALT'!D6:D60"),M25)*100)</f>
        <v>48.227054486995023</v>
      </c>
      <c r="H25" s="9">
        <f ca="1">IF(G25="","",IF(AND(F25&lt;&gt;"",D25&lt;F25),"확인 필요",IF(E25="low",G25,100-G25)))</f>
        <v>48.227054486995023</v>
      </c>
      <c r="I25" s="14">
        <f ca="1">IF(OR(H25="",H25="확인 필요"),"",MAX(1,MIN(99,ROUND(H25,0))))</f>
        <v>48</v>
      </c>
      <c r="J25" s="1" t="str">
        <f ca="1">IF(I25="","",IF(I25&lt;=25,"또래보다 좋음",IF(I25&lt;=60,"또래 수준",IF(I25&lt;=85,"또래보다 나쁨","또래 하위 15%"))))</f>
        <v>또래 수준</v>
      </c>
      <c r="K25" s="1" t="str">
        <f ca="1">IF(D25="","",IF(M25="","해당 연령·성별 행 없음",IF(INDEX(INDIRECT("'D_ALT'!D6:D60"),M25)=0,"이 연령·성별은 2024년 검사 대상 아님(지질 4년 주기)","")))</f>
        <v/>
      </c>
      <c r="L25" s="10">
        <f ca="1">IF(D25="","",MIN(MAX(D25,INDIRECT("'D_ALT'!E3")),MAX(INDIRECT("'D_ALT'!E4:P4"))-0.000000001))</f>
        <v>26</v>
      </c>
      <c r="M25" s="10">
        <f ca="1">IFERROR(MATCH($B$8,INDIRECT("'D_ALT'!A6:A60"),0),"")</f>
        <v>23</v>
      </c>
    </row>
    <row r="26" spans="1:13">
      <c r="A26" s="1" t="s">
        <v>318</v>
      </c>
      <c r="B26" s="1" t="s">
        <v>319</v>
      </c>
      <c r="C26" s="1" t="s">
        <v>315</v>
      </c>
      <c r="D26" s="12">
        <v>18</v>
      </c>
      <c r="E26" s="1" t="s">
        <v>284</v>
      </c>
      <c r="F26" s="5"/>
      <c r="G26" s="9">
        <f ca="1">IF(OR(L26="",M26="",$B$5&lt;20),"",(SUMPRODUCT(--(INDIRECT("'D_GGT'!E4:P4")&lt;=L26),INDEX(INDIRECT("'D_GGT'!E6:P60"),M26,0))+SUMPRODUCT((INDIRECT("'D_GGT'!E3:P3")&lt;L26)*(INDIRECT("'D_GGT'!E4:P4")&gt;L26)*INDEX(INDIRECT("'D_GGT'!E6:P60"),M26,0)*(L26-INDIRECT("'D_GGT'!E3:P3"))/(INDIRECT("'D_GGT'!E4:P4")-INDIRECT("'D_GGT'!E3:P3"))))/INDEX(INDIRECT("'D_GGT'!D6:D60"),M26)*100)</f>
        <v>15.046196372914928</v>
      </c>
      <c r="H26" s="9">
        <f ca="1">IF(G26="","",IF(AND(F26&lt;&gt;"",D26&lt;F26),"확인 필요",IF(E26="low",G26,100-G26)))</f>
        <v>15.046196372914928</v>
      </c>
      <c r="I26" s="14">
        <f ca="1">IF(OR(H26="",H26="확인 필요"),"",MAX(1,MIN(99,ROUND(H26,0))))</f>
        <v>15</v>
      </c>
      <c r="J26" s="1" t="str">
        <f ca="1">IF(I26="","",IF(I26&lt;=25,"또래보다 좋음",IF(I26&lt;=60,"또래 수준",IF(I26&lt;=85,"또래보다 나쁨","또래 하위 15%"))))</f>
        <v>또래보다 좋음</v>
      </c>
      <c r="K26" s="1" t="str">
        <f ca="1">IF(D26="","",IF(M26="","해당 연령·성별 행 없음",IF(INDEX(INDIRECT("'D_GGT'!D6:D60"),M26)=0,"이 연령·성별은 2024년 검사 대상 아님(지질 4년 주기)","")))</f>
        <v/>
      </c>
      <c r="L26" s="10">
        <f ca="1">IF(D26="","",MIN(MAX(D26,INDIRECT("'D_GGT'!E3")),MAX(INDIRECT("'D_GGT'!E4:P4"))-0.000000001))</f>
        <v>18</v>
      </c>
      <c r="M26" s="10">
        <f ca="1">IFERROR(MATCH($B$8,INDIRECT("'D_GGT'!A6:A60"),0),"")</f>
        <v>23</v>
      </c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3" t="s">
        <v>320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4" t="s">
        <v>192</v>
      </c>
      <c r="B29" s="4" t="s">
        <v>321</v>
      </c>
      <c r="C29" s="4" t="s">
        <v>270</v>
      </c>
      <c r="D29" s="4" t="s">
        <v>271</v>
      </c>
      <c r="E29" s="4" t="s">
        <v>272</v>
      </c>
      <c r="F29" s="4"/>
      <c r="G29" s="4" t="s">
        <v>274</v>
      </c>
      <c r="H29" s="4" t="s">
        <v>322</v>
      </c>
      <c r="I29" s="4" t="s">
        <v>276</v>
      </c>
      <c r="J29" s="4"/>
      <c r="K29" s="4" t="s">
        <v>278</v>
      </c>
      <c r="L29" s="4" t="s">
        <v>323</v>
      </c>
      <c r="M29" s="4" t="s">
        <v>280</v>
      </c>
    </row>
    <row r="30" spans="1:13">
      <c r="A30" s="1" t="s">
        <v>4</v>
      </c>
      <c r="B30" s="1" t="s">
        <v>324</v>
      </c>
      <c r="C30" s="1" t="s">
        <v>287</v>
      </c>
      <c r="D30" s="12">
        <v>172</v>
      </c>
      <c r="E30" s="1" t="s">
        <v>325</v>
      </c>
      <c r="F30" s="1"/>
      <c r="G30" s="9">
        <f>IF(OR(L30="",$B$5&lt;20),"",IF(L30=0,1,IF(L30&gt;=9,99,INDEX(M_신장체중!$H$2:$P$2,L30)+(D30-INDEX(M_신장체중!$H$4:$P$47,M30,L30))/(INDEX(M_신장체중!$H$4:$P$47,M30,L30+1)-INDEX(M_신장체중!$H$4:$P$47,M30,L30))*(INDEX(M_신장체중!$H$2:$P$2,L30+1)-INDEX(M_신장체중!$H$2:$P$2,L30)))))</f>
        <v>46.32352941176471</v>
      </c>
      <c r="H30" s="9">
        <f>IF(G30="","",100-G30)</f>
        <v>53.67647058823529</v>
      </c>
      <c r="I30" s="14">
        <f>IF(H30="","",MAX(1,MIN(99,ROUND(H30,0))))</f>
        <v>54</v>
      </c>
      <c r="J30" s="1"/>
      <c r="K30" s="1" t="str">
        <f>IF(D30="","",IF(M30="","인체치수조사는 20~69세만 제공 · 계산 불가","또래 평균 "&amp;TEXT(INDEX(M_신장체중!$F$4:$F$47,M30),"0.0")&amp;" · 표준편차 "&amp;TEXT(INDEX(M_신장체중!$G$4:$G$47,M30),"0.0")&amp;" · 종합 제외"))</f>
        <v>또래 평균 172.5 · 표준편차 5.1 · 종합 제외</v>
      </c>
      <c r="L30" s="10">
        <f>IF(OR(D30="",M30=""),"",IFERROR(MATCH(D30,INDEX(M_신장체중!$H$4:$P$47,M30,0),1),0))</f>
        <v>4</v>
      </c>
      <c r="M30" s="10">
        <f>IFERROR(MATCH("키|"&amp;$B$4&amp;"|"&amp;$B$6,M_신장체중!$A$4:$A$47,0),"")</f>
        <v>6</v>
      </c>
    </row>
    <row r="31" spans="1:13">
      <c r="A31" s="1" t="s">
        <v>239</v>
      </c>
      <c r="B31" s="1" t="s">
        <v>324</v>
      </c>
      <c r="C31" s="1" t="s">
        <v>326</v>
      </c>
      <c r="D31" s="12">
        <v>72.5</v>
      </c>
      <c r="E31" s="1" t="s">
        <v>325</v>
      </c>
      <c r="F31" s="1"/>
      <c r="G31" s="9">
        <f>IF(OR(L31="",$B$5&lt;20),"",IF(L31=0,1,IF(L31&gt;=9,99,INDEX(M_신장체중!$H$2:$P$2,L31)+(D31-INDEX(M_신장체중!$H$4:$P$47,M31,L31))/(INDEX(M_신장체중!$H$4:$P$47,M31,L31+1)-INDEX(M_신장체중!$H$4:$P$47,M31,L31))*(INDEX(M_신장체중!$H$2:$P$2,L31+1)-INDEX(M_신장체중!$H$2:$P$2,L31)))))</f>
        <v>40.458015267175568</v>
      </c>
      <c r="H31" s="9">
        <f>IF(G31="","",100-G31)</f>
        <v>59.541984732824432</v>
      </c>
      <c r="I31" s="14">
        <f>IF(H31="","",MAX(1,MIN(99,ROUND(H31,0))))</f>
        <v>60</v>
      </c>
      <c r="J31" s="1"/>
      <c r="K31" s="1" t="str">
        <f>IF(D31="","",IF(M31="","인체치수조사는 20~69세만 제공 · 계산 불가","또래 평균 "&amp;TEXT(INDEX(M_신장체중!$F$4:$F$47,M31),"0.0")&amp;" · 표준편차 "&amp;TEXT(INDEX(M_신장체중!$G$4:$G$47,M31),"0.0")&amp;" · 종합 제외"))</f>
        <v>또래 평균 75.8 · 표준편차 11.0 · 종합 제외</v>
      </c>
      <c r="L31" s="10">
        <f>IF(OR(D31="",M31=""),"",IFERROR(MATCH(D31,INDEX(M_신장체중!$H$4:$P$47,M31,0),1),0))</f>
        <v>4</v>
      </c>
      <c r="M31" s="10">
        <f>IFERROR(MATCH("체중|"&amp;$B$4&amp;"|"&amp;$B$6,M_신장체중!$A$4:$A$47,0),"")</f>
        <v>28</v>
      </c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3" t="s">
        <v>327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 t="s">
        <v>328</v>
      </c>
      <c r="B34" s="1">
        <f ca="1">COUNT(H12:H26)</f>
        <v>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 t="s">
        <v>329</v>
      </c>
      <c r="B35" s="1">
        <f ca="1">COUNTIF(H12:H26,"&gt;50")</f>
        <v>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 t="s">
        <v>330</v>
      </c>
      <c r="B36" s="9">
        <f ca="1">IF(COUNT(H12:H26)&lt;3,"",AVERAGE(H12:H26))</f>
        <v>53.55663471906125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 t="s">
        <v>331</v>
      </c>
      <c r="B37" s="1" t="str">
        <f ca="1">IF(B36="","항목 3개 미만",IF(B36&lt;=25,"또래보다 좋음",IF(B36&lt;=60,"또래 수준",IF(B36&lt;=85,"또래보다 나쁨","또래 하위 15%"))))</f>
        <v>또래 수준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 t="s">
        <v>332</v>
      </c>
      <c r="B38" s="1" t="str">
        <f ca="1">IFERROR(INDEX($A$12:$A$26,MATCH(LARGE($H$12:$H$26,1),$H$12:$H$26,0)),"")</f>
        <v>수축기 혈압</v>
      </c>
      <c r="C38" s="1" t="str">
        <f ca="1">IFERROR(INDEX($A$12:$A$26,MATCH(LARGE($H$12:$H$26,2),$H$12:$H$26,0)),"")</f>
        <v>공복 혈당</v>
      </c>
      <c r="D38" s="1" t="str">
        <f ca="1">IFERROR(INDEX($A$12:$A$26,MATCH(LARGE($H$12:$H$26,3),$H$12:$H$26,0)),"")</f>
        <v>이완기 혈압</v>
      </c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3" t="s">
        <v>333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 t="s">
        <v>334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 t="s">
        <v>335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 t="s">
        <v>336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 t="s">
        <v>337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 t="s">
        <v>338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 t="s">
        <v>339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 t="s">
        <v>340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 t="s">
        <v>341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 t="s">
        <v>342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 t="s">
        <v>343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7E52-3A81-4B84-9950-AD23CFDF9520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10</v>
      </c>
      <c r="F3" s="5">
        <v>18.5</v>
      </c>
      <c r="G3" s="5">
        <v>25</v>
      </c>
      <c r="H3" s="5">
        <v>30</v>
      </c>
      <c r="I3" s="5">
        <v>40</v>
      </c>
      <c r="J3" s="5">
        <v>1000000000</v>
      </c>
      <c r="K3" s="5">
        <v>1000000000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18.5</v>
      </c>
      <c r="F4" s="5">
        <v>25</v>
      </c>
      <c r="G4" s="5">
        <v>30</v>
      </c>
      <c r="H4" s="5">
        <v>40</v>
      </c>
      <c r="I4" s="5">
        <v>60</v>
      </c>
      <c r="J4" s="5">
        <v>2000000000</v>
      </c>
      <c r="K4" s="5">
        <v>2000000000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17510081</v>
      </c>
      <c r="E6" s="6">
        <v>582126</v>
      </c>
      <c r="F6" s="6">
        <v>9913201</v>
      </c>
      <c r="G6" s="6">
        <v>5665466</v>
      </c>
      <c r="H6" s="6">
        <v>1307731</v>
      </c>
      <c r="I6" s="6">
        <v>41557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9091686</v>
      </c>
      <c r="E7" s="6">
        <v>123362</v>
      </c>
      <c r="F7" s="6">
        <v>4410154</v>
      </c>
      <c r="G7" s="6">
        <v>3707704</v>
      </c>
      <c r="H7" s="6">
        <v>825962</v>
      </c>
      <c r="I7" s="6">
        <v>24504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8418395</v>
      </c>
      <c r="E8" s="6">
        <v>458764</v>
      </c>
      <c r="F8" s="6">
        <v>5503047</v>
      </c>
      <c r="G8" s="6">
        <v>1957762</v>
      </c>
      <c r="H8" s="6">
        <v>481769</v>
      </c>
      <c r="I8" s="6">
        <v>17053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8653</v>
      </c>
      <c r="E9" s="6">
        <v>705</v>
      </c>
      <c r="F9" s="6">
        <v>4910</v>
      </c>
      <c r="G9" s="6">
        <v>1922</v>
      </c>
      <c r="H9" s="6">
        <v>1040</v>
      </c>
      <c r="I9" s="6">
        <v>76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5723</v>
      </c>
      <c r="E10" s="6">
        <v>353</v>
      </c>
      <c r="F10" s="6">
        <v>3050</v>
      </c>
      <c r="G10" s="6">
        <v>1460</v>
      </c>
      <c r="H10" s="6">
        <v>803</v>
      </c>
      <c r="I10" s="6">
        <v>57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352</v>
      </c>
      <c r="F11" s="6">
        <v>1860</v>
      </c>
      <c r="G11" s="6">
        <v>462</v>
      </c>
      <c r="H11" s="6">
        <v>237</v>
      </c>
      <c r="I11" s="6">
        <v>19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544564</v>
      </c>
      <c r="E12" s="6">
        <v>55357</v>
      </c>
      <c r="F12" s="6">
        <v>335151</v>
      </c>
      <c r="G12" s="6">
        <v>107294</v>
      </c>
      <c r="H12" s="6">
        <v>43845</v>
      </c>
      <c r="I12" s="6">
        <v>2917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232290</v>
      </c>
      <c r="E13" s="6">
        <v>10534</v>
      </c>
      <c r="F13" s="6">
        <v>127209</v>
      </c>
      <c r="G13" s="6">
        <v>66528</v>
      </c>
      <c r="H13" s="6">
        <v>26334</v>
      </c>
      <c r="I13" s="6">
        <v>1685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312274</v>
      </c>
      <c r="E14" s="6">
        <v>44823</v>
      </c>
      <c r="F14" s="6">
        <v>207942</v>
      </c>
      <c r="G14" s="6">
        <v>40766</v>
      </c>
      <c r="H14" s="6">
        <v>17511</v>
      </c>
      <c r="I14" s="6">
        <v>1232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1204753</v>
      </c>
      <c r="E15" s="6">
        <v>75015</v>
      </c>
      <c r="F15" s="6">
        <v>710730</v>
      </c>
      <c r="G15" s="6">
        <v>301383</v>
      </c>
      <c r="H15" s="6">
        <v>111267</v>
      </c>
      <c r="I15" s="6">
        <v>6358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626802</v>
      </c>
      <c r="E16" s="6">
        <v>12286</v>
      </c>
      <c r="F16" s="6">
        <v>310321</v>
      </c>
      <c r="G16" s="6">
        <v>222989</v>
      </c>
      <c r="H16" s="6">
        <v>77328</v>
      </c>
      <c r="I16" s="6">
        <v>3878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577951</v>
      </c>
      <c r="E17" s="6">
        <v>62729</v>
      </c>
      <c r="F17" s="6">
        <v>400409</v>
      </c>
      <c r="G17" s="6">
        <v>78394</v>
      </c>
      <c r="H17" s="6">
        <v>33939</v>
      </c>
      <c r="I17" s="6">
        <v>2480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1638210</v>
      </c>
      <c r="E18" s="6">
        <v>74523</v>
      </c>
      <c r="F18" s="6">
        <v>893360</v>
      </c>
      <c r="G18" s="6">
        <v>483203</v>
      </c>
      <c r="H18" s="6">
        <v>177721</v>
      </c>
      <c r="I18" s="6">
        <v>9403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923035</v>
      </c>
      <c r="E19" s="6">
        <v>10346</v>
      </c>
      <c r="F19" s="6">
        <v>404861</v>
      </c>
      <c r="G19" s="6">
        <v>371321</v>
      </c>
      <c r="H19" s="6">
        <v>130264</v>
      </c>
      <c r="I19" s="6">
        <v>6243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715175</v>
      </c>
      <c r="E20" s="6">
        <v>64177</v>
      </c>
      <c r="F20" s="6">
        <v>488499</v>
      </c>
      <c r="G20" s="6">
        <v>111882</v>
      </c>
      <c r="H20" s="6">
        <v>47457</v>
      </c>
      <c r="I20" s="6">
        <v>3160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1299514</v>
      </c>
      <c r="E21" s="6">
        <v>45104</v>
      </c>
      <c r="F21" s="6">
        <v>660681</v>
      </c>
      <c r="G21" s="6">
        <v>429689</v>
      </c>
      <c r="H21" s="6">
        <v>156704</v>
      </c>
      <c r="I21" s="6">
        <v>7336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771493</v>
      </c>
      <c r="E22" s="6">
        <v>6320</v>
      </c>
      <c r="F22" s="6">
        <v>308905</v>
      </c>
      <c r="G22" s="6">
        <v>333508</v>
      </c>
      <c r="H22" s="6">
        <v>117859</v>
      </c>
      <c r="I22" s="6">
        <v>4901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528021</v>
      </c>
      <c r="E23" s="6">
        <v>38784</v>
      </c>
      <c r="F23" s="6">
        <v>351776</v>
      </c>
      <c r="G23" s="6">
        <v>96181</v>
      </c>
      <c r="H23" s="6">
        <v>38845</v>
      </c>
      <c r="I23" s="6">
        <v>2435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1998329</v>
      </c>
      <c r="E24" s="6">
        <v>65767</v>
      </c>
      <c r="F24" s="6">
        <v>1062185</v>
      </c>
      <c r="G24" s="6">
        <v>658819</v>
      </c>
      <c r="H24" s="6">
        <v>204877</v>
      </c>
      <c r="I24" s="6">
        <v>6681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1102746</v>
      </c>
      <c r="E25" s="6">
        <v>9112</v>
      </c>
      <c r="F25" s="6">
        <v>456441</v>
      </c>
      <c r="G25" s="6">
        <v>488017</v>
      </c>
      <c r="H25" s="6">
        <v>145163</v>
      </c>
      <c r="I25" s="6">
        <v>4013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895583</v>
      </c>
      <c r="E26" s="6">
        <v>56655</v>
      </c>
      <c r="F26" s="6">
        <v>605744</v>
      </c>
      <c r="G26" s="6">
        <v>170802</v>
      </c>
      <c r="H26" s="6">
        <v>59714</v>
      </c>
      <c r="I26" s="6">
        <v>2668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1608468</v>
      </c>
      <c r="E27" s="6">
        <v>43848</v>
      </c>
      <c r="F27" s="6">
        <v>873439</v>
      </c>
      <c r="G27" s="6">
        <v>548761</v>
      </c>
      <c r="H27" s="6">
        <v>139187</v>
      </c>
      <c r="I27" s="6">
        <v>3233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893962</v>
      </c>
      <c r="E28" s="6">
        <v>7673</v>
      </c>
      <c r="F28" s="6">
        <v>390237</v>
      </c>
      <c r="G28" s="6">
        <v>398867</v>
      </c>
      <c r="H28" s="6">
        <v>95394</v>
      </c>
      <c r="I28" s="6">
        <v>1791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714506</v>
      </c>
      <c r="E29" s="6">
        <v>36175</v>
      </c>
      <c r="F29" s="6">
        <v>483202</v>
      </c>
      <c r="G29" s="6">
        <v>149894</v>
      </c>
      <c r="H29" s="6">
        <v>43793</v>
      </c>
      <c r="I29" s="6">
        <v>1442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2173133</v>
      </c>
      <c r="E30" s="6">
        <v>59554</v>
      </c>
      <c r="F30" s="6">
        <v>1242102</v>
      </c>
      <c r="G30" s="6">
        <v>724960</v>
      </c>
      <c r="H30" s="6">
        <v>144126</v>
      </c>
      <c r="I30" s="6">
        <v>2391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1122396</v>
      </c>
      <c r="E31" s="6">
        <v>10972</v>
      </c>
      <c r="F31" s="6">
        <v>529791</v>
      </c>
      <c r="G31" s="6">
        <v>491430</v>
      </c>
      <c r="H31" s="6">
        <v>89057</v>
      </c>
      <c r="I31" s="6">
        <v>1146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1050737</v>
      </c>
      <c r="E32" s="6">
        <v>48582</v>
      </c>
      <c r="F32" s="6">
        <v>712311</v>
      </c>
      <c r="G32" s="6">
        <v>233530</v>
      </c>
      <c r="H32" s="6">
        <v>55069</v>
      </c>
      <c r="I32" s="6">
        <v>1245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1751943</v>
      </c>
      <c r="E33" s="6">
        <v>37644</v>
      </c>
      <c r="F33" s="6">
        <v>1019116</v>
      </c>
      <c r="G33" s="6">
        <v>599102</v>
      </c>
      <c r="H33" s="6">
        <v>94931</v>
      </c>
      <c r="I33" s="6">
        <v>1150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882086</v>
      </c>
      <c r="E34" s="6">
        <v>9592</v>
      </c>
      <c r="F34" s="6">
        <v>444949</v>
      </c>
      <c r="G34" s="6">
        <v>375531</v>
      </c>
      <c r="H34" s="6">
        <v>51599</v>
      </c>
      <c r="I34" s="6">
        <v>415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869857</v>
      </c>
      <c r="E35" s="6">
        <v>28052</v>
      </c>
      <c r="F35" s="6">
        <v>574167</v>
      </c>
      <c r="G35" s="6">
        <v>223571</v>
      </c>
      <c r="H35" s="6">
        <v>43332</v>
      </c>
      <c r="I35" s="6">
        <v>735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1974459</v>
      </c>
      <c r="E36" s="6">
        <v>41517</v>
      </c>
      <c r="F36" s="6">
        <v>1178461</v>
      </c>
      <c r="G36" s="6">
        <v>664389</v>
      </c>
      <c r="H36" s="6">
        <v>89255</v>
      </c>
      <c r="I36" s="6">
        <v>837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951102</v>
      </c>
      <c r="E37" s="6">
        <v>12395</v>
      </c>
      <c r="F37" s="6">
        <v>516684</v>
      </c>
      <c r="G37" s="6">
        <v>380815</v>
      </c>
      <c r="H37" s="6">
        <v>41021</v>
      </c>
      <c r="I37" s="6">
        <v>187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1023357</v>
      </c>
      <c r="E38" s="6">
        <v>29122</v>
      </c>
      <c r="F38" s="6">
        <v>661777</v>
      </c>
      <c r="G38" s="6">
        <v>283574</v>
      </c>
      <c r="H38" s="6">
        <v>48234</v>
      </c>
      <c r="I38" s="6">
        <v>650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1284575</v>
      </c>
      <c r="E39" s="6">
        <v>26207</v>
      </c>
      <c r="F39" s="6">
        <v>755768</v>
      </c>
      <c r="G39" s="6">
        <v>445825</v>
      </c>
      <c r="H39" s="6">
        <v>56290</v>
      </c>
      <c r="I39" s="6">
        <v>485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626911</v>
      </c>
      <c r="E40" s="6">
        <v>9520</v>
      </c>
      <c r="F40" s="6">
        <v>350786</v>
      </c>
      <c r="G40" s="6">
        <v>243170</v>
      </c>
      <c r="H40" s="6">
        <v>23342</v>
      </c>
      <c r="I40" s="6">
        <v>93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657664</v>
      </c>
      <c r="E41" s="6">
        <v>16687</v>
      </c>
      <c r="F41" s="6">
        <v>404982</v>
      </c>
      <c r="G41" s="6">
        <v>202655</v>
      </c>
      <c r="H41" s="6">
        <v>32948</v>
      </c>
      <c r="I41" s="6">
        <v>392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1083882</v>
      </c>
      <c r="E42" s="6">
        <v>23268</v>
      </c>
      <c r="F42" s="6">
        <v>624862</v>
      </c>
      <c r="G42" s="6">
        <v>385680</v>
      </c>
      <c r="H42" s="6">
        <v>49624</v>
      </c>
      <c r="I42" s="6">
        <v>448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515549</v>
      </c>
      <c r="E43" s="6">
        <v>9871</v>
      </c>
      <c r="F43" s="6">
        <v>297569</v>
      </c>
      <c r="G43" s="6">
        <v>191274</v>
      </c>
      <c r="H43" s="6">
        <v>16777</v>
      </c>
      <c r="I43" s="6">
        <v>58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568333</v>
      </c>
      <c r="E44" s="6">
        <v>13397</v>
      </c>
      <c r="F44" s="6">
        <v>327293</v>
      </c>
      <c r="G44" s="6">
        <v>194406</v>
      </c>
      <c r="H44" s="6">
        <v>32847</v>
      </c>
      <c r="I44" s="6">
        <v>390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475515</v>
      </c>
      <c r="E45" s="6">
        <v>12375</v>
      </c>
      <c r="F45" s="6">
        <v>274515</v>
      </c>
      <c r="G45" s="6">
        <v>167500</v>
      </c>
      <c r="H45" s="6">
        <v>20989</v>
      </c>
      <c r="I45" s="6">
        <v>136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228794</v>
      </c>
      <c r="E46" s="6">
        <v>5779</v>
      </c>
      <c r="F46" s="6">
        <v>136710</v>
      </c>
      <c r="G46" s="6">
        <v>79841</v>
      </c>
      <c r="H46" s="6">
        <v>6442</v>
      </c>
      <c r="I46" s="6">
        <v>22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246721</v>
      </c>
      <c r="E47" s="6">
        <v>6596</v>
      </c>
      <c r="F47" s="6">
        <v>137805</v>
      </c>
      <c r="G47" s="6">
        <v>87659</v>
      </c>
      <c r="H47" s="6">
        <v>14547</v>
      </c>
      <c r="I47" s="6">
        <v>114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356685</v>
      </c>
      <c r="E48" s="6">
        <v>12714</v>
      </c>
      <c r="F48" s="6">
        <v>210650</v>
      </c>
      <c r="G48" s="6">
        <v>118685</v>
      </c>
      <c r="H48" s="6">
        <v>14546</v>
      </c>
      <c r="I48" s="6">
        <v>90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164332</v>
      </c>
      <c r="E49" s="6">
        <v>5927</v>
      </c>
      <c r="F49" s="6">
        <v>102972</v>
      </c>
      <c r="G49" s="6">
        <v>51543</v>
      </c>
      <c r="H49" s="6">
        <v>3877</v>
      </c>
      <c r="I49" s="6">
        <v>13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192353</v>
      </c>
      <c r="E50" s="6">
        <v>6787</v>
      </c>
      <c r="F50" s="6">
        <v>107678</v>
      </c>
      <c r="G50" s="6">
        <v>67142</v>
      </c>
      <c r="H50" s="6">
        <v>10669</v>
      </c>
      <c r="I50" s="6">
        <v>77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107398</v>
      </c>
      <c r="E51" s="6">
        <v>8528</v>
      </c>
      <c r="F51" s="6">
        <v>67271</v>
      </c>
      <c r="G51" s="6">
        <v>28254</v>
      </c>
      <c r="H51" s="6">
        <v>3329</v>
      </c>
      <c r="I51" s="6">
        <v>16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44465</v>
      </c>
      <c r="E52" s="6">
        <v>2682</v>
      </c>
      <c r="F52" s="6">
        <v>29669</v>
      </c>
      <c r="G52" s="6">
        <v>11410</v>
      </c>
      <c r="H52" s="6">
        <v>702</v>
      </c>
      <c r="I52" s="6">
        <v>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62933</v>
      </c>
      <c r="E53" s="6">
        <v>5846</v>
      </c>
      <c r="F53" s="6">
        <v>37602</v>
      </c>
      <c r="G53" s="6">
        <v>16844</v>
      </c>
      <c r="H53" s="6">
        <v>2627</v>
      </c>
      <c r="I53" s="6">
        <v>14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FBEF-8754-418F-AD08-05CDB357F6B5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50</v>
      </c>
      <c r="F3" s="5">
        <v>75</v>
      </c>
      <c r="G3" s="5">
        <v>80</v>
      </c>
      <c r="H3" s="5">
        <v>85</v>
      </c>
      <c r="I3" s="5">
        <v>90</v>
      </c>
      <c r="J3" s="5">
        <v>95</v>
      </c>
      <c r="K3" s="5">
        <v>100</v>
      </c>
      <c r="L3" s="5">
        <v>105</v>
      </c>
      <c r="M3" s="5">
        <v>110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75</v>
      </c>
      <c r="F4" s="5">
        <v>80</v>
      </c>
      <c r="G4" s="5">
        <v>85</v>
      </c>
      <c r="H4" s="5">
        <v>90</v>
      </c>
      <c r="I4" s="5">
        <v>95</v>
      </c>
      <c r="J4" s="5">
        <v>100</v>
      </c>
      <c r="K4" s="5">
        <v>105</v>
      </c>
      <c r="L4" s="5">
        <v>110</v>
      </c>
      <c r="M4" s="5">
        <v>140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81</v>
      </c>
      <c r="F5" s="4" t="s">
        <v>82</v>
      </c>
      <c r="G5" s="4" t="s">
        <v>83</v>
      </c>
      <c r="H5" s="4" t="s">
        <v>84</v>
      </c>
      <c r="I5" s="4" t="s">
        <v>85</v>
      </c>
      <c r="J5" s="4" t="s">
        <v>86</v>
      </c>
      <c r="K5" s="4" t="s">
        <v>87</v>
      </c>
      <c r="L5" s="4" t="s">
        <v>88</v>
      </c>
      <c r="M5" s="4" t="s">
        <v>89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17504300</v>
      </c>
      <c r="E6" s="6">
        <v>5153493</v>
      </c>
      <c r="F6" s="6">
        <v>2420801</v>
      </c>
      <c r="G6" s="6">
        <v>3258551</v>
      </c>
      <c r="H6" s="6">
        <v>2853900</v>
      </c>
      <c r="I6" s="6">
        <v>1903641</v>
      </c>
      <c r="J6" s="6">
        <v>1035640</v>
      </c>
      <c r="K6" s="6">
        <v>486881</v>
      </c>
      <c r="L6" s="6">
        <v>214417</v>
      </c>
      <c r="M6" s="6">
        <v>176976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9092955</v>
      </c>
      <c r="E7" s="6">
        <v>934743</v>
      </c>
      <c r="F7" s="6">
        <v>1100423</v>
      </c>
      <c r="G7" s="6">
        <v>2000852</v>
      </c>
      <c r="H7" s="6">
        <v>2062247</v>
      </c>
      <c r="I7" s="6">
        <v>1466148</v>
      </c>
      <c r="J7" s="6">
        <v>819380</v>
      </c>
      <c r="K7" s="6">
        <v>390519</v>
      </c>
      <c r="L7" s="6">
        <v>173274</v>
      </c>
      <c r="M7" s="6">
        <v>145369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8411345</v>
      </c>
      <c r="E8" s="6">
        <v>4218750</v>
      </c>
      <c r="F8" s="6">
        <v>1320378</v>
      </c>
      <c r="G8" s="6">
        <v>1257699</v>
      </c>
      <c r="H8" s="6">
        <v>791653</v>
      </c>
      <c r="I8" s="6">
        <v>437493</v>
      </c>
      <c r="J8" s="6">
        <v>216260</v>
      </c>
      <c r="K8" s="6">
        <v>96362</v>
      </c>
      <c r="L8" s="6">
        <v>41143</v>
      </c>
      <c r="M8" s="6">
        <v>31607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4285</v>
      </c>
      <c r="F9" s="6">
        <v>1167</v>
      </c>
      <c r="G9" s="6">
        <v>1056</v>
      </c>
      <c r="H9" s="6">
        <v>715</v>
      </c>
      <c r="I9" s="6">
        <v>487</v>
      </c>
      <c r="J9" s="6">
        <v>358</v>
      </c>
      <c r="K9" s="6">
        <v>248</v>
      </c>
      <c r="L9" s="6">
        <v>137</v>
      </c>
      <c r="M9" s="6">
        <v>201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2165</v>
      </c>
      <c r="F10" s="6">
        <v>854</v>
      </c>
      <c r="G10" s="6">
        <v>857</v>
      </c>
      <c r="H10" s="6">
        <v>587</v>
      </c>
      <c r="I10" s="6">
        <v>417</v>
      </c>
      <c r="J10" s="6">
        <v>316</v>
      </c>
      <c r="K10" s="6">
        <v>221</v>
      </c>
      <c r="L10" s="6">
        <v>126</v>
      </c>
      <c r="M10" s="6">
        <v>182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2929</v>
      </c>
      <c r="E11" s="6">
        <v>2120</v>
      </c>
      <c r="F11" s="6">
        <v>313</v>
      </c>
      <c r="G11" s="6">
        <v>199</v>
      </c>
      <c r="H11" s="6">
        <v>128</v>
      </c>
      <c r="I11" s="6">
        <v>70</v>
      </c>
      <c r="J11" s="6">
        <v>42</v>
      </c>
      <c r="K11" s="6">
        <v>27</v>
      </c>
      <c r="L11" s="6">
        <v>11</v>
      </c>
      <c r="M11" s="6">
        <v>19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544683</v>
      </c>
      <c r="E12" s="6">
        <v>311732</v>
      </c>
      <c r="F12" s="6">
        <v>68276</v>
      </c>
      <c r="G12" s="6">
        <v>61265</v>
      </c>
      <c r="H12" s="6">
        <v>40309</v>
      </c>
      <c r="I12" s="6">
        <v>25030</v>
      </c>
      <c r="J12" s="6">
        <v>15821</v>
      </c>
      <c r="K12" s="6">
        <v>9637</v>
      </c>
      <c r="L12" s="6">
        <v>5597</v>
      </c>
      <c r="M12" s="6">
        <v>7016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232371</v>
      </c>
      <c r="E13" s="6">
        <v>71966</v>
      </c>
      <c r="F13" s="6">
        <v>40320</v>
      </c>
      <c r="G13" s="6">
        <v>41985</v>
      </c>
      <c r="H13" s="6">
        <v>29481</v>
      </c>
      <c r="I13" s="6">
        <v>18620</v>
      </c>
      <c r="J13" s="6">
        <v>12036</v>
      </c>
      <c r="K13" s="6">
        <v>7602</v>
      </c>
      <c r="L13" s="6">
        <v>4499</v>
      </c>
      <c r="M13" s="6">
        <v>5862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312312</v>
      </c>
      <c r="E14" s="6">
        <v>239766</v>
      </c>
      <c r="F14" s="6">
        <v>27956</v>
      </c>
      <c r="G14" s="6">
        <v>19280</v>
      </c>
      <c r="H14" s="6">
        <v>10828</v>
      </c>
      <c r="I14" s="6">
        <v>6410</v>
      </c>
      <c r="J14" s="6">
        <v>3785</v>
      </c>
      <c r="K14" s="6">
        <v>2035</v>
      </c>
      <c r="L14" s="6">
        <v>1098</v>
      </c>
      <c r="M14" s="6">
        <v>1154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1204258</v>
      </c>
      <c r="E15" s="6">
        <v>552838</v>
      </c>
      <c r="F15" s="6">
        <v>161498</v>
      </c>
      <c r="G15" s="6">
        <v>172707</v>
      </c>
      <c r="H15" s="6">
        <v>126424</v>
      </c>
      <c r="I15" s="6">
        <v>79323</v>
      </c>
      <c r="J15" s="6">
        <v>48853</v>
      </c>
      <c r="K15" s="6">
        <v>28355</v>
      </c>
      <c r="L15" s="6">
        <v>15939</v>
      </c>
      <c r="M15" s="6">
        <v>18321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626992</v>
      </c>
      <c r="E16" s="6">
        <v>120910</v>
      </c>
      <c r="F16" s="6">
        <v>107285</v>
      </c>
      <c r="G16" s="6">
        <v>134528</v>
      </c>
      <c r="H16" s="6">
        <v>104365</v>
      </c>
      <c r="I16" s="6">
        <v>66101</v>
      </c>
      <c r="J16" s="6">
        <v>40823</v>
      </c>
      <c r="K16" s="6">
        <v>23831</v>
      </c>
      <c r="L16" s="6">
        <v>13455</v>
      </c>
      <c r="M16" s="6">
        <v>15694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577266</v>
      </c>
      <c r="E17" s="6">
        <v>431928</v>
      </c>
      <c r="F17" s="6">
        <v>54213</v>
      </c>
      <c r="G17" s="6">
        <v>38179</v>
      </c>
      <c r="H17" s="6">
        <v>22059</v>
      </c>
      <c r="I17" s="6">
        <v>13222</v>
      </c>
      <c r="J17" s="6">
        <v>8030</v>
      </c>
      <c r="K17" s="6">
        <v>4524</v>
      </c>
      <c r="L17" s="6">
        <v>2484</v>
      </c>
      <c r="M17" s="6">
        <v>2627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1634154</v>
      </c>
      <c r="E18" s="6">
        <v>595554</v>
      </c>
      <c r="F18" s="6">
        <v>211500</v>
      </c>
      <c r="G18" s="6">
        <v>261593</v>
      </c>
      <c r="H18" s="6">
        <v>216567</v>
      </c>
      <c r="I18" s="6">
        <v>146534</v>
      </c>
      <c r="J18" s="6">
        <v>90764</v>
      </c>
      <c r="K18" s="6">
        <v>51792</v>
      </c>
      <c r="L18" s="6">
        <v>28371</v>
      </c>
      <c r="M18" s="6">
        <v>31479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923367</v>
      </c>
      <c r="E19" s="6">
        <v>112048</v>
      </c>
      <c r="F19" s="6">
        <v>131091</v>
      </c>
      <c r="G19" s="6">
        <v>200974</v>
      </c>
      <c r="H19" s="6">
        <v>180687</v>
      </c>
      <c r="I19" s="6">
        <v>124832</v>
      </c>
      <c r="J19" s="6">
        <v>77508</v>
      </c>
      <c r="K19" s="6">
        <v>44466</v>
      </c>
      <c r="L19" s="6">
        <v>24458</v>
      </c>
      <c r="M19" s="6">
        <v>27303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710787</v>
      </c>
      <c r="E20" s="6">
        <v>483506</v>
      </c>
      <c r="F20" s="6">
        <v>80409</v>
      </c>
      <c r="G20" s="6">
        <v>60619</v>
      </c>
      <c r="H20" s="6">
        <v>35880</v>
      </c>
      <c r="I20" s="6">
        <v>21702</v>
      </c>
      <c r="J20" s="6">
        <v>13256</v>
      </c>
      <c r="K20" s="6">
        <v>7326</v>
      </c>
      <c r="L20" s="6">
        <v>3913</v>
      </c>
      <c r="M20" s="6">
        <v>4176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1297671</v>
      </c>
      <c r="E21" s="6">
        <v>387608</v>
      </c>
      <c r="F21" s="6">
        <v>156448</v>
      </c>
      <c r="G21" s="6">
        <v>213852</v>
      </c>
      <c r="H21" s="6">
        <v>197894</v>
      </c>
      <c r="I21" s="6">
        <v>143812</v>
      </c>
      <c r="J21" s="6">
        <v>91169</v>
      </c>
      <c r="K21" s="6">
        <v>51527</v>
      </c>
      <c r="L21" s="6">
        <v>27094</v>
      </c>
      <c r="M21" s="6">
        <v>28267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771715</v>
      </c>
      <c r="E22" s="6">
        <v>65412</v>
      </c>
      <c r="F22" s="6">
        <v>87804</v>
      </c>
      <c r="G22" s="6">
        <v>158583</v>
      </c>
      <c r="H22" s="6">
        <v>163988</v>
      </c>
      <c r="I22" s="6">
        <v>123449</v>
      </c>
      <c r="J22" s="6">
        <v>79055</v>
      </c>
      <c r="K22" s="6">
        <v>45012</v>
      </c>
      <c r="L22" s="6">
        <v>23674</v>
      </c>
      <c r="M22" s="6">
        <v>24738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525956</v>
      </c>
      <c r="E23" s="6">
        <v>322196</v>
      </c>
      <c r="F23" s="6">
        <v>68644</v>
      </c>
      <c r="G23" s="6">
        <v>55269</v>
      </c>
      <c r="H23" s="6">
        <v>33906</v>
      </c>
      <c r="I23" s="6">
        <v>20363</v>
      </c>
      <c r="J23" s="6">
        <v>12114</v>
      </c>
      <c r="K23" s="6">
        <v>6515</v>
      </c>
      <c r="L23" s="6">
        <v>3420</v>
      </c>
      <c r="M23" s="6">
        <v>3529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1998271</v>
      </c>
      <c r="E24" s="6">
        <v>612172</v>
      </c>
      <c r="F24" s="6">
        <v>244553</v>
      </c>
      <c r="G24" s="6">
        <v>332811</v>
      </c>
      <c r="H24" s="6">
        <v>310498</v>
      </c>
      <c r="I24" s="6">
        <v>224569</v>
      </c>
      <c r="J24" s="6">
        <v>135810</v>
      </c>
      <c r="K24" s="6">
        <v>72089</v>
      </c>
      <c r="L24" s="6">
        <v>34991</v>
      </c>
      <c r="M24" s="6">
        <v>30778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1102916</v>
      </c>
      <c r="E25" s="6">
        <v>84681</v>
      </c>
      <c r="F25" s="6">
        <v>117206</v>
      </c>
      <c r="G25" s="6">
        <v>229238</v>
      </c>
      <c r="H25" s="6">
        <v>249326</v>
      </c>
      <c r="I25" s="6">
        <v>188682</v>
      </c>
      <c r="J25" s="6">
        <v>115805</v>
      </c>
      <c r="K25" s="6">
        <v>61749</v>
      </c>
      <c r="L25" s="6">
        <v>29954</v>
      </c>
      <c r="M25" s="6">
        <v>26275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895355</v>
      </c>
      <c r="E26" s="6">
        <v>527491</v>
      </c>
      <c r="F26" s="6">
        <v>127347</v>
      </c>
      <c r="G26" s="6">
        <v>103573</v>
      </c>
      <c r="H26" s="6">
        <v>61172</v>
      </c>
      <c r="I26" s="6">
        <v>35887</v>
      </c>
      <c r="J26" s="6">
        <v>20005</v>
      </c>
      <c r="K26" s="6">
        <v>10340</v>
      </c>
      <c r="L26" s="6">
        <v>5037</v>
      </c>
      <c r="M26" s="6">
        <v>4503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1608569</v>
      </c>
      <c r="E27" s="6">
        <v>471594</v>
      </c>
      <c r="F27" s="6">
        <v>210361</v>
      </c>
      <c r="G27" s="6">
        <v>287489</v>
      </c>
      <c r="H27" s="6">
        <v>264744</v>
      </c>
      <c r="I27" s="6">
        <v>182364</v>
      </c>
      <c r="J27" s="6">
        <v>103055</v>
      </c>
      <c r="K27" s="6">
        <v>50033</v>
      </c>
      <c r="L27" s="6">
        <v>21897</v>
      </c>
      <c r="M27" s="6">
        <v>17032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894022</v>
      </c>
      <c r="E28" s="6">
        <v>71205</v>
      </c>
      <c r="F28" s="6">
        <v>99719</v>
      </c>
      <c r="G28" s="6">
        <v>195577</v>
      </c>
      <c r="H28" s="6">
        <v>211099</v>
      </c>
      <c r="I28" s="6">
        <v>153366</v>
      </c>
      <c r="J28" s="6">
        <v>87815</v>
      </c>
      <c r="K28" s="6">
        <v>42389</v>
      </c>
      <c r="L28" s="6">
        <v>18588</v>
      </c>
      <c r="M28" s="6">
        <v>14264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714547</v>
      </c>
      <c r="E29" s="6">
        <v>400389</v>
      </c>
      <c r="F29" s="6">
        <v>110642</v>
      </c>
      <c r="G29" s="6">
        <v>91912</v>
      </c>
      <c r="H29" s="6">
        <v>53645</v>
      </c>
      <c r="I29" s="6">
        <v>28998</v>
      </c>
      <c r="J29" s="6">
        <v>15240</v>
      </c>
      <c r="K29" s="6">
        <v>7644</v>
      </c>
      <c r="L29" s="6">
        <v>3309</v>
      </c>
      <c r="M29" s="6">
        <v>2768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2173226</v>
      </c>
      <c r="E30" s="6">
        <v>649708</v>
      </c>
      <c r="F30" s="6">
        <v>307482</v>
      </c>
      <c r="G30" s="6">
        <v>407629</v>
      </c>
      <c r="H30" s="6">
        <v>359216</v>
      </c>
      <c r="I30" s="6">
        <v>235012</v>
      </c>
      <c r="J30" s="6">
        <v>123162</v>
      </c>
      <c r="K30" s="6">
        <v>54664</v>
      </c>
      <c r="L30" s="6">
        <v>21711</v>
      </c>
      <c r="M30" s="6">
        <v>14642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1122442</v>
      </c>
      <c r="E31" s="6">
        <v>95034</v>
      </c>
      <c r="F31" s="6">
        <v>130167</v>
      </c>
      <c r="G31" s="6">
        <v>257866</v>
      </c>
      <c r="H31" s="6">
        <v>273296</v>
      </c>
      <c r="I31" s="6">
        <v>190612</v>
      </c>
      <c r="J31" s="6">
        <v>101324</v>
      </c>
      <c r="K31" s="6">
        <v>44882</v>
      </c>
      <c r="L31" s="6">
        <v>17591</v>
      </c>
      <c r="M31" s="6">
        <v>11670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1050784</v>
      </c>
      <c r="E32" s="6">
        <v>554674</v>
      </c>
      <c r="F32" s="6">
        <v>177315</v>
      </c>
      <c r="G32" s="6">
        <v>149763</v>
      </c>
      <c r="H32" s="6">
        <v>85920</v>
      </c>
      <c r="I32" s="6">
        <v>44400</v>
      </c>
      <c r="J32" s="6">
        <v>21838</v>
      </c>
      <c r="K32" s="6">
        <v>9782</v>
      </c>
      <c r="L32" s="6">
        <v>4120</v>
      </c>
      <c r="M32" s="6">
        <v>2972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1752022</v>
      </c>
      <c r="E33" s="6">
        <v>470150</v>
      </c>
      <c r="F33" s="6">
        <v>268129</v>
      </c>
      <c r="G33" s="6">
        <v>357884</v>
      </c>
      <c r="H33" s="6">
        <v>306739</v>
      </c>
      <c r="I33" s="6">
        <v>193103</v>
      </c>
      <c r="J33" s="6">
        <v>95091</v>
      </c>
      <c r="K33" s="6">
        <v>38401</v>
      </c>
      <c r="L33" s="6">
        <v>14363</v>
      </c>
      <c r="M33" s="6">
        <v>8162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882130</v>
      </c>
      <c r="E34" s="6">
        <v>77464</v>
      </c>
      <c r="F34" s="6">
        <v>104607</v>
      </c>
      <c r="G34" s="6">
        <v>208061</v>
      </c>
      <c r="H34" s="6">
        <v>219922</v>
      </c>
      <c r="I34" s="6">
        <v>149534</v>
      </c>
      <c r="J34" s="6">
        <v>75221</v>
      </c>
      <c r="K34" s="6">
        <v>30247</v>
      </c>
      <c r="L34" s="6">
        <v>11028</v>
      </c>
      <c r="M34" s="6">
        <v>6046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869892</v>
      </c>
      <c r="E35" s="6">
        <v>392686</v>
      </c>
      <c r="F35" s="6">
        <v>163522</v>
      </c>
      <c r="G35" s="6">
        <v>149823</v>
      </c>
      <c r="H35" s="6">
        <v>86817</v>
      </c>
      <c r="I35" s="6">
        <v>43569</v>
      </c>
      <c r="J35" s="6">
        <v>19870</v>
      </c>
      <c r="K35" s="6">
        <v>8154</v>
      </c>
      <c r="L35" s="6">
        <v>3335</v>
      </c>
      <c r="M35" s="6">
        <v>2116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1974512</v>
      </c>
      <c r="E36" s="6">
        <v>484290</v>
      </c>
      <c r="F36" s="6">
        <v>311700</v>
      </c>
      <c r="G36" s="6">
        <v>426142</v>
      </c>
      <c r="H36" s="6">
        <v>360011</v>
      </c>
      <c r="I36" s="6">
        <v>223298</v>
      </c>
      <c r="J36" s="6">
        <v>106375</v>
      </c>
      <c r="K36" s="6">
        <v>41337</v>
      </c>
      <c r="L36" s="6">
        <v>14209</v>
      </c>
      <c r="M36" s="6">
        <v>7150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951131</v>
      </c>
      <c r="E37" s="6">
        <v>86276</v>
      </c>
      <c r="F37" s="6">
        <v>111927</v>
      </c>
      <c r="G37" s="6">
        <v>225208</v>
      </c>
      <c r="H37" s="6">
        <v>239265</v>
      </c>
      <c r="I37" s="6">
        <v>162776</v>
      </c>
      <c r="J37" s="6">
        <v>79856</v>
      </c>
      <c r="K37" s="6">
        <v>30769</v>
      </c>
      <c r="L37" s="6">
        <v>10214</v>
      </c>
      <c r="M37" s="6">
        <v>4840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1023381</v>
      </c>
      <c r="E38" s="6">
        <v>398014</v>
      </c>
      <c r="F38" s="6">
        <v>199773</v>
      </c>
      <c r="G38" s="6">
        <v>200934</v>
      </c>
      <c r="H38" s="6">
        <v>120746</v>
      </c>
      <c r="I38" s="6">
        <v>60522</v>
      </c>
      <c r="J38" s="6">
        <v>26519</v>
      </c>
      <c r="K38" s="6">
        <v>10568</v>
      </c>
      <c r="L38" s="6">
        <v>3995</v>
      </c>
      <c r="M38" s="6">
        <v>2310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1284626</v>
      </c>
      <c r="E39" s="6">
        <v>267622</v>
      </c>
      <c r="F39" s="6">
        <v>197159</v>
      </c>
      <c r="G39" s="6">
        <v>286564</v>
      </c>
      <c r="H39" s="6">
        <v>250368</v>
      </c>
      <c r="I39" s="6">
        <v>160543</v>
      </c>
      <c r="J39" s="6">
        <v>77880</v>
      </c>
      <c r="K39" s="6">
        <v>29511</v>
      </c>
      <c r="L39" s="6">
        <v>10146</v>
      </c>
      <c r="M39" s="6">
        <v>4833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626942</v>
      </c>
      <c r="E40" s="6">
        <v>55485</v>
      </c>
      <c r="F40" s="6">
        <v>70090</v>
      </c>
      <c r="G40" s="6">
        <v>143927</v>
      </c>
      <c r="H40" s="6">
        <v>157579</v>
      </c>
      <c r="I40" s="6">
        <v>112014</v>
      </c>
      <c r="J40" s="6">
        <v>56251</v>
      </c>
      <c r="K40" s="6">
        <v>21350</v>
      </c>
      <c r="L40" s="6">
        <v>7083</v>
      </c>
      <c r="M40" s="6">
        <v>3163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657684</v>
      </c>
      <c r="E41" s="6">
        <v>212137</v>
      </c>
      <c r="F41" s="6">
        <v>127069</v>
      </c>
      <c r="G41" s="6">
        <v>142637</v>
      </c>
      <c r="H41" s="6">
        <v>92789</v>
      </c>
      <c r="I41" s="6">
        <v>48529</v>
      </c>
      <c r="J41" s="6">
        <v>21629</v>
      </c>
      <c r="K41" s="6">
        <v>8161</v>
      </c>
      <c r="L41" s="6">
        <v>3063</v>
      </c>
      <c r="M41" s="6">
        <v>1670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1083931</v>
      </c>
      <c r="E42" s="6">
        <v>190388</v>
      </c>
      <c r="F42" s="6">
        <v>156974</v>
      </c>
      <c r="G42" s="6">
        <v>244390</v>
      </c>
      <c r="H42" s="6">
        <v>224011</v>
      </c>
      <c r="I42" s="6">
        <v>149560</v>
      </c>
      <c r="J42" s="6">
        <v>74376</v>
      </c>
      <c r="K42" s="6">
        <v>29407</v>
      </c>
      <c r="L42" s="6">
        <v>10073</v>
      </c>
      <c r="M42" s="6">
        <v>4752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515579</v>
      </c>
      <c r="E43" s="6">
        <v>46259</v>
      </c>
      <c r="F43" s="6">
        <v>54174</v>
      </c>
      <c r="G43" s="6">
        <v>113363</v>
      </c>
      <c r="H43" s="6">
        <v>128717</v>
      </c>
      <c r="I43" s="6">
        <v>94972</v>
      </c>
      <c r="J43" s="6">
        <v>49189</v>
      </c>
      <c r="K43" s="6">
        <v>19511</v>
      </c>
      <c r="L43" s="6">
        <v>6570</v>
      </c>
      <c r="M43" s="6">
        <v>2824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568352</v>
      </c>
      <c r="E44" s="6">
        <v>144129</v>
      </c>
      <c r="F44" s="6">
        <v>102800</v>
      </c>
      <c r="G44" s="6">
        <v>131027</v>
      </c>
      <c r="H44" s="6">
        <v>95294</v>
      </c>
      <c r="I44" s="6">
        <v>54588</v>
      </c>
      <c r="J44" s="6">
        <v>25187</v>
      </c>
      <c r="K44" s="6">
        <v>9896</v>
      </c>
      <c r="L44" s="6">
        <v>3503</v>
      </c>
      <c r="M44" s="6">
        <v>1928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475537</v>
      </c>
      <c r="E45" s="6">
        <v>75365</v>
      </c>
      <c r="F45" s="6">
        <v>64464</v>
      </c>
      <c r="G45" s="6">
        <v>104820</v>
      </c>
      <c r="H45" s="6">
        <v>100948</v>
      </c>
      <c r="I45" s="6">
        <v>71118</v>
      </c>
      <c r="J45" s="6">
        <v>36534</v>
      </c>
      <c r="K45" s="6">
        <v>15074</v>
      </c>
      <c r="L45" s="6">
        <v>5058</v>
      </c>
      <c r="M45" s="6">
        <v>2156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228808</v>
      </c>
      <c r="E46" s="6">
        <v>21714</v>
      </c>
      <c r="F46" s="6">
        <v>23187</v>
      </c>
      <c r="G46" s="6">
        <v>47843</v>
      </c>
      <c r="H46" s="6">
        <v>55713</v>
      </c>
      <c r="I46" s="6">
        <v>43040</v>
      </c>
      <c r="J46" s="6">
        <v>23137</v>
      </c>
      <c r="K46" s="6">
        <v>9720</v>
      </c>
      <c r="L46" s="6">
        <v>3177</v>
      </c>
      <c r="M46" s="6">
        <v>1277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246729</v>
      </c>
      <c r="E47" s="6">
        <v>53651</v>
      </c>
      <c r="F47" s="6">
        <v>41277</v>
      </c>
      <c r="G47" s="6">
        <v>56977</v>
      </c>
      <c r="H47" s="6">
        <v>45235</v>
      </c>
      <c r="I47" s="6">
        <v>28078</v>
      </c>
      <c r="J47" s="6">
        <v>13397</v>
      </c>
      <c r="K47" s="6">
        <v>5354</v>
      </c>
      <c r="L47" s="6">
        <v>1881</v>
      </c>
      <c r="M47" s="6">
        <v>879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356715</v>
      </c>
      <c r="E48" s="6">
        <v>57027</v>
      </c>
      <c r="F48" s="6">
        <v>46226</v>
      </c>
      <c r="G48" s="6">
        <v>77588</v>
      </c>
      <c r="H48" s="6">
        <v>75295</v>
      </c>
      <c r="I48" s="6">
        <v>54660</v>
      </c>
      <c r="J48" s="6">
        <v>28746</v>
      </c>
      <c r="K48" s="6">
        <v>11617</v>
      </c>
      <c r="L48" s="6">
        <v>3828</v>
      </c>
      <c r="M48" s="6">
        <v>1728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164346</v>
      </c>
      <c r="E49" s="6">
        <v>17843</v>
      </c>
      <c r="F49" s="6">
        <v>16857</v>
      </c>
      <c r="G49" s="6">
        <v>33607</v>
      </c>
      <c r="H49" s="6">
        <v>38567</v>
      </c>
      <c r="I49" s="6">
        <v>30280</v>
      </c>
      <c r="J49" s="6">
        <v>16901</v>
      </c>
      <c r="K49" s="6">
        <v>6999</v>
      </c>
      <c r="L49" s="6">
        <v>2303</v>
      </c>
      <c r="M49" s="6">
        <v>989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192369</v>
      </c>
      <c r="E50" s="6">
        <v>39184</v>
      </c>
      <c r="F50" s="6">
        <v>29369</v>
      </c>
      <c r="G50" s="6">
        <v>43981</v>
      </c>
      <c r="H50" s="6">
        <v>36728</v>
      </c>
      <c r="I50" s="6">
        <v>24380</v>
      </c>
      <c r="J50" s="6">
        <v>11845</v>
      </c>
      <c r="K50" s="6">
        <v>4618</v>
      </c>
      <c r="L50" s="6">
        <v>1525</v>
      </c>
      <c r="M50" s="6">
        <v>739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107471</v>
      </c>
      <c r="E51" s="6">
        <v>23160</v>
      </c>
      <c r="F51" s="6">
        <v>14864</v>
      </c>
      <c r="G51" s="6">
        <v>22761</v>
      </c>
      <c r="H51" s="6">
        <v>20161</v>
      </c>
      <c r="I51" s="6">
        <v>14228</v>
      </c>
      <c r="J51" s="6">
        <v>7646</v>
      </c>
      <c r="K51" s="6">
        <v>3189</v>
      </c>
      <c r="L51" s="6">
        <v>1003</v>
      </c>
      <c r="M51" s="6">
        <v>459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44469</v>
      </c>
      <c r="E52" s="6">
        <v>6281</v>
      </c>
      <c r="F52" s="6">
        <v>5135</v>
      </c>
      <c r="G52" s="6">
        <v>9235</v>
      </c>
      <c r="H52" s="6">
        <v>9655</v>
      </c>
      <c r="I52" s="6">
        <v>7453</v>
      </c>
      <c r="J52" s="6">
        <v>4143</v>
      </c>
      <c r="K52" s="6">
        <v>1771</v>
      </c>
      <c r="L52" s="6">
        <v>554</v>
      </c>
      <c r="M52" s="6">
        <v>242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63002</v>
      </c>
      <c r="E53" s="6">
        <v>16879</v>
      </c>
      <c r="F53" s="6">
        <v>9729</v>
      </c>
      <c r="G53" s="6">
        <v>13526</v>
      </c>
      <c r="H53" s="6">
        <v>10506</v>
      </c>
      <c r="I53" s="6">
        <v>6775</v>
      </c>
      <c r="J53" s="6">
        <v>3503</v>
      </c>
      <c r="K53" s="6">
        <v>1418</v>
      </c>
      <c r="L53" s="6">
        <v>449</v>
      </c>
      <c r="M53" s="6">
        <v>217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1BAA-BDF6-4FF9-B8E8-80BCDD438B88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70</v>
      </c>
      <c r="F3" s="5">
        <v>110</v>
      </c>
      <c r="G3" s="5">
        <v>120</v>
      </c>
      <c r="H3" s="5">
        <v>130</v>
      </c>
      <c r="I3" s="5">
        <v>140</v>
      </c>
      <c r="J3" s="5">
        <v>150</v>
      </c>
      <c r="K3" s="5">
        <v>160</v>
      </c>
      <c r="L3" s="5">
        <v>170</v>
      </c>
      <c r="M3" s="5">
        <v>180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110</v>
      </c>
      <c r="F4" s="5">
        <v>120</v>
      </c>
      <c r="G4" s="5">
        <v>130</v>
      </c>
      <c r="H4" s="5">
        <v>140</v>
      </c>
      <c r="I4" s="5">
        <v>150</v>
      </c>
      <c r="J4" s="5">
        <v>160</v>
      </c>
      <c r="K4" s="5">
        <v>170</v>
      </c>
      <c r="L4" s="5">
        <v>180</v>
      </c>
      <c r="M4" s="5">
        <v>220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91</v>
      </c>
      <c r="F5" s="4" t="s">
        <v>92</v>
      </c>
      <c r="G5" s="4" t="s">
        <v>93</v>
      </c>
      <c r="H5" s="4" t="s">
        <v>94</v>
      </c>
      <c r="I5" s="4" t="s">
        <v>95</v>
      </c>
      <c r="J5" s="4" t="s">
        <v>96</v>
      </c>
      <c r="K5" s="4" t="s">
        <v>97</v>
      </c>
      <c r="L5" s="4" t="s">
        <v>98</v>
      </c>
      <c r="M5" s="4" t="s">
        <v>99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17516901</v>
      </c>
      <c r="E6" s="6">
        <v>2918325</v>
      </c>
      <c r="F6" s="6">
        <v>4667566</v>
      </c>
      <c r="G6" s="6">
        <v>4330052</v>
      </c>
      <c r="H6" s="6">
        <v>3650104</v>
      </c>
      <c r="I6" s="6">
        <v>1181671</v>
      </c>
      <c r="J6" s="6">
        <v>512297</v>
      </c>
      <c r="K6" s="6">
        <v>171935</v>
      </c>
      <c r="L6" s="6">
        <v>52553</v>
      </c>
      <c r="M6" s="6">
        <v>32398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9093244</v>
      </c>
      <c r="E7" s="6">
        <v>905632</v>
      </c>
      <c r="F7" s="6">
        <v>2310476</v>
      </c>
      <c r="G7" s="6">
        <v>2499485</v>
      </c>
      <c r="H7" s="6">
        <v>2258227</v>
      </c>
      <c r="I7" s="6">
        <v>688410</v>
      </c>
      <c r="J7" s="6">
        <v>289709</v>
      </c>
      <c r="K7" s="6">
        <v>95143</v>
      </c>
      <c r="L7" s="6">
        <v>28614</v>
      </c>
      <c r="M7" s="6">
        <v>17548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8423657</v>
      </c>
      <c r="E8" s="6">
        <v>2012693</v>
      </c>
      <c r="F8" s="6">
        <v>2357090</v>
      </c>
      <c r="G8" s="6">
        <v>1830567</v>
      </c>
      <c r="H8" s="6">
        <v>1391877</v>
      </c>
      <c r="I8" s="6">
        <v>493261</v>
      </c>
      <c r="J8" s="6">
        <v>222588</v>
      </c>
      <c r="K8" s="6">
        <v>76792</v>
      </c>
      <c r="L8" s="6">
        <v>23939</v>
      </c>
      <c r="M8" s="6">
        <v>14850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8655</v>
      </c>
      <c r="E9" s="6">
        <v>2160</v>
      </c>
      <c r="F9" s="6">
        <v>3156</v>
      </c>
      <c r="G9" s="6">
        <v>1910</v>
      </c>
      <c r="H9" s="6">
        <v>1203</v>
      </c>
      <c r="I9" s="6">
        <v>152</v>
      </c>
      <c r="J9" s="6">
        <v>52</v>
      </c>
      <c r="K9" s="6">
        <v>14</v>
      </c>
      <c r="L9" s="6">
        <v>6</v>
      </c>
      <c r="M9" s="6">
        <v>2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909</v>
      </c>
      <c r="F10" s="6">
        <v>2099</v>
      </c>
      <c r="G10" s="6">
        <v>1514</v>
      </c>
      <c r="H10" s="6">
        <v>1014</v>
      </c>
      <c r="I10" s="6">
        <v>122</v>
      </c>
      <c r="J10" s="6">
        <v>49</v>
      </c>
      <c r="K10" s="6">
        <v>12</v>
      </c>
      <c r="L10" s="6">
        <v>6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1251</v>
      </c>
      <c r="F11" s="6">
        <v>1057</v>
      </c>
      <c r="G11" s="6">
        <v>396</v>
      </c>
      <c r="H11" s="6">
        <v>189</v>
      </c>
      <c r="I11" s="6">
        <v>30</v>
      </c>
      <c r="J11" s="6">
        <v>3</v>
      </c>
      <c r="K11" s="6">
        <v>2</v>
      </c>
      <c r="L11" s="6">
        <v>0</v>
      </c>
      <c r="M11" s="6">
        <v>2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544717</v>
      </c>
      <c r="E12" s="6">
        <v>172730</v>
      </c>
      <c r="F12" s="6">
        <v>190631</v>
      </c>
      <c r="G12" s="6">
        <v>111165</v>
      </c>
      <c r="H12" s="6">
        <v>57904</v>
      </c>
      <c r="I12" s="6">
        <v>8344</v>
      </c>
      <c r="J12" s="6">
        <v>2858</v>
      </c>
      <c r="K12" s="6">
        <v>782</v>
      </c>
      <c r="L12" s="6">
        <v>211</v>
      </c>
      <c r="M12" s="6">
        <v>92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232358</v>
      </c>
      <c r="E13" s="6">
        <v>36784</v>
      </c>
      <c r="F13" s="6">
        <v>79618</v>
      </c>
      <c r="G13" s="6">
        <v>64690</v>
      </c>
      <c r="H13" s="6">
        <v>41875</v>
      </c>
      <c r="I13" s="6">
        <v>6349</v>
      </c>
      <c r="J13" s="6">
        <v>2237</v>
      </c>
      <c r="K13" s="6">
        <v>577</v>
      </c>
      <c r="L13" s="6">
        <v>163</v>
      </c>
      <c r="M13" s="6">
        <v>65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312359</v>
      </c>
      <c r="E14" s="6">
        <v>135946</v>
      </c>
      <c r="F14" s="6">
        <v>111013</v>
      </c>
      <c r="G14" s="6">
        <v>46475</v>
      </c>
      <c r="H14" s="6">
        <v>16029</v>
      </c>
      <c r="I14" s="6">
        <v>1995</v>
      </c>
      <c r="J14" s="6">
        <v>621</v>
      </c>
      <c r="K14" s="6">
        <v>205</v>
      </c>
      <c r="L14" s="6">
        <v>48</v>
      </c>
      <c r="M14" s="6">
        <v>27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1205411</v>
      </c>
      <c r="E15" s="6">
        <v>322987</v>
      </c>
      <c r="F15" s="6">
        <v>414760</v>
      </c>
      <c r="G15" s="6">
        <v>266888</v>
      </c>
      <c r="H15" s="6">
        <v>161447</v>
      </c>
      <c r="I15" s="6">
        <v>25880</v>
      </c>
      <c r="J15" s="6">
        <v>9231</v>
      </c>
      <c r="K15" s="6">
        <v>2874</v>
      </c>
      <c r="L15" s="6">
        <v>786</v>
      </c>
      <c r="M15" s="6">
        <v>558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626997</v>
      </c>
      <c r="E16" s="6">
        <v>80863</v>
      </c>
      <c r="F16" s="6">
        <v>207835</v>
      </c>
      <c r="G16" s="6">
        <v>178172</v>
      </c>
      <c r="H16" s="6">
        <v>128570</v>
      </c>
      <c r="I16" s="6">
        <v>20855</v>
      </c>
      <c r="J16" s="6">
        <v>7458</v>
      </c>
      <c r="K16" s="6">
        <v>2259</v>
      </c>
      <c r="L16" s="6">
        <v>597</v>
      </c>
      <c r="M16" s="6">
        <v>388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578414</v>
      </c>
      <c r="E17" s="6">
        <v>242124</v>
      </c>
      <c r="F17" s="6">
        <v>206925</v>
      </c>
      <c r="G17" s="6">
        <v>88716</v>
      </c>
      <c r="H17" s="6">
        <v>32877</v>
      </c>
      <c r="I17" s="6">
        <v>5025</v>
      </c>
      <c r="J17" s="6">
        <v>1773</v>
      </c>
      <c r="K17" s="6">
        <v>615</v>
      </c>
      <c r="L17" s="6">
        <v>189</v>
      </c>
      <c r="M17" s="6">
        <v>170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1640842</v>
      </c>
      <c r="E18" s="6">
        <v>402095</v>
      </c>
      <c r="F18" s="6">
        <v>534511</v>
      </c>
      <c r="G18" s="6">
        <v>377547</v>
      </c>
      <c r="H18" s="6">
        <v>248822</v>
      </c>
      <c r="I18" s="6">
        <v>48947</v>
      </c>
      <c r="J18" s="6">
        <v>18872</v>
      </c>
      <c r="K18" s="6">
        <v>6457</v>
      </c>
      <c r="L18" s="6">
        <v>2089</v>
      </c>
      <c r="M18" s="6">
        <v>1502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923379</v>
      </c>
      <c r="E19" s="6">
        <v>109440</v>
      </c>
      <c r="F19" s="6">
        <v>286200</v>
      </c>
      <c r="G19" s="6">
        <v>262942</v>
      </c>
      <c r="H19" s="6">
        <v>201463</v>
      </c>
      <c r="I19" s="6">
        <v>39963</v>
      </c>
      <c r="J19" s="6">
        <v>15444</v>
      </c>
      <c r="K19" s="6">
        <v>5154</v>
      </c>
      <c r="L19" s="6">
        <v>1638</v>
      </c>
      <c r="M19" s="6">
        <v>1135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717463</v>
      </c>
      <c r="E20" s="6">
        <v>292655</v>
      </c>
      <c r="F20" s="6">
        <v>248311</v>
      </c>
      <c r="G20" s="6">
        <v>114605</v>
      </c>
      <c r="H20" s="6">
        <v>47359</v>
      </c>
      <c r="I20" s="6">
        <v>8984</v>
      </c>
      <c r="J20" s="6">
        <v>3428</v>
      </c>
      <c r="K20" s="6">
        <v>1303</v>
      </c>
      <c r="L20" s="6">
        <v>451</v>
      </c>
      <c r="M20" s="6">
        <v>367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1300971</v>
      </c>
      <c r="E21" s="6">
        <v>272521</v>
      </c>
      <c r="F21" s="6">
        <v>400171</v>
      </c>
      <c r="G21" s="6">
        <v>314660</v>
      </c>
      <c r="H21" s="6">
        <v>229488</v>
      </c>
      <c r="I21" s="6">
        <v>51164</v>
      </c>
      <c r="J21" s="6">
        <v>20940</v>
      </c>
      <c r="K21" s="6">
        <v>7653</v>
      </c>
      <c r="L21" s="6">
        <v>2414</v>
      </c>
      <c r="M21" s="6">
        <v>1960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771723</v>
      </c>
      <c r="E22" s="6">
        <v>78472</v>
      </c>
      <c r="F22" s="6">
        <v>220045</v>
      </c>
      <c r="G22" s="6">
        <v>220860</v>
      </c>
      <c r="H22" s="6">
        <v>184692</v>
      </c>
      <c r="I22" s="6">
        <v>41521</v>
      </c>
      <c r="J22" s="6">
        <v>16892</v>
      </c>
      <c r="K22" s="6">
        <v>5985</v>
      </c>
      <c r="L22" s="6">
        <v>1839</v>
      </c>
      <c r="M22" s="6">
        <v>1417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194049</v>
      </c>
      <c r="F23" s="6">
        <v>180126</v>
      </c>
      <c r="G23" s="6">
        <v>93800</v>
      </c>
      <c r="H23" s="6">
        <v>44796</v>
      </c>
      <c r="I23" s="6">
        <v>9643</v>
      </c>
      <c r="J23" s="6">
        <v>4048</v>
      </c>
      <c r="K23" s="6">
        <v>1668</v>
      </c>
      <c r="L23" s="6">
        <v>575</v>
      </c>
      <c r="M23" s="6">
        <v>543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1998889</v>
      </c>
      <c r="E24" s="6">
        <v>398964</v>
      </c>
      <c r="F24" s="6">
        <v>592541</v>
      </c>
      <c r="G24" s="6">
        <v>495650</v>
      </c>
      <c r="H24" s="6">
        <v>361937</v>
      </c>
      <c r="I24" s="6">
        <v>93412</v>
      </c>
      <c r="J24" s="6">
        <v>36681</v>
      </c>
      <c r="K24" s="6">
        <v>12595</v>
      </c>
      <c r="L24" s="6">
        <v>4023</v>
      </c>
      <c r="M24" s="6">
        <v>3086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111272</v>
      </c>
      <c r="F25" s="6">
        <v>297935</v>
      </c>
      <c r="G25" s="6">
        <v>316995</v>
      </c>
      <c r="H25" s="6">
        <v>265734</v>
      </c>
      <c r="I25" s="6">
        <v>69738</v>
      </c>
      <c r="J25" s="6">
        <v>27324</v>
      </c>
      <c r="K25" s="6">
        <v>9078</v>
      </c>
      <c r="L25" s="6">
        <v>2835</v>
      </c>
      <c r="M25" s="6">
        <v>2025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895953</v>
      </c>
      <c r="E26" s="6">
        <v>287692</v>
      </c>
      <c r="F26" s="6">
        <v>294606</v>
      </c>
      <c r="G26" s="6">
        <v>178655</v>
      </c>
      <c r="H26" s="6">
        <v>96203</v>
      </c>
      <c r="I26" s="6">
        <v>23674</v>
      </c>
      <c r="J26" s="6">
        <v>9357</v>
      </c>
      <c r="K26" s="6">
        <v>3517</v>
      </c>
      <c r="L26" s="6">
        <v>1188</v>
      </c>
      <c r="M26" s="6">
        <v>1061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1608620</v>
      </c>
      <c r="E27" s="6">
        <v>277575</v>
      </c>
      <c r="F27" s="6">
        <v>458653</v>
      </c>
      <c r="G27" s="6">
        <v>412373</v>
      </c>
      <c r="H27" s="6">
        <v>320117</v>
      </c>
      <c r="I27" s="6">
        <v>86767</v>
      </c>
      <c r="J27" s="6">
        <v>34823</v>
      </c>
      <c r="K27" s="6">
        <v>11984</v>
      </c>
      <c r="L27" s="6">
        <v>3734</v>
      </c>
      <c r="M27" s="6">
        <v>2594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894051</v>
      </c>
      <c r="E28" s="6">
        <v>89345</v>
      </c>
      <c r="F28" s="6">
        <v>234887</v>
      </c>
      <c r="G28" s="6">
        <v>253557</v>
      </c>
      <c r="H28" s="6">
        <v>220513</v>
      </c>
      <c r="I28" s="6">
        <v>60221</v>
      </c>
      <c r="J28" s="6">
        <v>23621</v>
      </c>
      <c r="K28" s="6">
        <v>7894</v>
      </c>
      <c r="L28" s="6">
        <v>2413</v>
      </c>
      <c r="M28" s="6">
        <v>1600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188230</v>
      </c>
      <c r="F29" s="6">
        <v>223766</v>
      </c>
      <c r="G29" s="6">
        <v>158816</v>
      </c>
      <c r="H29" s="6">
        <v>99604</v>
      </c>
      <c r="I29" s="6">
        <v>26546</v>
      </c>
      <c r="J29" s="6">
        <v>11202</v>
      </c>
      <c r="K29" s="6">
        <v>4090</v>
      </c>
      <c r="L29" s="6">
        <v>1321</v>
      </c>
      <c r="M29" s="6">
        <v>994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2173263</v>
      </c>
      <c r="E30" s="6">
        <v>346797</v>
      </c>
      <c r="F30" s="6">
        <v>589562</v>
      </c>
      <c r="G30" s="6">
        <v>563781</v>
      </c>
      <c r="H30" s="6">
        <v>456421</v>
      </c>
      <c r="I30" s="6">
        <v>135045</v>
      </c>
      <c r="J30" s="6">
        <v>54312</v>
      </c>
      <c r="K30" s="6">
        <v>17991</v>
      </c>
      <c r="L30" s="6">
        <v>5623</v>
      </c>
      <c r="M30" s="6">
        <v>3731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1122468</v>
      </c>
      <c r="E31" s="6">
        <v>114868</v>
      </c>
      <c r="F31" s="6">
        <v>284116</v>
      </c>
      <c r="G31" s="6">
        <v>313589</v>
      </c>
      <c r="H31" s="6">
        <v>278322</v>
      </c>
      <c r="I31" s="6">
        <v>83041</v>
      </c>
      <c r="J31" s="6">
        <v>32754</v>
      </c>
      <c r="K31" s="6">
        <v>10509</v>
      </c>
      <c r="L31" s="6">
        <v>3163</v>
      </c>
      <c r="M31" s="6">
        <v>2106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231929</v>
      </c>
      <c r="F32" s="6">
        <v>305446</v>
      </c>
      <c r="G32" s="6">
        <v>250192</v>
      </c>
      <c r="H32" s="6">
        <v>178099</v>
      </c>
      <c r="I32" s="6">
        <v>52004</v>
      </c>
      <c r="J32" s="6">
        <v>21558</v>
      </c>
      <c r="K32" s="6">
        <v>7482</v>
      </c>
      <c r="L32" s="6">
        <v>2460</v>
      </c>
      <c r="M32" s="6">
        <v>1625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1752067</v>
      </c>
      <c r="E33" s="6">
        <v>241379</v>
      </c>
      <c r="F33" s="6">
        <v>447955</v>
      </c>
      <c r="G33" s="6">
        <v>458327</v>
      </c>
      <c r="H33" s="6">
        <v>403950</v>
      </c>
      <c r="I33" s="6">
        <v>124502</v>
      </c>
      <c r="J33" s="6">
        <v>51460</v>
      </c>
      <c r="K33" s="6">
        <v>16621</v>
      </c>
      <c r="L33" s="6">
        <v>4855</v>
      </c>
      <c r="M33" s="6">
        <v>3018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882160</v>
      </c>
      <c r="E34" s="6">
        <v>84490</v>
      </c>
      <c r="F34" s="6">
        <v>211026</v>
      </c>
      <c r="G34" s="6">
        <v>240062</v>
      </c>
      <c r="H34" s="6">
        <v>230769</v>
      </c>
      <c r="I34" s="6">
        <v>71637</v>
      </c>
      <c r="J34" s="6">
        <v>29778</v>
      </c>
      <c r="K34" s="6">
        <v>9674</v>
      </c>
      <c r="L34" s="6">
        <v>2916</v>
      </c>
      <c r="M34" s="6">
        <v>1808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869907</v>
      </c>
      <c r="E35" s="6">
        <v>156889</v>
      </c>
      <c r="F35" s="6">
        <v>236929</v>
      </c>
      <c r="G35" s="6">
        <v>218265</v>
      </c>
      <c r="H35" s="6">
        <v>173181</v>
      </c>
      <c r="I35" s="6">
        <v>52865</v>
      </c>
      <c r="J35" s="6">
        <v>21682</v>
      </c>
      <c r="K35" s="6">
        <v>6947</v>
      </c>
      <c r="L35" s="6">
        <v>1939</v>
      </c>
      <c r="M35" s="6">
        <v>1210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228572</v>
      </c>
      <c r="F36" s="6">
        <v>452692</v>
      </c>
      <c r="G36" s="6">
        <v>517602</v>
      </c>
      <c r="H36" s="6">
        <v>494906</v>
      </c>
      <c r="I36" s="6">
        <v>174732</v>
      </c>
      <c r="J36" s="6">
        <v>73154</v>
      </c>
      <c r="K36" s="6">
        <v>22747</v>
      </c>
      <c r="L36" s="6">
        <v>6461</v>
      </c>
      <c r="M36" s="6">
        <v>3697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951165</v>
      </c>
      <c r="E37" s="6">
        <v>85135</v>
      </c>
      <c r="F37" s="6">
        <v>206274</v>
      </c>
      <c r="G37" s="6">
        <v>254011</v>
      </c>
      <c r="H37" s="6">
        <v>258306</v>
      </c>
      <c r="I37" s="6">
        <v>91700</v>
      </c>
      <c r="J37" s="6">
        <v>38317</v>
      </c>
      <c r="K37" s="6">
        <v>11981</v>
      </c>
      <c r="L37" s="6">
        <v>3418</v>
      </c>
      <c r="M37" s="6">
        <v>2023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1023398</v>
      </c>
      <c r="E38" s="6">
        <v>143437</v>
      </c>
      <c r="F38" s="6">
        <v>246418</v>
      </c>
      <c r="G38" s="6">
        <v>263591</v>
      </c>
      <c r="H38" s="6">
        <v>236600</v>
      </c>
      <c r="I38" s="6">
        <v>83032</v>
      </c>
      <c r="J38" s="6">
        <v>34837</v>
      </c>
      <c r="K38" s="6">
        <v>10766</v>
      </c>
      <c r="L38" s="6">
        <v>3043</v>
      </c>
      <c r="M38" s="6">
        <v>1674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1284670</v>
      </c>
      <c r="E39" s="6">
        <v>118031</v>
      </c>
      <c r="F39" s="6">
        <v>258947</v>
      </c>
      <c r="G39" s="6">
        <v>332161</v>
      </c>
      <c r="H39" s="6">
        <v>348487</v>
      </c>
      <c r="I39" s="6">
        <v>138229</v>
      </c>
      <c r="J39" s="6">
        <v>61212</v>
      </c>
      <c r="K39" s="6">
        <v>19202</v>
      </c>
      <c r="L39" s="6">
        <v>5557</v>
      </c>
      <c r="M39" s="6">
        <v>2844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626967</v>
      </c>
      <c r="E40" s="6">
        <v>49543</v>
      </c>
      <c r="F40" s="6">
        <v>123078</v>
      </c>
      <c r="G40" s="6">
        <v>163974</v>
      </c>
      <c r="H40" s="6">
        <v>177746</v>
      </c>
      <c r="I40" s="6">
        <v>69089</v>
      </c>
      <c r="J40" s="6">
        <v>30141</v>
      </c>
      <c r="K40" s="6">
        <v>9366</v>
      </c>
      <c r="L40" s="6">
        <v>2687</v>
      </c>
      <c r="M40" s="6">
        <v>1343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657703</v>
      </c>
      <c r="E41" s="6">
        <v>68488</v>
      </c>
      <c r="F41" s="6">
        <v>135869</v>
      </c>
      <c r="G41" s="6">
        <v>168187</v>
      </c>
      <c r="H41" s="6">
        <v>170741</v>
      </c>
      <c r="I41" s="6">
        <v>69140</v>
      </c>
      <c r="J41" s="6">
        <v>31071</v>
      </c>
      <c r="K41" s="6">
        <v>9836</v>
      </c>
      <c r="L41" s="6">
        <v>2870</v>
      </c>
      <c r="M41" s="6">
        <v>1501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1083986</v>
      </c>
      <c r="E42" s="6">
        <v>79099</v>
      </c>
      <c r="F42" s="6">
        <v>187654</v>
      </c>
      <c r="G42" s="6">
        <v>267388</v>
      </c>
      <c r="H42" s="6">
        <v>304932</v>
      </c>
      <c r="I42" s="6">
        <v>144560</v>
      </c>
      <c r="J42" s="6">
        <v>68188</v>
      </c>
      <c r="K42" s="6">
        <v>22212</v>
      </c>
      <c r="L42" s="6">
        <v>6567</v>
      </c>
      <c r="M42" s="6">
        <v>3386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515604</v>
      </c>
      <c r="E43" s="6">
        <v>36743</v>
      </c>
      <c r="F43" s="6">
        <v>90457</v>
      </c>
      <c r="G43" s="6">
        <v>128882</v>
      </c>
      <c r="H43" s="6">
        <v>146971</v>
      </c>
      <c r="I43" s="6">
        <v>67328</v>
      </c>
      <c r="J43" s="6">
        <v>30954</v>
      </c>
      <c r="K43" s="6">
        <v>10011</v>
      </c>
      <c r="L43" s="6">
        <v>2837</v>
      </c>
      <c r="M43" s="6">
        <v>1421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568382</v>
      </c>
      <c r="E44" s="6">
        <v>42356</v>
      </c>
      <c r="F44" s="6">
        <v>97197</v>
      </c>
      <c r="G44" s="6">
        <v>138506</v>
      </c>
      <c r="H44" s="6">
        <v>157961</v>
      </c>
      <c r="I44" s="6">
        <v>77232</v>
      </c>
      <c r="J44" s="6">
        <v>37234</v>
      </c>
      <c r="K44" s="6">
        <v>12201</v>
      </c>
      <c r="L44" s="6">
        <v>3730</v>
      </c>
      <c r="M44" s="6">
        <v>1965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475593</v>
      </c>
      <c r="E45" s="6">
        <v>28018</v>
      </c>
      <c r="F45" s="6">
        <v>71221</v>
      </c>
      <c r="G45" s="6">
        <v>109417</v>
      </c>
      <c r="H45" s="6">
        <v>136138</v>
      </c>
      <c r="I45" s="6">
        <v>73403</v>
      </c>
      <c r="J45" s="6">
        <v>37804</v>
      </c>
      <c r="K45" s="6">
        <v>13179</v>
      </c>
      <c r="L45" s="6">
        <v>4116</v>
      </c>
      <c r="M45" s="6">
        <v>2297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228820</v>
      </c>
      <c r="E46" s="6">
        <v>14417</v>
      </c>
      <c r="F46" s="6">
        <v>35963</v>
      </c>
      <c r="G46" s="6">
        <v>54063</v>
      </c>
      <c r="H46" s="6">
        <v>65552</v>
      </c>
      <c r="I46" s="6">
        <v>33761</v>
      </c>
      <c r="J46" s="6">
        <v>16768</v>
      </c>
      <c r="K46" s="6">
        <v>5680</v>
      </c>
      <c r="L46" s="6">
        <v>1728</v>
      </c>
      <c r="M46" s="6">
        <v>888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246773</v>
      </c>
      <c r="E47" s="6">
        <v>13601</v>
      </c>
      <c r="F47" s="6">
        <v>35258</v>
      </c>
      <c r="G47" s="6">
        <v>55354</v>
      </c>
      <c r="H47" s="6">
        <v>70586</v>
      </c>
      <c r="I47" s="6">
        <v>39642</v>
      </c>
      <c r="J47" s="6">
        <v>21036</v>
      </c>
      <c r="K47" s="6">
        <v>7499</v>
      </c>
      <c r="L47" s="6">
        <v>2388</v>
      </c>
      <c r="M47" s="6">
        <v>1409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356875</v>
      </c>
      <c r="E48" s="6">
        <v>19473</v>
      </c>
      <c r="F48" s="6">
        <v>48858</v>
      </c>
      <c r="G48" s="6">
        <v>77567</v>
      </c>
      <c r="H48" s="6">
        <v>97788</v>
      </c>
      <c r="I48" s="6">
        <v>59800</v>
      </c>
      <c r="J48" s="6">
        <v>33037</v>
      </c>
      <c r="K48" s="6">
        <v>13280</v>
      </c>
      <c r="L48" s="6">
        <v>4487</v>
      </c>
      <c r="M48" s="6">
        <v>2585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164378</v>
      </c>
      <c r="E49" s="6">
        <v>10208</v>
      </c>
      <c r="F49" s="6">
        <v>24088</v>
      </c>
      <c r="G49" s="6">
        <v>36582</v>
      </c>
      <c r="H49" s="6">
        <v>45270</v>
      </c>
      <c r="I49" s="6">
        <v>26162</v>
      </c>
      <c r="J49" s="6">
        <v>14032</v>
      </c>
      <c r="K49" s="6">
        <v>5320</v>
      </c>
      <c r="L49" s="6">
        <v>1759</v>
      </c>
      <c r="M49" s="6">
        <v>957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192497</v>
      </c>
      <c r="E50" s="6">
        <v>9265</v>
      </c>
      <c r="F50" s="6">
        <v>24770</v>
      </c>
      <c r="G50" s="6">
        <v>40985</v>
      </c>
      <c r="H50" s="6">
        <v>52518</v>
      </c>
      <c r="I50" s="6">
        <v>33638</v>
      </c>
      <c r="J50" s="6">
        <v>19005</v>
      </c>
      <c r="K50" s="6">
        <v>7960</v>
      </c>
      <c r="L50" s="6">
        <v>2728</v>
      </c>
      <c r="M50" s="6">
        <v>1628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107779</v>
      </c>
      <c r="E51" s="6">
        <v>7924</v>
      </c>
      <c r="F51" s="6">
        <v>16254</v>
      </c>
      <c r="G51" s="6">
        <v>23616</v>
      </c>
      <c r="H51" s="6">
        <v>26564</v>
      </c>
      <c r="I51" s="6">
        <v>16734</v>
      </c>
      <c r="J51" s="6">
        <v>9673</v>
      </c>
      <c r="K51" s="6">
        <v>4344</v>
      </c>
      <c r="L51" s="6">
        <v>1624</v>
      </c>
      <c r="M51" s="6">
        <v>1046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44513</v>
      </c>
      <c r="E52" s="6">
        <v>3143</v>
      </c>
      <c r="F52" s="6">
        <v>6855</v>
      </c>
      <c r="G52" s="6">
        <v>9592</v>
      </c>
      <c r="H52" s="6">
        <v>11430</v>
      </c>
      <c r="I52" s="6">
        <v>6923</v>
      </c>
      <c r="J52" s="6">
        <v>3940</v>
      </c>
      <c r="K52" s="6">
        <v>1643</v>
      </c>
      <c r="L52" s="6">
        <v>615</v>
      </c>
      <c r="M52" s="6">
        <v>372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63266</v>
      </c>
      <c r="E53" s="6">
        <v>4781</v>
      </c>
      <c r="F53" s="6">
        <v>9399</v>
      </c>
      <c r="G53" s="6">
        <v>14024</v>
      </c>
      <c r="H53" s="6">
        <v>15134</v>
      </c>
      <c r="I53" s="6">
        <v>9811</v>
      </c>
      <c r="J53" s="6">
        <v>5733</v>
      </c>
      <c r="K53" s="6">
        <v>2701</v>
      </c>
      <c r="L53" s="6">
        <v>1009</v>
      </c>
      <c r="M53" s="6">
        <v>674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B177-8518-47A3-93C5-35B8B9426867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40</v>
      </c>
      <c r="F3" s="5">
        <v>70</v>
      </c>
      <c r="G3" s="5">
        <v>80</v>
      </c>
      <c r="H3" s="5">
        <v>90</v>
      </c>
      <c r="I3" s="5">
        <v>100</v>
      </c>
      <c r="J3" s="5">
        <v>110</v>
      </c>
      <c r="K3" s="5">
        <v>120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70</v>
      </c>
      <c r="F4" s="5">
        <v>80</v>
      </c>
      <c r="G4" s="5">
        <v>90</v>
      </c>
      <c r="H4" s="5">
        <v>100</v>
      </c>
      <c r="I4" s="5">
        <v>110</v>
      </c>
      <c r="J4" s="5">
        <v>120</v>
      </c>
      <c r="K4" s="5">
        <v>150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101</v>
      </c>
      <c r="F5" s="4" t="s">
        <v>102</v>
      </c>
      <c r="G5" s="4" t="s">
        <v>103</v>
      </c>
      <c r="H5" s="4" t="s">
        <v>104</v>
      </c>
      <c r="I5" s="4" t="s">
        <v>105</v>
      </c>
      <c r="J5" s="4" t="s">
        <v>92</v>
      </c>
      <c r="K5" s="4" t="s">
        <v>106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17516901</v>
      </c>
      <c r="E6" s="6">
        <v>4862573</v>
      </c>
      <c r="F6" s="6">
        <v>6559305</v>
      </c>
      <c r="G6" s="6">
        <v>4721309</v>
      </c>
      <c r="H6" s="6">
        <v>1057805</v>
      </c>
      <c r="I6" s="6">
        <v>250654</v>
      </c>
      <c r="J6" s="6">
        <v>50054</v>
      </c>
      <c r="K6" s="6">
        <v>15201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9093244</v>
      </c>
      <c r="E7" s="6">
        <v>1786863</v>
      </c>
      <c r="F7" s="6">
        <v>3444689</v>
      </c>
      <c r="G7" s="6">
        <v>2943605</v>
      </c>
      <c r="H7" s="6">
        <v>694122</v>
      </c>
      <c r="I7" s="6">
        <v>176352</v>
      </c>
      <c r="J7" s="6">
        <v>36378</v>
      </c>
      <c r="K7" s="6">
        <v>11235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8423657</v>
      </c>
      <c r="E8" s="6">
        <v>3075710</v>
      </c>
      <c r="F8" s="6">
        <v>3114616</v>
      </c>
      <c r="G8" s="6">
        <v>1777704</v>
      </c>
      <c r="H8" s="6">
        <v>363683</v>
      </c>
      <c r="I8" s="6">
        <v>74302</v>
      </c>
      <c r="J8" s="6">
        <v>13676</v>
      </c>
      <c r="K8" s="6">
        <v>3966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8655</v>
      </c>
      <c r="E9" s="6">
        <v>3949</v>
      </c>
      <c r="F9" s="6">
        <v>3290</v>
      </c>
      <c r="G9" s="6">
        <v>1288</v>
      </c>
      <c r="H9" s="6">
        <v>101</v>
      </c>
      <c r="I9" s="6">
        <v>21</v>
      </c>
      <c r="J9" s="6">
        <v>5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5725</v>
      </c>
      <c r="E10" s="6">
        <v>2292</v>
      </c>
      <c r="F10" s="6">
        <v>2334</v>
      </c>
      <c r="G10" s="6">
        <v>999</v>
      </c>
      <c r="H10" s="6">
        <v>82</v>
      </c>
      <c r="I10" s="6">
        <v>14</v>
      </c>
      <c r="J10" s="6">
        <v>4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1657</v>
      </c>
      <c r="F11" s="6">
        <v>956</v>
      </c>
      <c r="G11" s="6">
        <v>289</v>
      </c>
      <c r="H11" s="6">
        <v>19</v>
      </c>
      <c r="I11" s="6">
        <v>7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544717</v>
      </c>
      <c r="E12" s="6">
        <v>257444</v>
      </c>
      <c r="F12" s="6">
        <v>199276</v>
      </c>
      <c r="G12" s="6">
        <v>77156</v>
      </c>
      <c r="H12" s="6">
        <v>8656</v>
      </c>
      <c r="I12" s="6">
        <v>1762</v>
      </c>
      <c r="J12" s="6">
        <v>333</v>
      </c>
      <c r="K12" s="6">
        <v>90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232358</v>
      </c>
      <c r="E13" s="6">
        <v>83766</v>
      </c>
      <c r="F13" s="6">
        <v>95880</v>
      </c>
      <c r="G13" s="6">
        <v>45730</v>
      </c>
      <c r="H13" s="6">
        <v>5577</v>
      </c>
      <c r="I13" s="6">
        <v>1141</v>
      </c>
      <c r="J13" s="6">
        <v>208</v>
      </c>
      <c r="K13" s="6">
        <v>56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312359</v>
      </c>
      <c r="E14" s="6">
        <v>173678</v>
      </c>
      <c r="F14" s="6">
        <v>103396</v>
      </c>
      <c r="G14" s="6">
        <v>31426</v>
      </c>
      <c r="H14" s="6">
        <v>3079</v>
      </c>
      <c r="I14" s="6">
        <v>621</v>
      </c>
      <c r="J14" s="6">
        <v>125</v>
      </c>
      <c r="K14" s="6">
        <v>34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1205411</v>
      </c>
      <c r="E15" s="6">
        <v>487537</v>
      </c>
      <c r="F15" s="6">
        <v>460743</v>
      </c>
      <c r="G15" s="6">
        <v>218747</v>
      </c>
      <c r="H15" s="6">
        <v>29063</v>
      </c>
      <c r="I15" s="6">
        <v>7073</v>
      </c>
      <c r="J15" s="6">
        <v>1629</v>
      </c>
      <c r="K15" s="6">
        <v>619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626997</v>
      </c>
      <c r="E16" s="6">
        <v>184328</v>
      </c>
      <c r="F16" s="6">
        <v>262333</v>
      </c>
      <c r="G16" s="6">
        <v>152366</v>
      </c>
      <c r="H16" s="6">
        <v>21222</v>
      </c>
      <c r="I16" s="6">
        <v>5179</v>
      </c>
      <c r="J16" s="6">
        <v>1141</v>
      </c>
      <c r="K16" s="6">
        <v>428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578414</v>
      </c>
      <c r="E17" s="6">
        <v>303209</v>
      </c>
      <c r="F17" s="6">
        <v>198410</v>
      </c>
      <c r="G17" s="6">
        <v>66381</v>
      </c>
      <c r="H17" s="6">
        <v>7841</v>
      </c>
      <c r="I17" s="6">
        <v>1894</v>
      </c>
      <c r="J17" s="6">
        <v>488</v>
      </c>
      <c r="K17" s="6">
        <v>191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1640842</v>
      </c>
      <c r="E18" s="6">
        <v>583353</v>
      </c>
      <c r="F18" s="6">
        <v>618883</v>
      </c>
      <c r="G18" s="6">
        <v>353732</v>
      </c>
      <c r="H18" s="6">
        <v>60974</v>
      </c>
      <c r="I18" s="6">
        <v>17524</v>
      </c>
      <c r="J18" s="6">
        <v>4486</v>
      </c>
      <c r="K18" s="6">
        <v>1890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923379</v>
      </c>
      <c r="E19" s="6">
        <v>222998</v>
      </c>
      <c r="F19" s="6">
        <v>374008</v>
      </c>
      <c r="G19" s="6">
        <v>261029</v>
      </c>
      <c r="H19" s="6">
        <v>46860</v>
      </c>
      <c r="I19" s="6">
        <v>13569</v>
      </c>
      <c r="J19" s="6">
        <v>3441</v>
      </c>
      <c r="K19" s="6">
        <v>1474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717463</v>
      </c>
      <c r="E20" s="6">
        <v>360355</v>
      </c>
      <c r="F20" s="6">
        <v>244875</v>
      </c>
      <c r="G20" s="6">
        <v>92703</v>
      </c>
      <c r="H20" s="6">
        <v>14114</v>
      </c>
      <c r="I20" s="6">
        <v>3955</v>
      </c>
      <c r="J20" s="6">
        <v>1045</v>
      </c>
      <c r="K20" s="6">
        <v>416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1300971</v>
      </c>
      <c r="E21" s="6">
        <v>383499</v>
      </c>
      <c r="F21" s="6">
        <v>481859</v>
      </c>
      <c r="G21" s="6">
        <v>335939</v>
      </c>
      <c r="H21" s="6">
        <v>69498</v>
      </c>
      <c r="I21" s="6">
        <v>22107</v>
      </c>
      <c r="J21" s="6">
        <v>5797</v>
      </c>
      <c r="K21" s="6">
        <v>2272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771723</v>
      </c>
      <c r="E22" s="6">
        <v>143027</v>
      </c>
      <c r="F22" s="6">
        <v>296232</v>
      </c>
      <c r="G22" s="6">
        <v>253973</v>
      </c>
      <c r="H22" s="6">
        <v>54583</v>
      </c>
      <c r="I22" s="6">
        <v>17535</v>
      </c>
      <c r="J22" s="6">
        <v>4583</v>
      </c>
      <c r="K22" s="6">
        <v>1790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240472</v>
      </c>
      <c r="F23" s="6">
        <v>185627</v>
      </c>
      <c r="G23" s="6">
        <v>81966</v>
      </c>
      <c r="H23" s="6">
        <v>14915</v>
      </c>
      <c r="I23" s="6">
        <v>4572</v>
      </c>
      <c r="J23" s="6">
        <v>1214</v>
      </c>
      <c r="K23" s="6">
        <v>482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1998889</v>
      </c>
      <c r="E24" s="6">
        <v>532315</v>
      </c>
      <c r="F24" s="6">
        <v>722675</v>
      </c>
      <c r="G24" s="6">
        <v>554873</v>
      </c>
      <c r="H24" s="6">
        <v>135278</v>
      </c>
      <c r="I24" s="6">
        <v>40721</v>
      </c>
      <c r="J24" s="6">
        <v>9734</v>
      </c>
      <c r="K24" s="6">
        <v>3293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170816</v>
      </c>
      <c r="F25" s="6">
        <v>400324</v>
      </c>
      <c r="G25" s="6">
        <v>389638</v>
      </c>
      <c r="H25" s="6">
        <v>100772</v>
      </c>
      <c r="I25" s="6">
        <v>31358</v>
      </c>
      <c r="J25" s="6">
        <v>7474</v>
      </c>
      <c r="K25" s="6">
        <v>2554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895953</v>
      </c>
      <c r="E26" s="6">
        <v>361499</v>
      </c>
      <c r="F26" s="6">
        <v>322351</v>
      </c>
      <c r="G26" s="6">
        <v>165235</v>
      </c>
      <c r="H26" s="6">
        <v>34506</v>
      </c>
      <c r="I26" s="6">
        <v>9363</v>
      </c>
      <c r="J26" s="6">
        <v>2260</v>
      </c>
      <c r="K26" s="6">
        <v>739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1608620</v>
      </c>
      <c r="E27" s="6">
        <v>377333</v>
      </c>
      <c r="F27" s="6">
        <v>581467</v>
      </c>
      <c r="G27" s="6">
        <v>484184</v>
      </c>
      <c r="H27" s="6">
        <v>121659</v>
      </c>
      <c r="I27" s="6">
        <v>34405</v>
      </c>
      <c r="J27" s="6">
        <v>7469</v>
      </c>
      <c r="K27" s="6">
        <v>2103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894051</v>
      </c>
      <c r="E28" s="6">
        <v>125957</v>
      </c>
      <c r="F28" s="6">
        <v>317850</v>
      </c>
      <c r="G28" s="6">
        <v>329298</v>
      </c>
      <c r="H28" s="6">
        <v>87547</v>
      </c>
      <c r="I28" s="6">
        <v>26001</v>
      </c>
      <c r="J28" s="6">
        <v>5770</v>
      </c>
      <c r="K28" s="6">
        <v>1628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251376</v>
      </c>
      <c r="F29" s="6">
        <v>263617</v>
      </c>
      <c r="G29" s="6">
        <v>154886</v>
      </c>
      <c r="H29" s="6">
        <v>34112</v>
      </c>
      <c r="I29" s="6">
        <v>8404</v>
      </c>
      <c r="J29" s="6">
        <v>1699</v>
      </c>
      <c r="K29" s="6">
        <v>475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2173263</v>
      </c>
      <c r="E30" s="6">
        <v>486055</v>
      </c>
      <c r="F30" s="6">
        <v>793726</v>
      </c>
      <c r="G30" s="6">
        <v>669638</v>
      </c>
      <c r="H30" s="6">
        <v>171649</v>
      </c>
      <c r="I30" s="6">
        <v>42266</v>
      </c>
      <c r="J30" s="6">
        <v>7922</v>
      </c>
      <c r="K30" s="6">
        <v>2007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1122468</v>
      </c>
      <c r="E31" s="6">
        <v>157870</v>
      </c>
      <c r="F31" s="6">
        <v>398840</v>
      </c>
      <c r="G31" s="6">
        <v>414803</v>
      </c>
      <c r="H31" s="6">
        <v>113890</v>
      </c>
      <c r="I31" s="6">
        <v>29872</v>
      </c>
      <c r="J31" s="6">
        <v>5727</v>
      </c>
      <c r="K31" s="6">
        <v>1466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328185</v>
      </c>
      <c r="F32" s="6">
        <v>394886</v>
      </c>
      <c r="G32" s="6">
        <v>254835</v>
      </c>
      <c r="H32" s="6">
        <v>57759</v>
      </c>
      <c r="I32" s="6">
        <v>12394</v>
      </c>
      <c r="J32" s="6">
        <v>2195</v>
      </c>
      <c r="K32" s="6">
        <v>541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1752067</v>
      </c>
      <c r="E33" s="6">
        <v>380716</v>
      </c>
      <c r="F33" s="6">
        <v>660240</v>
      </c>
      <c r="G33" s="6">
        <v>547016</v>
      </c>
      <c r="H33" s="6">
        <v>130493</v>
      </c>
      <c r="I33" s="6">
        <v>27996</v>
      </c>
      <c r="J33" s="6">
        <v>4553</v>
      </c>
      <c r="K33" s="6">
        <v>1053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882160</v>
      </c>
      <c r="E34" s="6">
        <v>128467</v>
      </c>
      <c r="F34" s="6">
        <v>322582</v>
      </c>
      <c r="G34" s="6">
        <v>323932</v>
      </c>
      <c r="H34" s="6">
        <v>83744</v>
      </c>
      <c r="I34" s="6">
        <v>19405</v>
      </c>
      <c r="J34" s="6">
        <v>3260</v>
      </c>
      <c r="K34" s="6">
        <v>770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869907</v>
      </c>
      <c r="E35" s="6">
        <v>252249</v>
      </c>
      <c r="F35" s="6">
        <v>337658</v>
      </c>
      <c r="G35" s="6">
        <v>223084</v>
      </c>
      <c r="H35" s="6">
        <v>46749</v>
      </c>
      <c r="I35" s="6">
        <v>8591</v>
      </c>
      <c r="J35" s="6">
        <v>1293</v>
      </c>
      <c r="K35" s="6">
        <v>283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457362</v>
      </c>
      <c r="F36" s="6">
        <v>762063</v>
      </c>
      <c r="G36" s="6">
        <v>590947</v>
      </c>
      <c r="H36" s="6">
        <v>135284</v>
      </c>
      <c r="I36" s="6">
        <v>24485</v>
      </c>
      <c r="J36" s="6">
        <v>3634</v>
      </c>
      <c r="K36" s="6">
        <v>788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951165</v>
      </c>
      <c r="E37" s="6">
        <v>164042</v>
      </c>
      <c r="F37" s="6">
        <v>361242</v>
      </c>
      <c r="G37" s="6">
        <v>326617</v>
      </c>
      <c r="H37" s="6">
        <v>80721</v>
      </c>
      <c r="I37" s="6">
        <v>15588</v>
      </c>
      <c r="J37" s="6">
        <v>2405</v>
      </c>
      <c r="K37" s="6">
        <v>550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1023398</v>
      </c>
      <c r="E38" s="6">
        <v>293320</v>
      </c>
      <c r="F38" s="6">
        <v>400821</v>
      </c>
      <c r="G38" s="6">
        <v>264330</v>
      </c>
      <c r="H38" s="6">
        <v>54563</v>
      </c>
      <c r="I38" s="6">
        <v>8897</v>
      </c>
      <c r="J38" s="6">
        <v>1229</v>
      </c>
      <c r="K38" s="6">
        <v>238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1284670</v>
      </c>
      <c r="E39" s="6">
        <v>320128</v>
      </c>
      <c r="F39" s="6">
        <v>503291</v>
      </c>
      <c r="G39" s="6">
        <v>366849</v>
      </c>
      <c r="H39" s="6">
        <v>78909</v>
      </c>
      <c r="I39" s="6">
        <v>13338</v>
      </c>
      <c r="J39" s="6">
        <v>1759</v>
      </c>
      <c r="K39" s="6">
        <v>396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626967</v>
      </c>
      <c r="E40" s="6">
        <v>130791</v>
      </c>
      <c r="F40" s="6">
        <v>245916</v>
      </c>
      <c r="G40" s="6">
        <v>197125</v>
      </c>
      <c r="H40" s="6">
        <v>44062</v>
      </c>
      <c r="I40" s="6">
        <v>7788</v>
      </c>
      <c r="J40" s="6">
        <v>1049</v>
      </c>
      <c r="K40" s="6">
        <v>236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657703</v>
      </c>
      <c r="E41" s="6">
        <v>189337</v>
      </c>
      <c r="F41" s="6">
        <v>257375</v>
      </c>
      <c r="G41" s="6">
        <v>169724</v>
      </c>
      <c r="H41" s="6">
        <v>34847</v>
      </c>
      <c r="I41" s="6">
        <v>5550</v>
      </c>
      <c r="J41" s="6">
        <v>710</v>
      </c>
      <c r="K41" s="6">
        <v>160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1083986</v>
      </c>
      <c r="E42" s="6">
        <v>300877</v>
      </c>
      <c r="F42" s="6">
        <v>422364</v>
      </c>
      <c r="G42" s="6">
        <v>286637</v>
      </c>
      <c r="H42" s="6">
        <v>62641</v>
      </c>
      <c r="I42" s="6">
        <v>9815</v>
      </c>
      <c r="J42" s="6">
        <v>1359</v>
      </c>
      <c r="K42" s="6">
        <v>293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515604</v>
      </c>
      <c r="E43" s="6">
        <v>133084</v>
      </c>
      <c r="F43" s="6">
        <v>202745</v>
      </c>
      <c r="G43" s="6">
        <v>142345</v>
      </c>
      <c r="H43" s="6">
        <v>31592</v>
      </c>
      <c r="I43" s="6">
        <v>4992</v>
      </c>
      <c r="J43" s="6">
        <v>719</v>
      </c>
      <c r="K43" s="6">
        <v>127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568382</v>
      </c>
      <c r="E44" s="6">
        <v>167793</v>
      </c>
      <c r="F44" s="6">
        <v>219619</v>
      </c>
      <c r="G44" s="6">
        <v>144292</v>
      </c>
      <c r="H44" s="6">
        <v>31049</v>
      </c>
      <c r="I44" s="6">
        <v>4823</v>
      </c>
      <c r="J44" s="6">
        <v>640</v>
      </c>
      <c r="K44" s="6">
        <v>166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475593</v>
      </c>
      <c r="E45" s="6">
        <v>143743</v>
      </c>
      <c r="F45" s="6">
        <v>181241</v>
      </c>
      <c r="G45" s="6">
        <v>118880</v>
      </c>
      <c r="H45" s="6">
        <v>26537</v>
      </c>
      <c r="I45" s="6">
        <v>4400</v>
      </c>
      <c r="J45" s="6">
        <v>627</v>
      </c>
      <c r="K45" s="6">
        <v>165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228820</v>
      </c>
      <c r="E46" s="6">
        <v>68738</v>
      </c>
      <c r="F46" s="6">
        <v>88203</v>
      </c>
      <c r="G46" s="6">
        <v>57031</v>
      </c>
      <c r="H46" s="6">
        <v>12481</v>
      </c>
      <c r="I46" s="6">
        <v>1990</v>
      </c>
      <c r="J46" s="6">
        <v>305</v>
      </c>
      <c r="K46" s="6">
        <v>72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246773</v>
      </c>
      <c r="E47" s="6">
        <v>75005</v>
      </c>
      <c r="F47" s="6">
        <v>93038</v>
      </c>
      <c r="G47" s="6">
        <v>61849</v>
      </c>
      <c r="H47" s="6">
        <v>14056</v>
      </c>
      <c r="I47" s="6">
        <v>2410</v>
      </c>
      <c r="J47" s="6">
        <v>322</v>
      </c>
      <c r="K47" s="6">
        <v>93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356875</v>
      </c>
      <c r="E48" s="6">
        <v>112728</v>
      </c>
      <c r="F48" s="6">
        <v>130576</v>
      </c>
      <c r="G48" s="6">
        <v>88541</v>
      </c>
      <c r="H48" s="6">
        <v>20727</v>
      </c>
      <c r="I48" s="6">
        <v>3594</v>
      </c>
      <c r="J48" s="6">
        <v>545</v>
      </c>
      <c r="K48" s="6">
        <v>164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164378</v>
      </c>
      <c r="E49" s="6">
        <v>54740</v>
      </c>
      <c r="F49" s="6">
        <v>60541</v>
      </c>
      <c r="G49" s="6">
        <v>38607</v>
      </c>
      <c r="H49" s="6">
        <v>8697</v>
      </c>
      <c r="I49" s="6">
        <v>1506</v>
      </c>
      <c r="J49" s="6">
        <v>230</v>
      </c>
      <c r="K49" s="6">
        <v>57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192497</v>
      </c>
      <c r="E50" s="6">
        <v>57988</v>
      </c>
      <c r="F50" s="6">
        <v>70035</v>
      </c>
      <c r="G50" s="6">
        <v>49934</v>
      </c>
      <c r="H50" s="6">
        <v>12030</v>
      </c>
      <c r="I50" s="6">
        <v>2088</v>
      </c>
      <c r="J50" s="6">
        <v>315</v>
      </c>
      <c r="K50" s="6">
        <v>107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107779</v>
      </c>
      <c r="E51" s="6">
        <v>35534</v>
      </c>
      <c r="F51" s="6">
        <v>37611</v>
      </c>
      <c r="G51" s="6">
        <v>26882</v>
      </c>
      <c r="H51" s="6">
        <v>6336</v>
      </c>
      <c r="I51" s="6">
        <v>1147</v>
      </c>
      <c r="J51" s="6">
        <v>202</v>
      </c>
      <c r="K51" s="6">
        <v>67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44513</v>
      </c>
      <c r="E52" s="6">
        <v>15947</v>
      </c>
      <c r="F52" s="6">
        <v>15659</v>
      </c>
      <c r="G52" s="6">
        <v>10112</v>
      </c>
      <c r="H52" s="6">
        <v>2292</v>
      </c>
      <c r="I52" s="6">
        <v>414</v>
      </c>
      <c r="J52" s="6">
        <v>62</v>
      </c>
      <c r="K52" s="6">
        <v>27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63266</v>
      </c>
      <c r="E53" s="6">
        <v>19587</v>
      </c>
      <c r="F53" s="6">
        <v>21952</v>
      </c>
      <c r="G53" s="6">
        <v>16770</v>
      </c>
      <c r="H53" s="6">
        <v>4044</v>
      </c>
      <c r="I53" s="6">
        <v>733</v>
      </c>
      <c r="J53" s="6">
        <v>140</v>
      </c>
      <c r="K53" s="6">
        <v>40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6EE4-CD01-4112-A0A3-B6A7A1892672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50</v>
      </c>
      <c r="F3" s="5">
        <v>100</v>
      </c>
      <c r="G3" s="5">
        <v>110</v>
      </c>
      <c r="H3" s="5">
        <v>126</v>
      </c>
      <c r="I3" s="5">
        <v>140</v>
      </c>
      <c r="J3" s="5">
        <v>160</v>
      </c>
      <c r="K3" s="5">
        <v>180</v>
      </c>
      <c r="L3" s="5">
        <v>200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100</v>
      </c>
      <c r="F4" s="5">
        <v>110</v>
      </c>
      <c r="G4" s="5">
        <v>126</v>
      </c>
      <c r="H4" s="5">
        <v>140</v>
      </c>
      <c r="I4" s="5">
        <v>160</v>
      </c>
      <c r="J4" s="5">
        <v>180</v>
      </c>
      <c r="K4" s="5">
        <v>200</v>
      </c>
      <c r="L4" s="5">
        <v>350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108</v>
      </c>
      <c r="F5" s="4" t="s">
        <v>105</v>
      </c>
      <c r="G5" s="4" t="s">
        <v>109</v>
      </c>
      <c r="H5" s="4" t="s">
        <v>110</v>
      </c>
      <c r="I5" s="4" t="s">
        <v>111</v>
      </c>
      <c r="J5" s="4" t="s">
        <v>112</v>
      </c>
      <c r="K5" s="4" t="s">
        <v>113</v>
      </c>
      <c r="L5" s="4" t="s">
        <v>114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17516657</v>
      </c>
      <c r="E6" s="6">
        <v>10524597</v>
      </c>
      <c r="F6" s="6">
        <v>3633287</v>
      </c>
      <c r="G6" s="6">
        <v>1978663</v>
      </c>
      <c r="H6" s="6">
        <v>608266</v>
      </c>
      <c r="I6" s="6">
        <v>378503</v>
      </c>
      <c r="J6" s="6">
        <v>159648</v>
      </c>
      <c r="K6" s="6">
        <v>80292</v>
      </c>
      <c r="L6" s="6">
        <v>153401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9093069</v>
      </c>
      <c r="E7" s="6">
        <v>4846543</v>
      </c>
      <c r="F7" s="6">
        <v>2107557</v>
      </c>
      <c r="G7" s="6">
        <v>1226060</v>
      </c>
      <c r="H7" s="6">
        <v>390355</v>
      </c>
      <c r="I7" s="6">
        <v>251056</v>
      </c>
      <c r="J7" s="6">
        <v>107961</v>
      </c>
      <c r="K7" s="6">
        <v>55307</v>
      </c>
      <c r="L7" s="6">
        <v>108230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8423588</v>
      </c>
      <c r="E8" s="6">
        <v>5678054</v>
      </c>
      <c r="F8" s="6">
        <v>1525730</v>
      </c>
      <c r="G8" s="6">
        <v>752603</v>
      </c>
      <c r="H8" s="6">
        <v>217911</v>
      </c>
      <c r="I8" s="6">
        <v>127447</v>
      </c>
      <c r="J8" s="6">
        <v>51687</v>
      </c>
      <c r="K8" s="6">
        <v>24985</v>
      </c>
      <c r="L8" s="6">
        <v>45171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7279</v>
      </c>
      <c r="F9" s="6">
        <v>1074</v>
      </c>
      <c r="G9" s="6">
        <v>226</v>
      </c>
      <c r="H9" s="6">
        <v>28</v>
      </c>
      <c r="I9" s="6">
        <v>12</v>
      </c>
      <c r="J9" s="6">
        <v>6</v>
      </c>
      <c r="K9" s="6">
        <v>6</v>
      </c>
      <c r="L9" s="6">
        <v>23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4777</v>
      </c>
      <c r="F10" s="6">
        <v>741</v>
      </c>
      <c r="G10" s="6">
        <v>156</v>
      </c>
      <c r="H10" s="6">
        <v>21</v>
      </c>
      <c r="I10" s="6">
        <v>10</v>
      </c>
      <c r="J10" s="6">
        <v>4</v>
      </c>
      <c r="K10" s="6">
        <v>2</v>
      </c>
      <c r="L10" s="6">
        <v>13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2502</v>
      </c>
      <c r="F11" s="6">
        <v>333</v>
      </c>
      <c r="G11" s="6">
        <v>70</v>
      </c>
      <c r="H11" s="6">
        <v>7</v>
      </c>
      <c r="I11" s="6">
        <v>2</v>
      </c>
      <c r="J11" s="6">
        <v>2</v>
      </c>
      <c r="K11" s="6">
        <v>4</v>
      </c>
      <c r="L11" s="6">
        <v>10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544697</v>
      </c>
      <c r="E12" s="6">
        <v>472830</v>
      </c>
      <c r="F12" s="6">
        <v>57308</v>
      </c>
      <c r="G12" s="6">
        <v>10366</v>
      </c>
      <c r="H12" s="6">
        <v>1550</v>
      </c>
      <c r="I12" s="6">
        <v>837</v>
      </c>
      <c r="J12" s="6">
        <v>398</v>
      </c>
      <c r="K12" s="6">
        <v>289</v>
      </c>
      <c r="L12" s="6">
        <v>1119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232348</v>
      </c>
      <c r="E13" s="6">
        <v>192849</v>
      </c>
      <c r="F13" s="6">
        <v>31339</v>
      </c>
      <c r="G13" s="6">
        <v>5982</v>
      </c>
      <c r="H13" s="6">
        <v>870</v>
      </c>
      <c r="I13" s="6">
        <v>471</v>
      </c>
      <c r="J13" s="6">
        <v>200</v>
      </c>
      <c r="K13" s="6">
        <v>127</v>
      </c>
      <c r="L13" s="6">
        <v>510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312349</v>
      </c>
      <c r="E14" s="6">
        <v>279981</v>
      </c>
      <c r="F14" s="6">
        <v>25969</v>
      </c>
      <c r="G14" s="6">
        <v>4384</v>
      </c>
      <c r="H14" s="6">
        <v>680</v>
      </c>
      <c r="I14" s="6">
        <v>366</v>
      </c>
      <c r="J14" s="6">
        <v>198</v>
      </c>
      <c r="K14" s="6">
        <v>162</v>
      </c>
      <c r="L14" s="6">
        <v>609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1205373</v>
      </c>
      <c r="E15" s="6">
        <v>998702</v>
      </c>
      <c r="F15" s="6">
        <v>159999</v>
      </c>
      <c r="G15" s="6">
        <v>33728</v>
      </c>
      <c r="H15" s="6">
        <v>4728</v>
      </c>
      <c r="I15" s="6">
        <v>2684</v>
      </c>
      <c r="J15" s="6">
        <v>1265</v>
      </c>
      <c r="K15" s="6">
        <v>849</v>
      </c>
      <c r="L15" s="6">
        <v>3418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626978</v>
      </c>
      <c r="E16" s="6">
        <v>490425</v>
      </c>
      <c r="F16" s="6">
        <v>105239</v>
      </c>
      <c r="G16" s="6">
        <v>23141</v>
      </c>
      <c r="H16" s="6">
        <v>3052</v>
      </c>
      <c r="I16" s="6">
        <v>1723</v>
      </c>
      <c r="J16" s="6">
        <v>782</v>
      </c>
      <c r="K16" s="6">
        <v>513</v>
      </c>
      <c r="L16" s="6">
        <v>2103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508277</v>
      </c>
      <c r="F17" s="6">
        <v>54760</v>
      </c>
      <c r="G17" s="6">
        <v>10587</v>
      </c>
      <c r="H17" s="6">
        <v>1676</v>
      </c>
      <c r="I17" s="6">
        <v>961</v>
      </c>
      <c r="J17" s="6">
        <v>483</v>
      </c>
      <c r="K17" s="6">
        <v>336</v>
      </c>
      <c r="L17" s="6">
        <v>1315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1640810</v>
      </c>
      <c r="E18" s="6">
        <v>1272275</v>
      </c>
      <c r="F18" s="6">
        <v>268624</v>
      </c>
      <c r="G18" s="6">
        <v>70415</v>
      </c>
      <c r="H18" s="6">
        <v>10715</v>
      </c>
      <c r="I18" s="6">
        <v>6328</v>
      </c>
      <c r="J18" s="6">
        <v>3006</v>
      </c>
      <c r="K18" s="6">
        <v>1909</v>
      </c>
      <c r="L18" s="6">
        <v>7538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923361</v>
      </c>
      <c r="E19" s="6">
        <v>661601</v>
      </c>
      <c r="F19" s="6">
        <v>188670</v>
      </c>
      <c r="G19" s="6">
        <v>52089</v>
      </c>
      <c r="H19" s="6">
        <v>7655</v>
      </c>
      <c r="I19" s="6">
        <v>4490</v>
      </c>
      <c r="J19" s="6">
        <v>2071</v>
      </c>
      <c r="K19" s="6">
        <v>1378</v>
      </c>
      <c r="L19" s="6">
        <v>5407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717449</v>
      </c>
      <c r="E20" s="6">
        <v>610674</v>
      </c>
      <c r="F20" s="6">
        <v>79954</v>
      </c>
      <c r="G20" s="6">
        <v>18326</v>
      </c>
      <c r="H20" s="6">
        <v>3060</v>
      </c>
      <c r="I20" s="6">
        <v>1838</v>
      </c>
      <c r="J20" s="6">
        <v>935</v>
      </c>
      <c r="K20" s="6">
        <v>531</v>
      </c>
      <c r="L20" s="6">
        <v>2131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1300960</v>
      </c>
      <c r="E21" s="6">
        <v>921867</v>
      </c>
      <c r="F21" s="6">
        <v>252235</v>
      </c>
      <c r="G21" s="6">
        <v>84746</v>
      </c>
      <c r="H21" s="6">
        <v>15982</v>
      </c>
      <c r="I21" s="6">
        <v>9494</v>
      </c>
      <c r="J21" s="6">
        <v>4574</v>
      </c>
      <c r="K21" s="6">
        <v>2737</v>
      </c>
      <c r="L21" s="6">
        <v>9325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771711</v>
      </c>
      <c r="E22" s="6">
        <v>493359</v>
      </c>
      <c r="F22" s="6">
        <v>180759</v>
      </c>
      <c r="G22" s="6">
        <v>65183</v>
      </c>
      <c r="H22" s="6">
        <v>12300</v>
      </c>
      <c r="I22" s="6">
        <v>7310</v>
      </c>
      <c r="J22" s="6">
        <v>3450</v>
      </c>
      <c r="K22" s="6">
        <v>2122</v>
      </c>
      <c r="L22" s="6">
        <v>7228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428508</v>
      </c>
      <c r="F23" s="6">
        <v>71476</v>
      </c>
      <c r="G23" s="6">
        <v>19563</v>
      </c>
      <c r="H23" s="6">
        <v>3682</v>
      </c>
      <c r="I23" s="6">
        <v>2184</v>
      </c>
      <c r="J23" s="6">
        <v>1124</v>
      </c>
      <c r="K23" s="6">
        <v>615</v>
      </c>
      <c r="L23" s="6">
        <v>2097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1998862</v>
      </c>
      <c r="E24" s="6">
        <v>1322168</v>
      </c>
      <c r="F24" s="6">
        <v>410248</v>
      </c>
      <c r="G24" s="6">
        <v>170944</v>
      </c>
      <c r="H24" s="6">
        <v>38637</v>
      </c>
      <c r="I24" s="6">
        <v>23417</v>
      </c>
      <c r="J24" s="6">
        <v>10519</v>
      </c>
      <c r="K24" s="6">
        <v>6158</v>
      </c>
      <c r="L24" s="6">
        <v>16771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1102925</v>
      </c>
      <c r="E25" s="6">
        <v>632261</v>
      </c>
      <c r="F25" s="6">
        <v>272218</v>
      </c>
      <c r="G25" s="6">
        <v>125519</v>
      </c>
      <c r="H25" s="6">
        <v>29255</v>
      </c>
      <c r="I25" s="6">
        <v>17866</v>
      </c>
      <c r="J25" s="6">
        <v>8121</v>
      </c>
      <c r="K25" s="6">
        <v>4793</v>
      </c>
      <c r="L25" s="6">
        <v>12892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895937</v>
      </c>
      <c r="E26" s="6">
        <v>689907</v>
      </c>
      <c r="F26" s="6">
        <v>138030</v>
      </c>
      <c r="G26" s="6">
        <v>45425</v>
      </c>
      <c r="H26" s="6">
        <v>9382</v>
      </c>
      <c r="I26" s="6">
        <v>5551</v>
      </c>
      <c r="J26" s="6">
        <v>2398</v>
      </c>
      <c r="K26" s="6">
        <v>1365</v>
      </c>
      <c r="L26" s="6">
        <v>3879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1608615</v>
      </c>
      <c r="E27" s="6">
        <v>970999</v>
      </c>
      <c r="F27" s="6">
        <v>352358</v>
      </c>
      <c r="G27" s="6">
        <v>175724</v>
      </c>
      <c r="H27" s="6">
        <v>46335</v>
      </c>
      <c r="I27" s="6">
        <v>28185</v>
      </c>
      <c r="J27" s="6">
        <v>12374</v>
      </c>
      <c r="K27" s="6">
        <v>6965</v>
      </c>
      <c r="L27" s="6">
        <v>15675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894046</v>
      </c>
      <c r="E28" s="6">
        <v>454362</v>
      </c>
      <c r="F28" s="6">
        <v>228130</v>
      </c>
      <c r="G28" s="6">
        <v>127378</v>
      </c>
      <c r="H28" s="6">
        <v>35073</v>
      </c>
      <c r="I28" s="6">
        <v>21777</v>
      </c>
      <c r="J28" s="6">
        <v>9617</v>
      </c>
      <c r="K28" s="6">
        <v>5489</v>
      </c>
      <c r="L28" s="6">
        <v>12220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714569</v>
      </c>
      <c r="E29" s="6">
        <v>516637</v>
      </c>
      <c r="F29" s="6">
        <v>124228</v>
      </c>
      <c r="G29" s="6">
        <v>48346</v>
      </c>
      <c r="H29" s="6">
        <v>11262</v>
      </c>
      <c r="I29" s="6">
        <v>6408</v>
      </c>
      <c r="J29" s="6">
        <v>2757</v>
      </c>
      <c r="K29" s="6">
        <v>1476</v>
      </c>
      <c r="L29" s="6">
        <v>3455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2173240</v>
      </c>
      <c r="E30" s="6">
        <v>1219350</v>
      </c>
      <c r="F30" s="6">
        <v>490204</v>
      </c>
      <c r="G30" s="6">
        <v>277291</v>
      </c>
      <c r="H30" s="6">
        <v>81499</v>
      </c>
      <c r="I30" s="6">
        <v>50127</v>
      </c>
      <c r="J30" s="6">
        <v>21475</v>
      </c>
      <c r="K30" s="6">
        <v>11066</v>
      </c>
      <c r="L30" s="6">
        <v>22228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1122445</v>
      </c>
      <c r="E31" s="6">
        <v>517645</v>
      </c>
      <c r="F31" s="6">
        <v>284218</v>
      </c>
      <c r="G31" s="6">
        <v>184147</v>
      </c>
      <c r="H31" s="6">
        <v>58164</v>
      </c>
      <c r="I31" s="6">
        <v>37045</v>
      </c>
      <c r="J31" s="6">
        <v>16125</v>
      </c>
      <c r="K31" s="6">
        <v>8357</v>
      </c>
      <c r="L31" s="6">
        <v>16744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1050795</v>
      </c>
      <c r="E32" s="6">
        <v>701705</v>
      </c>
      <c r="F32" s="6">
        <v>205986</v>
      </c>
      <c r="G32" s="6">
        <v>93144</v>
      </c>
      <c r="H32" s="6">
        <v>23335</v>
      </c>
      <c r="I32" s="6">
        <v>13082</v>
      </c>
      <c r="J32" s="6">
        <v>5350</v>
      </c>
      <c r="K32" s="6">
        <v>2709</v>
      </c>
      <c r="L32" s="6">
        <v>5484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1752049</v>
      </c>
      <c r="E33" s="6">
        <v>889679</v>
      </c>
      <c r="F33" s="6">
        <v>413368</v>
      </c>
      <c r="G33" s="6">
        <v>261599</v>
      </c>
      <c r="H33" s="6">
        <v>82919</v>
      </c>
      <c r="I33" s="6">
        <v>51725</v>
      </c>
      <c r="J33" s="6">
        <v>21724</v>
      </c>
      <c r="K33" s="6">
        <v>11045</v>
      </c>
      <c r="L33" s="6">
        <v>19990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882154</v>
      </c>
      <c r="E34" s="6">
        <v>372889</v>
      </c>
      <c r="F34" s="6">
        <v>220541</v>
      </c>
      <c r="G34" s="6">
        <v>159484</v>
      </c>
      <c r="H34" s="6">
        <v>55045</v>
      </c>
      <c r="I34" s="6">
        <v>36091</v>
      </c>
      <c r="J34" s="6">
        <v>15618</v>
      </c>
      <c r="K34" s="6">
        <v>7957</v>
      </c>
      <c r="L34" s="6">
        <v>14529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869895</v>
      </c>
      <c r="E35" s="6">
        <v>516790</v>
      </c>
      <c r="F35" s="6">
        <v>192827</v>
      </c>
      <c r="G35" s="6">
        <v>102115</v>
      </c>
      <c r="H35" s="6">
        <v>27874</v>
      </c>
      <c r="I35" s="6">
        <v>15634</v>
      </c>
      <c r="J35" s="6">
        <v>6106</v>
      </c>
      <c r="K35" s="6">
        <v>3088</v>
      </c>
      <c r="L35" s="6">
        <v>5461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1974548</v>
      </c>
      <c r="E36" s="6">
        <v>952466</v>
      </c>
      <c r="F36" s="6">
        <v>464344</v>
      </c>
      <c r="G36" s="6">
        <v>317676</v>
      </c>
      <c r="H36" s="6">
        <v>109084</v>
      </c>
      <c r="I36" s="6">
        <v>67652</v>
      </c>
      <c r="J36" s="6">
        <v>28168</v>
      </c>
      <c r="K36" s="6">
        <v>13520</v>
      </c>
      <c r="L36" s="6">
        <v>21638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951151</v>
      </c>
      <c r="E37" s="6">
        <v>387215</v>
      </c>
      <c r="F37" s="6">
        <v>228665</v>
      </c>
      <c r="G37" s="6">
        <v>179840</v>
      </c>
      <c r="H37" s="6">
        <v>67640</v>
      </c>
      <c r="I37" s="6">
        <v>44202</v>
      </c>
      <c r="J37" s="6">
        <v>19093</v>
      </c>
      <c r="K37" s="6">
        <v>9365</v>
      </c>
      <c r="L37" s="6">
        <v>15131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1023397</v>
      </c>
      <c r="E38" s="6">
        <v>565251</v>
      </c>
      <c r="F38" s="6">
        <v>235679</v>
      </c>
      <c r="G38" s="6">
        <v>137836</v>
      </c>
      <c r="H38" s="6">
        <v>41444</v>
      </c>
      <c r="I38" s="6">
        <v>23450</v>
      </c>
      <c r="J38" s="6">
        <v>9075</v>
      </c>
      <c r="K38" s="6">
        <v>4155</v>
      </c>
      <c r="L38" s="6">
        <v>6507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1284642</v>
      </c>
      <c r="E39" s="6">
        <v>601351</v>
      </c>
      <c r="F39" s="6">
        <v>298929</v>
      </c>
      <c r="G39" s="6">
        <v>215207</v>
      </c>
      <c r="H39" s="6">
        <v>77685</v>
      </c>
      <c r="I39" s="6">
        <v>48875</v>
      </c>
      <c r="J39" s="6">
        <v>19930</v>
      </c>
      <c r="K39" s="6">
        <v>9179</v>
      </c>
      <c r="L39" s="6">
        <v>13486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626958</v>
      </c>
      <c r="E40" s="6">
        <v>251937</v>
      </c>
      <c r="F40" s="6">
        <v>147257</v>
      </c>
      <c r="G40" s="6">
        <v>120764</v>
      </c>
      <c r="H40" s="6">
        <v>47343</v>
      </c>
      <c r="I40" s="6">
        <v>31322</v>
      </c>
      <c r="J40" s="6">
        <v>13075</v>
      </c>
      <c r="K40" s="6">
        <v>6086</v>
      </c>
      <c r="L40" s="6">
        <v>9174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657684</v>
      </c>
      <c r="E41" s="6">
        <v>349414</v>
      </c>
      <c r="F41" s="6">
        <v>151672</v>
      </c>
      <c r="G41" s="6">
        <v>94443</v>
      </c>
      <c r="H41" s="6">
        <v>30342</v>
      </c>
      <c r="I41" s="6">
        <v>17553</v>
      </c>
      <c r="J41" s="6">
        <v>6855</v>
      </c>
      <c r="K41" s="6">
        <v>3093</v>
      </c>
      <c r="L41" s="6">
        <v>4312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1083958</v>
      </c>
      <c r="E42" s="6">
        <v>484177</v>
      </c>
      <c r="F42" s="6">
        <v>249702</v>
      </c>
      <c r="G42" s="6">
        <v>191160</v>
      </c>
      <c r="H42" s="6">
        <v>73413</v>
      </c>
      <c r="I42" s="6">
        <v>46839</v>
      </c>
      <c r="J42" s="6">
        <v>18735</v>
      </c>
      <c r="K42" s="6">
        <v>8613</v>
      </c>
      <c r="L42" s="6">
        <v>11319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515595</v>
      </c>
      <c r="E43" s="6">
        <v>207225</v>
      </c>
      <c r="F43" s="6">
        <v>118509</v>
      </c>
      <c r="G43" s="6">
        <v>99072</v>
      </c>
      <c r="H43" s="6">
        <v>40755</v>
      </c>
      <c r="I43" s="6">
        <v>27094</v>
      </c>
      <c r="J43" s="6">
        <v>11006</v>
      </c>
      <c r="K43" s="6">
        <v>5100</v>
      </c>
      <c r="L43" s="6">
        <v>6834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568363</v>
      </c>
      <c r="E44" s="6">
        <v>276952</v>
      </c>
      <c r="F44" s="6">
        <v>131193</v>
      </c>
      <c r="G44" s="6">
        <v>92088</v>
      </c>
      <c r="H44" s="6">
        <v>32658</v>
      </c>
      <c r="I44" s="6">
        <v>19745</v>
      </c>
      <c r="J44" s="6">
        <v>7729</v>
      </c>
      <c r="K44" s="6">
        <v>3513</v>
      </c>
      <c r="L44" s="6">
        <v>4485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475563</v>
      </c>
      <c r="E45" s="6">
        <v>207785</v>
      </c>
      <c r="F45" s="6">
        <v>109510</v>
      </c>
      <c r="G45" s="6">
        <v>85883</v>
      </c>
      <c r="H45" s="6">
        <v>33380</v>
      </c>
      <c r="I45" s="6">
        <v>21410</v>
      </c>
      <c r="J45" s="6">
        <v>8683</v>
      </c>
      <c r="K45" s="6">
        <v>3861</v>
      </c>
      <c r="L45" s="6">
        <v>5051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228797</v>
      </c>
      <c r="E46" s="6">
        <v>92911</v>
      </c>
      <c r="F46" s="6">
        <v>52835</v>
      </c>
      <c r="G46" s="6">
        <v>43995</v>
      </c>
      <c r="H46" s="6">
        <v>17841</v>
      </c>
      <c r="I46" s="6">
        <v>11678</v>
      </c>
      <c r="J46" s="6">
        <v>4671</v>
      </c>
      <c r="K46" s="6">
        <v>2098</v>
      </c>
      <c r="L46" s="6">
        <v>2768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114874</v>
      </c>
      <c r="F47" s="6">
        <v>56675</v>
      </c>
      <c r="G47" s="6">
        <v>41888</v>
      </c>
      <c r="H47" s="6">
        <v>15539</v>
      </c>
      <c r="I47" s="6">
        <v>9732</v>
      </c>
      <c r="J47" s="6">
        <v>4012</v>
      </c>
      <c r="K47" s="6">
        <v>1763</v>
      </c>
      <c r="L47" s="6">
        <v>2283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356865</v>
      </c>
      <c r="E48" s="6">
        <v>154533</v>
      </c>
      <c r="F48" s="6">
        <v>81587</v>
      </c>
      <c r="G48" s="6">
        <v>65106</v>
      </c>
      <c r="H48" s="6">
        <v>25240</v>
      </c>
      <c r="I48" s="6">
        <v>16267</v>
      </c>
      <c r="J48" s="6">
        <v>6775</v>
      </c>
      <c r="K48" s="6">
        <v>3080</v>
      </c>
      <c r="L48" s="6">
        <v>4277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67611</v>
      </c>
      <c r="F49" s="6">
        <v>37998</v>
      </c>
      <c r="G49" s="6">
        <v>31386</v>
      </c>
      <c r="H49" s="6">
        <v>12336</v>
      </c>
      <c r="I49" s="6">
        <v>8053</v>
      </c>
      <c r="J49" s="6">
        <v>3356</v>
      </c>
      <c r="K49" s="6">
        <v>1526</v>
      </c>
      <c r="L49" s="6">
        <v>2101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192498</v>
      </c>
      <c r="E50" s="6">
        <v>86922</v>
      </c>
      <c r="F50" s="6">
        <v>43589</v>
      </c>
      <c r="G50" s="6">
        <v>33720</v>
      </c>
      <c r="H50" s="6">
        <v>12904</v>
      </c>
      <c r="I50" s="6">
        <v>8214</v>
      </c>
      <c r="J50" s="6">
        <v>3419</v>
      </c>
      <c r="K50" s="6">
        <v>1554</v>
      </c>
      <c r="L50" s="6">
        <v>2176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49136</v>
      </c>
      <c r="F51" s="6">
        <v>23797</v>
      </c>
      <c r="G51" s="6">
        <v>18592</v>
      </c>
      <c r="H51" s="6">
        <v>7071</v>
      </c>
      <c r="I51" s="6">
        <v>4651</v>
      </c>
      <c r="J51" s="6">
        <v>2016</v>
      </c>
      <c r="K51" s="6">
        <v>1015</v>
      </c>
      <c r="L51" s="6">
        <v>1543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19476</v>
      </c>
      <c r="F52" s="6">
        <v>10438</v>
      </c>
      <c r="G52" s="6">
        <v>7924</v>
      </c>
      <c r="H52" s="6">
        <v>3005</v>
      </c>
      <c r="I52" s="6">
        <v>1924</v>
      </c>
      <c r="J52" s="6">
        <v>772</v>
      </c>
      <c r="K52" s="6">
        <v>394</v>
      </c>
      <c r="L52" s="6">
        <v>576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29660</v>
      </c>
      <c r="F53" s="6">
        <v>13359</v>
      </c>
      <c r="G53" s="6">
        <v>10668</v>
      </c>
      <c r="H53" s="6">
        <v>4066</v>
      </c>
      <c r="I53" s="6">
        <v>2727</v>
      </c>
      <c r="J53" s="6">
        <v>1244</v>
      </c>
      <c r="K53" s="6">
        <v>621</v>
      </c>
      <c r="L53" s="6">
        <v>967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6F0A-96F1-4162-B477-33BACB669690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80</v>
      </c>
      <c r="F3" s="5">
        <v>140</v>
      </c>
      <c r="G3" s="5">
        <v>160</v>
      </c>
      <c r="H3" s="5">
        <v>180</v>
      </c>
      <c r="I3" s="5">
        <v>200</v>
      </c>
      <c r="J3" s="5">
        <v>220</v>
      </c>
      <c r="K3" s="5">
        <v>240</v>
      </c>
      <c r="L3" s="5">
        <v>260</v>
      </c>
      <c r="M3" s="5">
        <v>280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140</v>
      </c>
      <c r="F4" s="5">
        <v>160</v>
      </c>
      <c r="G4" s="5">
        <v>180</v>
      </c>
      <c r="H4" s="5">
        <v>200</v>
      </c>
      <c r="I4" s="5">
        <v>220</v>
      </c>
      <c r="J4" s="5">
        <v>240</v>
      </c>
      <c r="K4" s="5">
        <v>260</v>
      </c>
      <c r="L4" s="5">
        <v>280</v>
      </c>
      <c r="M4" s="5">
        <v>400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116</v>
      </c>
      <c r="F5" s="4" t="s">
        <v>111</v>
      </c>
      <c r="G5" s="4" t="s">
        <v>112</v>
      </c>
      <c r="H5" s="4" t="s">
        <v>113</v>
      </c>
      <c r="I5" s="4" t="s">
        <v>117</v>
      </c>
      <c r="J5" s="4" t="s">
        <v>118</v>
      </c>
      <c r="K5" s="4" t="s">
        <v>119</v>
      </c>
      <c r="L5" s="4" t="s">
        <v>120</v>
      </c>
      <c r="M5" s="4" t="s">
        <v>121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6013869</v>
      </c>
      <c r="E6" s="6">
        <v>533471</v>
      </c>
      <c r="F6" s="6">
        <v>654219</v>
      </c>
      <c r="G6" s="6">
        <v>936202</v>
      </c>
      <c r="H6" s="6">
        <v>1108544</v>
      </c>
      <c r="I6" s="6">
        <v>1049046</v>
      </c>
      <c r="J6" s="6">
        <v>796181</v>
      </c>
      <c r="K6" s="6">
        <v>486728</v>
      </c>
      <c r="L6" s="6">
        <v>251997</v>
      </c>
      <c r="M6" s="6">
        <v>197481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3306479</v>
      </c>
      <c r="E7" s="6">
        <v>340496</v>
      </c>
      <c r="F7" s="6">
        <v>367884</v>
      </c>
      <c r="G7" s="6">
        <v>515266</v>
      </c>
      <c r="H7" s="6">
        <v>610684</v>
      </c>
      <c r="I7" s="6">
        <v>572772</v>
      </c>
      <c r="J7" s="6">
        <v>425827</v>
      </c>
      <c r="K7" s="6">
        <v>251959</v>
      </c>
      <c r="L7" s="6">
        <v>126507</v>
      </c>
      <c r="M7" s="6">
        <v>95084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2707390</v>
      </c>
      <c r="E8" s="6">
        <v>192975</v>
      </c>
      <c r="F8" s="6">
        <v>286335</v>
      </c>
      <c r="G8" s="6">
        <v>420936</v>
      </c>
      <c r="H8" s="6">
        <v>497860</v>
      </c>
      <c r="I8" s="6">
        <v>476274</v>
      </c>
      <c r="J8" s="6">
        <v>370354</v>
      </c>
      <c r="K8" s="6">
        <v>234769</v>
      </c>
      <c r="L8" s="6">
        <v>125490</v>
      </c>
      <c r="M8" s="6">
        <v>102397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106555</v>
      </c>
      <c r="E12" s="6">
        <v>7140</v>
      </c>
      <c r="F12" s="6">
        <v>17677</v>
      </c>
      <c r="G12" s="6">
        <v>26334</v>
      </c>
      <c r="H12" s="6">
        <v>24899</v>
      </c>
      <c r="I12" s="6">
        <v>16310</v>
      </c>
      <c r="J12" s="6">
        <v>8340</v>
      </c>
      <c r="K12" s="6">
        <v>3627</v>
      </c>
      <c r="L12" s="6">
        <v>1383</v>
      </c>
      <c r="M12" s="6">
        <v>845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106555</v>
      </c>
      <c r="E13" s="6">
        <v>7140</v>
      </c>
      <c r="F13" s="6">
        <v>17677</v>
      </c>
      <c r="G13" s="6">
        <v>26334</v>
      </c>
      <c r="H13" s="6">
        <v>24899</v>
      </c>
      <c r="I13" s="6">
        <v>16310</v>
      </c>
      <c r="J13" s="6">
        <v>8340</v>
      </c>
      <c r="K13" s="6">
        <v>3627</v>
      </c>
      <c r="L13" s="6">
        <v>1383</v>
      </c>
      <c r="M13" s="6">
        <v>845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196547</v>
      </c>
      <c r="E15" s="6">
        <v>7273</v>
      </c>
      <c r="F15" s="6">
        <v>21161</v>
      </c>
      <c r="G15" s="6">
        <v>40383</v>
      </c>
      <c r="H15" s="6">
        <v>47343</v>
      </c>
      <c r="I15" s="6">
        <v>37739</v>
      </c>
      <c r="J15" s="6">
        <v>23043</v>
      </c>
      <c r="K15" s="6">
        <v>11392</v>
      </c>
      <c r="L15" s="6">
        <v>4966</v>
      </c>
      <c r="M15" s="6">
        <v>3247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196547</v>
      </c>
      <c r="E16" s="6">
        <v>7273</v>
      </c>
      <c r="F16" s="6">
        <v>21161</v>
      </c>
      <c r="G16" s="6">
        <v>40383</v>
      </c>
      <c r="H16" s="6">
        <v>47343</v>
      </c>
      <c r="I16" s="6">
        <v>37739</v>
      </c>
      <c r="J16" s="6">
        <v>23043</v>
      </c>
      <c r="K16" s="6">
        <v>11392</v>
      </c>
      <c r="L16" s="6">
        <v>4966</v>
      </c>
      <c r="M16" s="6">
        <v>3247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233710</v>
      </c>
      <c r="E18" s="6">
        <v>5844</v>
      </c>
      <c r="F18" s="6">
        <v>16932</v>
      </c>
      <c r="G18" s="6">
        <v>37847</v>
      </c>
      <c r="H18" s="6">
        <v>52517</v>
      </c>
      <c r="I18" s="6">
        <v>49582</v>
      </c>
      <c r="J18" s="6">
        <v>35207</v>
      </c>
      <c r="K18" s="6">
        <v>19737</v>
      </c>
      <c r="L18" s="6">
        <v>9399</v>
      </c>
      <c r="M18" s="6">
        <v>6645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233710</v>
      </c>
      <c r="E19" s="6">
        <v>5844</v>
      </c>
      <c r="F19" s="6">
        <v>16932</v>
      </c>
      <c r="G19" s="6">
        <v>37847</v>
      </c>
      <c r="H19" s="6">
        <v>52517</v>
      </c>
      <c r="I19" s="6">
        <v>49582</v>
      </c>
      <c r="J19" s="6">
        <v>35207</v>
      </c>
      <c r="K19" s="6">
        <v>19737</v>
      </c>
      <c r="L19" s="6">
        <v>9399</v>
      </c>
      <c r="M19" s="6">
        <v>6645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213469</v>
      </c>
      <c r="E21" s="6">
        <v>5342</v>
      </c>
      <c r="F21" s="6">
        <v>13042</v>
      </c>
      <c r="G21" s="6">
        <v>28968</v>
      </c>
      <c r="H21" s="6">
        <v>44225</v>
      </c>
      <c r="I21" s="6">
        <v>45470</v>
      </c>
      <c r="J21" s="6">
        <v>35768</v>
      </c>
      <c r="K21" s="6">
        <v>21438</v>
      </c>
      <c r="L21" s="6">
        <v>10795</v>
      </c>
      <c r="M21" s="6">
        <v>8421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213469</v>
      </c>
      <c r="E22" s="6">
        <v>5342</v>
      </c>
      <c r="F22" s="6">
        <v>13042</v>
      </c>
      <c r="G22" s="6">
        <v>28968</v>
      </c>
      <c r="H22" s="6">
        <v>44225</v>
      </c>
      <c r="I22" s="6">
        <v>45470</v>
      </c>
      <c r="J22" s="6">
        <v>35768</v>
      </c>
      <c r="K22" s="6">
        <v>21438</v>
      </c>
      <c r="L22" s="6">
        <v>10795</v>
      </c>
      <c r="M22" s="6">
        <v>8421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32375</v>
      </c>
      <c r="F24" s="6">
        <v>69755</v>
      </c>
      <c r="G24" s="6">
        <v>149409</v>
      </c>
      <c r="H24" s="6">
        <v>218084</v>
      </c>
      <c r="I24" s="6">
        <v>219348</v>
      </c>
      <c r="J24" s="6">
        <v>164972</v>
      </c>
      <c r="K24" s="6">
        <v>97804</v>
      </c>
      <c r="L24" s="6">
        <v>49564</v>
      </c>
      <c r="M24" s="6">
        <v>37555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20422</v>
      </c>
      <c r="F25" s="6">
        <v>33233</v>
      </c>
      <c r="G25" s="6">
        <v>64959</v>
      </c>
      <c r="H25" s="6">
        <v>99627</v>
      </c>
      <c r="I25" s="6">
        <v>110952</v>
      </c>
      <c r="J25" s="6">
        <v>93427</v>
      </c>
      <c r="K25" s="6">
        <v>60360</v>
      </c>
      <c r="L25" s="6">
        <v>32702</v>
      </c>
      <c r="M25" s="6">
        <v>26343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11953</v>
      </c>
      <c r="F26" s="6">
        <v>36522</v>
      </c>
      <c r="G26" s="6">
        <v>84450</v>
      </c>
      <c r="H26" s="6">
        <v>118457</v>
      </c>
      <c r="I26" s="6">
        <v>108396</v>
      </c>
      <c r="J26" s="6">
        <v>71545</v>
      </c>
      <c r="K26" s="6">
        <v>37444</v>
      </c>
      <c r="L26" s="6">
        <v>16862</v>
      </c>
      <c r="M26" s="6">
        <v>11212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552938</v>
      </c>
      <c r="E27" s="6">
        <v>24009</v>
      </c>
      <c r="F27" s="6">
        <v>39131</v>
      </c>
      <c r="G27" s="6">
        <v>73539</v>
      </c>
      <c r="H27" s="6">
        <v>106994</v>
      </c>
      <c r="I27" s="6">
        <v>113054</v>
      </c>
      <c r="J27" s="6">
        <v>89739</v>
      </c>
      <c r="K27" s="6">
        <v>55455</v>
      </c>
      <c r="L27" s="6">
        <v>28845</v>
      </c>
      <c r="M27" s="6">
        <v>22172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279451</v>
      </c>
      <c r="E28" s="6">
        <v>16502</v>
      </c>
      <c r="F28" s="6">
        <v>21896</v>
      </c>
      <c r="G28" s="6">
        <v>35425</v>
      </c>
      <c r="H28" s="6">
        <v>49112</v>
      </c>
      <c r="I28" s="6">
        <v>53908</v>
      </c>
      <c r="J28" s="6">
        <v>44811</v>
      </c>
      <c r="K28" s="6">
        <v>29213</v>
      </c>
      <c r="L28" s="6">
        <v>15823</v>
      </c>
      <c r="M28" s="6">
        <v>12761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7507</v>
      </c>
      <c r="F29" s="6">
        <v>17235</v>
      </c>
      <c r="G29" s="6">
        <v>38114</v>
      </c>
      <c r="H29" s="6">
        <v>57882</v>
      </c>
      <c r="I29" s="6">
        <v>59146</v>
      </c>
      <c r="J29" s="6">
        <v>44928</v>
      </c>
      <c r="K29" s="6">
        <v>26242</v>
      </c>
      <c r="L29" s="6">
        <v>13022</v>
      </c>
      <c r="M29" s="6">
        <v>9411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592686</v>
      </c>
      <c r="E30" s="6">
        <v>32438</v>
      </c>
      <c r="F30" s="6">
        <v>45383</v>
      </c>
      <c r="G30" s="6">
        <v>72966</v>
      </c>
      <c r="H30" s="6">
        <v>102207</v>
      </c>
      <c r="I30" s="6">
        <v>113474</v>
      </c>
      <c r="J30" s="6">
        <v>96547</v>
      </c>
      <c r="K30" s="6">
        <v>64738</v>
      </c>
      <c r="L30" s="6">
        <v>35231</v>
      </c>
      <c r="M30" s="6">
        <v>29702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295222</v>
      </c>
      <c r="E31" s="6">
        <v>23032</v>
      </c>
      <c r="F31" s="6">
        <v>27838</v>
      </c>
      <c r="G31" s="6">
        <v>40447</v>
      </c>
      <c r="H31" s="6">
        <v>51970</v>
      </c>
      <c r="I31" s="6">
        <v>54008</v>
      </c>
      <c r="J31" s="6">
        <v>43851</v>
      </c>
      <c r="K31" s="6">
        <v>27832</v>
      </c>
      <c r="L31" s="6">
        <v>14659</v>
      </c>
      <c r="M31" s="6">
        <v>11585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297464</v>
      </c>
      <c r="E32" s="6">
        <v>9406</v>
      </c>
      <c r="F32" s="6">
        <v>17545</v>
      </c>
      <c r="G32" s="6">
        <v>32519</v>
      </c>
      <c r="H32" s="6">
        <v>50237</v>
      </c>
      <c r="I32" s="6">
        <v>59466</v>
      </c>
      <c r="J32" s="6">
        <v>52696</v>
      </c>
      <c r="K32" s="6">
        <v>36906</v>
      </c>
      <c r="L32" s="6">
        <v>20572</v>
      </c>
      <c r="M32" s="6">
        <v>18117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604266</v>
      </c>
      <c r="E33" s="6">
        <v>44296</v>
      </c>
      <c r="F33" s="6">
        <v>55568</v>
      </c>
      <c r="G33" s="6">
        <v>79632</v>
      </c>
      <c r="H33" s="6">
        <v>100499</v>
      </c>
      <c r="I33" s="6">
        <v>106561</v>
      </c>
      <c r="J33" s="6">
        <v>91288</v>
      </c>
      <c r="K33" s="6">
        <v>62189</v>
      </c>
      <c r="L33" s="6">
        <v>34718</v>
      </c>
      <c r="M33" s="6">
        <v>29515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287268</v>
      </c>
      <c r="E34" s="6">
        <v>29245</v>
      </c>
      <c r="F34" s="6">
        <v>31692</v>
      </c>
      <c r="G34" s="6">
        <v>42460</v>
      </c>
      <c r="H34" s="6">
        <v>50996</v>
      </c>
      <c r="I34" s="6">
        <v>49842</v>
      </c>
      <c r="J34" s="6">
        <v>38837</v>
      </c>
      <c r="K34" s="6">
        <v>23636</v>
      </c>
      <c r="L34" s="6">
        <v>11778</v>
      </c>
      <c r="M34" s="6">
        <v>8782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15051</v>
      </c>
      <c r="F35" s="6">
        <v>23876</v>
      </c>
      <c r="G35" s="6">
        <v>37172</v>
      </c>
      <c r="H35" s="6">
        <v>49503</v>
      </c>
      <c r="I35" s="6">
        <v>56719</v>
      </c>
      <c r="J35" s="6">
        <v>52451</v>
      </c>
      <c r="K35" s="6">
        <v>38553</v>
      </c>
      <c r="L35" s="6">
        <v>22940</v>
      </c>
      <c r="M35" s="6">
        <v>20733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1119541</v>
      </c>
      <c r="E36" s="6">
        <v>121312</v>
      </c>
      <c r="F36" s="6">
        <v>138391</v>
      </c>
      <c r="G36" s="6">
        <v>175642</v>
      </c>
      <c r="H36" s="6">
        <v>189763</v>
      </c>
      <c r="I36" s="6">
        <v>178221</v>
      </c>
      <c r="J36" s="6">
        <v>140495</v>
      </c>
      <c r="K36" s="6">
        <v>89367</v>
      </c>
      <c r="L36" s="6">
        <v>47829</v>
      </c>
      <c r="M36" s="6">
        <v>38521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526188</v>
      </c>
      <c r="E37" s="6">
        <v>76023</v>
      </c>
      <c r="F37" s="6">
        <v>71679</v>
      </c>
      <c r="G37" s="6">
        <v>86607</v>
      </c>
      <c r="H37" s="6">
        <v>91892</v>
      </c>
      <c r="I37" s="6">
        <v>81804</v>
      </c>
      <c r="J37" s="6">
        <v>58460</v>
      </c>
      <c r="K37" s="6">
        <v>33072</v>
      </c>
      <c r="L37" s="6">
        <v>15779</v>
      </c>
      <c r="M37" s="6">
        <v>10872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593353</v>
      </c>
      <c r="E38" s="6">
        <v>45289</v>
      </c>
      <c r="F38" s="6">
        <v>66712</v>
      </c>
      <c r="G38" s="6">
        <v>89035</v>
      </c>
      <c r="H38" s="6">
        <v>97871</v>
      </c>
      <c r="I38" s="6">
        <v>96417</v>
      </c>
      <c r="J38" s="6">
        <v>82035</v>
      </c>
      <c r="K38" s="6">
        <v>56295</v>
      </c>
      <c r="L38" s="6">
        <v>32050</v>
      </c>
      <c r="M38" s="6">
        <v>27649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484643</v>
      </c>
      <c r="E39" s="6">
        <v>73074</v>
      </c>
      <c r="F39" s="6">
        <v>74840</v>
      </c>
      <c r="G39" s="6">
        <v>85156</v>
      </c>
      <c r="H39" s="6">
        <v>82029</v>
      </c>
      <c r="I39" s="6">
        <v>67971</v>
      </c>
      <c r="J39" s="6">
        <v>48252</v>
      </c>
      <c r="K39" s="6">
        <v>28451</v>
      </c>
      <c r="L39" s="6">
        <v>14251</v>
      </c>
      <c r="M39" s="6">
        <v>10619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225708</v>
      </c>
      <c r="E40" s="6">
        <v>44963</v>
      </c>
      <c r="F40" s="6">
        <v>37004</v>
      </c>
      <c r="G40" s="6">
        <v>39291</v>
      </c>
      <c r="H40" s="6">
        <v>37472</v>
      </c>
      <c r="I40" s="6">
        <v>29964</v>
      </c>
      <c r="J40" s="6">
        <v>19477</v>
      </c>
      <c r="K40" s="6">
        <v>10229</v>
      </c>
      <c r="L40" s="6">
        <v>4485</v>
      </c>
      <c r="M40" s="6">
        <v>2823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258935</v>
      </c>
      <c r="E41" s="6">
        <v>28111</v>
      </c>
      <c r="F41" s="6">
        <v>37836</v>
      </c>
      <c r="G41" s="6">
        <v>45865</v>
      </c>
      <c r="H41" s="6">
        <v>44557</v>
      </c>
      <c r="I41" s="6">
        <v>38007</v>
      </c>
      <c r="J41" s="6">
        <v>28775</v>
      </c>
      <c r="K41" s="6">
        <v>18222</v>
      </c>
      <c r="L41" s="6">
        <v>9766</v>
      </c>
      <c r="M41" s="6">
        <v>7796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365025</v>
      </c>
      <c r="E42" s="6">
        <v>67864</v>
      </c>
      <c r="F42" s="6">
        <v>64454</v>
      </c>
      <c r="G42" s="6">
        <v>68494</v>
      </c>
      <c r="H42" s="6">
        <v>60106</v>
      </c>
      <c r="I42" s="6">
        <v>45726</v>
      </c>
      <c r="J42" s="6">
        <v>29387</v>
      </c>
      <c r="K42" s="6">
        <v>16108</v>
      </c>
      <c r="L42" s="6">
        <v>7551</v>
      </c>
      <c r="M42" s="6">
        <v>5335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40830</v>
      </c>
      <c r="F43" s="6">
        <v>30723</v>
      </c>
      <c r="G43" s="6">
        <v>30566</v>
      </c>
      <c r="H43" s="6">
        <v>26520</v>
      </c>
      <c r="I43" s="6">
        <v>19705</v>
      </c>
      <c r="J43" s="6">
        <v>11771</v>
      </c>
      <c r="K43" s="6">
        <v>5735</v>
      </c>
      <c r="L43" s="6">
        <v>2428</v>
      </c>
      <c r="M43" s="6">
        <v>1467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195280</v>
      </c>
      <c r="E44" s="6">
        <v>27034</v>
      </c>
      <c r="F44" s="6">
        <v>33731</v>
      </c>
      <c r="G44" s="6">
        <v>37928</v>
      </c>
      <c r="H44" s="6">
        <v>33586</v>
      </c>
      <c r="I44" s="6">
        <v>26021</v>
      </c>
      <c r="J44" s="6">
        <v>17616</v>
      </c>
      <c r="K44" s="6">
        <v>10373</v>
      </c>
      <c r="L44" s="6">
        <v>5123</v>
      </c>
      <c r="M44" s="6">
        <v>3868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52423</v>
      </c>
      <c r="F45" s="6">
        <v>47111</v>
      </c>
      <c r="G45" s="6">
        <v>48257</v>
      </c>
      <c r="H45" s="6">
        <v>40384</v>
      </c>
      <c r="I45" s="6">
        <v>28697</v>
      </c>
      <c r="J45" s="6">
        <v>17514</v>
      </c>
      <c r="K45" s="6">
        <v>8817</v>
      </c>
      <c r="L45" s="6">
        <v>4092</v>
      </c>
      <c r="M45" s="6">
        <v>2714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30882</v>
      </c>
      <c r="F46" s="6">
        <v>22201</v>
      </c>
      <c r="G46" s="6">
        <v>21163</v>
      </c>
      <c r="H46" s="6">
        <v>17611</v>
      </c>
      <c r="I46" s="6">
        <v>12488</v>
      </c>
      <c r="J46" s="6">
        <v>7005</v>
      </c>
      <c r="K46" s="6">
        <v>3169</v>
      </c>
      <c r="L46" s="6">
        <v>1301</v>
      </c>
      <c r="M46" s="6">
        <v>737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21541</v>
      </c>
      <c r="F47" s="6">
        <v>24910</v>
      </c>
      <c r="G47" s="6">
        <v>27094</v>
      </c>
      <c r="H47" s="6">
        <v>22773</v>
      </c>
      <c r="I47" s="6">
        <v>16209</v>
      </c>
      <c r="J47" s="6">
        <v>10509</v>
      </c>
      <c r="K47" s="6">
        <v>5648</v>
      </c>
      <c r="L47" s="6">
        <v>2791</v>
      </c>
      <c r="M47" s="6">
        <v>1977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214612</v>
      </c>
      <c r="E48" s="6">
        <v>49876</v>
      </c>
      <c r="F48" s="6">
        <v>42503</v>
      </c>
      <c r="G48" s="6">
        <v>41653</v>
      </c>
      <c r="H48" s="6">
        <v>33249</v>
      </c>
      <c r="I48" s="6">
        <v>22766</v>
      </c>
      <c r="J48" s="6">
        <v>13341</v>
      </c>
      <c r="K48" s="6">
        <v>6469</v>
      </c>
      <c r="L48" s="6">
        <v>2877</v>
      </c>
      <c r="M48" s="6">
        <v>1878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28193</v>
      </c>
      <c r="F49" s="6">
        <v>19466</v>
      </c>
      <c r="G49" s="6">
        <v>17809</v>
      </c>
      <c r="H49" s="6">
        <v>14166</v>
      </c>
      <c r="I49" s="6">
        <v>9559</v>
      </c>
      <c r="J49" s="6">
        <v>5154</v>
      </c>
      <c r="K49" s="6">
        <v>2211</v>
      </c>
      <c r="L49" s="6">
        <v>902</v>
      </c>
      <c r="M49" s="6">
        <v>490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116662</v>
      </c>
      <c r="E50" s="6">
        <v>21683</v>
      </c>
      <c r="F50" s="6">
        <v>23037</v>
      </c>
      <c r="G50" s="6">
        <v>23844</v>
      </c>
      <c r="H50" s="6">
        <v>19083</v>
      </c>
      <c r="I50" s="6">
        <v>13207</v>
      </c>
      <c r="J50" s="6">
        <v>8187</v>
      </c>
      <c r="K50" s="6">
        <v>4258</v>
      </c>
      <c r="L50" s="6">
        <v>1975</v>
      </c>
      <c r="M50" s="6">
        <v>1388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41002</v>
      </c>
      <c r="E51" s="6">
        <v>10205</v>
      </c>
      <c r="F51" s="6">
        <v>8271</v>
      </c>
      <c r="G51" s="6">
        <v>7922</v>
      </c>
      <c r="H51" s="6">
        <v>6245</v>
      </c>
      <c r="I51" s="6">
        <v>4127</v>
      </c>
      <c r="J51" s="6">
        <v>2288</v>
      </c>
      <c r="K51" s="6">
        <v>1136</v>
      </c>
      <c r="L51" s="6">
        <v>496</v>
      </c>
      <c r="M51" s="6">
        <v>312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16084</v>
      </c>
      <c r="E52" s="6">
        <v>4805</v>
      </c>
      <c r="F52" s="6">
        <v>3340</v>
      </c>
      <c r="G52" s="6">
        <v>3007</v>
      </c>
      <c r="H52" s="6">
        <v>2334</v>
      </c>
      <c r="I52" s="6">
        <v>1441</v>
      </c>
      <c r="J52" s="6">
        <v>676</v>
      </c>
      <c r="K52" s="6">
        <v>308</v>
      </c>
      <c r="L52" s="6">
        <v>107</v>
      </c>
      <c r="M52" s="6">
        <v>66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24918</v>
      </c>
      <c r="E53" s="6">
        <v>5400</v>
      </c>
      <c r="F53" s="6">
        <v>4931</v>
      </c>
      <c r="G53" s="6">
        <v>4915</v>
      </c>
      <c r="H53" s="6">
        <v>3911</v>
      </c>
      <c r="I53" s="6">
        <v>2686</v>
      </c>
      <c r="J53" s="6">
        <v>1612</v>
      </c>
      <c r="K53" s="6">
        <v>828</v>
      </c>
      <c r="L53" s="6">
        <v>389</v>
      </c>
      <c r="M53" s="6">
        <v>246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3B88-640E-4BD4-902B-D236CAF3B9A6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15</v>
      </c>
      <c r="F3" s="5">
        <v>30</v>
      </c>
      <c r="G3" s="5">
        <v>40</v>
      </c>
      <c r="H3" s="5">
        <v>50</v>
      </c>
      <c r="I3" s="5">
        <v>60</v>
      </c>
      <c r="J3" s="5">
        <v>70</v>
      </c>
      <c r="K3" s="5">
        <v>80</v>
      </c>
      <c r="L3" s="5">
        <v>90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30</v>
      </c>
      <c r="F4" s="5">
        <v>40</v>
      </c>
      <c r="G4" s="5">
        <v>50</v>
      </c>
      <c r="H4" s="5">
        <v>60</v>
      </c>
      <c r="I4" s="5">
        <v>70</v>
      </c>
      <c r="J4" s="5">
        <v>80</v>
      </c>
      <c r="K4" s="5">
        <v>90</v>
      </c>
      <c r="L4" s="5">
        <v>130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127</v>
      </c>
      <c r="J5" s="4" t="s">
        <v>102</v>
      </c>
      <c r="K5" s="4" t="s">
        <v>103</v>
      </c>
      <c r="L5" s="4" t="s">
        <v>128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6013854</v>
      </c>
      <c r="E6" s="6">
        <v>39495</v>
      </c>
      <c r="F6" s="6">
        <v>528148</v>
      </c>
      <c r="G6" s="6">
        <v>1477568</v>
      </c>
      <c r="H6" s="6">
        <v>1652725</v>
      </c>
      <c r="I6" s="6">
        <v>1184921</v>
      </c>
      <c r="J6" s="6">
        <v>652947</v>
      </c>
      <c r="K6" s="6">
        <v>297093</v>
      </c>
      <c r="L6" s="6">
        <v>180957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3306467</v>
      </c>
      <c r="E7" s="6">
        <v>31646</v>
      </c>
      <c r="F7" s="6">
        <v>418707</v>
      </c>
      <c r="G7" s="6">
        <v>1043321</v>
      </c>
      <c r="H7" s="6">
        <v>947482</v>
      </c>
      <c r="I7" s="6">
        <v>523303</v>
      </c>
      <c r="J7" s="6">
        <v>220695</v>
      </c>
      <c r="K7" s="6">
        <v>80344</v>
      </c>
      <c r="L7" s="6">
        <v>40969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2707387</v>
      </c>
      <c r="E8" s="6">
        <v>7849</v>
      </c>
      <c r="F8" s="6">
        <v>109441</v>
      </c>
      <c r="G8" s="6">
        <v>434247</v>
      </c>
      <c r="H8" s="6">
        <v>705243</v>
      </c>
      <c r="I8" s="6">
        <v>661618</v>
      </c>
      <c r="J8" s="6">
        <v>432252</v>
      </c>
      <c r="K8" s="6">
        <v>216749</v>
      </c>
      <c r="L8" s="6">
        <v>139988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106554</v>
      </c>
      <c r="E12" s="6">
        <v>509</v>
      </c>
      <c r="F12" s="6">
        <v>9161</v>
      </c>
      <c r="G12" s="6">
        <v>30249</v>
      </c>
      <c r="H12" s="6">
        <v>34453</v>
      </c>
      <c r="I12" s="6">
        <v>20460</v>
      </c>
      <c r="J12" s="6">
        <v>8174</v>
      </c>
      <c r="K12" s="6">
        <v>2557</v>
      </c>
      <c r="L12" s="6">
        <v>991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106554</v>
      </c>
      <c r="E13" s="6">
        <v>509</v>
      </c>
      <c r="F13" s="6">
        <v>9161</v>
      </c>
      <c r="G13" s="6">
        <v>30249</v>
      </c>
      <c r="H13" s="6">
        <v>34453</v>
      </c>
      <c r="I13" s="6">
        <v>20460</v>
      </c>
      <c r="J13" s="6">
        <v>8174</v>
      </c>
      <c r="K13" s="6">
        <v>2557</v>
      </c>
      <c r="L13" s="6">
        <v>991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196541</v>
      </c>
      <c r="E15" s="6">
        <v>1156</v>
      </c>
      <c r="F15" s="6">
        <v>18390</v>
      </c>
      <c r="G15" s="6">
        <v>56178</v>
      </c>
      <c r="H15" s="6">
        <v>60792</v>
      </c>
      <c r="I15" s="6">
        <v>36847</v>
      </c>
      <c r="J15" s="6">
        <v>15580</v>
      </c>
      <c r="K15" s="6">
        <v>5277</v>
      </c>
      <c r="L15" s="6">
        <v>2321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196541</v>
      </c>
      <c r="E16" s="6">
        <v>1156</v>
      </c>
      <c r="F16" s="6">
        <v>18390</v>
      </c>
      <c r="G16" s="6">
        <v>56178</v>
      </c>
      <c r="H16" s="6">
        <v>60792</v>
      </c>
      <c r="I16" s="6">
        <v>36847</v>
      </c>
      <c r="J16" s="6">
        <v>15580</v>
      </c>
      <c r="K16" s="6">
        <v>5277</v>
      </c>
      <c r="L16" s="6">
        <v>2321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233708</v>
      </c>
      <c r="E18" s="6">
        <v>1596</v>
      </c>
      <c r="F18" s="6">
        <v>25261</v>
      </c>
      <c r="G18" s="6">
        <v>71249</v>
      </c>
      <c r="H18" s="6">
        <v>69728</v>
      </c>
      <c r="I18" s="6">
        <v>40302</v>
      </c>
      <c r="J18" s="6">
        <v>16934</v>
      </c>
      <c r="K18" s="6">
        <v>5946</v>
      </c>
      <c r="L18" s="6">
        <v>2692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233708</v>
      </c>
      <c r="E19" s="6">
        <v>1596</v>
      </c>
      <c r="F19" s="6">
        <v>25261</v>
      </c>
      <c r="G19" s="6">
        <v>71249</v>
      </c>
      <c r="H19" s="6">
        <v>69728</v>
      </c>
      <c r="I19" s="6">
        <v>40302</v>
      </c>
      <c r="J19" s="6">
        <v>16934</v>
      </c>
      <c r="K19" s="6">
        <v>5946</v>
      </c>
      <c r="L19" s="6">
        <v>2692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213470</v>
      </c>
      <c r="E21" s="6">
        <v>1769</v>
      </c>
      <c r="F21" s="6">
        <v>27083</v>
      </c>
      <c r="G21" s="6">
        <v>69520</v>
      </c>
      <c r="H21" s="6">
        <v>61902</v>
      </c>
      <c r="I21" s="6">
        <v>32928</v>
      </c>
      <c r="J21" s="6">
        <v>13367</v>
      </c>
      <c r="K21" s="6">
        <v>4627</v>
      </c>
      <c r="L21" s="6">
        <v>2274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213470</v>
      </c>
      <c r="E22" s="6">
        <v>1769</v>
      </c>
      <c r="F22" s="6">
        <v>27083</v>
      </c>
      <c r="G22" s="6">
        <v>69520</v>
      </c>
      <c r="H22" s="6">
        <v>61902</v>
      </c>
      <c r="I22" s="6">
        <v>32928</v>
      </c>
      <c r="J22" s="6">
        <v>13367</v>
      </c>
      <c r="K22" s="6">
        <v>4627</v>
      </c>
      <c r="L22" s="6">
        <v>2274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4982</v>
      </c>
      <c r="F24" s="6">
        <v>83411</v>
      </c>
      <c r="G24" s="6">
        <v>238686</v>
      </c>
      <c r="H24" s="6">
        <v>270019</v>
      </c>
      <c r="I24" s="6">
        <v>211044</v>
      </c>
      <c r="J24" s="6">
        <v>129216</v>
      </c>
      <c r="K24" s="6">
        <v>62542</v>
      </c>
      <c r="L24" s="6">
        <v>38966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4335</v>
      </c>
      <c r="F25" s="6">
        <v>70502</v>
      </c>
      <c r="G25" s="6">
        <v>178013</v>
      </c>
      <c r="H25" s="6">
        <v>154381</v>
      </c>
      <c r="I25" s="6">
        <v>81625</v>
      </c>
      <c r="J25" s="6">
        <v>34125</v>
      </c>
      <c r="K25" s="6">
        <v>12476</v>
      </c>
      <c r="L25" s="6">
        <v>6568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647</v>
      </c>
      <c r="F26" s="6">
        <v>12909</v>
      </c>
      <c r="G26" s="6">
        <v>60673</v>
      </c>
      <c r="H26" s="6">
        <v>115638</v>
      </c>
      <c r="I26" s="6">
        <v>129419</v>
      </c>
      <c r="J26" s="6">
        <v>95091</v>
      </c>
      <c r="K26" s="6">
        <v>50066</v>
      </c>
      <c r="L26" s="6">
        <v>32398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552938</v>
      </c>
      <c r="E27" s="6">
        <v>2622</v>
      </c>
      <c r="F27" s="6">
        <v>42403</v>
      </c>
      <c r="G27" s="6">
        <v>125422</v>
      </c>
      <c r="H27" s="6">
        <v>143885</v>
      </c>
      <c r="I27" s="6">
        <v>111823</v>
      </c>
      <c r="J27" s="6">
        <v>69025</v>
      </c>
      <c r="K27" s="6">
        <v>34871</v>
      </c>
      <c r="L27" s="6">
        <v>22887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279451</v>
      </c>
      <c r="E28" s="6">
        <v>2248</v>
      </c>
      <c r="F28" s="6">
        <v>35431</v>
      </c>
      <c r="G28" s="6">
        <v>91211</v>
      </c>
      <c r="H28" s="6">
        <v>79812</v>
      </c>
      <c r="I28" s="6">
        <v>42392</v>
      </c>
      <c r="J28" s="6">
        <v>18027</v>
      </c>
      <c r="K28" s="6">
        <v>6719</v>
      </c>
      <c r="L28" s="6">
        <v>3611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374</v>
      </c>
      <c r="F29" s="6">
        <v>6972</v>
      </c>
      <c r="G29" s="6">
        <v>34211</v>
      </c>
      <c r="H29" s="6">
        <v>64073</v>
      </c>
      <c r="I29" s="6">
        <v>69431</v>
      </c>
      <c r="J29" s="6">
        <v>50998</v>
      </c>
      <c r="K29" s="6">
        <v>28152</v>
      </c>
      <c r="L29" s="6">
        <v>19276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592687</v>
      </c>
      <c r="E30" s="6">
        <v>2814</v>
      </c>
      <c r="F30" s="6">
        <v>43739</v>
      </c>
      <c r="G30" s="6">
        <v>131337</v>
      </c>
      <c r="H30" s="6">
        <v>155056</v>
      </c>
      <c r="I30" s="6">
        <v>120626</v>
      </c>
      <c r="J30" s="6">
        <v>74524</v>
      </c>
      <c r="K30" s="6">
        <v>37844</v>
      </c>
      <c r="L30" s="6">
        <v>26747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295223</v>
      </c>
      <c r="E31" s="6">
        <v>2397</v>
      </c>
      <c r="F31" s="6">
        <v>36256</v>
      </c>
      <c r="G31" s="6">
        <v>94797</v>
      </c>
      <c r="H31" s="6">
        <v>85103</v>
      </c>
      <c r="I31" s="6">
        <v>46060</v>
      </c>
      <c r="J31" s="6">
        <v>19335</v>
      </c>
      <c r="K31" s="6">
        <v>7286</v>
      </c>
      <c r="L31" s="6">
        <v>3989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297464</v>
      </c>
      <c r="E32" s="6">
        <v>417</v>
      </c>
      <c r="F32" s="6">
        <v>7483</v>
      </c>
      <c r="G32" s="6">
        <v>36540</v>
      </c>
      <c r="H32" s="6">
        <v>69953</v>
      </c>
      <c r="I32" s="6">
        <v>74566</v>
      </c>
      <c r="J32" s="6">
        <v>55189</v>
      </c>
      <c r="K32" s="6">
        <v>30558</v>
      </c>
      <c r="L32" s="6">
        <v>22758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604266</v>
      </c>
      <c r="E33" s="6">
        <v>3032</v>
      </c>
      <c r="F33" s="6">
        <v>45545</v>
      </c>
      <c r="G33" s="6">
        <v>138891</v>
      </c>
      <c r="H33" s="6">
        <v>163799</v>
      </c>
      <c r="I33" s="6">
        <v>124374</v>
      </c>
      <c r="J33" s="6">
        <v>71955</v>
      </c>
      <c r="K33" s="6">
        <v>34418</v>
      </c>
      <c r="L33" s="6">
        <v>22252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287268</v>
      </c>
      <c r="E34" s="6">
        <v>2462</v>
      </c>
      <c r="F34" s="6">
        <v>35500</v>
      </c>
      <c r="G34" s="6">
        <v>92367</v>
      </c>
      <c r="H34" s="6">
        <v>82318</v>
      </c>
      <c r="I34" s="6">
        <v>44789</v>
      </c>
      <c r="J34" s="6">
        <v>19078</v>
      </c>
      <c r="K34" s="6">
        <v>7001</v>
      </c>
      <c r="L34" s="6">
        <v>3753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570</v>
      </c>
      <c r="F35" s="6">
        <v>10045</v>
      </c>
      <c r="G35" s="6">
        <v>46524</v>
      </c>
      <c r="H35" s="6">
        <v>81481</v>
      </c>
      <c r="I35" s="6">
        <v>79585</v>
      </c>
      <c r="J35" s="6">
        <v>52877</v>
      </c>
      <c r="K35" s="6">
        <v>27417</v>
      </c>
      <c r="L35" s="6">
        <v>18499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1119537</v>
      </c>
      <c r="E36" s="6">
        <v>6351</v>
      </c>
      <c r="F36" s="6">
        <v>90716</v>
      </c>
      <c r="G36" s="6">
        <v>266164</v>
      </c>
      <c r="H36" s="6">
        <v>313643</v>
      </c>
      <c r="I36" s="6">
        <v>228526</v>
      </c>
      <c r="J36" s="6">
        <v>125042</v>
      </c>
      <c r="K36" s="6">
        <v>55642</v>
      </c>
      <c r="L36" s="6">
        <v>33453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526185</v>
      </c>
      <c r="E37" s="6">
        <v>4915</v>
      </c>
      <c r="F37" s="6">
        <v>66722</v>
      </c>
      <c r="G37" s="6">
        <v>164775</v>
      </c>
      <c r="H37" s="6">
        <v>149832</v>
      </c>
      <c r="I37" s="6">
        <v>83344</v>
      </c>
      <c r="J37" s="6">
        <v>36011</v>
      </c>
      <c r="K37" s="6">
        <v>13332</v>
      </c>
      <c r="L37" s="6">
        <v>7254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593352</v>
      </c>
      <c r="E38" s="6">
        <v>1436</v>
      </c>
      <c r="F38" s="6">
        <v>23994</v>
      </c>
      <c r="G38" s="6">
        <v>101389</v>
      </c>
      <c r="H38" s="6">
        <v>163811</v>
      </c>
      <c r="I38" s="6">
        <v>145182</v>
      </c>
      <c r="J38" s="6">
        <v>89031</v>
      </c>
      <c r="K38" s="6">
        <v>42310</v>
      </c>
      <c r="L38" s="6">
        <v>26199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484641</v>
      </c>
      <c r="E39" s="6">
        <v>3810</v>
      </c>
      <c r="F39" s="6">
        <v>44142</v>
      </c>
      <c r="G39" s="6">
        <v>119513</v>
      </c>
      <c r="H39" s="6">
        <v>136467</v>
      </c>
      <c r="I39" s="6">
        <v>96831</v>
      </c>
      <c r="J39" s="6">
        <v>50399</v>
      </c>
      <c r="K39" s="6">
        <v>21491</v>
      </c>
      <c r="L39" s="6">
        <v>11988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225707</v>
      </c>
      <c r="E40" s="6">
        <v>2903</v>
      </c>
      <c r="F40" s="6">
        <v>31308</v>
      </c>
      <c r="G40" s="6">
        <v>70269</v>
      </c>
      <c r="H40" s="6">
        <v>62316</v>
      </c>
      <c r="I40" s="6">
        <v>35329</v>
      </c>
      <c r="J40" s="6">
        <v>14988</v>
      </c>
      <c r="K40" s="6">
        <v>5659</v>
      </c>
      <c r="L40" s="6">
        <v>2935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258934</v>
      </c>
      <c r="E41" s="6">
        <v>907</v>
      </c>
      <c r="F41" s="6">
        <v>12834</v>
      </c>
      <c r="G41" s="6">
        <v>49244</v>
      </c>
      <c r="H41" s="6">
        <v>74151</v>
      </c>
      <c r="I41" s="6">
        <v>61502</v>
      </c>
      <c r="J41" s="6">
        <v>35411</v>
      </c>
      <c r="K41" s="6">
        <v>15832</v>
      </c>
      <c r="L41" s="6">
        <v>9053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365024</v>
      </c>
      <c r="E42" s="6">
        <v>3368</v>
      </c>
      <c r="F42" s="6">
        <v>36632</v>
      </c>
      <c r="G42" s="6">
        <v>93613</v>
      </c>
      <c r="H42" s="6">
        <v>103432</v>
      </c>
      <c r="I42" s="6">
        <v>70246</v>
      </c>
      <c r="J42" s="6">
        <v>35374</v>
      </c>
      <c r="K42" s="6">
        <v>14599</v>
      </c>
      <c r="L42" s="6">
        <v>7760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2520</v>
      </c>
      <c r="F43" s="6">
        <v>25120</v>
      </c>
      <c r="G43" s="6">
        <v>53003</v>
      </c>
      <c r="H43" s="6">
        <v>46498</v>
      </c>
      <c r="I43" s="6">
        <v>25584</v>
      </c>
      <c r="J43" s="6">
        <v>10843</v>
      </c>
      <c r="K43" s="6">
        <v>4119</v>
      </c>
      <c r="L43" s="6">
        <v>2058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195279</v>
      </c>
      <c r="E44" s="6">
        <v>848</v>
      </c>
      <c r="F44" s="6">
        <v>11512</v>
      </c>
      <c r="G44" s="6">
        <v>40610</v>
      </c>
      <c r="H44" s="6">
        <v>56934</v>
      </c>
      <c r="I44" s="6">
        <v>44662</v>
      </c>
      <c r="J44" s="6">
        <v>24531</v>
      </c>
      <c r="K44" s="6">
        <v>10480</v>
      </c>
      <c r="L44" s="6">
        <v>5702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2889</v>
      </c>
      <c r="F45" s="6">
        <v>27942</v>
      </c>
      <c r="G45" s="6">
        <v>65856</v>
      </c>
      <c r="H45" s="6">
        <v>70002</v>
      </c>
      <c r="I45" s="6">
        <v>46548</v>
      </c>
      <c r="J45" s="6">
        <v>22767</v>
      </c>
      <c r="K45" s="6">
        <v>9360</v>
      </c>
      <c r="L45" s="6">
        <v>4645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2110</v>
      </c>
      <c r="F46" s="6">
        <v>18443</v>
      </c>
      <c r="G46" s="6">
        <v>36259</v>
      </c>
      <c r="H46" s="6">
        <v>31147</v>
      </c>
      <c r="I46" s="6">
        <v>17207</v>
      </c>
      <c r="J46" s="6">
        <v>7269</v>
      </c>
      <c r="K46" s="6">
        <v>2789</v>
      </c>
      <c r="L46" s="6">
        <v>1333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779</v>
      </c>
      <c r="F47" s="6">
        <v>9499</v>
      </c>
      <c r="G47" s="6">
        <v>29597</v>
      </c>
      <c r="H47" s="6">
        <v>38855</v>
      </c>
      <c r="I47" s="6">
        <v>29341</v>
      </c>
      <c r="J47" s="6">
        <v>15498</v>
      </c>
      <c r="K47" s="6">
        <v>6571</v>
      </c>
      <c r="L47" s="6">
        <v>3312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214612</v>
      </c>
      <c r="E48" s="6">
        <v>3374</v>
      </c>
      <c r="F48" s="6">
        <v>27101</v>
      </c>
      <c r="G48" s="6">
        <v>59058</v>
      </c>
      <c r="H48" s="6">
        <v>59012</v>
      </c>
      <c r="I48" s="6">
        <v>37999</v>
      </c>
      <c r="J48" s="6">
        <v>17689</v>
      </c>
      <c r="K48" s="6">
        <v>6876</v>
      </c>
      <c r="L48" s="6">
        <v>3503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2198</v>
      </c>
      <c r="F49" s="6">
        <v>16633</v>
      </c>
      <c r="G49" s="6">
        <v>30476</v>
      </c>
      <c r="H49" s="6">
        <v>25225</v>
      </c>
      <c r="I49" s="6">
        <v>14169</v>
      </c>
      <c r="J49" s="6">
        <v>5991</v>
      </c>
      <c r="K49" s="6">
        <v>2230</v>
      </c>
      <c r="L49" s="6">
        <v>1028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116662</v>
      </c>
      <c r="E50" s="6">
        <v>1176</v>
      </c>
      <c r="F50" s="6">
        <v>10468</v>
      </c>
      <c r="G50" s="6">
        <v>28582</v>
      </c>
      <c r="H50" s="6">
        <v>33787</v>
      </c>
      <c r="I50" s="6">
        <v>23830</v>
      </c>
      <c r="J50" s="6">
        <v>11698</v>
      </c>
      <c r="K50" s="6">
        <v>4646</v>
      </c>
      <c r="L50" s="6">
        <v>2475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41001</v>
      </c>
      <c r="E51" s="6">
        <v>1223</v>
      </c>
      <c r="F51" s="6">
        <v>6622</v>
      </c>
      <c r="G51" s="6">
        <v>11832</v>
      </c>
      <c r="H51" s="6">
        <v>10535</v>
      </c>
      <c r="I51" s="6">
        <v>6367</v>
      </c>
      <c r="J51" s="6">
        <v>2901</v>
      </c>
      <c r="K51" s="6">
        <v>1043</v>
      </c>
      <c r="L51" s="6">
        <v>478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16083</v>
      </c>
      <c r="E52" s="6">
        <v>528</v>
      </c>
      <c r="F52" s="6">
        <v>2897</v>
      </c>
      <c r="G52" s="6">
        <v>4955</v>
      </c>
      <c r="H52" s="6">
        <v>3975</v>
      </c>
      <c r="I52" s="6">
        <v>2267</v>
      </c>
      <c r="J52" s="6">
        <v>973</v>
      </c>
      <c r="K52" s="6">
        <v>326</v>
      </c>
      <c r="L52" s="6">
        <v>162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24918</v>
      </c>
      <c r="E53" s="6">
        <v>695</v>
      </c>
      <c r="F53" s="6">
        <v>3725</v>
      </c>
      <c r="G53" s="6">
        <v>6877</v>
      </c>
      <c r="H53" s="6">
        <v>6560</v>
      </c>
      <c r="I53" s="6">
        <v>4100</v>
      </c>
      <c r="J53" s="6">
        <v>1928</v>
      </c>
      <c r="K53" s="6">
        <v>717</v>
      </c>
      <c r="L53" s="6">
        <v>316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EAAC-F23D-4FF0-9E8F-76EF16FB351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20</v>
      </c>
      <c r="F3" s="5">
        <v>50</v>
      </c>
      <c r="G3" s="5">
        <v>100</v>
      </c>
      <c r="H3" s="5">
        <v>150</v>
      </c>
      <c r="I3" s="5">
        <v>200</v>
      </c>
      <c r="J3" s="5">
        <v>300</v>
      </c>
      <c r="K3" s="5">
        <v>400</v>
      </c>
      <c r="L3" s="5">
        <v>500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50</v>
      </c>
      <c r="F4" s="5">
        <v>100</v>
      </c>
      <c r="G4" s="5">
        <v>150</v>
      </c>
      <c r="H4" s="5">
        <v>200</v>
      </c>
      <c r="I4" s="5">
        <v>300</v>
      </c>
      <c r="J4" s="5">
        <v>400</v>
      </c>
      <c r="K4" s="5">
        <v>500</v>
      </c>
      <c r="L4" s="5">
        <v>1000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130</v>
      </c>
      <c r="F5" s="4" t="s">
        <v>131</v>
      </c>
      <c r="G5" s="4" t="s">
        <v>132</v>
      </c>
      <c r="H5" s="4" t="s">
        <v>133</v>
      </c>
      <c r="I5" s="4" t="s">
        <v>134</v>
      </c>
      <c r="J5" s="4" t="s">
        <v>135</v>
      </c>
      <c r="K5" s="4" t="s">
        <v>136</v>
      </c>
      <c r="L5" s="4" t="s">
        <v>137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6013843</v>
      </c>
      <c r="E6" s="6">
        <v>394970</v>
      </c>
      <c r="F6" s="6">
        <v>2364528</v>
      </c>
      <c r="G6" s="6">
        <v>1650523</v>
      </c>
      <c r="H6" s="6">
        <v>791860</v>
      </c>
      <c r="I6" s="6">
        <v>555064</v>
      </c>
      <c r="J6" s="6">
        <v>152057</v>
      </c>
      <c r="K6" s="6">
        <v>50957</v>
      </c>
      <c r="L6" s="6">
        <v>53884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3306460</v>
      </c>
      <c r="E7" s="6">
        <v>163829</v>
      </c>
      <c r="F7" s="6">
        <v>1105848</v>
      </c>
      <c r="G7" s="6">
        <v>921943</v>
      </c>
      <c r="H7" s="6">
        <v>506900</v>
      </c>
      <c r="I7" s="6">
        <v>398479</v>
      </c>
      <c r="J7" s="6">
        <v>120289</v>
      </c>
      <c r="K7" s="6">
        <v>42388</v>
      </c>
      <c r="L7" s="6">
        <v>46784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2707383</v>
      </c>
      <c r="E8" s="6">
        <v>231141</v>
      </c>
      <c r="F8" s="6">
        <v>1258680</v>
      </c>
      <c r="G8" s="6">
        <v>728580</v>
      </c>
      <c r="H8" s="6">
        <v>284960</v>
      </c>
      <c r="I8" s="6">
        <v>156585</v>
      </c>
      <c r="J8" s="6">
        <v>31768</v>
      </c>
      <c r="K8" s="6">
        <v>8569</v>
      </c>
      <c r="L8" s="6">
        <v>7100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106554</v>
      </c>
      <c r="E12" s="6">
        <v>12448</v>
      </c>
      <c r="F12" s="6">
        <v>50535</v>
      </c>
      <c r="G12" s="6">
        <v>24677</v>
      </c>
      <c r="H12" s="6">
        <v>9862</v>
      </c>
      <c r="I12" s="6">
        <v>6414</v>
      </c>
      <c r="J12" s="6">
        <v>1573</v>
      </c>
      <c r="K12" s="6">
        <v>478</v>
      </c>
      <c r="L12" s="6">
        <v>567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106554</v>
      </c>
      <c r="E13" s="6">
        <v>12448</v>
      </c>
      <c r="F13" s="6">
        <v>50535</v>
      </c>
      <c r="G13" s="6">
        <v>24677</v>
      </c>
      <c r="H13" s="6">
        <v>9862</v>
      </c>
      <c r="I13" s="6">
        <v>6414</v>
      </c>
      <c r="J13" s="6">
        <v>1573</v>
      </c>
      <c r="K13" s="6">
        <v>478</v>
      </c>
      <c r="L13" s="6">
        <v>567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196542</v>
      </c>
      <c r="E15" s="6">
        <v>17037</v>
      </c>
      <c r="F15" s="6">
        <v>83550</v>
      </c>
      <c r="G15" s="6">
        <v>48981</v>
      </c>
      <c r="H15" s="6">
        <v>22341</v>
      </c>
      <c r="I15" s="6">
        <v>16286</v>
      </c>
      <c r="J15" s="6">
        <v>4676</v>
      </c>
      <c r="K15" s="6">
        <v>1622</v>
      </c>
      <c r="L15" s="6">
        <v>2049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196542</v>
      </c>
      <c r="E16" s="6">
        <v>17037</v>
      </c>
      <c r="F16" s="6">
        <v>83550</v>
      </c>
      <c r="G16" s="6">
        <v>48981</v>
      </c>
      <c r="H16" s="6">
        <v>22341</v>
      </c>
      <c r="I16" s="6">
        <v>16286</v>
      </c>
      <c r="J16" s="6">
        <v>4676</v>
      </c>
      <c r="K16" s="6">
        <v>1622</v>
      </c>
      <c r="L16" s="6">
        <v>2049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233705</v>
      </c>
      <c r="E18" s="6">
        <v>14983</v>
      </c>
      <c r="F18" s="6">
        <v>86280</v>
      </c>
      <c r="G18" s="6">
        <v>60549</v>
      </c>
      <c r="H18" s="6">
        <v>32007</v>
      </c>
      <c r="I18" s="6">
        <v>25287</v>
      </c>
      <c r="J18" s="6">
        <v>7884</v>
      </c>
      <c r="K18" s="6">
        <v>2904</v>
      </c>
      <c r="L18" s="6">
        <v>3811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233705</v>
      </c>
      <c r="E19" s="6">
        <v>14983</v>
      </c>
      <c r="F19" s="6">
        <v>86280</v>
      </c>
      <c r="G19" s="6">
        <v>60549</v>
      </c>
      <c r="H19" s="6">
        <v>32007</v>
      </c>
      <c r="I19" s="6">
        <v>25287</v>
      </c>
      <c r="J19" s="6">
        <v>7884</v>
      </c>
      <c r="K19" s="6">
        <v>2904</v>
      </c>
      <c r="L19" s="6">
        <v>3811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213470</v>
      </c>
      <c r="E21" s="6">
        <v>9798</v>
      </c>
      <c r="F21" s="6">
        <v>67686</v>
      </c>
      <c r="G21" s="6">
        <v>56584</v>
      </c>
      <c r="H21" s="6">
        <v>33048</v>
      </c>
      <c r="I21" s="6">
        <v>28469</v>
      </c>
      <c r="J21" s="6">
        <v>9642</v>
      </c>
      <c r="K21" s="6">
        <v>3636</v>
      </c>
      <c r="L21" s="6">
        <v>4607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213470</v>
      </c>
      <c r="E22" s="6">
        <v>9798</v>
      </c>
      <c r="F22" s="6">
        <v>67686</v>
      </c>
      <c r="G22" s="6">
        <v>56584</v>
      </c>
      <c r="H22" s="6">
        <v>33048</v>
      </c>
      <c r="I22" s="6">
        <v>28469</v>
      </c>
      <c r="J22" s="6">
        <v>9642</v>
      </c>
      <c r="K22" s="6">
        <v>3636</v>
      </c>
      <c r="L22" s="6">
        <v>4607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1038866</v>
      </c>
      <c r="E24" s="6">
        <v>83381</v>
      </c>
      <c r="F24" s="6">
        <v>411724</v>
      </c>
      <c r="G24" s="6">
        <v>249037</v>
      </c>
      <c r="H24" s="6">
        <v>128752</v>
      </c>
      <c r="I24" s="6">
        <v>105153</v>
      </c>
      <c r="J24" s="6">
        <v>33576</v>
      </c>
      <c r="K24" s="6">
        <v>12660</v>
      </c>
      <c r="L24" s="6">
        <v>14583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542025</v>
      </c>
      <c r="E25" s="6">
        <v>19557</v>
      </c>
      <c r="F25" s="6">
        <v>146888</v>
      </c>
      <c r="G25" s="6">
        <v>145534</v>
      </c>
      <c r="H25" s="6">
        <v>92787</v>
      </c>
      <c r="I25" s="6">
        <v>84411</v>
      </c>
      <c r="J25" s="6">
        <v>28699</v>
      </c>
      <c r="K25" s="6">
        <v>11154</v>
      </c>
      <c r="L25" s="6">
        <v>12995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496841</v>
      </c>
      <c r="E26" s="6">
        <v>63824</v>
      </c>
      <c r="F26" s="6">
        <v>264836</v>
      </c>
      <c r="G26" s="6">
        <v>103503</v>
      </c>
      <c r="H26" s="6">
        <v>35965</v>
      </c>
      <c r="I26" s="6">
        <v>20742</v>
      </c>
      <c r="J26" s="6">
        <v>4877</v>
      </c>
      <c r="K26" s="6">
        <v>1506</v>
      </c>
      <c r="L26" s="6">
        <v>1588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552937</v>
      </c>
      <c r="E27" s="6">
        <v>37007</v>
      </c>
      <c r="F27" s="6">
        <v>209936</v>
      </c>
      <c r="G27" s="6">
        <v>140680</v>
      </c>
      <c r="H27" s="6">
        <v>74097</v>
      </c>
      <c r="I27" s="6">
        <v>58909</v>
      </c>
      <c r="J27" s="6">
        <v>18436</v>
      </c>
      <c r="K27" s="6">
        <v>6622</v>
      </c>
      <c r="L27" s="6">
        <v>7250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279450</v>
      </c>
      <c r="E28" s="6">
        <v>8409</v>
      </c>
      <c r="F28" s="6">
        <v>71819</v>
      </c>
      <c r="G28" s="6">
        <v>76417</v>
      </c>
      <c r="H28" s="6">
        <v>50252</v>
      </c>
      <c r="I28" s="6">
        <v>45234</v>
      </c>
      <c r="J28" s="6">
        <v>15362</v>
      </c>
      <c r="K28" s="6">
        <v>5642</v>
      </c>
      <c r="L28" s="6">
        <v>6315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273487</v>
      </c>
      <c r="E29" s="6">
        <v>28598</v>
      </c>
      <c r="F29" s="6">
        <v>138117</v>
      </c>
      <c r="G29" s="6">
        <v>64263</v>
      </c>
      <c r="H29" s="6">
        <v>23845</v>
      </c>
      <c r="I29" s="6">
        <v>13675</v>
      </c>
      <c r="J29" s="6">
        <v>3074</v>
      </c>
      <c r="K29" s="6">
        <v>980</v>
      </c>
      <c r="L29" s="6">
        <v>935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592682</v>
      </c>
      <c r="E30" s="6">
        <v>37652</v>
      </c>
      <c r="F30" s="6">
        <v>221518</v>
      </c>
      <c r="G30" s="6">
        <v>158961</v>
      </c>
      <c r="H30" s="6">
        <v>81781</v>
      </c>
      <c r="I30" s="6">
        <v>62067</v>
      </c>
      <c r="J30" s="6">
        <v>18170</v>
      </c>
      <c r="K30" s="6">
        <v>6120</v>
      </c>
      <c r="L30" s="6">
        <v>6413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295219</v>
      </c>
      <c r="E31" s="6">
        <v>9712</v>
      </c>
      <c r="F31" s="6">
        <v>79691</v>
      </c>
      <c r="G31" s="6">
        <v>83421</v>
      </c>
      <c r="H31" s="6">
        <v>52446</v>
      </c>
      <c r="I31" s="6">
        <v>45018</v>
      </c>
      <c r="J31" s="6">
        <v>14386</v>
      </c>
      <c r="K31" s="6">
        <v>5062</v>
      </c>
      <c r="L31" s="6">
        <v>5483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297463</v>
      </c>
      <c r="E32" s="6">
        <v>27940</v>
      </c>
      <c r="F32" s="6">
        <v>141827</v>
      </c>
      <c r="G32" s="6">
        <v>75540</v>
      </c>
      <c r="H32" s="6">
        <v>29335</v>
      </c>
      <c r="I32" s="6">
        <v>17049</v>
      </c>
      <c r="J32" s="6">
        <v>3784</v>
      </c>
      <c r="K32" s="6">
        <v>1058</v>
      </c>
      <c r="L32" s="6">
        <v>930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604265</v>
      </c>
      <c r="E33" s="6">
        <v>37372</v>
      </c>
      <c r="F33" s="6">
        <v>228045</v>
      </c>
      <c r="G33" s="6">
        <v>168398</v>
      </c>
      <c r="H33" s="6">
        <v>83840</v>
      </c>
      <c r="I33" s="6">
        <v>59770</v>
      </c>
      <c r="J33" s="6">
        <v>16278</v>
      </c>
      <c r="K33" s="6">
        <v>5287</v>
      </c>
      <c r="L33" s="6">
        <v>5275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287267</v>
      </c>
      <c r="E34" s="6">
        <v>10507</v>
      </c>
      <c r="F34" s="6">
        <v>84838</v>
      </c>
      <c r="G34" s="6">
        <v>82711</v>
      </c>
      <c r="H34" s="6">
        <v>49043</v>
      </c>
      <c r="I34" s="6">
        <v>39744</v>
      </c>
      <c r="J34" s="6">
        <v>12005</v>
      </c>
      <c r="K34" s="6">
        <v>4157</v>
      </c>
      <c r="L34" s="6">
        <v>4262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316998</v>
      </c>
      <c r="E35" s="6">
        <v>26865</v>
      </c>
      <c r="F35" s="6">
        <v>143207</v>
      </c>
      <c r="G35" s="6">
        <v>85687</v>
      </c>
      <c r="H35" s="6">
        <v>34797</v>
      </c>
      <c r="I35" s="6">
        <v>20026</v>
      </c>
      <c r="J35" s="6">
        <v>4273</v>
      </c>
      <c r="K35" s="6">
        <v>1130</v>
      </c>
      <c r="L35" s="6">
        <v>1013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1119537</v>
      </c>
      <c r="E36" s="6">
        <v>70161</v>
      </c>
      <c r="F36" s="6">
        <v>440859</v>
      </c>
      <c r="G36" s="6">
        <v>323490</v>
      </c>
      <c r="H36" s="6">
        <v>150872</v>
      </c>
      <c r="I36" s="6">
        <v>97253</v>
      </c>
      <c r="J36" s="6">
        <v>23606</v>
      </c>
      <c r="K36" s="6">
        <v>7120</v>
      </c>
      <c r="L36" s="6">
        <v>6176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526186</v>
      </c>
      <c r="E37" s="6">
        <v>24934</v>
      </c>
      <c r="F37" s="6">
        <v>178017</v>
      </c>
      <c r="G37" s="6">
        <v>155054</v>
      </c>
      <c r="H37" s="6">
        <v>82670</v>
      </c>
      <c r="I37" s="6">
        <v>59624</v>
      </c>
      <c r="J37" s="6">
        <v>16033</v>
      </c>
      <c r="K37" s="6">
        <v>5129</v>
      </c>
      <c r="L37" s="6">
        <v>4725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593351</v>
      </c>
      <c r="E38" s="6">
        <v>45227</v>
      </c>
      <c r="F38" s="6">
        <v>262842</v>
      </c>
      <c r="G38" s="6">
        <v>168436</v>
      </c>
      <c r="H38" s="6">
        <v>68202</v>
      </c>
      <c r="I38" s="6">
        <v>37629</v>
      </c>
      <c r="J38" s="6">
        <v>7573</v>
      </c>
      <c r="K38" s="6">
        <v>1991</v>
      </c>
      <c r="L38" s="6">
        <v>1451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484641</v>
      </c>
      <c r="E39" s="6">
        <v>29665</v>
      </c>
      <c r="F39" s="6">
        <v>199069</v>
      </c>
      <c r="G39" s="6">
        <v>145189</v>
      </c>
      <c r="H39" s="6">
        <v>62861</v>
      </c>
      <c r="I39" s="6">
        <v>36638</v>
      </c>
      <c r="J39" s="6">
        <v>7634</v>
      </c>
      <c r="K39" s="6">
        <v>2050</v>
      </c>
      <c r="L39" s="6">
        <v>1535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225707</v>
      </c>
      <c r="E40" s="6">
        <v>12803</v>
      </c>
      <c r="F40" s="6">
        <v>86000</v>
      </c>
      <c r="G40" s="6">
        <v>67429</v>
      </c>
      <c r="H40" s="6">
        <v>32047</v>
      </c>
      <c r="I40" s="6">
        <v>20322</v>
      </c>
      <c r="J40" s="6">
        <v>4680</v>
      </c>
      <c r="K40" s="6">
        <v>1336</v>
      </c>
      <c r="L40" s="6">
        <v>1090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258934</v>
      </c>
      <c r="E41" s="6">
        <v>16862</v>
      </c>
      <c r="F41" s="6">
        <v>113069</v>
      </c>
      <c r="G41" s="6">
        <v>77760</v>
      </c>
      <c r="H41" s="6">
        <v>30814</v>
      </c>
      <c r="I41" s="6">
        <v>16316</v>
      </c>
      <c r="J41" s="6">
        <v>2954</v>
      </c>
      <c r="K41" s="6">
        <v>714</v>
      </c>
      <c r="L41" s="6">
        <v>445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365024</v>
      </c>
      <c r="E42" s="6">
        <v>21110</v>
      </c>
      <c r="F42" s="6">
        <v>152140</v>
      </c>
      <c r="G42" s="6">
        <v>112140</v>
      </c>
      <c r="H42" s="6">
        <v>47139</v>
      </c>
      <c r="I42" s="6">
        <v>25740</v>
      </c>
      <c r="J42" s="6">
        <v>4816</v>
      </c>
      <c r="K42" s="6">
        <v>1127</v>
      </c>
      <c r="L42" s="6">
        <v>812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169745</v>
      </c>
      <c r="E43" s="6">
        <v>10115</v>
      </c>
      <c r="F43" s="6">
        <v>69006</v>
      </c>
      <c r="G43" s="6">
        <v>50884</v>
      </c>
      <c r="H43" s="6">
        <v>22630</v>
      </c>
      <c r="I43" s="6">
        <v>13228</v>
      </c>
      <c r="J43" s="6">
        <v>2722</v>
      </c>
      <c r="K43" s="6">
        <v>656</v>
      </c>
      <c r="L43" s="6">
        <v>504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195279</v>
      </c>
      <c r="E44" s="6">
        <v>10995</v>
      </c>
      <c r="F44" s="6">
        <v>83134</v>
      </c>
      <c r="G44" s="6">
        <v>61256</v>
      </c>
      <c r="H44" s="6">
        <v>24509</v>
      </c>
      <c r="I44" s="6">
        <v>12512</v>
      </c>
      <c r="J44" s="6">
        <v>2094</v>
      </c>
      <c r="K44" s="6">
        <v>471</v>
      </c>
      <c r="L44" s="6">
        <v>308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250009</v>
      </c>
      <c r="E45" s="6">
        <v>13425</v>
      </c>
      <c r="F45" s="6">
        <v>106163</v>
      </c>
      <c r="G45" s="6">
        <v>78277</v>
      </c>
      <c r="H45" s="6">
        <v>31690</v>
      </c>
      <c r="I45" s="6">
        <v>16393</v>
      </c>
      <c r="J45" s="6">
        <v>2961</v>
      </c>
      <c r="K45" s="6">
        <v>690</v>
      </c>
      <c r="L45" s="6">
        <v>410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116557</v>
      </c>
      <c r="E46" s="6">
        <v>7081</v>
      </c>
      <c r="F46" s="6">
        <v>49939</v>
      </c>
      <c r="G46" s="6">
        <v>35256</v>
      </c>
      <c r="H46" s="6">
        <v>14408</v>
      </c>
      <c r="I46" s="6">
        <v>7791</v>
      </c>
      <c r="J46" s="6">
        <v>1497</v>
      </c>
      <c r="K46" s="6">
        <v>364</v>
      </c>
      <c r="L46" s="6">
        <v>221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133452</v>
      </c>
      <c r="E47" s="6">
        <v>6344</v>
      </c>
      <c r="F47" s="6">
        <v>56224</v>
      </c>
      <c r="G47" s="6">
        <v>43021</v>
      </c>
      <c r="H47" s="6">
        <v>17282</v>
      </c>
      <c r="I47" s="6">
        <v>8602</v>
      </c>
      <c r="J47" s="6">
        <v>1464</v>
      </c>
      <c r="K47" s="6">
        <v>326</v>
      </c>
      <c r="L47" s="6">
        <v>189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214611</v>
      </c>
      <c r="E48" s="6">
        <v>9520</v>
      </c>
      <c r="F48" s="6">
        <v>90190</v>
      </c>
      <c r="G48" s="6">
        <v>69555</v>
      </c>
      <c r="H48" s="6">
        <v>28024</v>
      </c>
      <c r="I48" s="6">
        <v>14063</v>
      </c>
      <c r="J48" s="6">
        <v>2381</v>
      </c>
      <c r="K48" s="6">
        <v>552</v>
      </c>
      <c r="L48" s="6">
        <v>326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97950</v>
      </c>
      <c r="E49" s="6">
        <v>5608</v>
      </c>
      <c r="F49" s="6">
        <v>44032</v>
      </c>
      <c r="G49" s="6">
        <v>29496</v>
      </c>
      <c r="H49" s="6">
        <v>11594</v>
      </c>
      <c r="I49" s="6">
        <v>5850</v>
      </c>
      <c r="J49" s="6">
        <v>1001</v>
      </c>
      <c r="K49" s="6">
        <v>229</v>
      </c>
      <c r="L49" s="6">
        <v>140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116661</v>
      </c>
      <c r="E50" s="6">
        <v>3912</v>
      </c>
      <c r="F50" s="6">
        <v>46158</v>
      </c>
      <c r="G50" s="6">
        <v>40059</v>
      </c>
      <c r="H50" s="6">
        <v>16430</v>
      </c>
      <c r="I50" s="6">
        <v>8213</v>
      </c>
      <c r="J50" s="6">
        <v>1380</v>
      </c>
      <c r="K50" s="6">
        <v>323</v>
      </c>
      <c r="L50" s="6">
        <v>186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41000</v>
      </c>
      <c r="E51" s="6">
        <v>1411</v>
      </c>
      <c r="F51" s="6">
        <v>16833</v>
      </c>
      <c r="G51" s="6">
        <v>14005</v>
      </c>
      <c r="H51" s="6">
        <v>5546</v>
      </c>
      <c r="I51" s="6">
        <v>2622</v>
      </c>
      <c r="J51" s="6">
        <v>424</v>
      </c>
      <c r="K51" s="6">
        <v>89</v>
      </c>
      <c r="L51" s="6">
        <v>70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16083</v>
      </c>
      <c r="E52" s="6">
        <v>837</v>
      </c>
      <c r="F52" s="6">
        <v>7567</v>
      </c>
      <c r="G52" s="6">
        <v>4950</v>
      </c>
      <c r="H52" s="6">
        <v>1765</v>
      </c>
      <c r="I52" s="6">
        <v>801</v>
      </c>
      <c r="J52" s="6">
        <v>129</v>
      </c>
      <c r="K52" s="6">
        <v>19</v>
      </c>
      <c r="L52" s="6">
        <v>15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24917</v>
      </c>
      <c r="E53" s="6">
        <v>574</v>
      </c>
      <c r="F53" s="6">
        <v>9266</v>
      </c>
      <c r="G53" s="6">
        <v>9055</v>
      </c>
      <c r="H53" s="6">
        <v>3781</v>
      </c>
      <c r="I53" s="6">
        <v>1821</v>
      </c>
      <c r="J53" s="6">
        <v>295</v>
      </c>
      <c r="K53" s="6">
        <v>70</v>
      </c>
      <c r="L53" s="6">
        <v>55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210E-A64C-4A9A-A759-24444305729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20</v>
      </c>
      <c r="F3" s="5">
        <v>70</v>
      </c>
      <c r="G3" s="5">
        <v>100</v>
      </c>
      <c r="H3" s="5">
        <v>130</v>
      </c>
      <c r="I3" s="5">
        <v>160</v>
      </c>
      <c r="J3" s="5">
        <v>190</v>
      </c>
      <c r="K3" s="5">
        <v>1000000000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70</v>
      </c>
      <c r="F4" s="5">
        <v>100</v>
      </c>
      <c r="G4" s="5">
        <v>130</v>
      </c>
      <c r="H4" s="5">
        <v>160</v>
      </c>
      <c r="I4" s="5">
        <v>190</v>
      </c>
      <c r="J4" s="5">
        <v>300</v>
      </c>
      <c r="K4" s="5">
        <v>2000000000</v>
      </c>
      <c r="L4" s="5">
        <v>2000000000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101</v>
      </c>
      <c r="F5" s="4" t="s">
        <v>139</v>
      </c>
      <c r="G5" s="4" t="s">
        <v>140</v>
      </c>
      <c r="H5" s="4" t="s">
        <v>141</v>
      </c>
      <c r="I5" s="4" t="s">
        <v>142</v>
      </c>
      <c r="J5" s="4" t="s">
        <v>143</v>
      </c>
      <c r="K5" s="4" t="s">
        <v>13</v>
      </c>
      <c r="L5" s="4" t="s">
        <v>13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5899487</v>
      </c>
      <c r="E6" s="6">
        <v>740160</v>
      </c>
      <c r="F6" s="6">
        <v>1414837</v>
      </c>
      <c r="G6" s="6">
        <v>1752478</v>
      </c>
      <c r="H6" s="6">
        <v>1276011</v>
      </c>
      <c r="I6" s="6">
        <v>532762</v>
      </c>
      <c r="J6" s="6">
        <v>183239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3212354</v>
      </c>
      <c r="E7" s="6">
        <v>432039</v>
      </c>
      <c r="F7" s="6">
        <v>744892</v>
      </c>
      <c r="G7" s="6">
        <v>958782</v>
      </c>
      <c r="H7" s="6">
        <v>702280</v>
      </c>
      <c r="I7" s="6">
        <v>284203</v>
      </c>
      <c r="J7" s="6">
        <v>90158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2687133</v>
      </c>
      <c r="E8" s="6">
        <v>308121</v>
      </c>
      <c r="F8" s="6">
        <v>669945</v>
      </c>
      <c r="G8" s="6">
        <v>793696</v>
      </c>
      <c r="H8" s="6">
        <v>573731</v>
      </c>
      <c r="I8" s="6">
        <v>248559</v>
      </c>
      <c r="J8" s="6">
        <v>93081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105453</v>
      </c>
      <c r="E12" s="6">
        <v>8013</v>
      </c>
      <c r="F12" s="6">
        <v>35538</v>
      </c>
      <c r="G12" s="6">
        <v>39225</v>
      </c>
      <c r="H12" s="6">
        <v>17328</v>
      </c>
      <c r="I12" s="6">
        <v>4387</v>
      </c>
      <c r="J12" s="6">
        <v>962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105453</v>
      </c>
      <c r="E13" s="6">
        <v>8013</v>
      </c>
      <c r="F13" s="6">
        <v>35538</v>
      </c>
      <c r="G13" s="6">
        <v>39225</v>
      </c>
      <c r="H13" s="6">
        <v>17328</v>
      </c>
      <c r="I13" s="6">
        <v>4387</v>
      </c>
      <c r="J13" s="6">
        <v>962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192693</v>
      </c>
      <c r="E15" s="6">
        <v>9684</v>
      </c>
      <c r="F15" s="6">
        <v>49638</v>
      </c>
      <c r="G15" s="6">
        <v>74119</v>
      </c>
      <c r="H15" s="6">
        <v>42625</v>
      </c>
      <c r="I15" s="6">
        <v>13221</v>
      </c>
      <c r="J15" s="6">
        <v>3406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192693</v>
      </c>
      <c r="E16" s="6">
        <v>9684</v>
      </c>
      <c r="F16" s="6">
        <v>49638</v>
      </c>
      <c r="G16" s="6">
        <v>74119</v>
      </c>
      <c r="H16" s="6">
        <v>42625</v>
      </c>
      <c r="I16" s="6">
        <v>13221</v>
      </c>
      <c r="J16" s="6">
        <v>3406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226640</v>
      </c>
      <c r="E18" s="6">
        <v>8589</v>
      </c>
      <c r="F18" s="6">
        <v>44726</v>
      </c>
      <c r="G18" s="6">
        <v>83251</v>
      </c>
      <c r="H18" s="6">
        <v>60709</v>
      </c>
      <c r="I18" s="6">
        <v>22712</v>
      </c>
      <c r="J18" s="6">
        <v>6653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226640</v>
      </c>
      <c r="E19" s="6">
        <v>8589</v>
      </c>
      <c r="F19" s="6">
        <v>44726</v>
      </c>
      <c r="G19" s="6">
        <v>83251</v>
      </c>
      <c r="H19" s="6">
        <v>60709</v>
      </c>
      <c r="I19" s="6">
        <v>22712</v>
      </c>
      <c r="J19" s="6">
        <v>6653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204818</v>
      </c>
      <c r="E21" s="6">
        <v>8095</v>
      </c>
      <c r="F21" s="6">
        <v>35064</v>
      </c>
      <c r="G21" s="6">
        <v>70678</v>
      </c>
      <c r="H21" s="6">
        <v>58693</v>
      </c>
      <c r="I21" s="6">
        <v>24472</v>
      </c>
      <c r="J21" s="6">
        <v>7816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204818</v>
      </c>
      <c r="E22" s="6">
        <v>8095</v>
      </c>
      <c r="F22" s="6">
        <v>35064</v>
      </c>
      <c r="G22" s="6">
        <v>70678</v>
      </c>
      <c r="H22" s="6">
        <v>58693</v>
      </c>
      <c r="I22" s="6">
        <v>24472</v>
      </c>
      <c r="J22" s="6">
        <v>7816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1009883</v>
      </c>
      <c r="E24" s="6">
        <v>57097</v>
      </c>
      <c r="F24" s="6">
        <v>209139</v>
      </c>
      <c r="G24" s="6">
        <v>350287</v>
      </c>
      <c r="H24" s="6">
        <v>256932</v>
      </c>
      <c r="I24" s="6">
        <v>102949</v>
      </c>
      <c r="J24" s="6">
        <v>33479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516688</v>
      </c>
      <c r="E25" s="6">
        <v>31590</v>
      </c>
      <c r="F25" s="6">
        <v>86972</v>
      </c>
      <c r="G25" s="6">
        <v>161168</v>
      </c>
      <c r="H25" s="6">
        <v>145644</v>
      </c>
      <c r="I25" s="6">
        <v>67447</v>
      </c>
      <c r="J25" s="6">
        <v>23867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493195</v>
      </c>
      <c r="E26" s="6">
        <v>25507</v>
      </c>
      <c r="F26" s="6">
        <v>122167</v>
      </c>
      <c r="G26" s="6">
        <v>189119</v>
      </c>
      <c r="H26" s="6">
        <v>111288</v>
      </c>
      <c r="I26" s="6">
        <v>35502</v>
      </c>
      <c r="J26" s="6">
        <v>9612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538095</v>
      </c>
      <c r="E27" s="6">
        <v>40204</v>
      </c>
      <c r="F27" s="6">
        <v>108916</v>
      </c>
      <c r="G27" s="6">
        <v>176169</v>
      </c>
      <c r="H27" s="6">
        <v>136831</v>
      </c>
      <c r="I27" s="6">
        <v>57087</v>
      </c>
      <c r="J27" s="6">
        <v>18888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266916</v>
      </c>
      <c r="E28" s="6">
        <v>25418</v>
      </c>
      <c r="F28" s="6">
        <v>51009</v>
      </c>
      <c r="G28" s="6">
        <v>78859</v>
      </c>
      <c r="H28" s="6">
        <v>68955</v>
      </c>
      <c r="I28" s="6">
        <v>31606</v>
      </c>
      <c r="J28" s="6">
        <v>11069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271179</v>
      </c>
      <c r="E29" s="6">
        <v>14786</v>
      </c>
      <c r="F29" s="6">
        <v>57907</v>
      </c>
      <c r="G29" s="6">
        <v>97310</v>
      </c>
      <c r="H29" s="6">
        <v>67876</v>
      </c>
      <c r="I29" s="6">
        <v>25481</v>
      </c>
      <c r="J29" s="6">
        <v>7819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578913</v>
      </c>
      <c r="E30" s="6">
        <v>51783</v>
      </c>
      <c r="F30" s="6">
        <v>111961</v>
      </c>
      <c r="G30" s="6">
        <v>172854</v>
      </c>
      <c r="H30" s="6">
        <v>148024</v>
      </c>
      <c r="I30" s="6">
        <v>68340</v>
      </c>
      <c r="J30" s="6">
        <v>25951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284159</v>
      </c>
      <c r="E31" s="6">
        <v>34296</v>
      </c>
      <c r="F31" s="6">
        <v>59624</v>
      </c>
      <c r="G31" s="6">
        <v>81723</v>
      </c>
      <c r="H31" s="6">
        <v>67667</v>
      </c>
      <c r="I31" s="6">
        <v>30406</v>
      </c>
      <c r="J31" s="6">
        <v>10443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294754</v>
      </c>
      <c r="E32" s="6">
        <v>17487</v>
      </c>
      <c r="F32" s="6">
        <v>52337</v>
      </c>
      <c r="G32" s="6">
        <v>91131</v>
      </c>
      <c r="H32" s="6">
        <v>80357</v>
      </c>
      <c r="I32" s="6">
        <v>37934</v>
      </c>
      <c r="J32" s="6">
        <v>15508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592359</v>
      </c>
      <c r="E33" s="6">
        <v>66225</v>
      </c>
      <c r="F33" s="6">
        <v>122528</v>
      </c>
      <c r="G33" s="6">
        <v>164482</v>
      </c>
      <c r="H33" s="6">
        <v>142560</v>
      </c>
      <c r="I33" s="6">
        <v>69371</v>
      </c>
      <c r="J33" s="6">
        <v>27193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278397</v>
      </c>
      <c r="E34" s="6">
        <v>40496</v>
      </c>
      <c r="F34" s="6">
        <v>63516</v>
      </c>
      <c r="G34" s="6">
        <v>78792</v>
      </c>
      <c r="H34" s="6">
        <v>61153</v>
      </c>
      <c r="I34" s="6">
        <v>26095</v>
      </c>
      <c r="J34" s="6">
        <v>8345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313962</v>
      </c>
      <c r="E35" s="6">
        <v>25729</v>
      </c>
      <c r="F35" s="6">
        <v>59012</v>
      </c>
      <c r="G35" s="6">
        <v>85690</v>
      </c>
      <c r="H35" s="6">
        <v>81407</v>
      </c>
      <c r="I35" s="6">
        <v>43276</v>
      </c>
      <c r="J35" s="6">
        <v>18848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1104318</v>
      </c>
      <c r="E36" s="6">
        <v>170112</v>
      </c>
      <c r="F36" s="6">
        <v>277196</v>
      </c>
      <c r="G36" s="6">
        <v>293773</v>
      </c>
      <c r="H36" s="6">
        <v>224190</v>
      </c>
      <c r="I36" s="6">
        <v>101539</v>
      </c>
      <c r="J36" s="6">
        <v>37508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515636</v>
      </c>
      <c r="E37" s="6">
        <v>97137</v>
      </c>
      <c r="F37" s="6">
        <v>132648</v>
      </c>
      <c r="G37" s="6">
        <v>139712</v>
      </c>
      <c r="H37" s="6">
        <v>97106</v>
      </c>
      <c r="I37" s="6">
        <v>37858</v>
      </c>
      <c r="J37" s="6">
        <v>11175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588682</v>
      </c>
      <c r="E38" s="6">
        <v>72975</v>
      </c>
      <c r="F38" s="6">
        <v>144548</v>
      </c>
      <c r="G38" s="6">
        <v>154061</v>
      </c>
      <c r="H38" s="6">
        <v>127084</v>
      </c>
      <c r="I38" s="6">
        <v>63681</v>
      </c>
      <c r="J38" s="6">
        <v>26333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480464</v>
      </c>
      <c r="E39" s="6">
        <v>96562</v>
      </c>
      <c r="F39" s="6">
        <v>139044</v>
      </c>
      <c r="G39" s="6">
        <v>122178</v>
      </c>
      <c r="H39" s="6">
        <v>79679</v>
      </c>
      <c r="I39" s="6">
        <v>32228</v>
      </c>
      <c r="J39" s="6">
        <v>10773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223073</v>
      </c>
      <c r="E40" s="6">
        <v>53343</v>
      </c>
      <c r="F40" s="6">
        <v>63050</v>
      </c>
      <c r="G40" s="6">
        <v>56857</v>
      </c>
      <c r="H40" s="6">
        <v>34580</v>
      </c>
      <c r="I40" s="6">
        <v>12101</v>
      </c>
      <c r="J40" s="6">
        <v>3142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257391</v>
      </c>
      <c r="E41" s="6">
        <v>43219</v>
      </c>
      <c r="F41" s="6">
        <v>75994</v>
      </c>
      <c r="G41" s="6">
        <v>65321</v>
      </c>
      <c r="H41" s="6">
        <v>45099</v>
      </c>
      <c r="I41" s="6">
        <v>20127</v>
      </c>
      <c r="J41" s="6">
        <v>7631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362736</v>
      </c>
      <c r="E42" s="6">
        <v>87077</v>
      </c>
      <c r="F42" s="6">
        <v>113991</v>
      </c>
      <c r="G42" s="6">
        <v>88336</v>
      </c>
      <c r="H42" s="6">
        <v>49892</v>
      </c>
      <c r="I42" s="6">
        <v>17964</v>
      </c>
      <c r="J42" s="6">
        <v>5476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168438</v>
      </c>
      <c r="E43" s="6">
        <v>46452</v>
      </c>
      <c r="F43" s="6">
        <v>50455</v>
      </c>
      <c r="G43" s="6">
        <v>40913</v>
      </c>
      <c r="H43" s="6">
        <v>22038</v>
      </c>
      <c r="I43" s="6">
        <v>6871</v>
      </c>
      <c r="J43" s="6">
        <v>1709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194298</v>
      </c>
      <c r="E44" s="6">
        <v>40625</v>
      </c>
      <c r="F44" s="6">
        <v>63536</v>
      </c>
      <c r="G44" s="6">
        <v>47423</v>
      </c>
      <c r="H44" s="6">
        <v>27854</v>
      </c>
      <c r="I44" s="6">
        <v>11093</v>
      </c>
      <c r="J44" s="6">
        <v>3767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248708</v>
      </c>
      <c r="E45" s="6">
        <v>64986</v>
      </c>
      <c r="F45" s="6">
        <v>81830</v>
      </c>
      <c r="G45" s="6">
        <v>58640</v>
      </c>
      <c r="H45" s="6">
        <v>30451</v>
      </c>
      <c r="I45" s="6">
        <v>9939</v>
      </c>
      <c r="J45" s="6">
        <v>2862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115883</v>
      </c>
      <c r="E46" s="6">
        <v>33957</v>
      </c>
      <c r="F46" s="6">
        <v>36072</v>
      </c>
      <c r="G46" s="6">
        <v>27263</v>
      </c>
      <c r="H46" s="6">
        <v>13810</v>
      </c>
      <c r="I46" s="6">
        <v>3881</v>
      </c>
      <c r="J46" s="6">
        <v>900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132825</v>
      </c>
      <c r="E47" s="6">
        <v>31029</v>
      </c>
      <c r="F47" s="6">
        <v>45758</v>
      </c>
      <c r="G47" s="6">
        <v>31377</v>
      </c>
      <c r="H47" s="6">
        <v>16641</v>
      </c>
      <c r="I47" s="6">
        <v>6058</v>
      </c>
      <c r="J47" s="6">
        <v>1962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213594</v>
      </c>
      <c r="E48" s="6">
        <v>60286</v>
      </c>
      <c r="F48" s="6">
        <v>71504</v>
      </c>
      <c r="G48" s="6">
        <v>48808</v>
      </c>
      <c r="H48" s="6">
        <v>23766</v>
      </c>
      <c r="I48" s="6">
        <v>7281</v>
      </c>
      <c r="J48" s="6">
        <v>1949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97519</v>
      </c>
      <c r="E49" s="6">
        <v>30061</v>
      </c>
      <c r="F49" s="6">
        <v>31174</v>
      </c>
      <c r="G49" s="6">
        <v>22430</v>
      </c>
      <c r="H49" s="6">
        <v>10477</v>
      </c>
      <c r="I49" s="6">
        <v>2784</v>
      </c>
      <c r="J49" s="6">
        <v>593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116075</v>
      </c>
      <c r="E50" s="6">
        <v>30225</v>
      </c>
      <c r="F50" s="6">
        <v>40330</v>
      </c>
      <c r="G50" s="6">
        <v>26378</v>
      </c>
      <c r="H50" s="6">
        <v>13289</v>
      </c>
      <c r="I50" s="6">
        <v>4497</v>
      </c>
      <c r="J50" s="6">
        <v>1356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40813</v>
      </c>
      <c r="E51" s="6">
        <v>11447</v>
      </c>
      <c r="F51" s="6">
        <v>13762</v>
      </c>
      <c r="G51" s="6">
        <v>9678</v>
      </c>
      <c r="H51" s="6">
        <v>4331</v>
      </c>
      <c r="I51" s="6">
        <v>1272</v>
      </c>
      <c r="J51" s="6">
        <v>323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16041</v>
      </c>
      <c r="E52" s="6">
        <v>4908</v>
      </c>
      <c r="F52" s="6">
        <v>5406</v>
      </c>
      <c r="G52" s="6">
        <v>3792</v>
      </c>
      <c r="H52" s="6">
        <v>1495</v>
      </c>
      <c r="I52" s="6">
        <v>362</v>
      </c>
      <c r="J52" s="6">
        <v>78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24772</v>
      </c>
      <c r="E53" s="6">
        <v>6539</v>
      </c>
      <c r="F53" s="6">
        <v>8356</v>
      </c>
      <c r="G53" s="6">
        <v>5886</v>
      </c>
      <c r="H53" s="6">
        <v>2836</v>
      </c>
      <c r="I53" s="6">
        <v>910</v>
      </c>
      <c r="J53" s="6">
        <v>245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E0ED-57E1-44E8-9A75-568657F8E413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6</v>
      </c>
      <c r="F3" s="5">
        <v>10</v>
      </c>
      <c r="G3" s="5">
        <v>11</v>
      </c>
      <c r="H3" s="5">
        <v>12</v>
      </c>
      <c r="I3" s="5">
        <v>13</v>
      </c>
      <c r="J3" s="5">
        <v>14</v>
      </c>
      <c r="K3" s="5">
        <v>15</v>
      </c>
      <c r="L3" s="5">
        <v>15.6</v>
      </c>
      <c r="M3" s="5">
        <v>16</v>
      </c>
      <c r="N3" s="5">
        <v>16.600000000000001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10</v>
      </c>
      <c r="F4" s="5">
        <v>11</v>
      </c>
      <c r="G4" s="5">
        <v>12</v>
      </c>
      <c r="H4" s="5">
        <v>13</v>
      </c>
      <c r="I4" s="5">
        <v>14</v>
      </c>
      <c r="J4" s="5">
        <v>15</v>
      </c>
      <c r="K4" s="5">
        <v>15.6</v>
      </c>
      <c r="L4" s="5">
        <v>16</v>
      </c>
      <c r="M4" s="5">
        <v>16.600000000000001</v>
      </c>
      <c r="N4" s="5">
        <v>20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145</v>
      </c>
      <c r="F5" s="4" t="s">
        <v>146</v>
      </c>
      <c r="G5" s="4" t="s">
        <v>147</v>
      </c>
      <c r="H5" s="4" t="s">
        <v>148</v>
      </c>
      <c r="I5" s="4" t="s">
        <v>149</v>
      </c>
      <c r="J5" s="4" t="s">
        <v>150</v>
      </c>
      <c r="K5" s="4" t="s">
        <v>151</v>
      </c>
      <c r="L5" s="4" t="s">
        <v>152</v>
      </c>
      <c r="M5" s="4" t="s">
        <v>153</v>
      </c>
      <c r="N5" s="4" t="s">
        <v>154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17516433</v>
      </c>
      <c r="E6" s="6">
        <v>137924</v>
      </c>
      <c r="F6" s="6">
        <v>202748</v>
      </c>
      <c r="G6" s="6">
        <v>678933</v>
      </c>
      <c r="H6" s="6">
        <v>2433849</v>
      </c>
      <c r="I6" s="6">
        <v>4142681</v>
      </c>
      <c r="J6" s="6">
        <v>4100121</v>
      </c>
      <c r="K6" s="6">
        <v>2295965</v>
      </c>
      <c r="L6" s="6">
        <v>1261904</v>
      </c>
      <c r="M6" s="6">
        <v>1289359</v>
      </c>
      <c r="N6" s="6">
        <v>972949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9092941</v>
      </c>
      <c r="E7" s="6">
        <v>18853</v>
      </c>
      <c r="F7" s="6">
        <v>25806</v>
      </c>
      <c r="G7" s="6">
        <v>65987</v>
      </c>
      <c r="H7" s="6">
        <v>213197</v>
      </c>
      <c r="I7" s="6">
        <v>861427</v>
      </c>
      <c r="J7" s="6">
        <v>2467611</v>
      </c>
      <c r="K7" s="6">
        <v>2025227</v>
      </c>
      <c r="L7" s="6">
        <v>1198214</v>
      </c>
      <c r="M7" s="6">
        <v>1255478</v>
      </c>
      <c r="N7" s="6">
        <v>961141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8423492</v>
      </c>
      <c r="E8" s="6">
        <v>119071</v>
      </c>
      <c r="F8" s="6">
        <v>176942</v>
      </c>
      <c r="G8" s="6">
        <v>612946</v>
      </c>
      <c r="H8" s="6">
        <v>2220652</v>
      </c>
      <c r="I8" s="6">
        <v>3281254</v>
      </c>
      <c r="J8" s="6">
        <v>1632510</v>
      </c>
      <c r="K8" s="6">
        <v>270738</v>
      </c>
      <c r="L8" s="6">
        <v>63690</v>
      </c>
      <c r="M8" s="6">
        <v>33881</v>
      </c>
      <c r="N8" s="6">
        <v>11808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29</v>
      </c>
      <c r="F9" s="6">
        <v>65</v>
      </c>
      <c r="G9" s="6">
        <v>285</v>
      </c>
      <c r="H9" s="6">
        <v>878</v>
      </c>
      <c r="I9" s="6">
        <v>1465</v>
      </c>
      <c r="J9" s="6">
        <v>1839</v>
      </c>
      <c r="K9" s="6">
        <v>1572</v>
      </c>
      <c r="L9" s="6">
        <v>958</v>
      </c>
      <c r="M9" s="6">
        <v>990</v>
      </c>
      <c r="N9" s="6">
        <v>573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0</v>
      </c>
      <c r="F10" s="6">
        <v>0</v>
      </c>
      <c r="G10" s="6">
        <v>12</v>
      </c>
      <c r="H10" s="6">
        <v>20</v>
      </c>
      <c r="I10" s="6">
        <v>266</v>
      </c>
      <c r="J10" s="6">
        <v>1388</v>
      </c>
      <c r="K10" s="6">
        <v>1531</v>
      </c>
      <c r="L10" s="6">
        <v>950</v>
      </c>
      <c r="M10" s="6">
        <v>984</v>
      </c>
      <c r="N10" s="6">
        <v>573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29</v>
      </c>
      <c r="F11" s="6">
        <v>65</v>
      </c>
      <c r="G11" s="6">
        <v>273</v>
      </c>
      <c r="H11" s="6">
        <v>858</v>
      </c>
      <c r="I11" s="6">
        <v>1199</v>
      </c>
      <c r="J11" s="6">
        <v>451</v>
      </c>
      <c r="K11" s="6">
        <v>41</v>
      </c>
      <c r="L11" s="6">
        <v>8</v>
      </c>
      <c r="M11" s="6">
        <v>6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544696</v>
      </c>
      <c r="E12" s="6">
        <v>2757</v>
      </c>
      <c r="F12" s="6">
        <v>5237</v>
      </c>
      <c r="G12" s="6">
        <v>22137</v>
      </c>
      <c r="H12" s="6">
        <v>90036</v>
      </c>
      <c r="I12" s="6">
        <v>141608</v>
      </c>
      <c r="J12" s="6">
        <v>105095</v>
      </c>
      <c r="K12" s="6">
        <v>64224</v>
      </c>
      <c r="L12" s="6">
        <v>40266</v>
      </c>
      <c r="M12" s="6">
        <v>44019</v>
      </c>
      <c r="N12" s="6">
        <v>29317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232346</v>
      </c>
      <c r="E13" s="6">
        <v>76</v>
      </c>
      <c r="F13" s="6">
        <v>83</v>
      </c>
      <c r="G13" s="6">
        <v>243</v>
      </c>
      <c r="H13" s="6">
        <v>1159</v>
      </c>
      <c r="I13" s="6">
        <v>9347</v>
      </c>
      <c r="J13" s="6">
        <v>51011</v>
      </c>
      <c r="K13" s="6">
        <v>58306</v>
      </c>
      <c r="L13" s="6">
        <v>39316</v>
      </c>
      <c r="M13" s="6">
        <v>43590</v>
      </c>
      <c r="N13" s="6">
        <v>29215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312350</v>
      </c>
      <c r="E14" s="6">
        <v>2681</v>
      </c>
      <c r="F14" s="6">
        <v>5154</v>
      </c>
      <c r="G14" s="6">
        <v>21894</v>
      </c>
      <c r="H14" s="6">
        <v>88877</v>
      </c>
      <c r="I14" s="6">
        <v>132261</v>
      </c>
      <c r="J14" s="6">
        <v>54084</v>
      </c>
      <c r="K14" s="6">
        <v>5918</v>
      </c>
      <c r="L14" s="6">
        <v>950</v>
      </c>
      <c r="M14" s="6">
        <v>429</v>
      </c>
      <c r="N14" s="6">
        <v>102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1205367</v>
      </c>
      <c r="E15" s="6">
        <v>4447</v>
      </c>
      <c r="F15" s="6">
        <v>8362</v>
      </c>
      <c r="G15" s="6">
        <v>34729</v>
      </c>
      <c r="H15" s="6">
        <v>161620</v>
      </c>
      <c r="I15" s="6">
        <v>277118</v>
      </c>
      <c r="J15" s="6">
        <v>253028</v>
      </c>
      <c r="K15" s="6">
        <v>173324</v>
      </c>
      <c r="L15" s="6">
        <v>107111</v>
      </c>
      <c r="M15" s="6">
        <v>112178</v>
      </c>
      <c r="N15" s="6">
        <v>73450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626975</v>
      </c>
      <c r="E16" s="6">
        <v>236</v>
      </c>
      <c r="F16" s="6">
        <v>196</v>
      </c>
      <c r="G16" s="6">
        <v>571</v>
      </c>
      <c r="H16" s="6">
        <v>2746</v>
      </c>
      <c r="I16" s="6">
        <v>26144</v>
      </c>
      <c r="J16" s="6">
        <v>146673</v>
      </c>
      <c r="K16" s="6">
        <v>160915</v>
      </c>
      <c r="L16" s="6">
        <v>104934</v>
      </c>
      <c r="M16" s="6">
        <v>111358</v>
      </c>
      <c r="N16" s="6">
        <v>73202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578392</v>
      </c>
      <c r="E17" s="6">
        <v>4211</v>
      </c>
      <c r="F17" s="6">
        <v>8166</v>
      </c>
      <c r="G17" s="6">
        <v>34158</v>
      </c>
      <c r="H17" s="6">
        <v>158874</v>
      </c>
      <c r="I17" s="6">
        <v>250974</v>
      </c>
      <c r="J17" s="6">
        <v>106355</v>
      </c>
      <c r="K17" s="6">
        <v>12409</v>
      </c>
      <c r="L17" s="6">
        <v>2177</v>
      </c>
      <c r="M17" s="6">
        <v>820</v>
      </c>
      <c r="N17" s="6">
        <v>248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1640802</v>
      </c>
      <c r="E18" s="6">
        <v>7367</v>
      </c>
      <c r="F18" s="6">
        <v>13045</v>
      </c>
      <c r="G18" s="6">
        <v>48227</v>
      </c>
      <c r="H18" s="6">
        <v>197454</v>
      </c>
      <c r="I18" s="6">
        <v>342099</v>
      </c>
      <c r="J18" s="6">
        <v>358557</v>
      </c>
      <c r="K18" s="6">
        <v>252394</v>
      </c>
      <c r="L18" s="6">
        <v>152801</v>
      </c>
      <c r="M18" s="6">
        <v>159734</v>
      </c>
      <c r="N18" s="6">
        <v>109124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923357</v>
      </c>
      <c r="E19" s="6">
        <v>492</v>
      </c>
      <c r="F19" s="6">
        <v>418</v>
      </c>
      <c r="G19" s="6">
        <v>978</v>
      </c>
      <c r="H19" s="6">
        <v>4225</v>
      </c>
      <c r="I19" s="6">
        <v>41834</v>
      </c>
      <c r="J19" s="6">
        <v>223909</v>
      </c>
      <c r="K19" s="6">
        <v>235108</v>
      </c>
      <c r="L19" s="6">
        <v>149475</v>
      </c>
      <c r="M19" s="6">
        <v>158209</v>
      </c>
      <c r="N19" s="6">
        <v>108709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717445</v>
      </c>
      <c r="E20" s="6">
        <v>6875</v>
      </c>
      <c r="F20" s="6">
        <v>12627</v>
      </c>
      <c r="G20" s="6">
        <v>47249</v>
      </c>
      <c r="H20" s="6">
        <v>193229</v>
      </c>
      <c r="I20" s="6">
        <v>300265</v>
      </c>
      <c r="J20" s="6">
        <v>134648</v>
      </c>
      <c r="K20" s="6">
        <v>17286</v>
      </c>
      <c r="L20" s="6">
        <v>3326</v>
      </c>
      <c r="M20" s="6">
        <v>1525</v>
      </c>
      <c r="N20" s="6">
        <v>415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1300943</v>
      </c>
      <c r="E21" s="6">
        <v>10530</v>
      </c>
      <c r="F21" s="6">
        <v>14691</v>
      </c>
      <c r="G21" s="6">
        <v>43421</v>
      </c>
      <c r="H21" s="6">
        <v>149240</v>
      </c>
      <c r="I21" s="6">
        <v>247655</v>
      </c>
      <c r="J21" s="6">
        <v>286207</v>
      </c>
      <c r="K21" s="6">
        <v>205284</v>
      </c>
      <c r="L21" s="6">
        <v>122939</v>
      </c>
      <c r="M21" s="6">
        <v>128838</v>
      </c>
      <c r="N21" s="6">
        <v>92138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771704</v>
      </c>
      <c r="E22" s="6">
        <v>620</v>
      </c>
      <c r="F22" s="6">
        <v>492</v>
      </c>
      <c r="G22" s="6">
        <v>958</v>
      </c>
      <c r="H22" s="6">
        <v>4326</v>
      </c>
      <c r="I22" s="6">
        <v>39648</v>
      </c>
      <c r="J22" s="6">
        <v>193637</v>
      </c>
      <c r="K22" s="6">
        <v>192418</v>
      </c>
      <c r="L22" s="6">
        <v>120244</v>
      </c>
      <c r="M22" s="6">
        <v>127586</v>
      </c>
      <c r="N22" s="6">
        <v>91775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529239</v>
      </c>
      <c r="E23" s="6">
        <v>9910</v>
      </c>
      <c r="F23" s="6">
        <v>14199</v>
      </c>
      <c r="G23" s="6">
        <v>42463</v>
      </c>
      <c r="H23" s="6">
        <v>144914</v>
      </c>
      <c r="I23" s="6">
        <v>208007</v>
      </c>
      <c r="J23" s="6">
        <v>92570</v>
      </c>
      <c r="K23" s="6">
        <v>12866</v>
      </c>
      <c r="L23" s="6">
        <v>2695</v>
      </c>
      <c r="M23" s="6">
        <v>1252</v>
      </c>
      <c r="N23" s="6">
        <v>363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1998831</v>
      </c>
      <c r="E24" s="6">
        <v>30125</v>
      </c>
      <c r="F24" s="6">
        <v>34509</v>
      </c>
      <c r="G24" s="6">
        <v>82841</v>
      </c>
      <c r="H24" s="6">
        <v>247244</v>
      </c>
      <c r="I24" s="6">
        <v>390423</v>
      </c>
      <c r="J24" s="6">
        <v>427854</v>
      </c>
      <c r="K24" s="6">
        <v>286326</v>
      </c>
      <c r="L24" s="6">
        <v>168907</v>
      </c>
      <c r="M24" s="6">
        <v>181714</v>
      </c>
      <c r="N24" s="6">
        <v>148888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1102905</v>
      </c>
      <c r="E25" s="6">
        <v>1020</v>
      </c>
      <c r="F25" s="6">
        <v>930</v>
      </c>
      <c r="G25" s="6">
        <v>1904</v>
      </c>
      <c r="H25" s="6">
        <v>7858</v>
      </c>
      <c r="I25" s="6">
        <v>64107</v>
      </c>
      <c r="J25" s="6">
        <v>274970</v>
      </c>
      <c r="K25" s="6">
        <v>261917</v>
      </c>
      <c r="L25" s="6">
        <v>163349</v>
      </c>
      <c r="M25" s="6">
        <v>178916</v>
      </c>
      <c r="N25" s="6">
        <v>147934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895926</v>
      </c>
      <c r="E26" s="6">
        <v>29105</v>
      </c>
      <c r="F26" s="6">
        <v>33579</v>
      </c>
      <c r="G26" s="6">
        <v>80937</v>
      </c>
      <c r="H26" s="6">
        <v>239386</v>
      </c>
      <c r="I26" s="6">
        <v>326316</v>
      </c>
      <c r="J26" s="6">
        <v>152884</v>
      </c>
      <c r="K26" s="6">
        <v>24409</v>
      </c>
      <c r="L26" s="6">
        <v>5558</v>
      </c>
      <c r="M26" s="6">
        <v>2798</v>
      </c>
      <c r="N26" s="6">
        <v>954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1608588</v>
      </c>
      <c r="E27" s="6">
        <v>27878</v>
      </c>
      <c r="F27" s="6">
        <v>29043</v>
      </c>
      <c r="G27" s="6">
        <v>67413</v>
      </c>
      <c r="H27" s="6">
        <v>195147</v>
      </c>
      <c r="I27" s="6">
        <v>318466</v>
      </c>
      <c r="J27" s="6">
        <v>361935</v>
      </c>
      <c r="K27" s="6">
        <v>229622</v>
      </c>
      <c r="L27" s="6">
        <v>130408</v>
      </c>
      <c r="M27" s="6">
        <v>136981</v>
      </c>
      <c r="N27" s="6">
        <v>111695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894030</v>
      </c>
      <c r="E28" s="6">
        <v>1035</v>
      </c>
      <c r="F28" s="6">
        <v>921</v>
      </c>
      <c r="G28" s="6">
        <v>2083</v>
      </c>
      <c r="H28" s="6">
        <v>8798</v>
      </c>
      <c r="I28" s="6">
        <v>64047</v>
      </c>
      <c r="J28" s="6">
        <v>237638</v>
      </c>
      <c r="K28" s="6">
        <v>208795</v>
      </c>
      <c r="L28" s="6">
        <v>125531</v>
      </c>
      <c r="M28" s="6">
        <v>134377</v>
      </c>
      <c r="N28" s="6">
        <v>110805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714558</v>
      </c>
      <c r="E29" s="6">
        <v>26843</v>
      </c>
      <c r="F29" s="6">
        <v>28122</v>
      </c>
      <c r="G29" s="6">
        <v>65330</v>
      </c>
      <c r="H29" s="6">
        <v>186349</v>
      </c>
      <c r="I29" s="6">
        <v>254419</v>
      </c>
      <c r="J29" s="6">
        <v>124297</v>
      </c>
      <c r="K29" s="6">
        <v>20827</v>
      </c>
      <c r="L29" s="6">
        <v>4877</v>
      </c>
      <c r="M29" s="6">
        <v>2604</v>
      </c>
      <c r="N29" s="6">
        <v>890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2173209</v>
      </c>
      <c r="E30" s="6">
        <v>18354</v>
      </c>
      <c r="F30" s="6">
        <v>20375</v>
      </c>
      <c r="G30" s="6">
        <v>65170</v>
      </c>
      <c r="H30" s="6">
        <v>268598</v>
      </c>
      <c r="I30" s="6">
        <v>505390</v>
      </c>
      <c r="J30" s="6">
        <v>536991</v>
      </c>
      <c r="K30" s="6">
        <v>295865</v>
      </c>
      <c r="L30" s="6">
        <v>160879</v>
      </c>
      <c r="M30" s="6">
        <v>165361</v>
      </c>
      <c r="N30" s="6">
        <v>136226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1122428</v>
      </c>
      <c r="E31" s="6">
        <v>1416</v>
      </c>
      <c r="F31" s="6">
        <v>1482</v>
      </c>
      <c r="G31" s="6">
        <v>3417</v>
      </c>
      <c r="H31" s="6">
        <v>15175</v>
      </c>
      <c r="I31" s="6">
        <v>94649</v>
      </c>
      <c r="J31" s="6">
        <v>308814</v>
      </c>
      <c r="K31" s="6">
        <v>253435</v>
      </c>
      <c r="L31" s="6">
        <v>150323</v>
      </c>
      <c r="M31" s="6">
        <v>159522</v>
      </c>
      <c r="N31" s="6">
        <v>134195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1050781</v>
      </c>
      <c r="E32" s="6">
        <v>16938</v>
      </c>
      <c r="F32" s="6">
        <v>18893</v>
      </c>
      <c r="G32" s="6">
        <v>61753</v>
      </c>
      <c r="H32" s="6">
        <v>253423</v>
      </c>
      <c r="I32" s="6">
        <v>410741</v>
      </c>
      <c r="J32" s="6">
        <v>228177</v>
      </c>
      <c r="K32" s="6">
        <v>42430</v>
      </c>
      <c r="L32" s="6">
        <v>10556</v>
      </c>
      <c r="M32" s="6">
        <v>5839</v>
      </c>
      <c r="N32" s="6">
        <v>2031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1752025</v>
      </c>
      <c r="E33" s="6">
        <v>3347</v>
      </c>
      <c r="F33" s="6">
        <v>5898</v>
      </c>
      <c r="G33" s="6">
        <v>40893</v>
      </c>
      <c r="H33" s="6">
        <v>226171</v>
      </c>
      <c r="I33" s="6">
        <v>453751</v>
      </c>
      <c r="J33" s="6">
        <v>462812</v>
      </c>
      <c r="K33" s="6">
        <v>231684</v>
      </c>
      <c r="L33" s="6">
        <v>118522</v>
      </c>
      <c r="M33" s="6">
        <v>118064</v>
      </c>
      <c r="N33" s="6">
        <v>90883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882138</v>
      </c>
      <c r="E34" s="6">
        <v>1370</v>
      </c>
      <c r="F34" s="6">
        <v>1566</v>
      </c>
      <c r="G34" s="6">
        <v>4007</v>
      </c>
      <c r="H34" s="6">
        <v>17197</v>
      </c>
      <c r="I34" s="6">
        <v>91812</v>
      </c>
      <c r="J34" s="6">
        <v>260479</v>
      </c>
      <c r="K34" s="6">
        <v>194417</v>
      </c>
      <c r="L34" s="6">
        <v>109103</v>
      </c>
      <c r="M34" s="6">
        <v>113005</v>
      </c>
      <c r="N34" s="6">
        <v>89182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869887</v>
      </c>
      <c r="E35" s="6">
        <v>1977</v>
      </c>
      <c r="F35" s="6">
        <v>4332</v>
      </c>
      <c r="G35" s="6">
        <v>36886</v>
      </c>
      <c r="H35" s="6">
        <v>208974</v>
      </c>
      <c r="I35" s="6">
        <v>361939</v>
      </c>
      <c r="J35" s="6">
        <v>202333</v>
      </c>
      <c r="K35" s="6">
        <v>37267</v>
      </c>
      <c r="L35" s="6">
        <v>9419</v>
      </c>
      <c r="M35" s="6">
        <v>5059</v>
      </c>
      <c r="N35" s="6">
        <v>1701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1974511</v>
      </c>
      <c r="E36" s="6">
        <v>4182</v>
      </c>
      <c r="F36" s="6">
        <v>8973</v>
      </c>
      <c r="G36" s="6">
        <v>57043</v>
      </c>
      <c r="H36" s="6">
        <v>280874</v>
      </c>
      <c r="I36" s="6">
        <v>538602</v>
      </c>
      <c r="J36" s="6">
        <v>521214</v>
      </c>
      <c r="K36" s="6">
        <v>241775</v>
      </c>
      <c r="L36" s="6">
        <v>118839</v>
      </c>
      <c r="M36" s="6">
        <v>114585</v>
      </c>
      <c r="N36" s="6">
        <v>88424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951132</v>
      </c>
      <c r="E37" s="6">
        <v>1920</v>
      </c>
      <c r="F37" s="6">
        <v>2558</v>
      </c>
      <c r="G37" s="6">
        <v>6810</v>
      </c>
      <c r="H37" s="6">
        <v>27465</v>
      </c>
      <c r="I37" s="6">
        <v>120898</v>
      </c>
      <c r="J37" s="6">
        <v>289402</v>
      </c>
      <c r="K37" s="6">
        <v>198937</v>
      </c>
      <c r="L37" s="6">
        <v>108204</v>
      </c>
      <c r="M37" s="6">
        <v>108675</v>
      </c>
      <c r="N37" s="6">
        <v>86263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1023379</v>
      </c>
      <c r="E38" s="6">
        <v>2262</v>
      </c>
      <c r="F38" s="6">
        <v>6415</v>
      </c>
      <c r="G38" s="6">
        <v>50233</v>
      </c>
      <c r="H38" s="6">
        <v>253409</v>
      </c>
      <c r="I38" s="6">
        <v>417704</v>
      </c>
      <c r="J38" s="6">
        <v>231812</v>
      </c>
      <c r="K38" s="6">
        <v>42838</v>
      </c>
      <c r="L38" s="6">
        <v>10635</v>
      </c>
      <c r="M38" s="6">
        <v>5910</v>
      </c>
      <c r="N38" s="6">
        <v>2161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1284633</v>
      </c>
      <c r="E39" s="6">
        <v>4219</v>
      </c>
      <c r="F39" s="6">
        <v>9661</v>
      </c>
      <c r="G39" s="6">
        <v>51350</v>
      </c>
      <c r="H39" s="6">
        <v>206780</v>
      </c>
      <c r="I39" s="6">
        <v>359782</v>
      </c>
      <c r="J39" s="6">
        <v>331071</v>
      </c>
      <c r="K39" s="6">
        <v>144440</v>
      </c>
      <c r="L39" s="6">
        <v>67356</v>
      </c>
      <c r="M39" s="6">
        <v>62929</v>
      </c>
      <c r="N39" s="6">
        <v>47045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626952</v>
      </c>
      <c r="E40" s="6">
        <v>1943</v>
      </c>
      <c r="F40" s="6">
        <v>2751</v>
      </c>
      <c r="G40" s="6">
        <v>7708</v>
      </c>
      <c r="H40" s="6">
        <v>28509</v>
      </c>
      <c r="I40" s="6">
        <v>101124</v>
      </c>
      <c r="J40" s="6">
        <v>197712</v>
      </c>
      <c r="K40" s="6">
        <v>120442</v>
      </c>
      <c r="L40" s="6">
        <v>61344</v>
      </c>
      <c r="M40" s="6">
        <v>59590</v>
      </c>
      <c r="N40" s="6">
        <v>45829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657681</v>
      </c>
      <c r="E41" s="6">
        <v>2276</v>
      </c>
      <c r="F41" s="6">
        <v>6910</v>
      </c>
      <c r="G41" s="6">
        <v>43642</v>
      </c>
      <c r="H41" s="6">
        <v>178271</v>
      </c>
      <c r="I41" s="6">
        <v>258658</v>
      </c>
      <c r="J41" s="6">
        <v>133359</v>
      </c>
      <c r="K41" s="6">
        <v>23998</v>
      </c>
      <c r="L41" s="6">
        <v>6012</v>
      </c>
      <c r="M41" s="6">
        <v>3339</v>
      </c>
      <c r="N41" s="6">
        <v>1216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1083945</v>
      </c>
      <c r="E42" s="6">
        <v>6347</v>
      </c>
      <c r="F42" s="6">
        <v>14925</v>
      </c>
      <c r="G42" s="6">
        <v>61740</v>
      </c>
      <c r="H42" s="6">
        <v>196636</v>
      </c>
      <c r="I42" s="6">
        <v>309633</v>
      </c>
      <c r="J42" s="6">
        <v>267086</v>
      </c>
      <c r="K42" s="6">
        <v>106579</v>
      </c>
      <c r="L42" s="6">
        <v>47433</v>
      </c>
      <c r="M42" s="6">
        <v>42508</v>
      </c>
      <c r="N42" s="6">
        <v>31058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515586</v>
      </c>
      <c r="E43" s="6">
        <v>2680</v>
      </c>
      <c r="F43" s="6">
        <v>4133</v>
      </c>
      <c r="G43" s="6">
        <v>11485</v>
      </c>
      <c r="H43" s="6">
        <v>36105</v>
      </c>
      <c r="I43" s="6">
        <v>100054</v>
      </c>
      <c r="J43" s="6">
        <v>161283</v>
      </c>
      <c r="K43" s="6">
        <v>87446</v>
      </c>
      <c r="L43" s="6">
        <v>42673</v>
      </c>
      <c r="M43" s="6">
        <v>39752</v>
      </c>
      <c r="N43" s="6">
        <v>29975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568359</v>
      </c>
      <c r="E44" s="6">
        <v>3667</v>
      </c>
      <c r="F44" s="6">
        <v>10792</v>
      </c>
      <c r="G44" s="6">
        <v>50255</v>
      </c>
      <c r="H44" s="6">
        <v>160531</v>
      </c>
      <c r="I44" s="6">
        <v>209579</v>
      </c>
      <c r="J44" s="6">
        <v>105803</v>
      </c>
      <c r="K44" s="6">
        <v>19133</v>
      </c>
      <c r="L44" s="6">
        <v>4760</v>
      </c>
      <c r="M44" s="6">
        <v>2756</v>
      </c>
      <c r="N44" s="6">
        <v>1083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475556</v>
      </c>
      <c r="E45" s="6">
        <v>4851</v>
      </c>
      <c r="F45" s="6">
        <v>11694</v>
      </c>
      <c r="G45" s="6">
        <v>39948</v>
      </c>
      <c r="H45" s="6">
        <v>99970</v>
      </c>
      <c r="I45" s="6">
        <v>135978</v>
      </c>
      <c r="J45" s="6">
        <v>106548</v>
      </c>
      <c r="K45" s="6">
        <v>37865</v>
      </c>
      <c r="L45" s="6">
        <v>15832</v>
      </c>
      <c r="M45" s="6">
        <v>13644</v>
      </c>
      <c r="N45" s="6">
        <v>9226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228793</v>
      </c>
      <c r="E46" s="6">
        <v>1945</v>
      </c>
      <c r="F46" s="6">
        <v>3308</v>
      </c>
      <c r="G46" s="6">
        <v>9090</v>
      </c>
      <c r="H46" s="6">
        <v>24877</v>
      </c>
      <c r="I46" s="6">
        <v>53758</v>
      </c>
      <c r="J46" s="6">
        <v>68651</v>
      </c>
      <c r="K46" s="6">
        <v>31326</v>
      </c>
      <c r="L46" s="6">
        <v>14231</v>
      </c>
      <c r="M46" s="6">
        <v>12741</v>
      </c>
      <c r="N46" s="6">
        <v>8866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246763</v>
      </c>
      <c r="E47" s="6">
        <v>2906</v>
      </c>
      <c r="F47" s="6">
        <v>8386</v>
      </c>
      <c r="G47" s="6">
        <v>30858</v>
      </c>
      <c r="H47" s="6">
        <v>75093</v>
      </c>
      <c r="I47" s="6">
        <v>82220</v>
      </c>
      <c r="J47" s="6">
        <v>37897</v>
      </c>
      <c r="K47" s="6">
        <v>6539</v>
      </c>
      <c r="L47" s="6">
        <v>1601</v>
      </c>
      <c r="M47" s="6">
        <v>903</v>
      </c>
      <c r="N47" s="6">
        <v>360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356857</v>
      </c>
      <c r="E48" s="6">
        <v>7393</v>
      </c>
      <c r="F48" s="6">
        <v>16531</v>
      </c>
      <c r="G48" s="6">
        <v>44420</v>
      </c>
      <c r="H48" s="6">
        <v>85828</v>
      </c>
      <c r="I48" s="6">
        <v>96294</v>
      </c>
      <c r="J48" s="6">
        <v>65930</v>
      </c>
      <c r="K48" s="6">
        <v>21100</v>
      </c>
      <c r="L48" s="6">
        <v>8362</v>
      </c>
      <c r="M48" s="6">
        <v>6737</v>
      </c>
      <c r="N48" s="6">
        <v>4262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164363</v>
      </c>
      <c r="E49" s="6">
        <v>2607</v>
      </c>
      <c r="F49" s="6">
        <v>4526</v>
      </c>
      <c r="G49" s="6">
        <v>11412</v>
      </c>
      <c r="H49" s="6">
        <v>25538</v>
      </c>
      <c r="I49" s="6">
        <v>42270</v>
      </c>
      <c r="J49" s="6">
        <v>43099</v>
      </c>
      <c r="K49" s="6">
        <v>17215</v>
      </c>
      <c r="L49" s="6">
        <v>7440</v>
      </c>
      <c r="M49" s="6">
        <v>6217</v>
      </c>
      <c r="N49" s="6">
        <v>4039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192494</v>
      </c>
      <c r="E50" s="6">
        <v>4786</v>
      </c>
      <c r="F50" s="6">
        <v>12005</v>
      </c>
      <c r="G50" s="6">
        <v>33008</v>
      </c>
      <c r="H50" s="6">
        <v>60290</v>
      </c>
      <c r="I50" s="6">
        <v>54024</v>
      </c>
      <c r="J50" s="6">
        <v>22831</v>
      </c>
      <c r="K50" s="6">
        <v>3885</v>
      </c>
      <c r="L50" s="6">
        <v>922</v>
      </c>
      <c r="M50" s="6">
        <v>520</v>
      </c>
      <c r="N50" s="6">
        <v>223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107816</v>
      </c>
      <c r="E51" s="6">
        <v>6098</v>
      </c>
      <c r="F51" s="6">
        <v>9739</v>
      </c>
      <c r="G51" s="6">
        <v>19316</v>
      </c>
      <c r="H51" s="6">
        <v>27373</v>
      </c>
      <c r="I51" s="6">
        <v>24417</v>
      </c>
      <c r="J51" s="6">
        <v>13954</v>
      </c>
      <c r="K51" s="6">
        <v>3911</v>
      </c>
      <c r="L51" s="6">
        <v>1291</v>
      </c>
      <c r="M51" s="6">
        <v>1077</v>
      </c>
      <c r="N51" s="6">
        <v>640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44508</v>
      </c>
      <c r="E52" s="6">
        <v>1493</v>
      </c>
      <c r="F52" s="6">
        <v>2442</v>
      </c>
      <c r="G52" s="6">
        <v>5309</v>
      </c>
      <c r="H52" s="6">
        <v>9199</v>
      </c>
      <c r="I52" s="6">
        <v>11469</v>
      </c>
      <c r="J52" s="6">
        <v>8945</v>
      </c>
      <c r="K52" s="6">
        <v>3019</v>
      </c>
      <c r="L52" s="6">
        <v>1097</v>
      </c>
      <c r="M52" s="6">
        <v>956</v>
      </c>
      <c r="N52" s="6">
        <v>579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63308</v>
      </c>
      <c r="E53" s="6">
        <v>4605</v>
      </c>
      <c r="F53" s="6">
        <v>7297</v>
      </c>
      <c r="G53" s="6">
        <v>14007</v>
      </c>
      <c r="H53" s="6">
        <v>18174</v>
      </c>
      <c r="I53" s="6">
        <v>12948</v>
      </c>
      <c r="J53" s="6">
        <v>5009</v>
      </c>
      <c r="K53" s="6">
        <v>892</v>
      </c>
      <c r="L53" s="6">
        <v>194</v>
      </c>
      <c r="M53" s="6">
        <v>121</v>
      </c>
      <c r="N53" s="6">
        <v>61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7A47-A7FB-4E73-A92C-505E89A324AD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0.3</v>
      </c>
      <c r="F3" s="5">
        <v>0.9</v>
      </c>
      <c r="G3" s="5">
        <v>1.1000000000000001</v>
      </c>
      <c r="H3" s="5">
        <v>1.3</v>
      </c>
      <c r="I3" s="5">
        <v>1.5</v>
      </c>
      <c r="J3" s="5">
        <v>1.7</v>
      </c>
      <c r="K3" s="5">
        <v>1.9</v>
      </c>
      <c r="L3" s="5">
        <v>2.1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0.9</v>
      </c>
      <c r="F4" s="5">
        <v>1.1000000000000001</v>
      </c>
      <c r="G4" s="5">
        <v>1.3</v>
      </c>
      <c r="H4" s="5">
        <v>1.5</v>
      </c>
      <c r="I4" s="5">
        <v>1.7</v>
      </c>
      <c r="J4" s="5">
        <v>1.9</v>
      </c>
      <c r="K4" s="5">
        <v>2.1</v>
      </c>
      <c r="L4" s="5">
        <v>5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156</v>
      </c>
      <c r="F5" s="4" t="s">
        <v>157</v>
      </c>
      <c r="G5" s="4" t="s">
        <v>158</v>
      </c>
      <c r="H5" s="4" t="s">
        <v>159</v>
      </c>
      <c r="I5" s="4" t="s">
        <v>160</v>
      </c>
      <c r="J5" s="4" t="s">
        <v>161</v>
      </c>
      <c r="K5" s="4" t="s">
        <v>162</v>
      </c>
      <c r="L5" s="4" t="s">
        <v>163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17516863</v>
      </c>
      <c r="E6" s="6">
        <v>9759710</v>
      </c>
      <c r="F6" s="6">
        <v>5289296</v>
      </c>
      <c r="G6" s="6">
        <v>1966209</v>
      </c>
      <c r="H6" s="6">
        <v>356942</v>
      </c>
      <c r="I6" s="6">
        <v>68286</v>
      </c>
      <c r="J6" s="6">
        <v>24492</v>
      </c>
      <c r="K6" s="6">
        <v>12116</v>
      </c>
      <c r="L6" s="6">
        <v>39812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9093256</v>
      </c>
      <c r="E7" s="6">
        <v>2570349</v>
      </c>
      <c r="F7" s="6">
        <v>4219131</v>
      </c>
      <c r="G7" s="6">
        <v>1852322</v>
      </c>
      <c r="H7" s="6">
        <v>333912</v>
      </c>
      <c r="I7" s="6">
        <v>59491</v>
      </c>
      <c r="J7" s="6">
        <v>20277</v>
      </c>
      <c r="K7" s="6">
        <v>9677</v>
      </c>
      <c r="L7" s="6">
        <v>28097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8423607</v>
      </c>
      <c r="E8" s="6">
        <v>7189361</v>
      </c>
      <c r="F8" s="6">
        <v>1070165</v>
      </c>
      <c r="G8" s="6">
        <v>113887</v>
      </c>
      <c r="H8" s="6">
        <v>23030</v>
      </c>
      <c r="I8" s="6">
        <v>8795</v>
      </c>
      <c r="J8" s="6">
        <v>4215</v>
      </c>
      <c r="K8" s="6">
        <v>2439</v>
      </c>
      <c r="L8" s="6">
        <v>11715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4716</v>
      </c>
      <c r="F9" s="6">
        <v>3121</v>
      </c>
      <c r="G9" s="6">
        <v>767</v>
      </c>
      <c r="H9" s="6">
        <v>47</v>
      </c>
      <c r="I9" s="6">
        <v>3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2139</v>
      </c>
      <c r="F10" s="6">
        <v>2776</v>
      </c>
      <c r="G10" s="6">
        <v>759</v>
      </c>
      <c r="H10" s="6">
        <v>47</v>
      </c>
      <c r="I10" s="6">
        <v>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2577</v>
      </c>
      <c r="F11" s="6">
        <v>345</v>
      </c>
      <c r="G11" s="6">
        <v>8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544704</v>
      </c>
      <c r="E12" s="6">
        <v>338899</v>
      </c>
      <c r="F12" s="6">
        <v>149571</v>
      </c>
      <c r="G12" s="6">
        <v>49628</v>
      </c>
      <c r="H12" s="6">
        <v>6016</v>
      </c>
      <c r="I12" s="6">
        <v>353</v>
      </c>
      <c r="J12" s="6">
        <v>45</v>
      </c>
      <c r="K12" s="6">
        <v>15</v>
      </c>
      <c r="L12" s="6">
        <v>177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232355</v>
      </c>
      <c r="E13" s="6">
        <v>62052</v>
      </c>
      <c r="F13" s="6">
        <v>115828</v>
      </c>
      <c r="G13" s="6">
        <v>48073</v>
      </c>
      <c r="H13" s="6">
        <v>5941</v>
      </c>
      <c r="I13" s="6">
        <v>340</v>
      </c>
      <c r="J13" s="6">
        <v>37</v>
      </c>
      <c r="K13" s="6">
        <v>10</v>
      </c>
      <c r="L13" s="6">
        <v>74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312349</v>
      </c>
      <c r="E14" s="6">
        <v>276847</v>
      </c>
      <c r="F14" s="6">
        <v>33743</v>
      </c>
      <c r="G14" s="6">
        <v>1555</v>
      </c>
      <c r="H14" s="6">
        <v>75</v>
      </c>
      <c r="I14" s="6">
        <v>13</v>
      </c>
      <c r="J14" s="6">
        <v>8</v>
      </c>
      <c r="K14" s="6">
        <v>5</v>
      </c>
      <c r="L14" s="6">
        <v>103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1205383</v>
      </c>
      <c r="E15" s="6">
        <v>672677</v>
      </c>
      <c r="F15" s="6">
        <v>377772</v>
      </c>
      <c r="G15" s="6">
        <v>136420</v>
      </c>
      <c r="H15" s="6">
        <v>16975</v>
      </c>
      <c r="I15" s="6">
        <v>993</v>
      </c>
      <c r="J15" s="6">
        <v>109</v>
      </c>
      <c r="K15" s="6">
        <v>40</v>
      </c>
      <c r="L15" s="6">
        <v>397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626988</v>
      </c>
      <c r="E16" s="6">
        <v>160188</v>
      </c>
      <c r="F16" s="6">
        <v>315307</v>
      </c>
      <c r="G16" s="6">
        <v>133348</v>
      </c>
      <c r="H16" s="6">
        <v>16854</v>
      </c>
      <c r="I16" s="6">
        <v>956</v>
      </c>
      <c r="J16" s="6">
        <v>88</v>
      </c>
      <c r="K16" s="6">
        <v>28</v>
      </c>
      <c r="L16" s="6">
        <v>219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512489</v>
      </c>
      <c r="F17" s="6">
        <v>62465</v>
      </c>
      <c r="G17" s="6">
        <v>3072</v>
      </c>
      <c r="H17" s="6">
        <v>121</v>
      </c>
      <c r="I17" s="6">
        <v>37</v>
      </c>
      <c r="J17" s="6">
        <v>21</v>
      </c>
      <c r="K17" s="6">
        <v>12</v>
      </c>
      <c r="L17" s="6">
        <v>178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1640824</v>
      </c>
      <c r="E18" s="6">
        <v>867161</v>
      </c>
      <c r="F18" s="6">
        <v>538552</v>
      </c>
      <c r="G18" s="6">
        <v>205502</v>
      </c>
      <c r="H18" s="6">
        <v>26838</v>
      </c>
      <c r="I18" s="6">
        <v>1666</v>
      </c>
      <c r="J18" s="6">
        <v>266</v>
      </c>
      <c r="K18" s="6">
        <v>124</v>
      </c>
      <c r="L18" s="6">
        <v>715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923376</v>
      </c>
      <c r="E19" s="6">
        <v>233719</v>
      </c>
      <c r="F19" s="6">
        <v>459057</v>
      </c>
      <c r="G19" s="6">
        <v>201610</v>
      </c>
      <c r="H19" s="6">
        <v>26619</v>
      </c>
      <c r="I19" s="6">
        <v>1606</v>
      </c>
      <c r="J19" s="6">
        <v>230</v>
      </c>
      <c r="K19" s="6">
        <v>93</v>
      </c>
      <c r="L19" s="6">
        <v>442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717448</v>
      </c>
      <c r="E20" s="6">
        <v>633442</v>
      </c>
      <c r="F20" s="6">
        <v>79495</v>
      </c>
      <c r="G20" s="6">
        <v>3892</v>
      </c>
      <c r="H20" s="6">
        <v>219</v>
      </c>
      <c r="I20" s="6">
        <v>60</v>
      </c>
      <c r="J20" s="6">
        <v>36</v>
      </c>
      <c r="K20" s="6">
        <v>31</v>
      </c>
      <c r="L20" s="6">
        <v>273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1300964</v>
      </c>
      <c r="E21" s="6">
        <v>673650</v>
      </c>
      <c r="F21" s="6">
        <v>438538</v>
      </c>
      <c r="G21" s="6">
        <v>164183</v>
      </c>
      <c r="H21" s="6">
        <v>21501</v>
      </c>
      <c r="I21" s="6">
        <v>1624</v>
      </c>
      <c r="J21" s="6">
        <v>339</v>
      </c>
      <c r="K21" s="6">
        <v>170</v>
      </c>
      <c r="L21" s="6">
        <v>959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771716</v>
      </c>
      <c r="E22" s="6">
        <v>203450</v>
      </c>
      <c r="F22" s="6">
        <v>383114</v>
      </c>
      <c r="G22" s="6">
        <v>161253</v>
      </c>
      <c r="H22" s="6">
        <v>21270</v>
      </c>
      <c r="I22" s="6">
        <v>1553</v>
      </c>
      <c r="J22" s="6">
        <v>307</v>
      </c>
      <c r="K22" s="6">
        <v>142</v>
      </c>
      <c r="L22" s="6">
        <v>627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529248</v>
      </c>
      <c r="E23" s="6">
        <v>470200</v>
      </c>
      <c r="F23" s="6">
        <v>55424</v>
      </c>
      <c r="G23" s="6">
        <v>2930</v>
      </c>
      <c r="H23" s="6">
        <v>231</v>
      </c>
      <c r="I23" s="6">
        <v>71</v>
      </c>
      <c r="J23" s="6">
        <v>32</v>
      </c>
      <c r="K23" s="6">
        <v>28</v>
      </c>
      <c r="L23" s="6">
        <v>332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1998901</v>
      </c>
      <c r="E24" s="6">
        <v>1088687</v>
      </c>
      <c r="F24" s="6">
        <v>636909</v>
      </c>
      <c r="G24" s="6">
        <v>234111</v>
      </c>
      <c r="H24" s="6">
        <v>32783</v>
      </c>
      <c r="I24" s="6">
        <v>3109</v>
      </c>
      <c r="J24" s="6">
        <v>777</v>
      </c>
      <c r="K24" s="6">
        <v>405</v>
      </c>
      <c r="L24" s="6">
        <v>2120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1102956</v>
      </c>
      <c r="E25" s="6">
        <v>297236</v>
      </c>
      <c r="F25" s="6">
        <v>539537</v>
      </c>
      <c r="G25" s="6">
        <v>228548</v>
      </c>
      <c r="H25" s="6">
        <v>32284</v>
      </c>
      <c r="I25" s="6">
        <v>2905</v>
      </c>
      <c r="J25" s="6">
        <v>659</v>
      </c>
      <c r="K25" s="6">
        <v>344</v>
      </c>
      <c r="L25" s="6">
        <v>1443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895945</v>
      </c>
      <c r="E26" s="6">
        <v>791451</v>
      </c>
      <c r="F26" s="6">
        <v>97372</v>
      </c>
      <c r="G26" s="6">
        <v>5563</v>
      </c>
      <c r="H26" s="6">
        <v>499</v>
      </c>
      <c r="I26" s="6">
        <v>204</v>
      </c>
      <c r="J26" s="6">
        <v>118</v>
      </c>
      <c r="K26" s="6">
        <v>61</v>
      </c>
      <c r="L26" s="6">
        <v>677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1608639</v>
      </c>
      <c r="E27" s="6">
        <v>880477</v>
      </c>
      <c r="F27" s="6">
        <v>509246</v>
      </c>
      <c r="G27" s="6">
        <v>184571</v>
      </c>
      <c r="H27" s="6">
        <v>27726</v>
      </c>
      <c r="I27" s="6">
        <v>3188</v>
      </c>
      <c r="J27" s="6">
        <v>788</v>
      </c>
      <c r="K27" s="6">
        <v>441</v>
      </c>
      <c r="L27" s="6">
        <v>2202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894068</v>
      </c>
      <c r="E28" s="6">
        <v>252685</v>
      </c>
      <c r="F28" s="6">
        <v>429149</v>
      </c>
      <c r="G28" s="6">
        <v>179408</v>
      </c>
      <c r="H28" s="6">
        <v>27209</v>
      </c>
      <c r="I28" s="6">
        <v>2978</v>
      </c>
      <c r="J28" s="6">
        <v>686</v>
      </c>
      <c r="K28" s="6">
        <v>371</v>
      </c>
      <c r="L28" s="6">
        <v>1582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714571</v>
      </c>
      <c r="E29" s="6">
        <v>627792</v>
      </c>
      <c r="F29" s="6">
        <v>80097</v>
      </c>
      <c r="G29" s="6">
        <v>5163</v>
      </c>
      <c r="H29" s="6">
        <v>517</v>
      </c>
      <c r="I29" s="6">
        <v>210</v>
      </c>
      <c r="J29" s="6">
        <v>102</v>
      </c>
      <c r="K29" s="6">
        <v>70</v>
      </c>
      <c r="L29" s="6">
        <v>620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2173256</v>
      </c>
      <c r="E30" s="6">
        <v>1231315</v>
      </c>
      <c r="F30" s="6">
        <v>655950</v>
      </c>
      <c r="G30" s="6">
        <v>235888</v>
      </c>
      <c r="H30" s="6">
        <v>38759</v>
      </c>
      <c r="I30" s="6">
        <v>5371</v>
      </c>
      <c r="J30" s="6">
        <v>1537</v>
      </c>
      <c r="K30" s="6">
        <v>732</v>
      </c>
      <c r="L30" s="6">
        <v>3704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1122458</v>
      </c>
      <c r="E31" s="6">
        <v>323591</v>
      </c>
      <c r="F31" s="6">
        <v>525614</v>
      </c>
      <c r="G31" s="6">
        <v>226171</v>
      </c>
      <c r="H31" s="6">
        <v>37610</v>
      </c>
      <c r="I31" s="6">
        <v>4977</v>
      </c>
      <c r="J31" s="6">
        <v>1306</v>
      </c>
      <c r="K31" s="6">
        <v>614</v>
      </c>
      <c r="L31" s="6">
        <v>2575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1050798</v>
      </c>
      <c r="E32" s="6">
        <v>907724</v>
      </c>
      <c r="F32" s="6">
        <v>130336</v>
      </c>
      <c r="G32" s="6">
        <v>9717</v>
      </c>
      <c r="H32" s="6">
        <v>1149</v>
      </c>
      <c r="I32" s="6">
        <v>394</v>
      </c>
      <c r="J32" s="6">
        <v>231</v>
      </c>
      <c r="K32" s="6">
        <v>118</v>
      </c>
      <c r="L32" s="6">
        <v>1129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1752073</v>
      </c>
      <c r="E33" s="6">
        <v>1024042</v>
      </c>
      <c r="F33" s="6">
        <v>508457</v>
      </c>
      <c r="G33" s="6">
        <v>176836</v>
      </c>
      <c r="H33" s="6">
        <v>31355</v>
      </c>
      <c r="I33" s="6">
        <v>5425</v>
      </c>
      <c r="J33" s="6">
        <v>1617</v>
      </c>
      <c r="K33" s="6">
        <v>796</v>
      </c>
      <c r="L33" s="6">
        <v>3545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882179</v>
      </c>
      <c r="E34" s="6">
        <v>274148</v>
      </c>
      <c r="F34" s="6">
        <v>400363</v>
      </c>
      <c r="G34" s="6">
        <v>167973</v>
      </c>
      <c r="H34" s="6">
        <v>30130</v>
      </c>
      <c r="I34" s="6">
        <v>4974</v>
      </c>
      <c r="J34" s="6">
        <v>1387</v>
      </c>
      <c r="K34" s="6">
        <v>674</v>
      </c>
      <c r="L34" s="6">
        <v>2530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869894</v>
      </c>
      <c r="E35" s="6">
        <v>749894</v>
      </c>
      <c r="F35" s="6">
        <v>108094</v>
      </c>
      <c r="G35" s="6">
        <v>8863</v>
      </c>
      <c r="H35" s="6">
        <v>1225</v>
      </c>
      <c r="I35" s="6">
        <v>451</v>
      </c>
      <c r="J35" s="6">
        <v>230</v>
      </c>
      <c r="K35" s="6">
        <v>122</v>
      </c>
      <c r="L35" s="6">
        <v>1015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1974576</v>
      </c>
      <c r="E36" s="6">
        <v>1174736</v>
      </c>
      <c r="F36" s="6">
        <v>549975</v>
      </c>
      <c r="G36" s="6">
        <v>193217</v>
      </c>
      <c r="H36" s="6">
        <v>39080</v>
      </c>
      <c r="I36" s="6">
        <v>8116</v>
      </c>
      <c r="J36" s="6">
        <v>2811</v>
      </c>
      <c r="K36" s="6">
        <v>1364</v>
      </c>
      <c r="L36" s="6">
        <v>5277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951175</v>
      </c>
      <c r="E37" s="6">
        <v>304075</v>
      </c>
      <c r="F37" s="6">
        <v>415828</v>
      </c>
      <c r="G37" s="6">
        <v>179799</v>
      </c>
      <c r="H37" s="6">
        <v>36949</v>
      </c>
      <c r="I37" s="6">
        <v>7349</v>
      </c>
      <c r="J37" s="6">
        <v>2411</v>
      </c>
      <c r="K37" s="6">
        <v>1098</v>
      </c>
      <c r="L37" s="6">
        <v>3666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1023401</v>
      </c>
      <c r="E38" s="6">
        <v>870661</v>
      </c>
      <c r="F38" s="6">
        <v>134147</v>
      </c>
      <c r="G38" s="6">
        <v>13418</v>
      </c>
      <c r="H38" s="6">
        <v>2131</v>
      </c>
      <c r="I38" s="6">
        <v>767</v>
      </c>
      <c r="J38" s="6">
        <v>400</v>
      </c>
      <c r="K38" s="6">
        <v>266</v>
      </c>
      <c r="L38" s="6">
        <v>1611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1284661</v>
      </c>
      <c r="E39" s="6">
        <v>745476</v>
      </c>
      <c r="F39" s="6">
        <v>356435</v>
      </c>
      <c r="G39" s="6">
        <v>133426</v>
      </c>
      <c r="H39" s="6">
        <v>31756</v>
      </c>
      <c r="I39" s="6">
        <v>8070</v>
      </c>
      <c r="J39" s="6">
        <v>3120</v>
      </c>
      <c r="K39" s="6">
        <v>1434</v>
      </c>
      <c r="L39" s="6">
        <v>4944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626975</v>
      </c>
      <c r="E40" s="6">
        <v>196943</v>
      </c>
      <c r="F40" s="6">
        <v>264352</v>
      </c>
      <c r="G40" s="6">
        <v>121488</v>
      </c>
      <c r="H40" s="6">
        <v>29459</v>
      </c>
      <c r="I40" s="6">
        <v>7303</v>
      </c>
      <c r="J40" s="6">
        <v>2702</v>
      </c>
      <c r="K40" s="6">
        <v>1171</v>
      </c>
      <c r="L40" s="6">
        <v>3557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657686</v>
      </c>
      <c r="E41" s="6">
        <v>548533</v>
      </c>
      <c r="F41" s="6">
        <v>92083</v>
      </c>
      <c r="G41" s="6">
        <v>11938</v>
      </c>
      <c r="H41" s="6">
        <v>2297</v>
      </c>
      <c r="I41" s="6">
        <v>767</v>
      </c>
      <c r="J41" s="6">
        <v>418</v>
      </c>
      <c r="K41" s="6">
        <v>263</v>
      </c>
      <c r="L41" s="6">
        <v>1387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1083975</v>
      </c>
      <c r="E42" s="6">
        <v>603028</v>
      </c>
      <c r="F42" s="6">
        <v>300132</v>
      </c>
      <c r="G42" s="6">
        <v>122145</v>
      </c>
      <c r="H42" s="6">
        <v>35127</v>
      </c>
      <c r="I42" s="6">
        <v>10896</v>
      </c>
      <c r="J42" s="6">
        <v>4405</v>
      </c>
      <c r="K42" s="6">
        <v>2097</v>
      </c>
      <c r="L42" s="6">
        <v>6145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515608</v>
      </c>
      <c r="E43" s="6">
        <v>151169</v>
      </c>
      <c r="F43" s="6">
        <v>208199</v>
      </c>
      <c r="G43" s="6">
        <v>105765</v>
      </c>
      <c r="H43" s="6">
        <v>31178</v>
      </c>
      <c r="I43" s="6">
        <v>9390</v>
      </c>
      <c r="J43" s="6">
        <v>3746</v>
      </c>
      <c r="K43" s="6">
        <v>1722</v>
      </c>
      <c r="L43" s="6">
        <v>4439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568367</v>
      </c>
      <c r="E44" s="6">
        <v>451859</v>
      </c>
      <c r="F44" s="6">
        <v>91933</v>
      </c>
      <c r="G44" s="6">
        <v>16380</v>
      </c>
      <c r="H44" s="6">
        <v>3949</v>
      </c>
      <c r="I44" s="6">
        <v>1506</v>
      </c>
      <c r="J44" s="6">
        <v>659</v>
      </c>
      <c r="K44" s="6">
        <v>375</v>
      </c>
      <c r="L44" s="6">
        <v>1706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244117</v>
      </c>
      <c r="F45" s="6">
        <v>133930</v>
      </c>
      <c r="G45" s="6">
        <v>60989</v>
      </c>
      <c r="H45" s="6">
        <v>20522</v>
      </c>
      <c r="I45" s="6">
        <v>7382</v>
      </c>
      <c r="J45" s="6">
        <v>3125</v>
      </c>
      <c r="K45" s="6">
        <v>1606</v>
      </c>
      <c r="L45" s="6">
        <v>3894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228800</v>
      </c>
      <c r="E46" s="6">
        <v>61275</v>
      </c>
      <c r="F46" s="6">
        <v>87653</v>
      </c>
      <c r="G46" s="6">
        <v>49769</v>
      </c>
      <c r="H46" s="6">
        <v>17206</v>
      </c>
      <c r="I46" s="6">
        <v>6140</v>
      </c>
      <c r="J46" s="6">
        <v>2593</v>
      </c>
      <c r="K46" s="6">
        <v>1291</v>
      </c>
      <c r="L46" s="6">
        <v>2873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246765</v>
      </c>
      <c r="E47" s="6">
        <v>182842</v>
      </c>
      <c r="F47" s="6">
        <v>46277</v>
      </c>
      <c r="G47" s="6">
        <v>11220</v>
      </c>
      <c r="H47" s="6">
        <v>3316</v>
      </c>
      <c r="I47" s="6">
        <v>1242</v>
      </c>
      <c r="J47" s="6">
        <v>532</v>
      </c>
      <c r="K47" s="6">
        <v>315</v>
      </c>
      <c r="L47" s="6">
        <v>1021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356867</v>
      </c>
      <c r="E48" s="6">
        <v>165571</v>
      </c>
      <c r="F48" s="6">
        <v>101035</v>
      </c>
      <c r="G48" s="6">
        <v>51530</v>
      </c>
      <c r="H48" s="6">
        <v>20625</v>
      </c>
      <c r="I48" s="6">
        <v>8400</v>
      </c>
      <c r="J48" s="6">
        <v>3758</v>
      </c>
      <c r="K48" s="6">
        <v>1925</v>
      </c>
      <c r="L48" s="6">
        <v>4023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164369</v>
      </c>
      <c r="E49" s="6">
        <v>38743</v>
      </c>
      <c r="F49" s="6">
        <v>58119</v>
      </c>
      <c r="G49" s="6">
        <v>37714</v>
      </c>
      <c r="H49" s="6">
        <v>15965</v>
      </c>
      <c r="I49" s="6">
        <v>6500</v>
      </c>
      <c r="J49" s="6">
        <v>2921</v>
      </c>
      <c r="K49" s="6">
        <v>1473</v>
      </c>
      <c r="L49" s="6">
        <v>2934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192498</v>
      </c>
      <c r="E50" s="6">
        <v>126828</v>
      </c>
      <c r="F50" s="6">
        <v>42916</v>
      </c>
      <c r="G50" s="6">
        <v>13816</v>
      </c>
      <c r="H50" s="6">
        <v>4660</v>
      </c>
      <c r="I50" s="6">
        <v>1900</v>
      </c>
      <c r="J50" s="6">
        <v>837</v>
      </c>
      <c r="K50" s="6">
        <v>452</v>
      </c>
      <c r="L50" s="6">
        <v>1089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45158</v>
      </c>
      <c r="F51" s="6">
        <v>29673</v>
      </c>
      <c r="G51" s="6">
        <v>16996</v>
      </c>
      <c r="H51" s="6">
        <v>7832</v>
      </c>
      <c r="I51" s="6">
        <v>3690</v>
      </c>
      <c r="J51" s="6">
        <v>1795</v>
      </c>
      <c r="K51" s="6">
        <v>967</v>
      </c>
      <c r="L51" s="6">
        <v>1710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8936</v>
      </c>
      <c r="F52" s="6">
        <v>14235</v>
      </c>
      <c r="G52" s="6">
        <v>10644</v>
      </c>
      <c r="H52" s="6">
        <v>5191</v>
      </c>
      <c r="I52" s="6">
        <v>2517</v>
      </c>
      <c r="J52" s="6">
        <v>1204</v>
      </c>
      <c r="K52" s="6">
        <v>646</v>
      </c>
      <c r="L52" s="6">
        <v>1136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36222</v>
      </c>
      <c r="F53" s="6">
        <v>15438</v>
      </c>
      <c r="G53" s="6">
        <v>6352</v>
      </c>
      <c r="H53" s="6">
        <v>2641</v>
      </c>
      <c r="I53" s="6">
        <v>1173</v>
      </c>
      <c r="J53" s="6">
        <v>591</v>
      </c>
      <c r="K53" s="6">
        <v>321</v>
      </c>
      <c r="L53" s="6">
        <v>574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67CE-5865-4437-825D-E35029B73727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</v>
      </c>
      <c r="F3" s="5">
        <v>30</v>
      </c>
      <c r="G3" s="5">
        <v>40</v>
      </c>
      <c r="H3" s="5">
        <v>50</v>
      </c>
      <c r="I3" s="5">
        <v>60</v>
      </c>
      <c r="J3" s="5">
        <v>80</v>
      </c>
      <c r="K3" s="5">
        <v>100</v>
      </c>
      <c r="L3" s="5">
        <v>150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30</v>
      </c>
      <c r="F4" s="5">
        <v>40</v>
      </c>
      <c r="G4" s="5">
        <v>50</v>
      </c>
      <c r="H4" s="5">
        <v>60</v>
      </c>
      <c r="I4" s="5">
        <v>80</v>
      </c>
      <c r="J4" s="5">
        <v>100</v>
      </c>
      <c r="K4" s="5">
        <v>150</v>
      </c>
      <c r="L4" s="5">
        <v>200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165</v>
      </c>
      <c r="J5" s="4" t="s">
        <v>166</v>
      </c>
      <c r="K5" s="4" t="s">
        <v>132</v>
      </c>
      <c r="L5" s="4" t="s">
        <v>167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17507116</v>
      </c>
      <c r="E6" s="6">
        <v>40111</v>
      </c>
      <c r="F6" s="6">
        <v>49193</v>
      </c>
      <c r="G6" s="6">
        <v>130114</v>
      </c>
      <c r="H6" s="6">
        <v>381707</v>
      </c>
      <c r="I6" s="6">
        <v>2997974</v>
      </c>
      <c r="J6" s="6">
        <v>6983354</v>
      </c>
      <c r="K6" s="6">
        <v>6908962</v>
      </c>
      <c r="L6" s="6">
        <v>15701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9088489</v>
      </c>
      <c r="E7" s="6">
        <v>23630</v>
      </c>
      <c r="F7" s="6">
        <v>26814</v>
      </c>
      <c r="G7" s="6">
        <v>71990</v>
      </c>
      <c r="H7" s="6">
        <v>207235</v>
      </c>
      <c r="I7" s="6">
        <v>1717900</v>
      </c>
      <c r="J7" s="6">
        <v>3862470</v>
      </c>
      <c r="K7" s="6">
        <v>3171933</v>
      </c>
      <c r="L7" s="6">
        <v>6517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8418627</v>
      </c>
      <c r="E8" s="6">
        <v>16481</v>
      </c>
      <c r="F8" s="6">
        <v>22379</v>
      </c>
      <c r="G8" s="6">
        <v>58124</v>
      </c>
      <c r="H8" s="6">
        <v>174472</v>
      </c>
      <c r="I8" s="6">
        <v>1280074</v>
      </c>
      <c r="J8" s="6">
        <v>3120884</v>
      </c>
      <c r="K8" s="6">
        <v>3737029</v>
      </c>
      <c r="L8" s="6">
        <v>9184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8650</v>
      </c>
      <c r="E9" s="6">
        <v>0</v>
      </c>
      <c r="F9" s="6">
        <v>0</v>
      </c>
      <c r="G9" s="6">
        <v>1</v>
      </c>
      <c r="H9" s="6">
        <v>1</v>
      </c>
      <c r="I9" s="6">
        <v>57</v>
      </c>
      <c r="J9" s="6">
        <v>1114</v>
      </c>
      <c r="K9" s="6">
        <v>7364</v>
      </c>
      <c r="L9" s="6">
        <v>113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5720</v>
      </c>
      <c r="E10" s="6">
        <v>0</v>
      </c>
      <c r="F10" s="6">
        <v>0</v>
      </c>
      <c r="G10" s="6">
        <v>1</v>
      </c>
      <c r="H10" s="6">
        <v>1</v>
      </c>
      <c r="I10" s="6">
        <v>47</v>
      </c>
      <c r="J10" s="6">
        <v>755</v>
      </c>
      <c r="K10" s="6">
        <v>4857</v>
      </c>
      <c r="L10" s="6">
        <v>59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0</v>
      </c>
      <c r="F11" s="6">
        <v>0</v>
      </c>
      <c r="G11" s="6">
        <v>0</v>
      </c>
      <c r="H11" s="6">
        <v>0</v>
      </c>
      <c r="I11" s="6">
        <v>10</v>
      </c>
      <c r="J11" s="6">
        <v>359</v>
      </c>
      <c r="K11" s="6">
        <v>2507</v>
      </c>
      <c r="L11" s="6">
        <v>54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544353</v>
      </c>
      <c r="E12" s="6">
        <v>58</v>
      </c>
      <c r="F12" s="6">
        <v>15</v>
      </c>
      <c r="G12" s="6">
        <v>45</v>
      </c>
      <c r="H12" s="6">
        <v>193</v>
      </c>
      <c r="I12" s="6">
        <v>11744</v>
      </c>
      <c r="J12" s="6">
        <v>81632</v>
      </c>
      <c r="K12" s="6">
        <v>448401</v>
      </c>
      <c r="L12" s="6">
        <v>2265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232174</v>
      </c>
      <c r="E13" s="6">
        <v>32</v>
      </c>
      <c r="F13" s="6">
        <v>7</v>
      </c>
      <c r="G13" s="6">
        <v>22</v>
      </c>
      <c r="H13" s="6">
        <v>94</v>
      </c>
      <c r="I13" s="6">
        <v>6421</v>
      </c>
      <c r="J13" s="6">
        <v>49389</v>
      </c>
      <c r="K13" s="6">
        <v>175511</v>
      </c>
      <c r="L13" s="6">
        <v>698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312179</v>
      </c>
      <c r="E14" s="6">
        <v>26</v>
      </c>
      <c r="F14" s="6">
        <v>8</v>
      </c>
      <c r="G14" s="6">
        <v>23</v>
      </c>
      <c r="H14" s="6">
        <v>99</v>
      </c>
      <c r="I14" s="6">
        <v>5323</v>
      </c>
      <c r="J14" s="6">
        <v>32243</v>
      </c>
      <c r="K14" s="6">
        <v>272890</v>
      </c>
      <c r="L14" s="6">
        <v>1567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1204762</v>
      </c>
      <c r="E15" s="6">
        <v>169</v>
      </c>
      <c r="F15" s="6">
        <v>72</v>
      </c>
      <c r="G15" s="6">
        <v>100</v>
      </c>
      <c r="H15" s="6">
        <v>452</v>
      </c>
      <c r="I15" s="6">
        <v>36850</v>
      </c>
      <c r="J15" s="6">
        <v>211978</v>
      </c>
      <c r="K15" s="6">
        <v>953120</v>
      </c>
      <c r="L15" s="6">
        <v>2021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626686</v>
      </c>
      <c r="E16" s="6">
        <v>93</v>
      </c>
      <c r="F16" s="6">
        <v>42</v>
      </c>
      <c r="G16" s="6">
        <v>52</v>
      </c>
      <c r="H16" s="6">
        <v>317</v>
      </c>
      <c r="I16" s="6">
        <v>20172</v>
      </c>
      <c r="J16" s="6">
        <v>143435</v>
      </c>
      <c r="K16" s="6">
        <v>462056</v>
      </c>
      <c r="L16" s="6">
        <v>519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578076</v>
      </c>
      <c r="E17" s="6">
        <v>76</v>
      </c>
      <c r="F17" s="6">
        <v>30</v>
      </c>
      <c r="G17" s="6">
        <v>48</v>
      </c>
      <c r="H17" s="6">
        <v>135</v>
      </c>
      <c r="I17" s="6">
        <v>16678</v>
      </c>
      <c r="J17" s="6">
        <v>68543</v>
      </c>
      <c r="K17" s="6">
        <v>491064</v>
      </c>
      <c r="L17" s="6">
        <v>1502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1640094</v>
      </c>
      <c r="E18" s="6">
        <v>356</v>
      </c>
      <c r="F18" s="6">
        <v>161</v>
      </c>
      <c r="G18" s="6">
        <v>287</v>
      </c>
      <c r="H18" s="6">
        <v>1429</v>
      </c>
      <c r="I18" s="6">
        <v>87829</v>
      </c>
      <c r="J18" s="6">
        <v>519128</v>
      </c>
      <c r="K18" s="6">
        <v>1028502</v>
      </c>
      <c r="L18" s="6">
        <v>2402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923029</v>
      </c>
      <c r="E19" s="6">
        <v>206</v>
      </c>
      <c r="F19" s="6">
        <v>92</v>
      </c>
      <c r="G19" s="6">
        <v>185</v>
      </c>
      <c r="H19" s="6">
        <v>884</v>
      </c>
      <c r="I19" s="6">
        <v>65693</v>
      </c>
      <c r="J19" s="6">
        <v>325602</v>
      </c>
      <c r="K19" s="6">
        <v>529756</v>
      </c>
      <c r="L19" s="6">
        <v>611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717065</v>
      </c>
      <c r="E20" s="6">
        <v>150</v>
      </c>
      <c r="F20" s="6">
        <v>69</v>
      </c>
      <c r="G20" s="6">
        <v>102</v>
      </c>
      <c r="H20" s="6">
        <v>545</v>
      </c>
      <c r="I20" s="6">
        <v>22136</v>
      </c>
      <c r="J20" s="6">
        <v>193526</v>
      </c>
      <c r="K20" s="6">
        <v>498746</v>
      </c>
      <c r="L20" s="6">
        <v>1791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1300405</v>
      </c>
      <c r="E21" s="6">
        <v>551</v>
      </c>
      <c r="F21" s="6">
        <v>227</v>
      </c>
      <c r="G21" s="6">
        <v>431</v>
      </c>
      <c r="H21" s="6">
        <v>2312</v>
      </c>
      <c r="I21" s="6">
        <v>89628</v>
      </c>
      <c r="J21" s="6">
        <v>432504</v>
      </c>
      <c r="K21" s="6">
        <v>773953</v>
      </c>
      <c r="L21" s="6">
        <v>799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771450</v>
      </c>
      <c r="E22" s="6">
        <v>335</v>
      </c>
      <c r="F22" s="6">
        <v>164</v>
      </c>
      <c r="G22" s="6">
        <v>277</v>
      </c>
      <c r="H22" s="6">
        <v>1715</v>
      </c>
      <c r="I22" s="6">
        <v>72792</v>
      </c>
      <c r="J22" s="6">
        <v>291001</v>
      </c>
      <c r="K22" s="6">
        <v>404666</v>
      </c>
      <c r="L22" s="6">
        <v>500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528955</v>
      </c>
      <c r="E23" s="6">
        <v>216</v>
      </c>
      <c r="F23" s="6">
        <v>63</v>
      </c>
      <c r="G23" s="6">
        <v>154</v>
      </c>
      <c r="H23" s="6">
        <v>597</v>
      </c>
      <c r="I23" s="6">
        <v>16836</v>
      </c>
      <c r="J23" s="6">
        <v>141503</v>
      </c>
      <c r="K23" s="6">
        <v>369287</v>
      </c>
      <c r="L23" s="6">
        <v>299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1998131</v>
      </c>
      <c r="E24" s="6">
        <v>1347</v>
      </c>
      <c r="F24" s="6">
        <v>678</v>
      </c>
      <c r="G24" s="6">
        <v>1218</v>
      </c>
      <c r="H24" s="6">
        <v>4698</v>
      </c>
      <c r="I24" s="6">
        <v>194479</v>
      </c>
      <c r="J24" s="6">
        <v>620377</v>
      </c>
      <c r="K24" s="6">
        <v>1174328</v>
      </c>
      <c r="L24" s="6">
        <v>1006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1102541</v>
      </c>
      <c r="E25" s="6">
        <v>882</v>
      </c>
      <c r="F25" s="6">
        <v>440</v>
      </c>
      <c r="G25" s="6">
        <v>899</v>
      </c>
      <c r="H25" s="6">
        <v>3224</v>
      </c>
      <c r="I25" s="6">
        <v>113634</v>
      </c>
      <c r="J25" s="6">
        <v>417662</v>
      </c>
      <c r="K25" s="6">
        <v>565174</v>
      </c>
      <c r="L25" s="6">
        <v>626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895590</v>
      </c>
      <c r="E26" s="6">
        <v>465</v>
      </c>
      <c r="F26" s="6">
        <v>238</v>
      </c>
      <c r="G26" s="6">
        <v>319</v>
      </c>
      <c r="H26" s="6">
        <v>1474</v>
      </c>
      <c r="I26" s="6">
        <v>80845</v>
      </c>
      <c r="J26" s="6">
        <v>202715</v>
      </c>
      <c r="K26" s="6">
        <v>609154</v>
      </c>
      <c r="L26" s="6">
        <v>380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1607951</v>
      </c>
      <c r="E27" s="6">
        <v>1597</v>
      </c>
      <c r="F27" s="6">
        <v>736</v>
      </c>
      <c r="G27" s="6">
        <v>1673</v>
      </c>
      <c r="H27" s="6">
        <v>11385</v>
      </c>
      <c r="I27" s="6">
        <v>227943</v>
      </c>
      <c r="J27" s="6">
        <v>451189</v>
      </c>
      <c r="K27" s="6">
        <v>912604</v>
      </c>
      <c r="L27" s="6">
        <v>824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893722</v>
      </c>
      <c r="E28" s="6">
        <v>1087</v>
      </c>
      <c r="F28" s="6">
        <v>495</v>
      </c>
      <c r="G28" s="6">
        <v>1052</v>
      </c>
      <c r="H28" s="6">
        <v>8141</v>
      </c>
      <c r="I28" s="6">
        <v>146898</v>
      </c>
      <c r="J28" s="6">
        <v>298856</v>
      </c>
      <c r="K28" s="6">
        <v>436709</v>
      </c>
      <c r="L28" s="6">
        <v>484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714229</v>
      </c>
      <c r="E29" s="6">
        <v>510</v>
      </c>
      <c r="F29" s="6">
        <v>241</v>
      </c>
      <c r="G29" s="6">
        <v>621</v>
      </c>
      <c r="H29" s="6">
        <v>3244</v>
      </c>
      <c r="I29" s="6">
        <v>81045</v>
      </c>
      <c r="J29" s="6">
        <v>152333</v>
      </c>
      <c r="K29" s="6">
        <v>475895</v>
      </c>
      <c r="L29" s="6">
        <v>340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2172197</v>
      </c>
      <c r="E30" s="6">
        <v>2943</v>
      </c>
      <c r="F30" s="6">
        <v>1572</v>
      </c>
      <c r="G30" s="6">
        <v>4129</v>
      </c>
      <c r="H30" s="6">
        <v>22935</v>
      </c>
      <c r="I30" s="6">
        <v>386932</v>
      </c>
      <c r="J30" s="6">
        <v>928592</v>
      </c>
      <c r="K30" s="6">
        <v>823996</v>
      </c>
      <c r="L30" s="6">
        <v>1098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1121961</v>
      </c>
      <c r="E31" s="6">
        <v>1881</v>
      </c>
      <c r="F31" s="6">
        <v>1002</v>
      </c>
      <c r="G31" s="6">
        <v>2876</v>
      </c>
      <c r="H31" s="6">
        <v>13409</v>
      </c>
      <c r="I31" s="6">
        <v>252840</v>
      </c>
      <c r="J31" s="6">
        <v>526898</v>
      </c>
      <c r="K31" s="6">
        <v>322444</v>
      </c>
      <c r="L31" s="6">
        <v>611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1050236</v>
      </c>
      <c r="E32" s="6">
        <v>1062</v>
      </c>
      <c r="F32" s="6">
        <v>570</v>
      </c>
      <c r="G32" s="6">
        <v>1253</v>
      </c>
      <c r="H32" s="6">
        <v>9526</v>
      </c>
      <c r="I32" s="6">
        <v>134092</v>
      </c>
      <c r="J32" s="6">
        <v>401694</v>
      </c>
      <c r="K32" s="6">
        <v>501552</v>
      </c>
      <c r="L32" s="6">
        <v>487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1751078</v>
      </c>
      <c r="E33" s="6">
        <v>3019</v>
      </c>
      <c r="F33" s="6">
        <v>1844</v>
      </c>
      <c r="G33" s="6">
        <v>5090</v>
      </c>
      <c r="H33" s="6">
        <v>22878</v>
      </c>
      <c r="I33" s="6">
        <v>308807</v>
      </c>
      <c r="J33" s="6">
        <v>955584</v>
      </c>
      <c r="K33" s="6">
        <v>453008</v>
      </c>
      <c r="L33" s="6">
        <v>848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881718</v>
      </c>
      <c r="E34" s="6">
        <v>1968</v>
      </c>
      <c r="F34" s="6">
        <v>1164</v>
      </c>
      <c r="G34" s="6">
        <v>3066</v>
      </c>
      <c r="H34" s="6">
        <v>14525</v>
      </c>
      <c r="I34" s="6">
        <v>192956</v>
      </c>
      <c r="J34" s="6">
        <v>530513</v>
      </c>
      <c r="K34" s="6">
        <v>137069</v>
      </c>
      <c r="L34" s="6">
        <v>457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869360</v>
      </c>
      <c r="E35" s="6">
        <v>1051</v>
      </c>
      <c r="F35" s="6">
        <v>680</v>
      </c>
      <c r="G35" s="6">
        <v>2024</v>
      </c>
      <c r="H35" s="6">
        <v>8353</v>
      </c>
      <c r="I35" s="6">
        <v>115851</v>
      </c>
      <c r="J35" s="6">
        <v>425071</v>
      </c>
      <c r="K35" s="6">
        <v>315939</v>
      </c>
      <c r="L35" s="6">
        <v>391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1973236</v>
      </c>
      <c r="E36" s="6">
        <v>4885</v>
      </c>
      <c r="F36" s="6">
        <v>3739</v>
      </c>
      <c r="G36" s="6">
        <v>13880</v>
      </c>
      <c r="H36" s="6">
        <v>56965</v>
      </c>
      <c r="I36" s="6">
        <v>521265</v>
      </c>
      <c r="J36" s="6">
        <v>1145661</v>
      </c>
      <c r="K36" s="6">
        <v>225711</v>
      </c>
      <c r="L36" s="6">
        <v>1130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950550</v>
      </c>
      <c r="E37" s="6">
        <v>2977</v>
      </c>
      <c r="F37" s="6">
        <v>2431</v>
      </c>
      <c r="G37" s="6">
        <v>8686</v>
      </c>
      <c r="H37" s="6">
        <v>36485</v>
      </c>
      <c r="I37" s="6">
        <v>252055</v>
      </c>
      <c r="J37" s="6">
        <v>550804</v>
      </c>
      <c r="K37" s="6">
        <v>96578</v>
      </c>
      <c r="L37" s="6">
        <v>534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1022686</v>
      </c>
      <c r="E38" s="6">
        <v>1908</v>
      </c>
      <c r="F38" s="6">
        <v>1308</v>
      </c>
      <c r="G38" s="6">
        <v>5194</v>
      </c>
      <c r="H38" s="6">
        <v>20480</v>
      </c>
      <c r="I38" s="6">
        <v>269210</v>
      </c>
      <c r="J38" s="6">
        <v>594857</v>
      </c>
      <c r="K38" s="6">
        <v>129133</v>
      </c>
      <c r="L38" s="6">
        <v>596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1283600</v>
      </c>
      <c r="E39" s="6">
        <v>4740</v>
      </c>
      <c r="F39" s="6">
        <v>4543</v>
      </c>
      <c r="G39" s="6">
        <v>13907</v>
      </c>
      <c r="H39" s="6">
        <v>62675</v>
      </c>
      <c r="I39" s="6">
        <v>436312</v>
      </c>
      <c r="J39" s="6">
        <v>684803</v>
      </c>
      <c r="K39" s="6">
        <v>75623</v>
      </c>
      <c r="L39" s="6">
        <v>997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626443</v>
      </c>
      <c r="E40" s="6">
        <v>2976</v>
      </c>
      <c r="F40" s="6">
        <v>2751</v>
      </c>
      <c r="G40" s="6">
        <v>9007</v>
      </c>
      <c r="H40" s="6">
        <v>29835</v>
      </c>
      <c r="I40" s="6">
        <v>240102</v>
      </c>
      <c r="J40" s="6">
        <v>319281</v>
      </c>
      <c r="K40" s="6">
        <v>22027</v>
      </c>
      <c r="L40" s="6">
        <v>464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657157</v>
      </c>
      <c r="E41" s="6">
        <v>1764</v>
      </c>
      <c r="F41" s="6">
        <v>1792</v>
      </c>
      <c r="G41" s="6">
        <v>4900</v>
      </c>
      <c r="H41" s="6">
        <v>32840</v>
      </c>
      <c r="I41" s="6">
        <v>196210</v>
      </c>
      <c r="J41" s="6">
        <v>365522</v>
      </c>
      <c r="K41" s="6">
        <v>53596</v>
      </c>
      <c r="L41" s="6">
        <v>533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1083169</v>
      </c>
      <c r="E42" s="6">
        <v>6442</v>
      </c>
      <c r="F42" s="6">
        <v>8847</v>
      </c>
      <c r="G42" s="6">
        <v>26932</v>
      </c>
      <c r="H42" s="6">
        <v>72305</v>
      </c>
      <c r="I42" s="6">
        <v>370939</v>
      </c>
      <c r="J42" s="6">
        <v>571712</v>
      </c>
      <c r="K42" s="6">
        <v>24815</v>
      </c>
      <c r="L42" s="6">
        <v>1177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515193</v>
      </c>
      <c r="E43" s="6">
        <v>3870</v>
      </c>
      <c r="F43" s="6">
        <v>5817</v>
      </c>
      <c r="G43" s="6">
        <v>15870</v>
      </c>
      <c r="H43" s="6">
        <v>36322</v>
      </c>
      <c r="I43" s="6">
        <v>192212</v>
      </c>
      <c r="J43" s="6">
        <v>247720</v>
      </c>
      <c r="K43" s="6">
        <v>12878</v>
      </c>
      <c r="L43" s="6">
        <v>504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567976</v>
      </c>
      <c r="E44" s="6">
        <v>2572</v>
      </c>
      <c r="F44" s="6">
        <v>3030</v>
      </c>
      <c r="G44" s="6">
        <v>11062</v>
      </c>
      <c r="H44" s="6">
        <v>35983</v>
      </c>
      <c r="I44" s="6">
        <v>178727</v>
      </c>
      <c r="J44" s="6">
        <v>323992</v>
      </c>
      <c r="K44" s="6">
        <v>11937</v>
      </c>
      <c r="L44" s="6">
        <v>673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475221</v>
      </c>
      <c r="E45" s="6">
        <v>4683</v>
      </c>
      <c r="F45" s="6">
        <v>8233</v>
      </c>
      <c r="G45" s="6">
        <v>23506</v>
      </c>
      <c r="H45" s="6">
        <v>46311</v>
      </c>
      <c r="I45" s="6">
        <v>154865</v>
      </c>
      <c r="J45" s="6">
        <v>231322</v>
      </c>
      <c r="K45" s="6">
        <v>5759</v>
      </c>
      <c r="L45" s="6">
        <v>542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228626</v>
      </c>
      <c r="E46" s="6">
        <v>2833</v>
      </c>
      <c r="F46" s="6">
        <v>3918</v>
      </c>
      <c r="G46" s="6">
        <v>12299</v>
      </c>
      <c r="H46" s="6">
        <v>29802</v>
      </c>
      <c r="I46" s="6">
        <v>74152</v>
      </c>
      <c r="J46" s="6">
        <v>103983</v>
      </c>
      <c r="K46" s="6">
        <v>1399</v>
      </c>
      <c r="L46" s="6">
        <v>240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246595</v>
      </c>
      <c r="E47" s="6">
        <v>1850</v>
      </c>
      <c r="F47" s="6">
        <v>4315</v>
      </c>
      <c r="G47" s="6">
        <v>11207</v>
      </c>
      <c r="H47" s="6">
        <v>16509</v>
      </c>
      <c r="I47" s="6">
        <v>80713</v>
      </c>
      <c r="J47" s="6">
        <v>127339</v>
      </c>
      <c r="K47" s="6">
        <v>4360</v>
      </c>
      <c r="L47" s="6">
        <v>302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356547</v>
      </c>
      <c r="E48" s="6">
        <v>5872</v>
      </c>
      <c r="F48" s="6">
        <v>11865</v>
      </c>
      <c r="G48" s="6">
        <v>25113</v>
      </c>
      <c r="H48" s="6">
        <v>56259</v>
      </c>
      <c r="I48" s="6">
        <v>126259</v>
      </c>
      <c r="J48" s="6">
        <v>129399</v>
      </c>
      <c r="K48" s="6">
        <v>1396</v>
      </c>
      <c r="L48" s="6">
        <v>384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164212</v>
      </c>
      <c r="E49" s="6">
        <v>3052</v>
      </c>
      <c r="F49" s="6">
        <v>5796</v>
      </c>
      <c r="G49" s="6">
        <v>11267</v>
      </c>
      <c r="H49" s="6">
        <v>25156</v>
      </c>
      <c r="I49" s="6">
        <v>68140</v>
      </c>
      <c r="J49" s="6">
        <v>49910</v>
      </c>
      <c r="K49" s="6">
        <v>735</v>
      </c>
      <c r="L49" s="6">
        <v>156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192335</v>
      </c>
      <c r="E50" s="6">
        <v>2820</v>
      </c>
      <c r="F50" s="6">
        <v>6069</v>
      </c>
      <c r="G50" s="6">
        <v>13846</v>
      </c>
      <c r="H50" s="6">
        <v>31103</v>
      </c>
      <c r="I50" s="6">
        <v>58119</v>
      </c>
      <c r="J50" s="6">
        <v>79489</v>
      </c>
      <c r="K50" s="6">
        <v>661</v>
      </c>
      <c r="L50" s="6">
        <v>228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107722</v>
      </c>
      <c r="E51" s="6">
        <v>3449</v>
      </c>
      <c r="F51" s="6">
        <v>6661</v>
      </c>
      <c r="G51" s="6">
        <v>13802</v>
      </c>
      <c r="H51" s="6">
        <v>20909</v>
      </c>
      <c r="I51" s="6">
        <v>44065</v>
      </c>
      <c r="J51" s="6">
        <v>18359</v>
      </c>
      <c r="K51" s="6">
        <v>382</v>
      </c>
      <c r="L51" s="6">
        <v>95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44464</v>
      </c>
      <c r="E52" s="6">
        <v>1438</v>
      </c>
      <c r="F52" s="6">
        <v>2695</v>
      </c>
      <c r="G52" s="6">
        <v>6431</v>
      </c>
      <c r="H52" s="6">
        <v>7325</v>
      </c>
      <c r="I52" s="6">
        <v>19786</v>
      </c>
      <c r="J52" s="6">
        <v>6661</v>
      </c>
      <c r="K52" s="6">
        <v>74</v>
      </c>
      <c r="L52" s="6">
        <v>54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63258</v>
      </c>
      <c r="E53" s="6">
        <v>2011</v>
      </c>
      <c r="F53" s="6">
        <v>3966</v>
      </c>
      <c r="G53" s="6">
        <v>7371</v>
      </c>
      <c r="H53" s="6">
        <v>13584</v>
      </c>
      <c r="I53" s="6">
        <v>24279</v>
      </c>
      <c r="J53" s="6">
        <v>11698</v>
      </c>
      <c r="K53" s="6">
        <v>308</v>
      </c>
      <c r="L53" s="6">
        <v>41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39BF-7AF2-4FD5-960F-7A69561604B1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5</v>
      </c>
      <c r="F3" s="5">
        <v>31</v>
      </c>
      <c r="G3" s="5">
        <v>41</v>
      </c>
      <c r="H3" s="5">
        <v>51</v>
      </c>
      <c r="I3" s="5">
        <v>61</v>
      </c>
      <c r="J3" s="5">
        <v>71</v>
      </c>
      <c r="K3" s="5">
        <v>81</v>
      </c>
      <c r="L3" s="5">
        <v>91</v>
      </c>
      <c r="M3" s="5">
        <v>101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31</v>
      </c>
      <c r="F4" s="5">
        <v>41</v>
      </c>
      <c r="G4" s="5">
        <v>51</v>
      </c>
      <c r="H4" s="5">
        <v>61</v>
      </c>
      <c r="I4" s="5">
        <v>71</v>
      </c>
      <c r="J4" s="5">
        <v>81</v>
      </c>
      <c r="K4" s="5">
        <v>91</v>
      </c>
      <c r="L4" s="5">
        <v>101</v>
      </c>
      <c r="M4" s="5">
        <v>300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169</v>
      </c>
      <c r="F5" s="4" t="s">
        <v>170</v>
      </c>
      <c r="G5" s="4" t="s">
        <v>171</v>
      </c>
      <c r="H5" s="4" t="s">
        <v>172</v>
      </c>
      <c r="I5" s="4" t="s">
        <v>173</v>
      </c>
      <c r="J5" s="4" t="s">
        <v>174</v>
      </c>
      <c r="K5" s="4" t="s">
        <v>175</v>
      </c>
      <c r="L5" s="4" t="s">
        <v>176</v>
      </c>
      <c r="M5" s="4" t="s">
        <v>177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17516816</v>
      </c>
      <c r="E6" s="6">
        <v>13597099</v>
      </c>
      <c r="F6" s="6">
        <v>2402713</v>
      </c>
      <c r="G6" s="6">
        <v>745997</v>
      </c>
      <c r="H6" s="6">
        <v>314192</v>
      </c>
      <c r="I6" s="6">
        <v>159766</v>
      </c>
      <c r="J6" s="6">
        <v>90472</v>
      </c>
      <c r="K6" s="6">
        <v>56078</v>
      </c>
      <c r="L6" s="6">
        <v>36652</v>
      </c>
      <c r="M6" s="6">
        <v>113847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9093184</v>
      </c>
      <c r="E7" s="6">
        <v>6574844</v>
      </c>
      <c r="F7" s="6">
        <v>1500941</v>
      </c>
      <c r="G7" s="6">
        <v>495568</v>
      </c>
      <c r="H7" s="6">
        <v>212211</v>
      </c>
      <c r="I7" s="6">
        <v>108427</v>
      </c>
      <c r="J7" s="6">
        <v>61387</v>
      </c>
      <c r="K7" s="6">
        <v>37919</v>
      </c>
      <c r="L7" s="6">
        <v>24736</v>
      </c>
      <c r="M7" s="6">
        <v>77151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8423632</v>
      </c>
      <c r="E8" s="6">
        <v>7022255</v>
      </c>
      <c r="F8" s="6">
        <v>901772</v>
      </c>
      <c r="G8" s="6">
        <v>250429</v>
      </c>
      <c r="H8" s="6">
        <v>101981</v>
      </c>
      <c r="I8" s="6">
        <v>51339</v>
      </c>
      <c r="J8" s="6">
        <v>29085</v>
      </c>
      <c r="K8" s="6">
        <v>18159</v>
      </c>
      <c r="L8" s="6">
        <v>11916</v>
      </c>
      <c r="M8" s="6">
        <v>36696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7686</v>
      </c>
      <c r="F9" s="6">
        <v>522</v>
      </c>
      <c r="G9" s="6">
        <v>166</v>
      </c>
      <c r="H9" s="6">
        <v>89</v>
      </c>
      <c r="I9" s="6">
        <v>54</v>
      </c>
      <c r="J9" s="6">
        <v>33</v>
      </c>
      <c r="K9" s="6">
        <v>16</v>
      </c>
      <c r="L9" s="6">
        <v>19</v>
      </c>
      <c r="M9" s="6">
        <v>69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4894</v>
      </c>
      <c r="F10" s="6">
        <v>454</v>
      </c>
      <c r="G10" s="6">
        <v>137</v>
      </c>
      <c r="H10" s="6">
        <v>78</v>
      </c>
      <c r="I10" s="6">
        <v>43</v>
      </c>
      <c r="J10" s="6">
        <v>27</v>
      </c>
      <c r="K10" s="6">
        <v>15</v>
      </c>
      <c r="L10" s="6">
        <v>18</v>
      </c>
      <c r="M10" s="6">
        <v>58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2792</v>
      </c>
      <c r="F11" s="6">
        <v>68</v>
      </c>
      <c r="G11" s="6">
        <v>29</v>
      </c>
      <c r="H11" s="6">
        <v>11</v>
      </c>
      <c r="I11" s="6">
        <v>11</v>
      </c>
      <c r="J11" s="6">
        <v>6</v>
      </c>
      <c r="K11" s="6">
        <v>1</v>
      </c>
      <c r="L11" s="6">
        <v>1</v>
      </c>
      <c r="M11" s="6">
        <v>11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544704</v>
      </c>
      <c r="E12" s="6">
        <v>488488</v>
      </c>
      <c r="F12" s="6">
        <v>30116</v>
      </c>
      <c r="G12" s="6">
        <v>10376</v>
      </c>
      <c r="H12" s="6">
        <v>5093</v>
      </c>
      <c r="I12" s="6">
        <v>2956</v>
      </c>
      <c r="J12" s="6">
        <v>1792</v>
      </c>
      <c r="K12" s="6">
        <v>1212</v>
      </c>
      <c r="L12" s="6">
        <v>952</v>
      </c>
      <c r="M12" s="6">
        <v>3719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232351</v>
      </c>
      <c r="E13" s="6">
        <v>191884</v>
      </c>
      <c r="F13" s="6">
        <v>21727</v>
      </c>
      <c r="G13" s="6">
        <v>7548</v>
      </c>
      <c r="H13" s="6">
        <v>3644</v>
      </c>
      <c r="I13" s="6">
        <v>2111</v>
      </c>
      <c r="J13" s="6">
        <v>1291</v>
      </c>
      <c r="K13" s="6">
        <v>838</v>
      </c>
      <c r="L13" s="6">
        <v>662</v>
      </c>
      <c r="M13" s="6">
        <v>2646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312353</v>
      </c>
      <c r="E14" s="6">
        <v>296604</v>
      </c>
      <c r="F14" s="6">
        <v>8389</v>
      </c>
      <c r="G14" s="6">
        <v>2828</v>
      </c>
      <c r="H14" s="6">
        <v>1449</v>
      </c>
      <c r="I14" s="6">
        <v>845</v>
      </c>
      <c r="J14" s="6">
        <v>501</v>
      </c>
      <c r="K14" s="6">
        <v>374</v>
      </c>
      <c r="L14" s="6">
        <v>290</v>
      </c>
      <c r="M14" s="6">
        <v>1073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1205378</v>
      </c>
      <c r="E15" s="6">
        <v>1043672</v>
      </c>
      <c r="F15" s="6">
        <v>89704</v>
      </c>
      <c r="G15" s="6">
        <v>30277</v>
      </c>
      <c r="H15" s="6">
        <v>14092</v>
      </c>
      <c r="I15" s="6">
        <v>7975</v>
      </c>
      <c r="J15" s="6">
        <v>4855</v>
      </c>
      <c r="K15" s="6">
        <v>3377</v>
      </c>
      <c r="L15" s="6">
        <v>2244</v>
      </c>
      <c r="M15" s="6">
        <v>9182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626984</v>
      </c>
      <c r="E16" s="6">
        <v>499074</v>
      </c>
      <c r="F16" s="6">
        <v>71656</v>
      </c>
      <c r="G16" s="6">
        <v>24152</v>
      </c>
      <c r="H16" s="6">
        <v>11092</v>
      </c>
      <c r="I16" s="6">
        <v>6151</v>
      </c>
      <c r="J16" s="6">
        <v>3757</v>
      </c>
      <c r="K16" s="6">
        <v>2590</v>
      </c>
      <c r="L16" s="6">
        <v>1672</v>
      </c>
      <c r="M16" s="6">
        <v>6840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578394</v>
      </c>
      <c r="E17" s="6">
        <v>544598</v>
      </c>
      <c r="F17" s="6">
        <v>18048</v>
      </c>
      <c r="G17" s="6">
        <v>6125</v>
      </c>
      <c r="H17" s="6">
        <v>3000</v>
      </c>
      <c r="I17" s="6">
        <v>1824</v>
      </c>
      <c r="J17" s="6">
        <v>1098</v>
      </c>
      <c r="K17" s="6">
        <v>787</v>
      </c>
      <c r="L17" s="6">
        <v>572</v>
      </c>
      <c r="M17" s="6">
        <v>2342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1640823</v>
      </c>
      <c r="E18" s="6">
        <v>1371243</v>
      </c>
      <c r="F18" s="6">
        <v>151636</v>
      </c>
      <c r="G18" s="6">
        <v>51785</v>
      </c>
      <c r="H18" s="6">
        <v>23800</v>
      </c>
      <c r="I18" s="6">
        <v>13093</v>
      </c>
      <c r="J18" s="6">
        <v>7916</v>
      </c>
      <c r="K18" s="6">
        <v>5163</v>
      </c>
      <c r="L18" s="6">
        <v>3468</v>
      </c>
      <c r="M18" s="6">
        <v>12719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923370</v>
      </c>
      <c r="E19" s="6">
        <v>702478</v>
      </c>
      <c r="F19" s="6">
        <v>124694</v>
      </c>
      <c r="G19" s="6">
        <v>42872</v>
      </c>
      <c r="H19" s="6">
        <v>19568</v>
      </c>
      <c r="I19" s="6">
        <v>10733</v>
      </c>
      <c r="J19" s="6">
        <v>6382</v>
      </c>
      <c r="K19" s="6">
        <v>4094</v>
      </c>
      <c r="L19" s="6">
        <v>2725</v>
      </c>
      <c r="M19" s="6">
        <v>9824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717453</v>
      </c>
      <c r="E20" s="6">
        <v>668765</v>
      </c>
      <c r="F20" s="6">
        <v>26942</v>
      </c>
      <c r="G20" s="6">
        <v>8913</v>
      </c>
      <c r="H20" s="6">
        <v>4232</v>
      </c>
      <c r="I20" s="6">
        <v>2360</v>
      </c>
      <c r="J20" s="6">
        <v>1534</v>
      </c>
      <c r="K20" s="6">
        <v>1069</v>
      </c>
      <c r="L20" s="6">
        <v>743</v>
      </c>
      <c r="M20" s="6">
        <v>2895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1300964</v>
      </c>
      <c r="E21" s="6">
        <v>1059356</v>
      </c>
      <c r="F21" s="6">
        <v>138523</v>
      </c>
      <c r="G21" s="6">
        <v>47562</v>
      </c>
      <c r="H21" s="6">
        <v>21765</v>
      </c>
      <c r="I21" s="6">
        <v>11369</v>
      </c>
      <c r="J21" s="6">
        <v>6606</v>
      </c>
      <c r="K21" s="6">
        <v>4120</v>
      </c>
      <c r="L21" s="6">
        <v>2791</v>
      </c>
      <c r="M21" s="6">
        <v>8872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771715</v>
      </c>
      <c r="E22" s="6">
        <v>569420</v>
      </c>
      <c r="F22" s="6">
        <v>116272</v>
      </c>
      <c r="G22" s="6">
        <v>40278</v>
      </c>
      <c r="H22" s="6">
        <v>18384</v>
      </c>
      <c r="I22" s="6">
        <v>9533</v>
      </c>
      <c r="J22" s="6">
        <v>5445</v>
      </c>
      <c r="K22" s="6">
        <v>3352</v>
      </c>
      <c r="L22" s="6">
        <v>2198</v>
      </c>
      <c r="M22" s="6">
        <v>6833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489936</v>
      </c>
      <c r="F23" s="6">
        <v>22251</v>
      </c>
      <c r="G23" s="6">
        <v>7284</v>
      </c>
      <c r="H23" s="6">
        <v>3381</v>
      </c>
      <c r="I23" s="6">
        <v>1836</v>
      </c>
      <c r="J23" s="6">
        <v>1161</v>
      </c>
      <c r="K23" s="6">
        <v>768</v>
      </c>
      <c r="L23" s="6">
        <v>593</v>
      </c>
      <c r="M23" s="6">
        <v>2039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1998877</v>
      </c>
      <c r="E24" s="6">
        <v>1599499</v>
      </c>
      <c r="F24" s="6">
        <v>230164</v>
      </c>
      <c r="G24" s="6">
        <v>79354</v>
      </c>
      <c r="H24" s="6">
        <v>35729</v>
      </c>
      <c r="I24" s="6">
        <v>18558</v>
      </c>
      <c r="J24" s="6">
        <v>10708</v>
      </c>
      <c r="K24" s="6">
        <v>6678</v>
      </c>
      <c r="L24" s="6">
        <v>4402</v>
      </c>
      <c r="M24" s="6">
        <v>13785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1102936</v>
      </c>
      <c r="E25" s="6">
        <v>787143</v>
      </c>
      <c r="F25" s="6">
        <v>181254</v>
      </c>
      <c r="G25" s="6">
        <v>63904</v>
      </c>
      <c r="H25" s="6">
        <v>28835</v>
      </c>
      <c r="I25" s="6">
        <v>14808</v>
      </c>
      <c r="J25" s="6">
        <v>8498</v>
      </c>
      <c r="K25" s="6">
        <v>5182</v>
      </c>
      <c r="L25" s="6">
        <v>3374</v>
      </c>
      <c r="M25" s="6">
        <v>9938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895941</v>
      </c>
      <c r="E26" s="6">
        <v>812356</v>
      </c>
      <c r="F26" s="6">
        <v>48910</v>
      </c>
      <c r="G26" s="6">
        <v>15450</v>
      </c>
      <c r="H26" s="6">
        <v>6894</v>
      </c>
      <c r="I26" s="6">
        <v>3750</v>
      </c>
      <c r="J26" s="6">
        <v>2210</v>
      </c>
      <c r="K26" s="6">
        <v>1496</v>
      </c>
      <c r="L26" s="6">
        <v>1028</v>
      </c>
      <c r="M26" s="6">
        <v>3847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1608637</v>
      </c>
      <c r="E27" s="6">
        <v>1277833</v>
      </c>
      <c r="F27" s="6">
        <v>196836</v>
      </c>
      <c r="G27" s="6">
        <v>64973</v>
      </c>
      <c r="H27" s="6">
        <v>27971</v>
      </c>
      <c r="I27" s="6">
        <v>14416</v>
      </c>
      <c r="J27" s="6">
        <v>8176</v>
      </c>
      <c r="K27" s="6">
        <v>5001</v>
      </c>
      <c r="L27" s="6">
        <v>3323</v>
      </c>
      <c r="M27" s="6">
        <v>10108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894066</v>
      </c>
      <c r="E28" s="6">
        <v>641105</v>
      </c>
      <c r="F28" s="6">
        <v>149297</v>
      </c>
      <c r="G28" s="6">
        <v>50847</v>
      </c>
      <c r="H28" s="6">
        <v>21879</v>
      </c>
      <c r="I28" s="6">
        <v>11169</v>
      </c>
      <c r="J28" s="6">
        <v>6324</v>
      </c>
      <c r="K28" s="6">
        <v>3742</v>
      </c>
      <c r="L28" s="6">
        <v>2454</v>
      </c>
      <c r="M28" s="6">
        <v>7249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714571</v>
      </c>
      <c r="E29" s="6">
        <v>636728</v>
      </c>
      <c r="F29" s="6">
        <v>47539</v>
      </c>
      <c r="G29" s="6">
        <v>14126</v>
      </c>
      <c r="H29" s="6">
        <v>6092</v>
      </c>
      <c r="I29" s="6">
        <v>3247</v>
      </c>
      <c r="J29" s="6">
        <v>1852</v>
      </c>
      <c r="K29" s="6">
        <v>1259</v>
      </c>
      <c r="L29" s="6">
        <v>869</v>
      </c>
      <c r="M29" s="6">
        <v>2859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2173257</v>
      </c>
      <c r="E30" s="6">
        <v>1663750</v>
      </c>
      <c r="F30" s="6">
        <v>311908</v>
      </c>
      <c r="G30" s="6">
        <v>97862</v>
      </c>
      <c r="H30" s="6">
        <v>41438</v>
      </c>
      <c r="I30" s="6">
        <v>20740</v>
      </c>
      <c r="J30" s="6">
        <v>11778</v>
      </c>
      <c r="K30" s="6">
        <v>7248</v>
      </c>
      <c r="L30" s="6">
        <v>4622</v>
      </c>
      <c r="M30" s="6">
        <v>13911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1122456</v>
      </c>
      <c r="E31" s="6">
        <v>793954</v>
      </c>
      <c r="F31" s="6">
        <v>196125</v>
      </c>
      <c r="G31" s="6">
        <v>65600</v>
      </c>
      <c r="H31" s="6">
        <v>27911</v>
      </c>
      <c r="I31" s="6">
        <v>13962</v>
      </c>
      <c r="J31" s="6">
        <v>7885</v>
      </c>
      <c r="K31" s="6">
        <v>4837</v>
      </c>
      <c r="L31" s="6">
        <v>3070</v>
      </c>
      <c r="M31" s="6">
        <v>9112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1050801</v>
      </c>
      <c r="E32" s="6">
        <v>869796</v>
      </c>
      <c r="F32" s="6">
        <v>115783</v>
      </c>
      <c r="G32" s="6">
        <v>32262</v>
      </c>
      <c r="H32" s="6">
        <v>13527</v>
      </c>
      <c r="I32" s="6">
        <v>6778</v>
      </c>
      <c r="J32" s="6">
        <v>3893</v>
      </c>
      <c r="K32" s="6">
        <v>2411</v>
      </c>
      <c r="L32" s="6">
        <v>1552</v>
      </c>
      <c r="M32" s="6">
        <v>4799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1752068</v>
      </c>
      <c r="E33" s="6">
        <v>1305214</v>
      </c>
      <c r="F33" s="6">
        <v>282551</v>
      </c>
      <c r="G33" s="6">
        <v>83586</v>
      </c>
      <c r="H33" s="6">
        <v>33997</v>
      </c>
      <c r="I33" s="6">
        <v>17089</v>
      </c>
      <c r="J33" s="6">
        <v>9418</v>
      </c>
      <c r="K33" s="6">
        <v>5642</v>
      </c>
      <c r="L33" s="6">
        <v>3762</v>
      </c>
      <c r="M33" s="6">
        <v>10809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882163</v>
      </c>
      <c r="E34" s="6">
        <v>627382</v>
      </c>
      <c r="F34" s="6">
        <v>155789</v>
      </c>
      <c r="G34" s="6">
        <v>49686</v>
      </c>
      <c r="H34" s="6">
        <v>20514</v>
      </c>
      <c r="I34" s="6">
        <v>10419</v>
      </c>
      <c r="J34" s="6">
        <v>5755</v>
      </c>
      <c r="K34" s="6">
        <v>3431</v>
      </c>
      <c r="L34" s="6">
        <v>2327</v>
      </c>
      <c r="M34" s="6">
        <v>6860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869905</v>
      </c>
      <c r="E35" s="6">
        <v>677832</v>
      </c>
      <c r="F35" s="6">
        <v>126762</v>
      </c>
      <c r="G35" s="6">
        <v>33900</v>
      </c>
      <c r="H35" s="6">
        <v>13483</v>
      </c>
      <c r="I35" s="6">
        <v>6670</v>
      </c>
      <c r="J35" s="6">
        <v>3663</v>
      </c>
      <c r="K35" s="6">
        <v>2211</v>
      </c>
      <c r="L35" s="6">
        <v>1435</v>
      </c>
      <c r="M35" s="6">
        <v>3949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1974568</v>
      </c>
      <c r="E36" s="6">
        <v>1415143</v>
      </c>
      <c r="F36" s="6">
        <v>355285</v>
      </c>
      <c r="G36" s="6">
        <v>105154</v>
      </c>
      <c r="H36" s="6">
        <v>42641</v>
      </c>
      <c r="I36" s="6">
        <v>20815</v>
      </c>
      <c r="J36" s="6">
        <v>11416</v>
      </c>
      <c r="K36" s="6">
        <v>6973</v>
      </c>
      <c r="L36" s="6">
        <v>4505</v>
      </c>
      <c r="M36" s="6">
        <v>12636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951167</v>
      </c>
      <c r="E37" s="6">
        <v>655989</v>
      </c>
      <c r="F37" s="6">
        <v>180184</v>
      </c>
      <c r="G37" s="6">
        <v>57996</v>
      </c>
      <c r="H37" s="6">
        <v>24043</v>
      </c>
      <c r="I37" s="6">
        <v>11947</v>
      </c>
      <c r="J37" s="6">
        <v>6546</v>
      </c>
      <c r="K37" s="6">
        <v>4096</v>
      </c>
      <c r="L37" s="6">
        <v>2679</v>
      </c>
      <c r="M37" s="6">
        <v>7687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1023401</v>
      </c>
      <c r="E38" s="6">
        <v>759154</v>
      </c>
      <c r="F38" s="6">
        <v>175101</v>
      </c>
      <c r="G38" s="6">
        <v>47158</v>
      </c>
      <c r="H38" s="6">
        <v>18598</v>
      </c>
      <c r="I38" s="6">
        <v>8868</v>
      </c>
      <c r="J38" s="6">
        <v>4870</v>
      </c>
      <c r="K38" s="6">
        <v>2877</v>
      </c>
      <c r="L38" s="6">
        <v>1826</v>
      </c>
      <c r="M38" s="6">
        <v>4949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1284656</v>
      </c>
      <c r="E39" s="6">
        <v>910017</v>
      </c>
      <c r="F39" s="6">
        <v>241281</v>
      </c>
      <c r="G39" s="6">
        <v>70200</v>
      </c>
      <c r="H39" s="6">
        <v>27577</v>
      </c>
      <c r="I39" s="6">
        <v>13313</v>
      </c>
      <c r="J39" s="6">
        <v>7296</v>
      </c>
      <c r="K39" s="6">
        <v>4486</v>
      </c>
      <c r="L39" s="6">
        <v>2753</v>
      </c>
      <c r="M39" s="6">
        <v>7733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626970</v>
      </c>
      <c r="E40" s="6">
        <v>430529</v>
      </c>
      <c r="F40" s="6">
        <v>122117</v>
      </c>
      <c r="G40" s="6">
        <v>38551</v>
      </c>
      <c r="H40" s="6">
        <v>15524</v>
      </c>
      <c r="I40" s="6">
        <v>7451</v>
      </c>
      <c r="J40" s="6">
        <v>4063</v>
      </c>
      <c r="K40" s="6">
        <v>2562</v>
      </c>
      <c r="L40" s="6">
        <v>1577</v>
      </c>
      <c r="M40" s="6">
        <v>4596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657686</v>
      </c>
      <c r="E41" s="6">
        <v>479488</v>
      </c>
      <c r="F41" s="6">
        <v>119164</v>
      </c>
      <c r="G41" s="6">
        <v>31649</v>
      </c>
      <c r="H41" s="6">
        <v>12053</v>
      </c>
      <c r="I41" s="6">
        <v>5862</v>
      </c>
      <c r="J41" s="6">
        <v>3233</v>
      </c>
      <c r="K41" s="6">
        <v>1924</v>
      </c>
      <c r="L41" s="6">
        <v>1176</v>
      </c>
      <c r="M41" s="6">
        <v>3137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1083978</v>
      </c>
      <c r="E42" s="6">
        <v>758903</v>
      </c>
      <c r="F42" s="6">
        <v>209320</v>
      </c>
      <c r="G42" s="6">
        <v>61275</v>
      </c>
      <c r="H42" s="6">
        <v>23925</v>
      </c>
      <c r="I42" s="6">
        <v>11832</v>
      </c>
      <c r="J42" s="6">
        <v>6395</v>
      </c>
      <c r="K42" s="6">
        <v>3826</v>
      </c>
      <c r="L42" s="6">
        <v>2288</v>
      </c>
      <c r="M42" s="6">
        <v>6214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515608</v>
      </c>
      <c r="E43" s="6">
        <v>352665</v>
      </c>
      <c r="F43" s="6">
        <v>102107</v>
      </c>
      <c r="G43" s="6">
        <v>32014</v>
      </c>
      <c r="H43" s="6">
        <v>12540</v>
      </c>
      <c r="I43" s="6">
        <v>6221</v>
      </c>
      <c r="J43" s="6">
        <v>3402</v>
      </c>
      <c r="K43" s="6">
        <v>2027</v>
      </c>
      <c r="L43" s="6">
        <v>1196</v>
      </c>
      <c r="M43" s="6">
        <v>3436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568370</v>
      </c>
      <c r="E44" s="6">
        <v>406238</v>
      </c>
      <c r="F44" s="6">
        <v>107213</v>
      </c>
      <c r="G44" s="6">
        <v>29261</v>
      </c>
      <c r="H44" s="6">
        <v>11385</v>
      </c>
      <c r="I44" s="6">
        <v>5611</v>
      </c>
      <c r="J44" s="6">
        <v>2993</v>
      </c>
      <c r="K44" s="6">
        <v>1799</v>
      </c>
      <c r="L44" s="6">
        <v>1092</v>
      </c>
      <c r="M44" s="6">
        <v>2778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342708</v>
      </c>
      <c r="F45" s="6">
        <v>88265</v>
      </c>
      <c r="G45" s="6">
        <v>24209</v>
      </c>
      <c r="H45" s="6">
        <v>9182</v>
      </c>
      <c r="I45" s="6">
        <v>4323</v>
      </c>
      <c r="J45" s="6">
        <v>2342</v>
      </c>
      <c r="K45" s="6">
        <v>1377</v>
      </c>
      <c r="L45" s="6">
        <v>889</v>
      </c>
      <c r="M45" s="6">
        <v>2270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228799</v>
      </c>
      <c r="E46" s="6">
        <v>162436</v>
      </c>
      <c r="F46" s="6">
        <v>43363</v>
      </c>
      <c r="G46" s="6">
        <v>12496</v>
      </c>
      <c r="H46" s="6">
        <v>4759</v>
      </c>
      <c r="I46" s="6">
        <v>2250</v>
      </c>
      <c r="J46" s="6">
        <v>1134</v>
      </c>
      <c r="K46" s="6">
        <v>692</v>
      </c>
      <c r="L46" s="6">
        <v>460</v>
      </c>
      <c r="M46" s="6">
        <v>1209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180272</v>
      </c>
      <c r="F47" s="6">
        <v>44902</v>
      </c>
      <c r="G47" s="6">
        <v>11713</v>
      </c>
      <c r="H47" s="6">
        <v>4423</v>
      </c>
      <c r="I47" s="6">
        <v>2073</v>
      </c>
      <c r="J47" s="6">
        <v>1208</v>
      </c>
      <c r="K47" s="6">
        <v>685</v>
      </c>
      <c r="L47" s="6">
        <v>429</v>
      </c>
      <c r="M47" s="6">
        <v>1061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356867</v>
      </c>
      <c r="E48" s="6">
        <v>268032</v>
      </c>
      <c r="F48" s="6">
        <v>60946</v>
      </c>
      <c r="G48" s="6">
        <v>15466</v>
      </c>
      <c r="H48" s="6">
        <v>5609</v>
      </c>
      <c r="I48" s="6">
        <v>2638</v>
      </c>
      <c r="J48" s="6">
        <v>1426</v>
      </c>
      <c r="K48" s="6">
        <v>792</v>
      </c>
      <c r="L48" s="6">
        <v>517</v>
      </c>
      <c r="M48" s="6">
        <v>1441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121457</v>
      </c>
      <c r="F49" s="6">
        <v>28893</v>
      </c>
      <c r="G49" s="6">
        <v>7732</v>
      </c>
      <c r="H49" s="6">
        <v>2845</v>
      </c>
      <c r="I49" s="6">
        <v>1341</v>
      </c>
      <c r="J49" s="6">
        <v>735</v>
      </c>
      <c r="K49" s="6">
        <v>402</v>
      </c>
      <c r="L49" s="6">
        <v>269</v>
      </c>
      <c r="M49" s="6">
        <v>693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192500</v>
      </c>
      <c r="E50" s="6">
        <v>146575</v>
      </c>
      <c r="F50" s="6">
        <v>32053</v>
      </c>
      <c r="G50" s="6">
        <v>7734</v>
      </c>
      <c r="H50" s="6">
        <v>2764</v>
      </c>
      <c r="I50" s="6">
        <v>1297</v>
      </c>
      <c r="J50" s="6">
        <v>691</v>
      </c>
      <c r="K50" s="6">
        <v>390</v>
      </c>
      <c r="L50" s="6">
        <v>248</v>
      </c>
      <c r="M50" s="6">
        <v>748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107820</v>
      </c>
      <c r="E51" s="6">
        <v>85555</v>
      </c>
      <c r="F51" s="6">
        <v>15656</v>
      </c>
      <c r="G51" s="6">
        <v>3752</v>
      </c>
      <c r="H51" s="6">
        <v>1284</v>
      </c>
      <c r="I51" s="6">
        <v>595</v>
      </c>
      <c r="J51" s="6">
        <v>315</v>
      </c>
      <c r="K51" s="6">
        <v>167</v>
      </c>
      <c r="L51" s="6">
        <v>117</v>
      </c>
      <c r="M51" s="6">
        <v>379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44508</v>
      </c>
      <c r="E52" s="6">
        <v>34434</v>
      </c>
      <c r="F52" s="6">
        <v>7009</v>
      </c>
      <c r="G52" s="6">
        <v>1755</v>
      </c>
      <c r="H52" s="6">
        <v>595</v>
      </c>
      <c r="I52" s="6">
        <v>288</v>
      </c>
      <c r="J52" s="6">
        <v>143</v>
      </c>
      <c r="K52" s="6">
        <v>59</v>
      </c>
      <c r="L52" s="6">
        <v>55</v>
      </c>
      <c r="M52" s="6">
        <v>170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51121</v>
      </c>
      <c r="F53" s="6">
        <v>8647</v>
      </c>
      <c r="G53" s="6">
        <v>1997</v>
      </c>
      <c r="H53" s="6">
        <v>689</v>
      </c>
      <c r="I53" s="6">
        <v>307</v>
      </c>
      <c r="J53" s="6">
        <v>172</v>
      </c>
      <c r="K53" s="6">
        <v>108</v>
      </c>
      <c r="L53" s="6">
        <v>62</v>
      </c>
      <c r="M53" s="6">
        <v>209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C5F2-E2D6-42E3-B35A-1C53F9B8AA0B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3</v>
      </c>
      <c r="F3" s="5">
        <v>36</v>
      </c>
      <c r="G3" s="5">
        <v>41</v>
      </c>
      <c r="H3" s="5">
        <v>46</v>
      </c>
      <c r="I3" s="5">
        <v>51</v>
      </c>
      <c r="J3" s="5">
        <v>61</v>
      </c>
      <c r="K3" s="5">
        <v>71</v>
      </c>
      <c r="L3" s="5">
        <v>81</v>
      </c>
      <c r="M3" s="5">
        <v>91</v>
      </c>
      <c r="N3" s="5">
        <v>101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36</v>
      </c>
      <c r="F4" s="5">
        <v>41</v>
      </c>
      <c r="G4" s="5">
        <v>46</v>
      </c>
      <c r="H4" s="5">
        <v>51</v>
      </c>
      <c r="I4" s="5">
        <v>61</v>
      </c>
      <c r="J4" s="5">
        <v>71</v>
      </c>
      <c r="K4" s="5">
        <v>81</v>
      </c>
      <c r="L4" s="5">
        <v>91</v>
      </c>
      <c r="M4" s="5">
        <v>101</v>
      </c>
      <c r="N4" s="5">
        <v>300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179</v>
      </c>
      <c r="F5" s="4" t="s">
        <v>180</v>
      </c>
      <c r="G5" s="4" t="s">
        <v>181</v>
      </c>
      <c r="H5" s="4" t="s">
        <v>182</v>
      </c>
      <c r="I5" s="4" t="s">
        <v>172</v>
      </c>
      <c r="J5" s="4" t="s">
        <v>173</v>
      </c>
      <c r="K5" s="4" t="s">
        <v>174</v>
      </c>
      <c r="L5" s="4" t="s">
        <v>175</v>
      </c>
      <c r="M5" s="4" t="s">
        <v>176</v>
      </c>
      <c r="N5" s="4" t="s">
        <v>177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17516776</v>
      </c>
      <c r="E6" s="6">
        <v>14377684</v>
      </c>
      <c r="F6" s="6">
        <v>799338</v>
      </c>
      <c r="G6" s="6">
        <v>555869</v>
      </c>
      <c r="H6" s="6">
        <v>388646</v>
      </c>
      <c r="I6" s="6">
        <v>500154</v>
      </c>
      <c r="J6" s="6">
        <v>287762</v>
      </c>
      <c r="K6" s="6">
        <v>177974</v>
      </c>
      <c r="L6" s="6">
        <v>116042</v>
      </c>
      <c r="M6" s="6">
        <v>79125</v>
      </c>
      <c r="N6" s="6">
        <v>234182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9093161</v>
      </c>
      <c r="E7" s="6">
        <v>6712829</v>
      </c>
      <c r="F7" s="6">
        <v>578752</v>
      </c>
      <c r="G7" s="6">
        <v>414961</v>
      </c>
      <c r="H7" s="6">
        <v>295039</v>
      </c>
      <c r="I7" s="6">
        <v>386202</v>
      </c>
      <c r="J7" s="6">
        <v>225302</v>
      </c>
      <c r="K7" s="6">
        <v>140247</v>
      </c>
      <c r="L7" s="6">
        <v>91903</v>
      </c>
      <c r="M7" s="6">
        <v>63014</v>
      </c>
      <c r="N7" s="6">
        <v>184912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8423615</v>
      </c>
      <c r="E8" s="6">
        <v>7664855</v>
      </c>
      <c r="F8" s="6">
        <v>220586</v>
      </c>
      <c r="G8" s="6">
        <v>140908</v>
      </c>
      <c r="H8" s="6">
        <v>93607</v>
      </c>
      <c r="I8" s="6">
        <v>113952</v>
      </c>
      <c r="J8" s="6">
        <v>62460</v>
      </c>
      <c r="K8" s="6">
        <v>37727</v>
      </c>
      <c r="L8" s="6">
        <v>24139</v>
      </c>
      <c r="M8" s="6">
        <v>16111</v>
      </c>
      <c r="N8" s="6">
        <v>49270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7647</v>
      </c>
      <c r="F9" s="6">
        <v>199</v>
      </c>
      <c r="G9" s="6">
        <v>166</v>
      </c>
      <c r="H9" s="6">
        <v>91</v>
      </c>
      <c r="I9" s="6">
        <v>126</v>
      </c>
      <c r="J9" s="6">
        <v>97</v>
      </c>
      <c r="K9" s="6">
        <v>65</v>
      </c>
      <c r="L9" s="6">
        <v>54</v>
      </c>
      <c r="M9" s="6">
        <v>44</v>
      </c>
      <c r="N9" s="6">
        <v>165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4840</v>
      </c>
      <c r="F10" s="6">
        <v>177</v>
      </c>
      <c r="G10" s="6">
        <v>146</v>
      </c>
      <c r="H10" s="6">
        <v>83</v>
      </c>
      <c r="I10" s="6">
        <v>107</v>
      </c>
      <c r="J10" s="6">
        <v>88</v>
      </c>
      <c r="K10" s="6">
        <v>57</v>
      </c>
      <c r="L10" s="6">
        <v>44</v>
      </c>
      <c r="M10" s="6">
        <v>40</v>
      </c>
      <c r="N10" s="6">
        <v>142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2807</v>
      </c>
      <c r="F11" s="6">
        <v>22</v>
      </c>
      <c r="G11" s="6">
        <v>20</v>
      </c>
      <c r="H11" s="6">
        <v>8</v>
      </c>
      <c r="I11" s="6">
        <v>19</v>
      </c>
      <c r="J11" s="6">
        <v>9</v>
      </c>
      <c r="K11" s="6">
        <v>8</v>
      </c>
      <c r="L11" s="6">
        <v>10</v>
      </c>
      <c r="M11" s="6">
        <v>4</v>
      </c>
      <c r="N11" s="6">
        <v>23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544699</v>
      </c>
      <c r="E12" s="6">
        <v>485123</v>
      </c>
      <c r="F12" s="6">
        <v>11778</v>
      </c>
      <c r="G12" s="6">
        <v>8791</v>
      </c>
      <c r="H12" s="6">
        <v>6222</v>
      </c>
      <c r="I12" s="6">
        <v>8858</v>
      </c>
      <c r="J12" s="6">
        <v>5706</v>
      </c>
      <c r="K12" s="6">
        <v>3865</v>
      </c>
      <c r="L12" s="6">
        <v>2899</v>
      </c>
      <c r="M12" s="6">
        <v>2197</v>
      </c>
      <c r="N12" s="6">
        <v>9260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232347</v>
      </c>
      <c r="E13" s="6">
        <v>185953</v>
      </c>
      <c r="F13" s="6">
        <v>9039</v>
      </c>
      <c r="G13" s="6">
        <v>6796</v>
      </c>
      <c r="H13" s="6">
        <v>4876</v>
      </c>
      <c r="I13" s="6">
        <v>6922</v>
      </c>
      <c r="J13" s="6">
        <v>4466</v>
      </c>
      <c r="K13" s="6">
        <v>3017</v>
      </c>
      <c r="L13" s="6">
        <v>2266</v>
      </c>
      <c r="M13" s="6">
        <v>1720</v>
      </c>
      <c r="N13" s="6">
        <v>7292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312352</v>
      </c>
      <c r="E14" s="6">
        <v>299170</v>
      </c>
      <c r="F14" s="6">
        <v>2739</v>
      </c>
      <c r="G14" s="6">
        <v>1995</v>
      </c>
      <c r="H14" s="6">
        <v>1346</v>
      </c>
      <c r="I14" s="6">
        <v>1936</v>
      </c>
      <c r="J14" s="6">
        <v>1240</v>
      </c>
      <c r="K14" s="6">
        <v>848</v>
      </c>
      <c r="L14" s="6">
        <v>633</v>
      </c>
      <c r="M14" s="6">
        <v>477</v>
      </c>
      <c r="N14" s="6">
        <v>1968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1205377</v>
      </c>
      <c r="E15" s="6">
        <v>1025193</v>
      </c>
      <c r="F15" s="6">
        <v>36806</v>
      </c>
      <c r="G15" s="6">
        <v>27013</v>
      </c>
      <c r="H15" s="6">
        <v>19792</v>
      </c>
      <c r="I15" s="6">
        <v>27119</v>
      </c>
      <c r="J15" s="6">
        <v>17578</v>
      </c>
      <c r="K15" s="6">
        <v>11867</v>
      </c>
      <c r="L15" s="6">
        <v>8611</v>
      </c>
      <c r="M15" s="6">
        <v>6458</v>
      </c>
      <c r="N15" s="6">
        <v>24940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626982</v>
      </c>
      <c r="E16" s="6">
        <v>473721</v>
      </c>
      <c r="F16" s="6">
        <v>30853</v>
      </c>
      <c r="G16" s="6">
        <v>22902</v>
      </c>
      <c r="H16" s="6">
        <v>16888</v>
      </c>
      <c r="I16" s="6">
        <v>23190</v>
      </c>
      <c r="J16" s="6">
        <v>15050</v>
      </c>
      <c r="K16" s="6">
        <v>10171</v>
      </c>
      <c r="L16" s="6">
        <v>7380</v>
      </c>
      <c r="M16" s="6">
        <v>5558</v>
      </c>
      <c r="N16" s="6">
        <v>21269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578395</v>
      </c>
      <c r="E17" s="6">
        <v>551472</v>
      </c>
      <c r="F17" s="6">
        <v>5953</v>
      </c>
      <c r="G17" s="6">
        <v>4111</v>
      </c>
      <c r="H17" s="6">
        <v>2904</v>
      </c>
      <c r="I17" s="6">
        <v>3929</v>
      </c>
      <c r="J17" s="6">
        <v>2528</v>
      </c>
      <c r="K17" s="6">
        <v>1696</v>
      </c>
      <c r="L17" s="6">
        <v>1231</v>
      </c>
      <c r="M17" s="6">
        <v>900</v>
      </c>
      <c r="N17" s="6">
        <v>3671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1640815</v>
      </c>
      <c r="E18" s="6">
        <v>1326779</v>
      </c>
      <c r="F18" s="6">
        <v>64269</v>
      </c>
      <c r="G18" s="6">
        <v>47666</v>
      </c>
      <c r="H18" s="6">
        <v>35182</v>
      </c>
      <c r="I18" s="6">
        <v>49286</v>
      </c>
      <c r="J18" s="6">
        <v>31322</v>
      </c>
      <c r="K18" s="6">
        <v>21088</v>
      </c>
      <c r="L18" s="6">
        <v>14973</v>
      </c>
      <c r="M18" s="6">
        <v>11061</v>
      </c>
      <c r="N18" s="6">
        <v>39189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923365</v>
      </c>
      <c r="E19" s="6">
        <v>649385</v>
      </c>
      <c r="F19" s="6">
        <v>55162</v>
      </c>
      <c r="G19" s="6">
        <v>41364</v>
      </c>
      <c r="H19" s="6">
        <v>30774</v>
      </c>
      <c r="I19" s="6">
        <v>43326</v>
      </c>
      <c r="J19" s="6">
        <v>27648</v>
      </c>
      <c r="K19" s="6">
        <v>18531</v>
      </c>
      <c r="L19" s="6">
        <v>13189</v>
      </c>
      <c r="M19" s="6">
        <v>9709</v>
      </c>
      <c r="N19" s="6">
        <v>34277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717450</v>
      </c>
      <c r="E20" s="6">
        <v>677394</v>
      </c>
      <c r="F20" s="6">
        <v>9107</v>
      </c>
      <c r="G20" s="6">
        <v>6302</v>
      </c>
      <c r="H20" s="6">
        <v>4408</v>
      </c>
      <c r="I20" s="6">
        <v>5960</v>
      </c>
      <c r="J20" s="6">
        <v>3674</v>
      </c>
      <c r="K20" s="6">
        <v>2557</v>
      </c>
      <c r="L20" s="6">
        <v>1784</v>
      </c>
      <c r="M20" s="6">
        <v>1352</v>
      </c>
      <c r="N20" s="6">
        <v>4912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1300962</v>
      </c>
      <c r="E21" s="6">
        <v>1012024</v>
      </c>
      <c r="F21" s="6">
        <v>60110</v>
      </c>
      <c r="G21" s="6">
        <v>45269</v>
      </c>
      <c r="H21" s="6">
        <v>33681</v>
      </c>
      <c r="I21" s="6">
        <v>47066</v>
      </c>
      <c r="J21" s="6">
        <v>29518</v>
      </c>
      <c r="K21" s="6">
        <v>19541</v>
      </c>
      <c r="L21" s="6">
        <v>13793</v>
      </c>
      <c r="M21" s="6">
        <v>9454</v>
      </c>
      <c r="N21" s="6">
        <v>30506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771713</v>
      </c>
      <c r="E22" s="6">
        <v>515406</v>
      </c>
      <c r="F22" s="6">
        <v>52365</v>
      </c>
      <c r="G22" s="6">
        <v>40153</v>
      </c>
      <c r="H22" s="6">
        <v>29979</v>
      </c>
      <c r="I22" s="6">
        <v>42046</v>
      </c>
      <c r="J22" s="6">
        <v>26411</v>
      </c>
      <c r="K22" s="6">
        <v>17506</v>
      </c>
      <c r="L22" s="6">
        <v>12403</v>
      </c>
      <c r="M22" s="6">
        <v>8486</v>
      </c>
      <c r="N22" s="6">
        <v>26958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529249</v>
      </c>
      <c r="E23" s="6">
        <v>496618</v>
      </c>
      <c r="F23" s="6">
        <v>7745</v>
      </c>
      <c r="G23" s="6">
        <v>5116</v>
      </c>
      <c r="H23" s="6">
        <v>3702</v>
      </c>
      <c r="I23" s="6">
        <v>5020</v>
      </c>
      <c r="J23" s="6">
        <v>3107</v>
      </c>
      <c r="K23" s="6">
        <v>2035</v>
      </c>
      <c r="L23" s="6">
        <v>1390</v>
      </c>
      <c r="M23" s="6">
        <v>968</v>
      </c>
      <c r="N23" s="6">
        <v>3548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1998874</v>
      </c>
      <c r="E24" s="6">
        <v>1571468</v>
      </c>
      <c r="F24" s="6">
        <v>95369</v>
      </c>
      <c r="G24" s="6">
        <v>71042</v>
      </c>
      <c r="H24" s="6">
        <v>52249</v>
      </c>
      <c r="I24" s="6">
        <v>70597</v>
      </c>
      <c r="J24" s="6">
        <v>42858</v>
      </c>
      <c r="K24" s="6">
        <v>27557</v>
      </c>
      <c r="L24" s="6">
        <v>18296</v>
      </c>
      <c r="M24" s="6">
        <v>12728</v>
      </c>
      <c r="N24" s="6">
        <v>36710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1102935</v>
      </c>
      <c r="E25" s="6">
        <v>733281</v>
      </c>
      <c r="F25" s="6">
        <v>80787</v>
      </c>
      <c r="G25" s="6">
        <v>61143</v>
      </c>
      <c r="H25" s="6">
        <v>45461</v>
      </c>
      <c r="I25" s="6">
        <v>61840</v>
      </c>
      <c r="J25" s="6">
        <v>37659</v>
      </c>
      <c r="K25" s="6">
        <v>24194</v>
      </c>
      <c r="L25" s="6">
        <v>16012</v>
      </c>
      <c r="M25" s="6">
        <v>11176</v>
      </c>
      <c r="N25" s="6">
        <v>31382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895939</v>
      </c>
      <c r="E26" s="6">
        <v>838187</v>
      </c>
      <c r="F26" s="6">
        <v>14582</v>
      </c>
      <c r="G26" s="6">
        <v>9899</v>
      </c>
      <c r="H26" s="6">
        <v>6788</v>
      </c>
      <c r="I26" s="6">
        <v>8757</v>
      </c>
      <c r="J26" s="6">
        <v>5199</v>
      </c>
      <c r="K26" s="6">
        <v>3363</v>
      </c>
      <c r="L26" s="6">
        <v>2284</v>
      </c>
      <c r="M26" s="6">
        <v>1552</v>
      </c>
      <c r="N26" s="6">
        <v>5328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1608636</v>
      </c>
      <c r="E27" s="6">
        <v>1282249</v>
      </c>
      <c r="F27" s="6">
        <v>79014</v>
      </c>
      <c r="G27" s="6">
        <v>57868</v>
      </c>
      <c r="H27" s="6">
        <v>40884</v>
      </c>
      <c r="I27" s="6">
        <v>54474</v>
      </c>
      <c r="J27" s="6">
        <v>31645</v>
      </c>
      <c r="K27" s="6">
        <v>19468</v>
      </c>
      <c r="L27" s="6">
        <v>12517</v>
      </c>
      <c r="M27" s="6">
        <v>8436</v>
      </c>
      <c r="N27" s="6">
        <v>22081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894066</v>
      </c>
      <c r="E28" s="6">
        <v>618652</v>
      </c>
      <c r="F28" s="6">
        <v>65271</v>
      </c>
      <c r="G28" s="6">
        <v>48792</v>
      </c>
      <c r="H28" s="6">
        <v>34773</v>
      </c>
      <c r="I28" s="6">
        <v>46770</v>
      </c>
      <c r="J28" s="6">
        <v>27202</v>
      </c>
      <c r="K28" s="6">
        <v>16677</v>
      </c>
      <c r="L28" s="6">
        <v>10710</v>
      </c>
      <c r="M28" s="6">
        <v>7137</v>
      </c>
      <c r="N28" s="6">
        <v>18082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714570</v>
      </c>
      <c r="E29" s="6">
        <v>663597</v>
      </c>
      <c r="F29" s="6">
        <v>13743</v>
      </c>
      <c r="G29" s="6">
        <v>9076</v>
      </c>
      <c r="H29" s="6">
        <v>6111</v>
      </c>
      <c r="I29" s="6">
        <v>7704</v>
      </c>
      <c r="J29" s="6">
        <v>4443</v>
      </c>
      <c r="K29" s="6">
        <v>2791</v>
      </c>
      <c r="L29" s="6">
        <v>1807</v>
      </c>
      <c r="M29" s="6">
        <v>1299</v>
      </c>
      <c r="N29" s="6">
        <v>3999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2173255</v>
      </c>
      <c r="E30" s="6">
        <v>1746880</v>
      </c>
      <c r="F30" s="6">
        <v>112982</v>
      </c>
      <c r="G30" s="6">
        <v>78582</v>
      </c>
      <c r="H30" s="6">
        <v>54687</v>
      </c>
      <c r="I30" s="6">
        <v>69412</v>
      </c>
      <c r="J30" s="6">
        <v>39004</v>
      </c>
      <c r="K30" s="6">
        <v>23391</v>
      </c>
      <c r="L30" s="6">
        <v>14562</v>
      </c>
      <c r="M30" s="6">
        <v>9570</v>
      </c>
      <c r="N30" s="6">
        <v>24185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1122457</v>
      </c>
      <c r="E31" s="6">
        <v>807953</v>
      </c>
      <c r="F31" s="6">
        <v>81146</v>
      </c>
      <c r="G31" s="6">
        <v>57796</v>
      </c>
      <c r="H31" s="6">
        <v>40897</v>
      </c>
      <c r="I31" s="6">
        <v>52424</v>
      </c>
      <c r="J31" s="6">
        <v>29498</v>
      </c>
      <c r="K31" s="6">
        <v>17613</v>
      </c>
      <c r="L31" s="6">
        <v>10863</v>
      </c>
      <c r="M31" s="6">
        <v>7120</v>
      </c>
      <c r="N31" s="6">
        <v>17147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1050798</v>
      </c>
      <c r="E32" s="6">
        <v>938927</v>
      </c>
      <c r="F32" s="6">
        <v>31836</v>
      </c>
      <c r="G32" s="6">
        <v>20786</v>
      </c>
      <c r="H32" s="6">
        <v>13790</v>
      </c>
      <c r="I32" s="6">
        <v>16988</v>
      </c>
      <c r="J32" s="6">
        <v>9506</v>
      </c>
      <c r="K32" s="6">
        <v>5778</v>
      </c>
      <c r="L32" s="6">
        <v>3699</v>
      </c>
      <c r="M32" s="6">
        <v>2450</v>
      </c>
      <c r="N32" s="6">
        <v>7038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1752066</v>
      </c>
      <c r="E33" s="6">
        <v>1424300</v>
      </c>
      <c r="F33" s="6">
        <v>93616</v>
      </c>
      <c r="G33" s="6">
        <v>62493</v>
      </c>
      <c r="H33" s="6">
        <v>42752</v>
      </c>
      <c r="I33" s="6">
        <v>52317</v>
      </c>
      <c r="J33" s="6">
        <v>28067</v>
      </c>
      <c r="K33" s="6">
        <v>16344</v>
      </c>
      <c r="L33" s="6">
        <v>10011</v>
      </c>
      <c r="M33" s="6">
        <v>6386</v>
      </c>
      <c r="N33" s="6">
        <v>15780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882164</v>
      </c>
      <c r="E34" s="6">
        <v>667220</v>
      </c>
      <c r="F34" s="6">
        <v>59611</v>
      </c>
      <c r="G34" s="6">
        <v>41209</v>
      </c>
      <c r="H34" s="6">
        <v>28287</v>
      </c>
      <c r="I34" s="6">
        <v>35125</v>
      </c>
      <c r="J34" s="6">
        <v>18848</v>
      </c>
      <c r="K34" s="6">
        <v>11036</v>
      </c>
      <c r="L34" s="6">
        <v>6635</v>
      </c>
      <c r="M34" s="6">
        <v>4200</v>
      </c>
      <c r="N34" s="6">
        <v>9993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869902</v>
      </c>
      <c r="E35" s="6">
        <v>757080</v>
      </c>
      <c r="F35" s="6">
        <v>34005</v>
      </c>
      <c r="G35" s="6">
        <v>21284</v>
      </c>
      <c r="H35" s="6">
        <v>14465</v>
      </c>
      <c r="I35" s="6">
        <v>17192</v>
      </c>
      <c r="J35" s="6">
        <v>9219</v>
      </c>
      <c r="K35" s="6">
        <v>5308</v>
      </c>
      <c r="L35" s="6">
        <v>3376</v>
      </c>
      <c r="M35" s="6">
        <v>2186</v>
      </c>
      <c r="N35" s="6">
        <v>5787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1974563</v>
      </c>
      <c r="E36" s="6">
        <v>1628354</v>
      </c>
      <c r="F36" s="6">
        <v>104188</v>
      </c>
      <c r="G36" s="6">
        <v>67836</v>
      </c>
      <c r="H36" s="6">
        <v>45203</v>
      </c>
      <c r="I36" s="6">
        <v>54084</v>
      </c>
      <c r="J36" s="6">
        <v>28231</v>
      </c>
      <c r="K36" s="6">
        <v>16375</v>
      </c>
      <c r="L36" s="6">
        <v>9494</v>
      </c>
      <c r="M36" s="6">
        <v>6134</v>
      </c>
      <c r="N36" s="6">
        <v>14664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951164</v>
      </c>
      <c r="E37" s="6">
        <v>738877</v>
      </c>
      <c r="F37" s="6">
        <v>62083</v>
      </c>
      <c r="G37" s="6">
        <v>41430</v>
      </c>
      <c r="H37" s="6">
        <v>28167</v>
      </c>
      <c r="I37" s="6">
        <v>33792</v>
      </c>
      <c r="J37" s="6">
        <v>17957</v>
      </c>
      <c r="K37" s="6">
        <v>10268</v>
      </c>
      <c r="L37" s="6">
        <v>5884</v>
      </c>
      <c r="M37" s="6">
        <v>3843</v>
      </c>
      <c r="N37" s="6">
        <v>8863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1023399</v>
      </c>
      <c r="E38" s="6">
        <v>889477</v>
      </c>
      <c r="F38" s="6">
        <v>42105</v>
      </c>
      <c r="G38" s="6">
        <v>26406</v>
      </c>
      <c r="H38" s="6">
        <v>17036</v>
      </c>
      <c r="I38" s="6">
        <v>20292</v>
      </c>
      <c r="J38" s="6">
        <v>10274</v>
      </c>
      <c r="K38" s="6">
        <v>6107</v>
      </c>
      <c r="L38" s="6">
        <v>3610</v>
      </c>
      <c r="M38" s="6">
        <v>2291</v>
      </c>
      <c r="N38" s="6">
        <v>5801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1284653</v>
      </c>
      <c r="E39" s="6">
        <v>1081355</v>
      </c>
      <c r="F39" s="6">
        <v>63577</v>
      </c>
      <c r="G39" s="6">
        <v>41130</v>
      </c>
      <c r="H39" s="6">
        <v>26535</v>
      </c>
      <c r="I39" s="6">
        <v>31076</v>
      </c>
      <c r="J39" s="6">
        <v>15906</v>
      </c>
      <c r="K39" s="6">
        <v>8788</v>
      </c>
      <c r="L39" s="6">
        <v>5337</v>
      </c>
      <c r="M39" s="6">
        <v>3212</v>
      </c>
      <c r="N39" s="6">
        <v>7737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626968</v>
      </c>
      <c r="E40" s="6">
        <v>503106</v>
      </c>
      <c r="F40" s="6">
        <v>37760</v>
      </c>
      <c r="G40" s="6">
        <v>25076</v>
      </c>
      <c r="H40" s="6">
        <v>16338</v>
      </c>
      <c r="I40" s="6">
        <v>19416</v>
      </c>
      <c r="J40" s="6">
        <v>9998</v>
      </c>
      <c r="K40" s="6">
        <v>5488</v>
      </c>
      <c r="L40" s="6">
        <v>3273</v>
      </c>
      <c r="M40" s="6">
        <v>1992</v>
      </c>
      <c r="N40" s="6">
        <v>4521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657685</v>
      </c>
      <c r="E41" s="6">
        <v>578249</v>
      </c>
      <c r="F41" s="6">
        <v>25817</v>
      </c>
      <c r="G41" s="6">
        <v>16054</v>
      </c>
      <c r="H41" s="6">
        <v>10197</v>
      </c>
      <c r="I41" s="6">
        <v>11660</v>
      </c>
      <c r="J41" s="6">
        <v>5908</v>
      </c>
      <c r="K41" s="6">
        <v>3300</v>
      </c>
      <c r="L41" s="6">
        <v>2064</v>
      </c>
      <c r="M41" s="6">
        <v>1220</v>
      </c>
      <c r="N41" s="6">
        <v>3216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1083970</v>
      </c>
      <c r="E42" s="6">
        <v>932180</v>
      </c>
      <c r="F42" s="6">
        <v>48649</v>
      </c>
      <c r="G42" s="6">
        <v>30520</v>
      </c>
      <c r="H42" s="6">
        <v>20107</v>
      </c>
      <c r="I42" s="6">
        <v>23149</v>
      </c>
      <c r="J42" s="6">
        <v>11666</v>
      </c>
      <c r="K42" s="6">
        <v>6286</v>
      </c>
      <c r="L42" s="6">
        <v>3626</v>
      </c>
      <c r="M42" s="6">
        <v>2278</v>
      </c>
      <c r="N42" s="6">
        <v>5509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515601</v>
      </c>
      <c r="E43" s="6">
        <v>426803</v>
      </c>
      <c r="F43" s="6">
        <v>27870</v>
      </c>
      <c r="G43" s="6">
        <v>17866</v>
      </c>
      <c r="H43" s="6">
        <v>11953</v>
      </c>
      <c r="I43" s="6">
        <v>13887</v>
      </c>
      <c r="J43" s="6">
        <v>6867</v>
      </c>
      <c r="K43" s="6">
        <v>3744</v>
      </c>
      <c r="L43" s="6">
        <v>2147</v>
      </c>
      <c r="M43" s="6">
        <v>1344</v>
      </c>
      <c r="N43" s="6">
        <v>3120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568369</v>
      </c>
      <c r="E44" s="6">
        <v>505377</v>
      </c>
      <c r="F44" s="6">
        <v>20779</v>
      </c>
      <c r="G44" s="6">
        <v>12654</v>
      </c>
      <c r="H44" s="6">
        <v>8154</v>
      </c>
      <c r="I44" s="6">
        <v>9262</v>
      </c>
      <c r="J44" s="6">
        <v>4799</v>
      </c>
      <c r="K44" s="6">
        <v>2542</v>
      </c>
      <c r="L44" s="6">
        <v>1479</v>
      </c>
      <c r="M44" s="6">
        <v>934</v>
      </c>
      <c r="N44" s="6">
        <v>2389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475565</v>
      </c>
      <c r="E45" s="6">
        <v>423714</v>
      </c>
      <c r="F45" s="6">
        <v>17219</v>
      </c>
      <c r="G45" s="6">
        <v>10602</v>
      </c>
      <c r="H45" s="6">
        <v>6880</v>
      </c>
      <c r="I45" s="6">
        <v>7654</v>
      </c>
      <c r="J45" s="6">
        <v>3770</v>
      </c>
      <c r="K45" s="6">
        <v>2027</v>
      </c>
      <c r="L45" s="6">
        <v>1115</v>
      </c>
      <c r="M45" s="6">
        <v>685</v>
      </c>
      <c r="N45" s="6">
        <v>1899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228799</v>
      </c>
      <c r="E46" s="6">
        <v>198232</v>
      </c>
      <c r="F46" s="6">
        <v>10081</v>
      </c>
      <c r="G46" s="6">
        <v>6287</v>
      </c>
      <c r="H46" s="6">
        <v>4069</v>
      </c>
      <c r="I46" s="6">
        <v>4557</v>
      </c>
      <c r="J46" s="6">
        <v>2256</v>
      </c>
      <c r="K46" s="6">
        <v>1180</v>
      </c>
      <c r="L46" s="6">
        <v>657</v>
      </c>
      <c r="M46" s="6">
        <v>423</v>
      </c>
      <c r="N46" s="6">
        <v>1057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246766</v>
      </c>
      <c r="E47" s="6">
        <v>225482</v>
      </c>
      <c r="F47" s="6">
        <v>7138</v>
      </c>
      <c r="G47" s="6">
        <v>4315</v>
      </c>
      <c r="H47" s="6">
        <v>2811</v>
      </c>
      <c r="I47" s="6">
        <v>3097</v>
      </c>
      <c r="J47" s="6">
        <v>1514</v>
      </c>
      <c r="K47" s="6">
        <v>847</v>
      </c>
      <c r="L47" s="6">
        <v>458</v>
      </c>
      <c r="M47" s="6">
        <v>262</v>
      </c>
      <c r="N47" s="6">
        <v>842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356866</v>
      </c>
      <c r="E48" s="6">
        <v>328180</v>
      </c>
      <c r="F48" s="6">
        <v>9693</v>
      </c>
      <c r="G48" s="6">
        <v>5778</v>
      </c>
      <c r="H48" s="6">
        <v>3697</v>
      </c>
      <c r="I48" s="6">
        <v>4149</v>
      </c>
      <c r="J48" s="6">
        <v>2000</v>
      </c>
      <c r="K48" s="6">
        <v>1089</v>
      </c>
      <c r="L48" s="6">
        <v>649</v>
      </c>
      <c r="M48" s="6">
        <v>399</v>
      </c>
      <c r="N48" s="6">
        <v>1232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164367</v>
      </c>
      <c r="E49" s="6">
        <v>147884</v>
      </c>
      <c r="F49" s="6">
        <v>5519</v>
      </c>
      <c r="G49" s="6">
        <v>3398</v>
      </c>
      <c r="H49" s="6">
        <v>2127</v>
      </c>
      <c r="I49" s="6">
        <v>2381</v>
      </c>
      <c r="J49" s="6">
        <v>1153</v>
      </c>
      <c r="K49" s="6">
        <v>652</v>
      </c>
      <c r="L49" s="6">
        <v>379</v>
      </c>
      <c r="M49" s="6">
        <v>218</v>
      </c>
      <c r="N49" s="6">
        <v>656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192499</v>
      </c>
      <c r="E50" s="6">
        <v>180296</v>
      </c>
      <c r="F50" s="6">
        <v>4174</v>
      </c>
      <c r="G50" s="6">
        <v>2380</v>
      </c>
      <c r="H50" s="6">
        <v>1570</v>
      </c>
      <c r="I50" s="6">
        <v>1768</v>
      </c>
      <c r="J50" s="6">
        <v>847</v>
      </c>
      <c r="K50" s="6">
        <v>437</v>
      </c>
      <c r="L50" s="6">
        <v>270</v>
      </c>
      <c r="M50" s="6">
        <v>181</v>
      </c>
      <c r="N50" s="6">
        <v>576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107821</v>
      </c>
      <c r="E51" s="6">
        <v>102238</v>
      </c>
      <c r="F51" s="6">
        <v>1869</v>
      </c>
      <c r="G51" s="6">
        <v>1113</v>
      </c>
      <c r="H51" s="6">
        <v>684</v>
      </c>
      <c r="I51" s="6">
        <v>787</v>
      </c>
      <c r="J51" s="6">
        <v>394</v>
      </c>
      <c r="K51" s="6">
        <v>223</v>
      </c>
      <c r="L51" s="6">
        <v>105</v>
      </c>
      <c r="M51" s="6">
        <v>83</v>
      </c>
      <c r="N51" s="6">
        <v>325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44509</v>
      </c>
      <c r="E52" s="6">
        <v>41516</v>
      </c>
      <c r="F52" s="6">
        <v>1028</v>
      </c>
      <c r="G52" s="6">
        <v>603</v>
      </c>
      <c r="H52" s="6">
        <v>367</v>
      </c>
      <c r="I52" s="6">
        <v>419</v>
      </c>
      <c r="J52" s="6">
        <v>201</v>
      </c>
      <c r="K52" s="6">
        <v>113</v>
      </c>
      <c r="L52" s="6">
        <v>61</v>
      </c>
      <c r="M52" s="6">
        <v>48</v>
      </c>
      <c r="N52" s="6">
        <v>153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63312</v>
      </c>
      <c r="E53" s="6">
        <v>60722</v>
      </c>
      <c r="F53" s="6">
        <v>841</v>
      </c>
      <c r="G53" s="6">
        <v>510</v>
      </c>
      <c r="H53" s="6">
        <v>317</v>
      </c>
      <c r="I53" s="6">
        <v>368</v>
      </c>
      <c r="J53" s="6">
        <v>193</v>
      </c>
      <c r="K53" s="6">
        <v>110</v>
      </c>
      <c r="L53" s="6">
        <v>44</v>
      </c>
      <c r="M53" s="6">
        <v>35</v>
      </c>
      <c r="N53" s="6">
        <v>172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B8CD-2636-4A59-BF74-F7C5BF032FB7}">
  <dimension ref="A1:P5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7"/>
  <cols>
    <col min="1" max="1" width="16.58203125" customWidth="1"/>
    <col min="2" max="2" width="10.58203125" customWidth="1"/>
    <col min="4" max="16" width="12.58203125" customWidth="1"/>
  </cols>
  <sheetData>
    <row r="1" spans="1:16">
      <c r="A1" s="2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 t="s">
        <v>2</v>
      </c>
      <c r="E3" s="5">
        <v>3</v>
      </c>
      <c r="F3" s="5">
        <v>8</v>
      </c>
      <c r="G3" s="5">
        <v>11</v>
      </c>
      <c r="H3" s="5">
        <v>36</v>
      </c>
      <c r="I3" s="5">
        <v>46</v>
      </c>
      <c r="J3" s="5">
        <v>64</v>
      </c>
      <c r="K3" s="5">
        <v>78</v>
      </c>
      <c r="L3" s="5">
        <v>100</v>
      </c>
      <c r="M3" s="5">
        <v>1000000000</v>
      </c>
      <c r="N3" s="5">
        <v>1000000000</v>
      </c>
      <c r="O3" s="5">
        <v>1000000000</v>
      </c>
      <c r="P3" s="5">
        <v>1000000000</v>
      </c>
    </row>
    <row r="4" spans="1:16">
      <c r="A4" s="1"/>
      <c r="B4" s="1"/>
      <c r="C4" s="1"/>
      <c r="D4" s="1" t="s">
        <v>3</v>
      </c>
      <c r="E4" s="5">
        <v>8</v>
      </c>
      <c r="F4" s="5">
        <v>11</v>
      </c>
      <c r="G4" s="5">
        <v>36</v>
      </c>
      <c r="H4" s="5">
        <v>46</v>
      </c>
      <c r="I4" s="5">
        <v>64</v>
      </c>
      <c r="J4" s="5">
        <v>78</v>
      </c>
      <c r="K4" s="5">
        <v>100</v>
      </c>
      <c r="L4" s="5">
        <v>400</v>
      </c>
      <c r="M4" s="5">
        <v>2000000000</v>
      </c>
      <c r="N4" s="5">
        <v>2000000000</v>
      </c>
      <c r="O4" s="5">
        <v>2000000000</v>
      </c>
      <c r="P4" s="5">
        <v>2000000000</v>
      </c>
    </row>
    <row r="5" spans="1:16">
      <c r="A5" s="4" t="s">
        <v>4</v>
      </c>
      <c r="B5" s="4" t="s">
        <v>5</v>
      </c>
      <c r="C5" s="4" t="s">
        <v>6</v>
      </c>
      <c r="D5" s="4" t="s">
        <v>7</v>
      </c>
      <c r="E5" s="4" t="s">
        <v>184</v>
      </c>
      <c r="F5" s="7">
        <v>46244</v>
      </c>
      <c r="G5" s="8">
        <v>13089</v>
      </c>
      <c r="H5" s="4" t="s">
        <v>185</v>
      </c>
      <c r="I5" s="4" t="s">
        <v>186</v>
      </c>
      <c r="J5" s="4" t="s">
        <v>187</v>
      </c>
      <c r="K5" s="4" t="s">
        <v>188</v>
      </c>
      <c r="L5" s="4" t="s">
        <v>189</v>
      </c>
      <c r="M5" s="4" t="s">
        <v>13</v>
      </c>
      <c r="N5" s="4" t="s">
        <v>13</v>
      </c>
      <c r="O5" s="4" t="s">
        <v>13</v>
      </c>
      <c r="P5" s="4" t="s">
        <v>13</v>
      </c>
    </row>
    <row r="6" spans="1:16">
      <c r="A6" s="1" t="s">
        <v>14</v>
      </c>
      <c r="B6" s="1" t="s">
        <v>7</v>
      </c>
      <c r="C6" s="1" t="s">
        <v>15</v>
      </c>
      <c r="D6" s="6">
        <v>17511657</v>
      </c>
      <c r="E6" s="6">
        <v>140541</v>
      </c>
      <c r="F6" s="6">
        <v>962597</v>
      </c>
      <c r="G6" s="6">
        <v>11845150</v>
      </c>
      <c r="H6" s="6">
        <v>1439710</v>
      </c>
      <c r="I6" s="6">
        <v>1317241</v>
      </c>
      <c r="J6" s="6">
        <v>535076</v>
      </c>
      <c r="K6" s="6">
        <v>471749</v>
      </c>
      <c r="L6" s="6">
        <v>799593</v>
      </c>
      <c r="M6" s="6">
        <v>0</v>
      </c>
      <c r="N6" s="6">
        <v>0</v>
      </c>
      <c r="O6" s="6">
        <v>0</v>
      </c>
      <c r="P6" s="6">
        <v>0</v>
      </c>
    </row>
    <row r="7" spans="1:16">
      <c r="A7" s="1" t="s">
        <v>16</v>
      </c>
      <c r="B7" s="1" t="s">
        <v>7</v>
      </c>
      <c r="C7" s="1" t="s">
        <v>17</v>
      </c>
      <c r="D7" s="6">
        <v>9089030</v>
      </c>
      <c r="E7" s="6">
        <v>12205</v>
      </c>
      <c r="F7" s="6">
        <v>102860</v>
      </c>
      <c r="G7" s="6">
        <v>5399651</v>
      </c>
      <c r="H7" s="6">
        <v>1062250</v>
      </c>
      <c r="I7" s="6">
        <v>1024837</v>
      </c>
      <c r="J7" s="6">
        <v>430911</v>
      </c>
      <c r="K7" s="6">
        <v>386585</v>
      </c>
      <c r="L7" s="6">
        <v>669731</v>
      </c>
      <c r="M7" s="6">
        <v>0</v>
      </c>
      <c r="N7" s="6">
        <v>0</v>
      </c>
      <c r="O7" s="6">
        <v>0</v>
      </c>
      <c r="P7" s="6">
        <v>0</v>
      </c>
    </row>
    <row r="8" spans="1:16">
      <c r="A8" s="1" t="s">
        <v>18</v>
      </c>
      <c r="B8" s="1" t="s">
        <v>7</v>
      </c>
      <c r="C8" s="1" t="s">
        <v>19</v>
      </c>
      <c r="D8" s="6">
        <v>8422627</v>
      </c>
      <c r="E8" s="6">
        <v>128336</v>
      </c>
      <c r="F8" s="6">
        <v>859737</v>
      </c>
      <c r="G8" s="6">
        <v>6445499</v>
      </c>
      <c r="H8" s="6">
        <v>377460</v>
      </c>
      <c r="I8" s="6">
        <v>292404</v>
      </c>
      <c r="J8" s="6">
        <v>104165</v>
      </c>
      <c r="K8" s="6">
        <v>85164</v>
      </c>
      <c r="L8" s="6">
        <v>129862</v>
      </c>
      <c r="M8" s="6">
        <v>0</v>
      </c>
      <c r="N8" s="6">
        <v>0</v>
      </c>
      <c r="O8" s="6">
        <v>0</v>
      </c>
      <c r="P8" s="6">
        <v>0</v>
      </c>
    </row>
    <row r="9" spans="1:16">
      <c r="A9" s="1" t="s">
        <v>20</v>
      </c>
      <c r="B9" s="1" t="s">
        <v>21</v>
      </c>
      <c r="C9" s="1" t="s">
        <v>15</v>
      </c>
      <c r="D9" s="6">
        <v>8654</v>
      </c>
      <c r="E9" s="6">
        <v>88</v>
      </c>
      <c r="F9" s="6">
        <v>635</v>
      </c>
      <c r="G9" s="6">
        <v>7109</v>
      </c>
      <c r="H9" s="6">
        <v>372</v>
      </c>
      <c r="I9" s="6">
        <v>264</v>
      </c>
      <c r="J9" s="6">
        <v>71</v>
      </c>
      <c r="K9" s="6">
        <v>58</v>
      </c>
      <c r="L9" s="6">
        <v>57</v>
      </c>
      <c r="M9" s="6">
        <v>0</v>
      </c>
      <c r="N9" s="6">
        <v>0</v>
      </c>
      <c r="O9" s="6">
        <v>0</v>
      </c>
      <c r="P9" s="6">
        <v>0</v>
      </c>
    </row>
    <row r="10" spans="1:16">
      <c r="A10" s="1" t="s">
        <v>22</v>
      </c>
      <c r="B10" s="1" t="s">
        <v>21</v>
      </c>
      <c r="C10" s="1" t="s">
        <v>17</v>
      </c>
      <c r="D10" s="6">
        <v>5724</v>
      </c>
      <c r="E10" s="6">
        <v>14</v>
      </c>
      <c r="F10" s="6">
        <v>169</v>
      </c>
      <c r="G10" s="6">
        <v>4804</v>
      </c>
      <c r="H10" s="6">
        <v>323</v>
      </c>
      <c r="I10" s="6">
        <v>246</v>
      </c>
      <c r="J10" s="6">
        <v>64</v>
      </c>
      <c r="K10" s="6">
        <v>51</v>
      </c>
      <c r="L10" s="6">
        <v>53</v>
      </c>
      <c r="M10" s="6">
        <v>0</v>
      </c>
      <c r="N10" s="6">
        <v>0</v>
      </c>
      <c r="O10" s="6">
        <v>0</v>
      </c>
      <c r="P10" s="6">
        <v>0</v>
      </c>
    </row>
    <row r="11" spans="1:16">
      <c r="A11" s="1" t="s">
        <v>23</v>
      </c>
      <c r="B11" s="1" t="s">
        <v>21</v>
      </c>
      <c r="C11" s="1" t="s">
        <v>19</v>
      </c>
      <c r="D11" s="6">
        <v>2930</v>
      </c>
      <c r="E11" s="6">
        <v>74</v>
      </c>
      <c r="F11" s="6">
        <v>466</v>
      </c>
      <c r="G11" s="6">
        <v>2305</v>
      </c>
      <c r="H11" s="6">
        <v>49</v>
      </c>
      <c r="I11" s="6">
        <v>18</v>
      </c>
      <c r="J11" s="6">
        <v>7</v>
      </c>
      <c r="K11" s="6">
        <v>7</v>
      </c>
      <c r="L11" s="6">
        <v>4</v>
      </c>
      <c r="M11" s="6">
        <v>0</v>
      </c>
      <c r="N11" s="6">
        <v>0</v>
      </c>
      <c r="O11" s="6">
        <v>0</v>
      </c>
      <c r="P11" s="6">
        <v>0</v>
      </c>
    </row>
    <row r="12" spans="1:16">
      <c r="A12" s="1" t="s">
        <v>24</v>
      </c>
      <c r="B12" s="1" t="s">
        <v>25</v>
      </c>
      <c r="C12" s="1" t="s">
        <v>15</v>
      </c>
      <c r="D12" s="6">
        <v>544695</v>
      </c>
      <c r="E12" s="6">
        <v>10186</v>
      </c>
      <c r="F12" s="6">
        <v>67428</v>
      </c>
      <c r="G12" s="6">
        <v>410647</v>
      </c>
      <c r="H12" s="6">
        <v>22041</v>
      </c>
      <c r="I12" s="6">
        <v>17303</v>
      </c>
      <c r="J12" s="6">
        <v>6323</v>
      </c>
      <c r="K12" s="6">
        <v>4838</v>
      </c>
      <c r="L12" s="6">
        <v>5929</v>
      </c>
      <c r="M12" s="6">
        <v>0</v>
      </c>
      <c r="N12" s="6">
        <v>0</v>
      </c>
      <c r="O12" s="6">
        <v>0</v>
      </c>
      <c r="P12" s="6">
        <v>0</v>
      </c>
    </row>
    <row r="13" spans="1:16">
      <c r="A13" s="1" t="s">
        <v>26</v>
      </c>
      <c r="B13" s="1" t="s">
        <v>25</v>
      </c>
      <c r="C13" s="1" t="s">
        <v>17</v>
      </c>
      <c r="D13" s="6">
        <v>232345</v>
      </c>
      <c r="E13" s="6">
        <v>650</v>
      </c>
      <c r="F13" s="6">
        <v>6431</v>
      </c>
      <c r="G13" s="6">
        <v>180861</v>
      </c>
      <c r="H13" s="6">
        <v>16880</v>
      </c>
      <c r="I13" s="6">
        <v>13697</v>
      </c>
      <c r="J13" s="6">
        <v>5068</v>
      </c>
      <c r="K13" s="6">
        <v>3940</v>
      </c>
      <c r="L13" s="6">
        <v>4818</v>
      </c>
      <c r="M13" s="6">
        <v>0</v>
      </c>
      <c r="N13" s="6">
        <v>0</v>
      </c>
      <c r="O13" s="6">
        <v>0</v>
      </c>
      <c r="P13" s="6">
        <v>0</v>
      </c>
    </row>
    <row r="14" spans="1:16">
      <c r="A14" s="1" t="s">
        <v>27</v>
      </c>
      <c r="B14" s="1" t="s">
        <v>25</v>
      </c>
      <c r="C14" s="1" t="s">
        <v>19</v>
      </c>
      <c r="D14" s="6">
        <v>312350</v>
      </c>
      <c r="E14" s="6">
        <v>9536</v>
      </c>
      <c r="F14" s="6">
        <v>60997</v>
      </c>
      <c r="G14" s="6">
        <v>229786</v>
      </c>
      <c r="H14" s="6">
        <v>5161</v>
      </c>
      <c r="I14" s="6">
        <v>3606</v>
      </c>
      <c r="J14" s="6">
        <v>1255</v>
      </c>
      <c r="K14" s="6">
        <v>898</v>
      </c>
      <c r="L14" s="6">
        <v>1111</v>
      </c>
      <c r="M14" s="6">
        <v>0</v>
      </c>
      <c r="N14" s="6">
        <v>0</v>
      </c>
      <c r="O14" s="6">
        <v>0</v>
      </c>
      <c r="P14" s="6">
        <v>0</v>
      </c>
    </row>
    <row r="15" spans="1:16">
      <c r="A15" s="1" t="s">
        <v>28</v>
      </c>
      <c r="B15" s="1" t="s">
        <v>29</v>
      </c>
      <c r="C15" s="1" t="s">
        <v>15</v>
      </c>
      <c r="D15" s="6">
        <v>1205322</v>
      </c>
      <c r="E15" s="6">
        <v>19158</v>
      </c>
      <c r="F15" s="6">
        <v>121981</v>
      </c>
      <c r="G15" s="6">
        <v>861713</v>
      </c>
      <c r="H15" s="6">
        <v>68854</v>
      </c>
      <c r="I15" s="6">
        <v>60761</v>
      </c>
      <c r="J15" s="6">
        <v>23879</v>
      </c>
      <c r="K15" s="6">
        <v>20122</v>
      </c>
      <c r="L15" s="6">
        <v>28854</v>
      </c>
      <c r="M15" s="6">
        <v>0</v>
      </c>
      <c r="N15" s="6">
        <v>0</v>
      </c>
      <c r="O15" s="6">
        <v>0</v>
      </c>
      <c r="P15" s="6">
        <v>0</v>
      </c>
    </row>
    <row r="16" spans="1:16">
      <c r="A16" s="1" t="s">
        <v>30</v>
      </c>
      <c r="B16" s="1" t="s">
        <v>29</v>
      </c>
      <c r="C16" s="1" t="s">
        <v>17</v>
      </c>
      <c r="D16" s="6">
        <v>626945</v>
      </c>
      <c r="E16" s="6">
        <v>1244</v>
      </c>
      <c r="F16" s="6">
        <v>12974</v>
      </c>
      <c r="G16" s="6">
        <v>440536</v>
      </c>
      <c r="H16" s="6">
        <v>56516</v>
      </c>
      <c r="I16" s="6">
        <v>51639</v>
      </c>
      <c r="J16" s="6">
        <v>20726</v>
      </c>
      <c r="K16" s="6">
        <v>17707</v>
      </c>
      <c r="L16" s="6">
        <v>25603</v>
      </c>
      <c r="M16" s="6">
        <v>0</v>
      </c>
      <c r="N16" s="6">
        <v>0</v>
      </c>
      <c r="O16" s="6">
        <v>0</v>
      </c>
      <c r="P16" s="6">
        <v>0</v>
      </c>
    </row>
    <row r="17" spans="1:16">
      <c r="A17" s="1" t="s">
        <v>31</v>
      </c>
      <c r="B17" s="1" t="s">
        <v>29</v>
      </c>
      <c r="C17" s="1" t="s">
        <v>19</v>
      </c>
      <c r="D17" s="6">
        <v>578377</v>
      </c>
      <c r="E17" s="6">
        <v>17914</v>
      </c>
      <c r="F17" s="6">
        <v>109007</v>
      </c>
      <c r="G17" s="6">
        <v>421177</v>
      </c>
      <c r="H17" s="6">
        <v>12338</v>
      </c>
      <c r="I17" s="6">
        <v>9122</v>
      </c>
      <c r="J17" s="6">
        <v>3153</v>
      </c>
      <c r="K17" s="6">
        <v>2415</v>
      </c>
      <c r="L17" s="6">
        <v>3251</v>
      </c>
      <c r="M17" s="6">
        <v>0</v>
      </c>
      <c r="N17" s="6">
        <v>0</v>
      </c>
      <c r="O17" s="6">
        <v>0</v>
      </c>
      <c r="P17" s="6">
        <v>0</v>
      </c>
    </row>
    <row r="18" spans="1:16">
      <c r="A18" s="1" t="s">
        <v>32</v>
      </c>
      <c r="B18" s="1" t="s">
        <v>33</v>
      </c>
      <c r="C18" s="1" t="s">
        <v>15</v>
      </c>
      <c r="D18" s="6">
        <v>1640644</v>
      </c>
      <c r="E18" s="6">
        <v>23396</v>
      </c>
      <c r="F18" s="6">
        <v>145431</v>
      </c>
      <c r="G18" s="6">
        <v>1095312</v>
      </c>
      <c r="H18" s="6">
        <v>115509</v>
      </c>
      <c r="I18" s="6">
        <v>109674</v>
      </c>
      <c r="J18" s="6">
        <v>46007</v>
      </c>
      <c r="K18" s="6">
        <v>41126</v>
      </c>
      <c r="L18" s="6">
        <v>64189</v>
      </c>
      <c r="M18" s="6">
        <v>0</v>
      </c>
      <c r="N18" s="6">
        <v>0</v>
      </c>
      <c r="O18" s="6">
        <v>0</v>
      </c>
      <c r="P18" s="6">
        <v>0</v>
      </c>
    </row>
    <row r="19" spans="1:16">
      <c r="A19" s="1" t="s">
        <v>34</v>
      </c>
      <c r="B19" s="1" t="s">
        <v>33</v>
      </c>
      <c r="C19" s="1" t="s">
        <v>17</v>
      </c>
      <c r="D19" s="6">
        <v>923252</v>
      </c>
      <c r="E19" s="6">
        <v>1421</v>
      </c>
      <c r="F19" s="6">
        <v>14778</v>
      </c>
      <c r="G19" s="6">
        <v>580100</v>
      </c>
      <c r="H19" s="6">
        <v>96603</v>
      </c>
      <c r="I19" s="6">
        <v>94890</v>
      </c>
      <c r="J19" s="6">
        <v>40689</v>
      </c>
      <c r="K19" s="6">
        <v>36928</v>
      </c>
      <c r="L19" s="6">
        <v>57843</v>
      </c>
      <c r="M19" s="6">
        <v>0</v>
      </c>
      <c r="N19" s="6">
        <v>0</v>
      </c>
      <c r="O19" s="6">
        <v>0</v>
      </c>
      <c r="P19" s="6">
        <v>0</v>
      </c>
    </row>
    <row r="20" spans="1:16">
      <c r="A20" s="1" t="s">
        <v>35</v>
      </c>
      <c r="B20" s="1" t="s">
        <v>33</v>
      </c>
      <c r="C20" s="1" t="s">
        <v>19</v>
      </c>
      <c r="D20" s="6">
        <v>717392</v>
      </c>
      <c r="E20" s="6">
        <v>21975</v>
      </c>
      <c r="F20" s="6">
        <v>130653</v>
      </c>
      <c r="G20" s="6">
        <v>515212</v>
      </c>
      <c r="H20" s="6">
        <v>18906</v>
      </c>
      <c r="I20" s="6">
        <v>14784</v>
      </c>
      <c r="J20" s="6">
        <v>5318</v>
      </c>
      <c r="K20" s="6">
        <v>4198</v>
      </c>
      <c r="L20" s="6">
        <v>6346</v>
      </c>
      <c r="M20" s="6">
        <v>0</v>
      </c>
      <c r="N20" s="6">
        <v>0</v>
      </c>
      <c r="O20" s="6">
        <v>0</v>
      </c>
      <c r="P20" s="6">
        <v>0</v>
      </c>
    </row>
    <row r="21" spans="1:16">
      <c r="A21" s="1" t="s">
        <v>36</v>
      </c>
      <c r="B21" s="1" t="s">
        <v>37</v>
      </c>
      <c r="C21" s="1" t="s">
        <v>15</v>
      </c>
      <c r="D21" s="6">
        <v>1300729</v>
      </c>
      <c r="E21" s="6">
        <v>14994</v>
      </c>
      <c r="F21" s="6">
        <v>92684</v>
      </c>
      <c r="G21" s="6">
        <v>818693</v>
      </c>
      <c r="H21" s="6">
        <v>108142</v>
      </c>
      <c r="I21" s="6">
        <v>107688</v>
      </c>
      <c r="J21" s="6">
        <v>46322</v>
      </c>
      <c r="K21" s="6">
        <v>42314</v>
      </c>
      <c r="L21" s="6">
        <v>69892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1" t="s">
        <v>38</v>
      </c>
      <c r="B22" s="1" t="s">
        <v>37</v>
      </c>
      <c r="C22" s="1" t="s">
        <v>17</v>
      </c>
      <c r="D22" s="6">
        <v>771548</v>
      </c>
      <c r="E22" s="6">
        <v>847</v>
      </c>
      <c r="F22" s="6">
        <v>8833</v>
      </c>
      <c r="G22" s="6">
        <v>434715</v>
      </c>
      <c r="H22" s="6">
        <v>90609</v>
      </c>
      <c r="I22" s="6">
        <v>93764</v>
      </c>
      <c r="J22" s="6">
        <v>41327</v>
      </c>
      <c r="K22" s="6">
        <v>38096</v>
      </c>
      <c r="L22" s="6">
        <v>63357</v>
      </c>
      <c r="M22" s="6">
        <v>0</v>
      </c>
      <c r="N22" s="6">
        <v>0</v>
      </c>
      <c r="O22" s="6">
        <v>0</v>
      </c>
      <c r="P22" s="6">
        <v>0</v>
      </c>
    </row>
    <row r="23" spans="1:16">
      <c r="A23" s="1" t="s">
        <v>39</v>
      </c>
      <c r="B23" s="1" t="s">
        <v>37</v>
      </c>
      <c r="C23" s="1" t="s">
        <v>19</v>
      </c>
      <c r="D23" s="6">
        <v>529181</v>
      </c>
      <c r="E23" s="6">
        <v>14147</v>
      </c>
      <c r="F23" s="6">
        <v>83851</v>
      </c>
      <c r="G23" s="6">
        <v>383978</v>
      </c>
      <c r="H23" s="6">
        <v>17533</v>
      </c>
      <c r="I23" s="6">
        <v>13924</v>
      </c>
      <c r="J23" s="6">
        <v>4995</v>
      </c>
      <c r="K23" s="6">
        <v>4218</v>
      </c>
      <c r="L23" s="6">
        <v>6535</v>
      </c>
      <c r="M23" s="6">
        <v>0</v>
      </c>
      <c r="N23" s="6">
        <v>0</v>
      </c>
      <c r="O23" s="6">
        <v>0</v>
      </c>
      <c r="P23" s="6">
        <v>0</v>
      </c>
    </row>
    <row r="24" spans="1:16">
      <c r="A24" s="1" t="s">
        <v>40</v>
      </c>
      <c r="B24" s="1" t="s">
        <v>41</v>
      </c>
      <c r="C24" s="1" t="s">
        <v>15</v>
      </c>
      <c r="D24" s="6">
        <v>1998211</v>
      </c>
      <c r="E24" s="6">
        <v>19633</v>
      </c>
      <c r="F24" s="6">
        <v>128457</v>
      </c>
      <c r="G24" s="6">
        <v>1232485</v>
      </c>
      <c r="H24" s="6">
        <v>172440</v>
      </c>
      <c r="I24" s="6">
        <v>173771</v>
      </c>
      <c r="J24" s="6">
        <v>76384</v>
      </c>
      <c r="K24" s="6">
        <v>70450</v>
      </c>
      <c r="L24" s="6">
        <v>124591</v>
      </c>
      <c r="M24" s="6">
        <v>0</v>
      </c>
      <c r="N24" s="6">
        <v>0</v>
      </c>
      <c r="O24" s="6">
        <v>0</v>
      </c>
      <c r="P24" s="6">
        <v>0</v>
      </c>
    </row>
    <row r="25" spans="1:16">
      <c r="A25" s="1" t="s">
        <v>42</v>
      </c>
      <c r="B25" s="1" t="s">
        <v>41</v>
      </c>
      <c r="C25" s="1" t="s">
        <v>17</v>
      </c>
      <c r="D25" s="6">
        <v>1102442</v>
      </c>
      <c r="E25" s="6">
        <v>1106</v>
      </c>
      <c r="F25" s="6">
        <v>9134</v>
      </c>
      <c r="G25" s="6">
        <v>570432</v>
      </c>
      <c r="H25" s="6">
        <v>137549</v>
      </c>
      <c r="I25" s="6">
        <v>145960</v>
      </c>
      <c r="J25" s="6">
        <v>66182</v>
      </c>
      <c r="K25" s="6">
        <v>61929</v>
      </c>
      <c r="L25" s="6">
        <v>110150</v>
      </c>
      <c r="M25" s="6">
        <v>0</v>
      </c>
      <c r="N25" s="6">
        <v>0</v>
      </c>
      <c r="O25" s="6">
        <v>0</v>
      </c>
      <c r="P25" s="6">
        <v>0</v>
      </c>
    </row>
    <row r="26" spans="1:16">
      <c r="A26" s="1" t="s">
        <v>43</v>
      </c>
      <c r="B26" s="1" t="s">
        <v>41</v>
      </c>
      <c r="C26" s="1" t="s">
        <v>19</v>
      </c>
      <c r="D26" s="6">
        <v>895769</v>
      </c>
      <c r="E26" s="6">
        <v>18527</v>
      </c>
      <c r="F26" s="6">
        <v>119323</v>
      </c>
      <c r="G26" s="6">
        <v>662053</v>
      </c>
      <c r="H26" s="6">
        <v>34891</v>
      </c>
      <c r="I26" s="6">
        <v>27811</v>
      </c>
      <c r="J26" s="6">
        <v>10202</v>
      </c>
      <c r="K26" s="6">
        <v>8521</v>
      </c>
      <c r="L26" s="6">
        <v>14441</v>
      </c>
      <c r="M26" s="6">
        <v>0</v>
      </c>
      <c r="N26" s="6">
        <v>0</v>
      </c>
      <c r="O26" s="6">
        <v>0</v>
      </c>
      <c r="P26" s="6">
        <v>0</v>
      </c>
    </row>
    <row r="27" spans="1:16">
      <c r="A27" s="1" t="s">
        <v>44</v>
      </c>
      <c r="B27" s="1" t="s">
        <v>45</v>
      </c>
      <c r="C27" s="1" t="s">
        <v>15</v>
      </c>
      <c r="D27" s="6">
        <v>1607976</v>
      </c>
      <c r="E27" s="6">
        <v>13334</v>
      </c>
      <c r="F27" s="6">
        <v>91628</v>
      </c>
      <c r="G27" s="6">
        <v>986268</v>
      </c>
      <c r="H27" s="6">
        <v>146692</v>
      </c>
      <c r="I27" s="6">
        <v>146162</v>
      </c>
      <c r="J27" s="6">
        <v>62948</v>
      </c>
      <c r="K27" s="6">
        <v>57787</v>
      </c>
      <c r="L27" s="6">
        <v>103157</v>
      </c>
      <c r="M27" s="6">
        <v>0</v>
      </c>
      <c r="N27" s="6">
        <v>0</v>
      </c>
      <c r="O27" s="6">
        <v>0</v>
      </c>
      <c r="P27" s="6">
        <v>0</v>
      </c>
    </row>
    <row r="28" spans="1:16">
      <c r="A28" s="1" t="s">
        <v>46</v>
      </c>
      <c r="B28" s="1" t="s">
        <v>45</v>
      </c>
      <c r="C28" s="1" t="s">
        <v>17</v>
      </c>
      <c r="D28" s="6">
        <v>893555</v>
      </c>
      <c r="E28" s="6">
        <v>759</v>
      </c>
      <c r="F28" s="6">
        <v>6072</v>
      </c>
      <c r="G28" s="6">
        <v>455768</v>
      </c>
      <c r="H28" s="6">
        <v>116021</v>
      </c>
      <c r="I28" s="6">
        <v>121200</v>
      </c>
      <c r="J28" s="6">
        <v>53804</v>
      </c>
      <c r="K28" s="6">
        <v>49928</v>
      </c>
      <c r="L28" s="6">
        <v>90003</v>
      </c>
      <c r="M28" s="6">
        <v>0</v>
      </c>
      <c r="N28" s="6">
        <v>0</v>
      </c>
      <c r="O28" s="6">
        <v>0</v>
      </c>
      <c r="P28" s="6">
        <v>0</v>
      </c>
    </row>
    <row r="29" spans="1:16">
      <c r="A29" s="1" t="s">
        <v>47</v>
      </c>
      <c r="B29" s="1" t="s">
        <v>45</v>
      </c>
      <c r="C29" s="1" t="s">
        <v>19</v>
      </c>
      <c r="D29" s="6">
        <v>714421</v>
      </c>
      <c r="E29" s="6">
        <v>12575</v>
      </c>
      <c r="F29" s="6">
        <v>85556</v>
      </c>
      <c r="G29" s="6">
        <v>530500</v>
      </c>
      <c r="H29" s="6">
        <v>30671</v>
      </c>
      <c r="I29" s="6">
        <v>24962</v>
      </c>
      <c r="J29" s="6">
        <v>9144</v>
      </c>
      <c r="K29" s="6">
        <v>7859</v>
      </c>
      <c r="L29" s="6">
        <v>13154</v>
      </c>
      <c r="M29" s="6">
        <v>0</v>
      </c>
      <c r="N29" s="6">
        <v>0</v>
      </c>
      <c r="O29" s="6">
        <v>0</v>
      </c>
      <c r="P29" s="6">
        <v>0</v>
      </c>
    </row>
    <row r="30" spans="1:16">
      <c r="A30" s="1" t="s">
        <v>48</v>
      </c>
      <c r="B30" s="1" t="s">
        <v>49</v>
      </c>
      <c r="C30" s="1" t="s">
        <v>15</v>
      </c>
      <c r="D30" s="6">
        <v>2172342</v>
      </c>
      <c r="E30" s="6">
        <v>12664</v>
      </c>
      <c r="F30" s="6">
        <v>94011</v>
      </c>
      <c r="G30" s="6">
        <v>1381983</v>
      </c>
      <c r="H30" s="6">
        <v>203240</v>
      </c>
      <c r="I30" s="6">
        <v>195696</v>
      </c>
      <c r="J30" s="6">
        <v>81942</v>
      </c>
      <c r="K30" s="6">
        <v>73673</v>
      </c>
      <c r="L30" s="6">
        <v>129133</v>
      </c>
      <c r="M30" s="6">
        <v>0</v>
      </c>
      <c r="N30" s="6">
        <v>0</v>
      </c>
      <c r="O30" s="6">
        <v>0</v>
      </c>
      <c r="P30" s="6">
        <v>0</v>
      </c>
    </row>
    <row r="31" spans="1:16">
      <c r="A31" s="1" t="s">
        <v>50</v>
      </c>
      <c r="B31" s="1" t="s">
        <v>49</v>
      </c>
      <c r="C31" s="1" t="s">
        <v>17</v>
      </c>
      <c r="D31" s="6">
        <v>1121724</v>
      </c>
      <c r="E31" s="6">
        <v>1040</v>
      </c>
      <c r="F31" s="6">
        <v>7560</v>
      </c>
      <c r="G31" s="6">
        <v>589605</v>
      </c>
      <c r="H31" s="6">
        <v>146753</v>
      </c>
      <c r="I31" s="6">
        <v>148812</v>
      </c>
      <c r="J31" s="6">
        <v>64064</v>
      </c>
      <c r="K31" s="6">
        <v>58738</v>
      </c>
      <c r="L31" s="6">
        <v>105152</v>
      </c>
      <c r="M31" s="6">
        <v>0</v>
      </c>
      <c r="N31" s="6">
        <v>0</v>
      </c>
      <c r="O31" s="6">
        <v>0</v>
      </c>
      <c r="P31" s="6">
        <v>0</v>
      </c>
    </row>
    <row r="32" spans="1:16">
      <c r="A32" s="1" t="s">
        <v>51</v>
      </c>
      <c r="B32" s="1" t="s">
        <v>49</v>
      </c>
      <c r="C32" s="1" t="s">
        <v>19</v>
      </c>
      <c r="D32" s="6">
        <v>1050618</v>
      </c>
      <c r="E32" s="6">
        <v>11624</v>
      </c>
      <c r="F32" s="6">
        <v>86451</v>
      </c>
      <c r="G32" s="6">
        <v>792378</v>
      </c>
      <c r="H32" s="6">
        <v>56487</v>
      </c>
      <c r="I32" s="6">
        <v>46884</v>
      </c>
      <c r="J32" s="6">
        <v>17878</v>
      </c>
      <c r="K32" s="6">
        <v>14935</v>
      </c>
      <c r="L32" s="6">
        <v>23981</v>
      </c>
      <c r="M32" s="6">
        <v>0</v>
      </c>
      <c r="N32" s="6">
        <v>0</v>
      </c>
      <c r="O32" s="6">
        <v>0</v>
      </c>
      <c r="P32" s="6">
        <v>0</v>
      </c>
    </row>
    <row r="33" spans="1:16">
      <c r="A33" s="1" t="s">
        <v>52</v>
      </c>
      <c r="B33" s="1" t="s">
        <v>53</v>
      </c>
      <c r="C33" s="1" t="s">
        <v>15</v>
      </c>
      <c r="D33" s="6">
        <v>1751356</v>
      </c>
      <c r="E33" s="6">
        <v>5823</v>
      </c>
      <c r="F33" s="6">
        <v>51564</v>
      </c>
      <c r="G33" s="6">
        <v>1175802</v>
      </c>
      <c r="H33" s="6">
        <v>165405</v>
      </c>
      <c r="I33" s="6">
        <v>150359</v>
      </c>
      <c r="J33" s="6">
        <v>60191</v>
      </c>
      <c r="K33" s="6">
        <v>52665</v>
      </c>
      <c r="L33" s="6">
        <v>89547</v>
      </c>
      <c r="M33" s="6">
        <v>0</v>
      </c>
      <c r="N33" s="6">
        <v>0</v>
      </c>
      <c r="O33" s="6">
        <v>0</v>
      </c>
      <c r="P33" s="6">
        <v>0</v>
      </c>
    </row>
    <row r="34" spans="1:16">
      <c r="A34" s="1" t="s">
        <v>54</v>
      </c>
      <c r="B34" s="1" t="s">
        <v>53</v>
      </c>
      <c r="C34" s="1" t="s">
        <v>17</v>
      </c>
      <c r="D34" s="6">
        <v>881542</v>
      </c>
      <c r="E34" s="6">
        <v>829</v>
      </c>
      <c r="F34" s="6">
        <v>6357</v>
      </c>
      <c r="G34" s="6">
        <v>496189</v>
      </c>
      <c r="H34" s="6">
        <v>113064</v>
      </c>
      <c r="I34" s="6">
        <v>108625</v>
      </c>
      <c r="J34" s="6">
        <v>45327</v>
      </c>
      <c r="K34" s="6">
        <v>40151</v>
      </c>
      <c r="L34" s="6">
        <v>71000</v>
      </c>
      <c r="M34" s="6">
        <v>0</v>
      </c>
      <c r="N34" s="6">
        <v>0</v>
      </c>
      <c r="O34" s="6">
        <v>0</v>
      </c>
      <c r="P34" s="6">
        <v>0</v>
      </c>
    </row>
    <row r="35" spans="1:16">
      <c r="A35" s="1" t="s">
        <v>55</v>
      </c>
      <c r="B35" s="1" t="s">
        <v>53</v>
      </c>
      <c r="C35" s="1" t="s">
        <v>19</v>
      </c>
      <c r="D35" s="6">
        <v>869814</v>
      </c>
      <c r="E35" s="6">
        <v>4994</v>
      </c>
      <c r="F35" s="6">
        <v>45207</v>
      </c>
      <c r="G35" s="6">
        <v>679613</v>
      </c>
      <c r="H35" s="6">
        <v>52341</v>
      </c>
      <c r="I35" s="6">
        <v>41734</v>
      </c>
      <c r="J35" s="6">
        <v>14864</v>
      </c>
      <c r="K35" s="6">
        <v>12514</v>
      </c>
      <c r="L35" s="6">
        <v>18547</v>
      </c>
      <c r="M35" s="6">
        <v>0</v>
      </c>
      <c r="N35" s="6">
        <v>0</v>
      </c>
      <c r="O35" s="6">
        <v>0</v>
      </c>
      <c r="P35" s="6">
        <v>0</v>
      </c>
    </row>
    <row r="36" spans="1:16">
      <c r="A36" s="1" t="s">
        <v>56</v>
      </c>
      <c r="B36" s="1" t="s">
        <v>57</v>
      </c>
      <c r="C36" s="1" t="s">
        <v>15</v>
      </c>
      <c r="D36" s="6">
        <v>1973819</v>
      </c>
      <c r="E36" s="6">
        <v>6662</v>
      </c>
      <c r="F36" s="6">
        <v>56601</v>
      </c>
      <c r="G36" s="6">
        <v>1389214</v>
      </c>
      <c r="H36" s="6">
        <v>177341</v>
      </c>
      <c r="I36" s="6">
        <v>152146</v>
      </c>
      <c r="J36" s="6">
        <v>58204</v>
      </c>
      <c r="K36" s="6">
        <v>49349</v>
      </c>
      <c r="L36" s="6">
        <v>84302</v>
      </c>
      <c r="M36" s="6">
        <v>0</v>
      </c>
      <c r="N36" s="6">
        <v>0</v>
      </c>
      <c r="O36" s="6">
        <v>0</v>
      </c>
      <c r="P36" s="6">
        <v>0</v>
      </c>
    </row>
    <row r="37" spans="1:16">
      <c r="A37" s="1" t="s">
        <v>58</v>
      </c>
      <c r="B37" s="1" t="s">
        <v>57</v>
      </c>
      <c r="C37" s="1" t="s">
        <v>17</v>
      </c>
      <c r="D37" s="6">
        <v>950507</v>
      </c>
      <c r="E37" s="6">
        <v>1114</v>
      </c>
      <c r="F37" s="6">
        <v>7925</v>
      </c>
      <c r="G37" s="6">
        <v>570077</v>
      </c>
      <c r="H37" s="6">
        <v>117938</v>
      </c>
      <c r="I37" s="6">
        <v>107376</v>
      </c>
      <c r="J37" s="6">
        <v>42586</v>
      </c>
      <c r="K37" s="6">
        <v>36848</v>
      </c>
      <c r="L37" s="6">
        <v>66643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1" t="s">
        <v>59</v>
      </c>
      <c r="B38" s="1" t="s">
        <v>57</v>
      </c>
      <c r="C38" s="1" t="s">
        <v>19</v>
      </c>
      <c r="D38" s="6">
        <v>1023312</v>
      </c>
      <c r="E38" s="6">
        <v>5548</v>
      </c>
      <c r="F38" s="6">
        <v>48676</v>
      </c>
      <c r="G38" s="6">
        <v>819137</v>
      </c>
      <c r="H38" s="6">
        <v>59403</v>
      </c>
      <c r="I38" s="6">
        <v>44770</v>
      </c>
      <c r="J38" s="6">
        <v>15618</v>
      </c>
      <c r="K38" s="6">
        <v>12501</v>
      </c>
      <c r="L38" s="6">
        <v>17659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1" t="s">
        <v>60</v>
      </c>
      <c r="B39" s="1" t="s">
        <v>61</v>
      </c>
      <c r="C39" s="1" t="s">
        <v>15</v>
      </c>
      <c r="D39" s="6">
        <v>1284206</v>
      </c>
      <c r="E39" s="6">
        <v>4596</v>
      </c>
      <c r="F39" s="6">
        <v>37634</v>
      </c>
      <c r="G39" s="6">
        <v>938479</v>
      </c>
      <c r="H39" s="6">
        <v>109512</v>
      </c>
      <c r="I39" s="6">
        <v>88850</v>
      </c>
      <c r="J39" s="6">
        <v>32689</v>
      </c>
      <c r="K39" s="6">
        <v>26920</v>
      </c>
      <c r="L39" s="6">
        <v>45526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1" t="s">
        <v>62</v>
      </c>
      <c r="B40" s="1" t="s">
        <v>61</v>
      </c>
      <c r="C40" s="1" t="s">
        <v>17</v>
      </c>
      <c r="D40" s="6">
        <v>626580</v>
      </c>
      <c r="E40" s="6">
        <v>951</v>
      </c>
      <c r="F40" s="6">
        <v>6410</v>
      </c>
      <c r="G40" s="6">
        <v>403510</v>
      </c>
      <c r="H40" s="6">
        <v>73610</v>
      </c>
      <c r="I40" s="6">
        <v>62541</v>
      </c>
      <c r="J40" s="6">
        <v>23772</v>
      </c>
      <c r="K40" s="6">
        <v>19918</v>
      </c>
      <c r="L40" s="6">
        <v>35868</v>
      </c>
      <c r="M40" s="6">
        <v>0</v>
      </c>
      <c r="N40" s="6">
        <v>0</v>
      </c>
      <c r="O40" s="6">
        <v>0</v>
      </c>
      <c r="P40" s="6">
        <v>0</v>
      </c>
    </row>
    <row r="41" spans="1:16">
      <c r="A41" s="1" t="s">
        <v>63</v>
      </c>
      <c r="B41" s="1" t="s">
        <v>61</v>
      </c>
      <c r="C41" s="1" t="s">
        <v>19</v>
      </c>
      <c r="D41" s="6">
        <v>657626</v>
      </c>
      <c r="E41" s="6">
        <v>3645</v>
      </c>
      <c r="F41" s="6">
        <v>31224</v>
      </c>
      <c r="G41" s="6">
        <v>534969</v>
      </c>
      <c r="H41" s="6">
        <v>35902</v>
      </c>
      <c r="I41" s="6">
        <v>26309</v>
      </c>
      <c r="J41" s="6">
        <v>8917</v>
      </c>
      <c r="K41" s="6">
        <v>7002</v>
      </c>
      <c r="L41" s="6">
        <v>9658</v>
      </c>
      <c r="M41" s="6">
        <v>0</v>
      </c>
      <c r="N41" s="6">
        <v>0</v>
      </c>
      <c r="O41" s="6">
        <v>0</v>
      </c>
      <c r="P41" s="6">
        <v>0</v>
      </c>
    </row>
    <row r="42" spans="1:16">
      <c r="A42" s="1" t="s">
        <v>64</v>
      </c>
      <c r="B42" s="1" t="s">
        <v>65</v>
      </c>
      <c r="C42" s="1" t="s">
        <v>15</v>
      </c>
      <c r="D42" s="6">
        <v>1083668</v>
      </c>
      <c r="E42" s="6">
        <v>4217</v>
      </c>
      <c r="F42" s="6">
        <v>34291</v>
      </c>
      <c r="G42" s="6">
        <v>817267</v>
      </c>
      <c r="H42" s="6">
        <v>86020</v>
      </c>
      <c r="I42" s="6">
        <v>66836</v>
      </c>
      <c r="J42" s="6">
        <v>23511</v>
      </c>
      <c r="K42" s="6">
        <v>19206</v>
      </c>
      <c r="L42" s="6">
        <v>32320</v>
      </c>
      <c r="M42" s="6">
        <v>0</v>
      </c>
      <c r="N42" s="6">
        <v>0</v>
      </c>
      <c r="O42" s="6">
        <v>0</v>
      </c>
      <c r="P42" s="6">
        <v>0</v>
      </c>
    </row>
    <row r="43" spans="1:16">
      <c r="A43" s="1" t="s">
        <v>66</v>
      </c>
      <c r="B43" s="1" t="s">
        <v>65</v>
      </c>
      <c r="C43" s="1" t="s">
        <v>17</v>
      </c>
      <c r="D43" s="6">
        <v>515351</v>
      </c>
      <c r="E43" s="6">
        <v>971</v>
      </c>
      <c r="F43" s="6">
        <v>6882</v>
      </c>
      <c r="G43" s="6">
        <v>352205</v>
      </c>
      <c r="H43" s="6">
        <v>56075</v>
      </c>
      <c r="I43" s="6">
        <v>45143</v>
      </c>
      <c r="J43" s="6">
        <v>16289</v>
      </c>
      <c r="K43" s="6">
        <v>13608</v>
      </c>
      <c r="L43" s="6">
        <v>24178</v>
      </c>
      <c r="M43" s="6">
        <v>0</v>
      </c>
      <c r="N43" s="6">
        <v>0</v>
      </c>
      <c r="O43" s="6">
        <v>0</v>
      </c>
      <c r="P43" s="6">
        <v>0</v>
      </c>
    </row>
    <row r="44" spans="1:16">
      <c r="A44" s="1" t="s">
        <v>67</v>
      </c>
      <c r="B44" s="1" t="s">
        <v>65</v>
      </c>
      <c r="C44" s="1" t="s">
        <v>19</v>
      </c>
      <c r="D44" s="6">
        <v>568317</v>
      </c>
      <c r="E44" s="6">
        <v>3246</v>
      </c>
      <c r="F44" s="6">
        <v>27409</v>
      </c>
      <c r="G44" s="6">
        <v>465062</v>
      </c>
      <c r="H44" s="6">
        <v>29945</v>
      </c>
      <c r="I44" s="6">
        <v>21693</v>
      </c>
      <c r="J44" s="6">
        <v>7222</v>
      </c>
      <c r="K44" s="6">
        <v>5598</v>
      </c>
      <c r="L44" s="6">
        <v>8142</v>
      </c>
      <c r="M44" s="6">
        <v>0</v>
      </c>
      <c r="N44" s="6">
        <v>0</v>
      </c>
      <c r="O44" s="6">
        <v>0</v>
      </c>
      <c r="P44" s="6">
        <v>0</v>
      </c>
    </row>
    <row r="45" spans="1:16">
      <c r="A45" s="1" t="s">
        <v>68</v>
      </c>
      <c r="B45" s="1" t="s">
        <v>69</v>
      </c>
      <c r="C45" s="1" t="s">
        <v>15</v>
      </c>
      <c r="D45" s="6">
        <v>475461</v>
      </c>
      <c r="E45" s="6">
        <v>2252</v>
      </c>
      <c r="F45" s="6">
        <v>16915</v>
      </c>
      <c r="G45" s="6">
        <v>367833</v>
      </c>
      <c r="H45" s="6">
        <v>34569</v>
      </c>
      <c r="I45" s="6">
        <v>25924</v>
      </c>
      <c r="J45" s="6">
        <v>9010</v>
      </c>
      <c r="K45" s="6">
        <v>7156</v>
      </c>
      <c r="L45" s="6">
        <v>11802</v>
      </c>
      <c r="M45" s="6">
        <v>0</v>
      </c>
      <c r="N45" s="6">
        <v>0</v>
      </c>
      <c r="O45" s="6">
        <v>0</v>
      </c>
      <c r="P45" s="6">
        <v>0</v>
      </c>
    </row>
    <row r="46" spans="1:16">
      <c r="A46" s="1" t="s">
        <v>70</v>
      </c>
      <c r="B46" s="1" t="s">
        <v>69</v>
      </c>
      <c r="C46" s="1" t="s">
        <v>17</v>
      </c>
      <c r="D46" s="6">
        <v>228717</v>
      </c>
      <c r="E46" s="6">
        <v>520</v>
      </c>
      <c r="F46" s="6">
        <v>4004</v>
      </c>
      <c r="G46" s="6">
        <v>165189</v>
      </c>
      <c r="H46" s="6">
        <v>22273</v>
      </c>
      <c r="I46" s="6">
        <v>17300</v>
      </c>
      <c r="J46" s="6">
        <v>6136</v>
      </c>
      <c r="K46" s="6">
        <v>4902</v>
      </c>
      <c r="L46" s="6">
        <v>8393</v>
      </c>
      <c r="M46" s="6">
        <v>0</v>
      </c>
      <c r="N46" s="6">
        <v>0</v>
      </c>
      <c r="O46" s="6">
        <v>0</v>
      </c>
      <c r="P46" s="6">
        <v>0</v>
      </c>
    </row>
    <row r="47" spans="1:16">
      <c r="A47" s="1" t="s">
        <v>71</v>
      </c>
      <c r="B47" s="1" t="s">
        <v>69</v>
      </c>
      <c r="C47" s="1" t="s">
        <v>19</v>
      </c>
      <c r="D47" s="6">
        <v>246744</v>
      </c>
      <c r="E47" s="6">
        <v>1732</v>
      </c>
      <c r="F47" s="6">
        <v>12911</v>
      </c>
      <c r="G47" s="6">
        <v>202644</v>
      </c>
      <c r="H47" s="6">
        <v>12296</v>
      </c>
      <c r="I47" s="6">
        <v>8624</v>
      </c>
      <c r="J47" s="6">
        <v>2874</v>
      </c>
      <c r="K47" s="6">
        <v>2254</v>
      </c>
      <c r="L47" s="6">
        <v>3409</v>
      </c>
      <c r="M47" s="6">
        <v>0</v>
      </c>
      <c r="N47" s="6">
        <v>0</v>
      </c>
      <c r="O47" s="6">
        <v>0</v>
      </c>
      <c r="P47" s="6">
        <v>0</v>
      </c>
    </row>
    <row r="48" spans="1:16">
      <c r="A48" s="1" t="s">
        <v>72</v>
      </c>
      <c r="B48" s="1" t="s">
        <v>73</v>
      </c>
      <c r="C48" s="1" t="s">
        <v>15</v>
      </c>
      <c r="D48" s="6">
        <v>356770</v>
      </c>
      <c r="E48" s="6">
        <v>2168</v>
      </c>
      <c r="F48" s="6">
        <v>15708</v>
      </c>
      <c r="G48" s="6">
        <v>278972</v>
      </c>
      <c r="H48" s="6">
        <v>23609</v>
      </c>
      <c r="I48" s="6">
        <v>17342</v>
      </c>
      <c r="J48" s="6">
        <v>6044</v>
      </c>
      <c r="K48" s="6">
        <v>4794</v>
      </c>
      <c r="L48" s="6">
        <v>8133</v>
      </c>
      <c r="M48" s="6">
        <v>0</v>
      </c>
      <c r="N48" s="6">
        <v>0</v>
      </c>
      <c r="O48" s="6">
        <v>0</v>
      </c>
      <c r="P48" s="6">
        <v>0</v>
      </c>
    </row>
    <row r="49" spans="1:16">
      <c r="A49" s="1" t="s">
        <v>74</v>
      </c>
      <c r="B49" s="1" t="s">
        <v>73</v>
      </c>
      <c r="C49" s="1" t="s">
        <v>17</v>
      </c>
      <c r="D49" s="6">
        <v>164301</v>
      </c>
      <c r="E49" s="6">
        <v>495</v>
      </c>
      <c r="F49" s="6">
        <v>3757</v>
      </c>
      <c r="G49" s="6">
        <v>121975</v>
      </c>
      <c r="H49" s="6">
        <v>14607</v>
      </c>
      <c r="I49" s="6">
        <v>11010</v>
      </c>
      <c r="J49" s="6">
        <v>3946</v>
      </c>
      <c r="K49" s="6">
        <v>3086</v>
      </c>
      <c r="L49" s="6">
        <v>5425</v>
      </c>
      <c r="M49" s="6">
        <v>0</v>
      </c>
      <c r="N49" s="6">
        <v>0</v>
      </c>
      <c r="O49" s="6">
        <v>0</v>
      </c>
      <c r="P49" s="6">
        <v>0</v>
      </c>
    </row>
    <row r="50" spans="1:16">
      <c r="A50" s="1" t="s">
        <v>75</v>
      </c>
      <c r="B50" s="1" t="s">
        <v>73</v>
      </c>
      <c r="C50" s="1" t="s">
        <v>19</v>
      </c>
      <c r="D50" s="6">
        <v>192469</v>
      </c>
      <c r="E50" s="6">
        <v>1673</v>
      </c>
      <c r="F50" s="6">
        <v>11951</v>
      </c>
      <c r="G50" s="6">
        <v>156997</v>
      </c>
      <c r="H50" s="6">
        <v>9002</v>
      </c>
      <c r="I50" s="6">
        <v>6332</v>
      </c>
      <c r="J50" s="6">
        <v>2098</v>
      </c>
      <c r="K50" s="6">
        <v>1708</v>
      </c>
      <c r="L50" s="6">
        <v>2708</v>
      </c>
      <c r="M50" s="6">
        <v>0</v>
      </c>
      <c r="N50" s="6">
        <v>0</v>
      </c>
      <c r="O50" s="6">
        <v>0</v>
      </c>
      <c r="P50" s="6">
        <v>0</v>
      </c>
    </row>
    <row r="51" spans="1:16">
      <c r="A51" s="1" t="s">
        <v>76</v>
      </c>
      <c r="B51" s="1" t="s">
        <v>77</v>
      </c>
      <c r="C51" s="1" t="s">
        <v>15</v>
      </c>
      <c r="D51" s="6">
        <v>107804</v>
      </c>
      <c r="E51" s="6">
        <v>1370</v>
      </c>
      <c r="F51" s="6">
        <v>7629</v>
      </c>
      <c r="G51" s="6">
        <v>83373</v>
      </c>
      <c r="H51" s="6">
        <v>5964</v>
      </c>
      <c r="I51" s="6">
        <v>4465</v>
      </c>
      <c r="J51" s="6">
        <v>1551</v>
      </c>
      <c r="K51" s="6">
        <v>1291</v>
      </c>
      <c r="L51" s="6">
        <v>2161</v>
      </c>
      <c r="M51" s="6">
        <v>0</v>
      </c>
      <c r="N51" s="6">
        <v>0</v>
      </c>
      <c r="O51" s="6">
        <v>0</v>
      </c>
      <c r="P51" s="6">
        <v>0</v>
      </c>
    </row>
    <row r="52" spans="1:16">
      <c r="A52" s="1" t="s">
        <v>78</v>
      </c>
      <c r="B52" s="1" t="s">
        <v>77</v>
      </c>
      <c r="C52" s="1" t="s">
        <v>17</v>
      </c>
      <c r="D52" s="6">
        <v>44497</v>
      </c>
      <c r="E52" s="6">
        <v>244</v>
      </c>
      <c r="F52" s="6">
        <v>1574</v>
      </c>
      <c r="G52" s="6">
        <v>33685</v>
      </c>
      <c r="H52" s="6">
        <v>3429</v>
      </c>
      <c r="I52" s="6">
        <v>2634</v>
      </c>
      <c r="J52" s="6">
        <v>931</v>
      </c>
      <c r="K52" s="6">
        <v>755</v>
      </c>
      <c r="L52" s="6">
        <v>1245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1" t="s">
        <v>79</v>
      </c>
      <c r="B53" s="1" t="s">
        <v>77</v>
      </c>
      <c r="C53" s="1" t="s">
        <v>19</v>
      </c>
      <c r="D53" s="6">
        <v>63307</v>
      </c>
      <c r="E53" s="6">
        <v>1126</v>
      </c>
      <c r="F53" s="6">
        <v>6055</v>
      </c>
      <c r="G53" s="6">
        <v>49688</v>
      </c>
      <c r="H53" s="6">
        <v>2535</v>
      </c>
      <c r="I53" s="6">
        <v>1831</v>
      </c>
      <c r="J53" s="6">
        <v>620</v>
      </c>
      <c r="K53" s="6">
        <v>536</v>
      </c>
      <c r="L53" s="6">
        <v>916</v>
      </c>
      <c r="M53" s="6">
        <v>0</v>
      </c>
      <c r="N53" s="6">
        <v>0</v>
      </c>
      <c r="O53" s="6">
        <v>0</v>
      </c>
      <c r="P53" s="6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1A02-182D-4F18-B58E-C799EED14885}">
  <dimension ref="A1:P47"/>
  <sheetViews>
    <sheetView workbookViewId="0"/>
  </sheetViews>
  <sheetFormatPr defaultRowHeight="17"/>
  <cols>
    <col min="1" max="1" width="18.58203125" customWidth="1"/>
    <col min="2" max="16" width="10.58203125" customWidth="1"/>
  </cols>
  <sheetData>
    <row r="1" spans="1:16">
      <c r="A1" s="2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1"/>
      <c r="C2" s="1"/>
      <c r="D2" s="1"/>
      <c r="E2" s="1"/>
      <c r="F2" s="1"/>
      <c r="G2" s="1" t="s">
        <v>191</v>
      </c>
      <c r="H2" s="4">
        <v>1</v>
      </c>
      <c r="I2" s="4">
        <v>5</v>
      </c>
      <c r="J2" s="4">
        <v>10</v>
      </c>
      <c r="K2" s="4">
        <v>25</v>
      </c>
      <c r="L2" s="4">
        <v>50</v>
      </c>
      <c r="M2" s="4">
        <v>75</v>
      </c>
      <c r="N2" s="4">
        <v>90</v>
      </c>
      <c r="O2" s="4">
        <v>95</v>
      </c>
      <c r="P2" s="4">
        <v>99</v>
      </c>
    </row>
    <row r="3" spans="1:16">
      <c r="A3" s="4" t="s">
        <v>4</v>
      </c>
      <c r="B3" s="4" t="s">
        <v>192</v>
      </c>
      <c r="C3" s="4" t="s">
        <v>6</v>
      </c>
      <c r="D3" s="4" t="s">
        <v>5</v>
      </c>
      <c r="E3" s="4" t="s">
        <v>193</v>
      </c>
      <c r="F3" s="4" t="s">
        <v>194</v>
      </c>
      <c r="G3" s="4" t="s">
        <v>195</v>
      </c>
      <c r="H3" s="4" t="s">
        <v>196</v>
      </c>
      <c r="I3" s="4" t="s">
        <v>197</v>
      </c>
      <c r="J3" s="4" t="s">
        <v>198</v>
      </c>
      <c r="K3" s="4" t="s">
        <v>199</v>
      </c>
      <c r="L3" s="4" t="s">
        <v>200</v>
      </c>
      <c r="M3" s="4" t="s">
        <v>201</v>
      </c>
      <c r="N3" s="4" t="s">
        <v>202</v>
      </c>
      <c r="O3" s="4" t="s">
        <v>203</v>
      </c>
      <c r="P3" s="4" t="s">
        <v>204</v>
      </c>
    </row>
    <row r="4" spans="1:16">
      <c r="A4" s="1" t="s">
        <v>205</v>
      </c>
      <c r="B4" s="1" t="s">
        <v>4</v>
      </c>
      <c r="C4" s="1" t="s">
        <v>17</v>
      </c>
      <c r="D4" s="1" t="s">
        <v>206</v>
      </c>
      <c r="E4" s="6">
        <v>343</v>
      </c>
      <c r="F4" s="9">
        <v>174.6</v>
      </c>
      <c r="G4" s="9">
        <v>5.7039999999999997</v>
      </c>
      <c r="H4" s="9">
        <v>162.1</v>
      </c>
      <c r="I4" s="9">
        <v>164.9</v>
      </c>
      <c r="J4" s="9">
        <v>167.3</v>
      </c>
      <c r="K4" s="9">
        <v>170.4</v>
      </c>
      <c r="L4" s="9">
        <v>174.5</v>
      </c>
      <c r="M4" s="9">
        <v>178.2</v>
      </c>
      <c r="N4" s="9">
        <v>182.6</v>
      </c>
      <c r="O4" s="9">
        <v>184.4</v>
      </c>
      <c r="P4" s="9">
        <v>189.1</v>
      </c>
    </row>
    <row r="5" spans="1:16">
      <c r="A5" s="1" t="s">
        <v>207</v>
      </c>
      <c r="B5" s="1" t="s">
        <v>4</v>
      </c>
      <c r="C5" s="1" t="s">
        <v>17</v>
      </c>
      <c r="D5" s="1" t="s">
        <v>208</v>
      </c>
      <c r="E5" s="6">
        <v>267</v>
      </c>
      <c r="F5" s="9">
        <v>174.1</v>
      </c>
      <c r="G5" s="9">
        <v>5.7729999999999997</v>
      </c>
      <c r="H5" s="9">
        <v>161.5</v>
      </c>
      <c r="I5" s="9">
        <v>165.1</v>
      </c>
      <c r="J5" s="9">
        <v>166.7</v>
      </c>
      <c r="K5" s="9">
        <v>170</v>
      </c>
      <c r="L5" s="9">
        <v>173.7</v>
      </c>
      <c r="M5" s="9">
        <v>178.1</v>
      </c>
      <c r="N5" s="9">
        <v>181.9</v>
      </c>
      <c r="O5" s="9">
        <v>184.3</v>
      </c>
      <c r="P5" s="9">
        <v>189.5</v>
      </c>
    </row>
    <row r="6" spans="1:16">
      <c r="A6" s="1" t="s">
        <v>209</v>
      </c>
      <c r="B6" s="1" t="s">
        <v>4</v>
      </c>
      <c r="C6" s="1" t="s">
        <v>17</v>
      </c>
      <c r="D6" s="1" t="s">
        <v>210</v>
      </c>
      <c r="E6" s="6">
        <v>237</v>
      </c>
      <c r="F6" s="9">
        <v>174.6</v>
      </c>
      <c r="G6" s="9">
        <v>5.8330000000000002</v>
      </c>
      <c r="H6" s="9">
        <v>160.4</v>
      </c>
      <c r="I6" s="9">
        <v>163.9</v>
      </c>
      <c r="J6" s="9">
        <v>167.2</v>
      </c>
      <c r="K6" s="9">
        <v>171.1</v>
      </c>
      <c r="L6" s="9">
        <v>174.7</v>
      </c>
      <c r="M6" s="9">
        <v>178.1</v>
      </c>
      <c r="N6" s="9">
        <v>182.8</v>
      </c>
      <c r="O6" s="9">
        <v>184.2</v>
      </c>
      <c r="P6" s="9">
        <v>187.8</v>
      </c>
    </row>
    <row r="7" spans="1:16">
      <c r="A7" s="1" t="s">
        <v>211</v>
      </c>
      <c r="B7" s="1" t="s">
        <v>4</v>
      </c>
      <c r="C7" s="1" t="s">
        <v>17</v>
      </c>
      <c r="D7" s="1" t="s">
        <v>212</v>
      </c>
      <c r="E7" s="6">
        <v>256</v>
      </c>
      <c r="F7" s="9">
        <v>175.1</v>
      </c>
      <c r="G7" s="9">
        <v>5.3479999999999999</v>
      </c>
      <c r="H7" s="9">
        <v>161.6</v>
      </c>
      <c r="I7" s="9">
        <v>166.3</v>
      </c>
      <c r="J7" s="9">
        <v>168.6</v>
      </c>
      <c r="K7" s="9">
        <v>171.1</v>
      </c>
      <c r="L7" s="9">
        <v>175.2</v>
      </c>
      <c r="M7" s="9">
        <v>178.8</v>
      </c>
      <c r="N7" s="9">
        <v>181.8</v>
      </c>
      <c r="O7" s="9">
        <v>183.5</v>
      </c>
      <c r="P7" s="9">
        <v>187.3</v>
      </c>
    </row>
    <row r="8" spans="1:16">
      <c r="A8" s="1" t="s">
        <v>213</v>
      </c>
      <c r="B8" s="1" t="s">
        <v>4</v>
      </c>
      <c r="C8" s="1" t="s">
        <v>17</v>
      </c>
      <c r="D8" s="1" t="s">
        <v>214</v>
      </c>
      <c r="E8" s="6">
        <v>223</v>
      </c>
      <c r="F8" s="9">
        <v>173.8</v>
      </c>
      <c r="G8" s="9">
        <v>5.2859999999999996</v>
      </c>
      <c r="H8" s="9">
        <v>158.9</v>
      </c>
      <c r="I8" s="9">
        <v>164</v>
      </c>
      <c r="J8" s="9">
        <v>166.8</v>
      </c>
      <c r="K8" s="9">
        <v>170.8</v>
      </c>
      <c r="L8" s="9">
        <v>173.9</v>
      </c>
      <c r="M8" s="9">
        <v>177.2</v>
      </c>
      <c r="N8" s="9">
        <v>180.1</v>
      </c>
      <c r="O8" s="9">
        <v>182.3</v>
      </c>
      <c r="P8" s="9">
        <v>186.6</v>
      </c>
    </row>
    <row r="9" spans="1:16">
      <c r="A9" s="1" t="s">
        <v>215</v>
      </c>
      <c r="B9" s="1" t="s">
        <v>4</v>
      </c>
      <c r="C9" s="1" t="s">
        <v>17</v>
      </c>
      <c r="D9" s="1" t="s">
        <v>216</v>
      </c>
      <c r="E9" s="6">
        <v>241</v>
      </c>
      <c r="F9" s="9">
        <v>172.5</v>
      </c>
      <c r="G9" s="9">
        <v>5.0679999999999996</v>
      </c>
      <c r="H9" s="9">
        <v>160</v>
      </c>
      <c r="I9" s="9">
        <v>163.4</v>
      </c>
      <c r="J9" s="9">
        <v>166</v>
      </c>
      <c r="K9" s="9">
        <v>169.1</v>
      </c>
      <c r="L9" s="9">
        <v>172.5</v>
      </c>
      <c r="M9" s="9">
        <v>176</v>
      </c>
      <c r="N9" s="9">
        <v>178.8</v>
      </c>
      <c r="O9" s="9">
        <v>180.4</v>
      </c>
      <c r="P9" s="9">
        <v>185.3</v>
      </c>
    </row>
    <row r="10" spans="1:16">
      <c r="A10" s="1" t="s">
        <v>217</v>
      </c>
      <c r="B10" s="1" t="s">
        <v>4</v>
      </c>
      <c r="C10" s="1" t="s">
        <v>17</v>
      </c>
      <c r="D10" s="1" t="s">
        <v>218</v>
      </c>
      <c r="E10" s="6">
        <v>144</v>
      </c>
      <c r="F10" s="9">
        <v>171.2</v>
      </c>
      <c r="G10" s="9">
        <v>5.0030000000000001</v>
      </c>
      <c r="H10" s="9">
        <v>157.6</v>
      </c>
      <c r="I10" s="9">
        <v>162.69999999999999</v>
      </c>
      <c r="J10" s="9">
        <v>164.7</v>
      </c>
      <c r="K10" s="9">
        <v>167.8</v>
      </c>
      <c r="L10" s="9">
        <v>171</v>
      </c>
      <c r="M10" s="9">
        <v>174.7</v>
      </c>
      <c r="N10" s="9">
        <v>177.6</v>
      </c>
      <c r="O10" s="9">
        <v>179.3</v>
      </c>
      <c r="P10" s="9">
        <v>182.7</v>
      </c>
    </row>
    <row r="11" spans="1:16">
      <c r="A11" s="1" t="s">
        <v>219</v>
      </c>
      <c r="B11" s="1" t="s">
        <v>4</v>
      </c>
      <c r="C11" s="1" t="s">
        <v>17</v>
      </c>
      <c r="D11" s="1" t="s">
        <v>220</v>
      </c>
      <c r="E11" s="6">
        <v>146</v>
      </c>
      <c r="F11" s="9">
        <v>169.7</v>
      </c>
      <c r="G11" s="9">
        <v>5.899</v>
      </c>
      <c r="H11" s="9">
        <v>153.5</v>
      </c>
      <c r="I11" s="9">
        <v>160.69999999999999</v>
      </c>
      <c r="J11" s="9">
        <v>162.1</v>
      </c>
      <c r="K11" s="9">
        <v>165.9</v>
      </c>
      <c r="L11" s="9">
        <v>169.2</v>
      </c>
      <c r="M11" s="9">
        <v>173.5</v>
      </c>
      <c r="N11" s="9">
        <v>177.7</v>
      </c>
      <c r="O11" s="9">
        <v>179.7</v>
      </c>
      <c r="P11" s="9">
        <v>183.9</v>
      </c>
    </row>
    <row r="12" spans="1:16">
      <c r="A12" s="1" t="s">
        <v>221</v>
      </c>
      <c r="B12" s="1" t="s">
        <v>4</v>
      </c>
      <c r="C12" s="1" t="s">
        <v>17</v>
      </c>
      <c r="D12" s="1" t="s">
        <v>222</v>
      </c>
      <c r="E12" s="6">
        <v>207</v>
      </c>
      <c r="F12" s="9">
        <v>169.1</v>
      </c>
      <c r="G12" s="9">
        <v>5.3970000000000002</v>
      </c>
      <c r="H12" s="9">
        <v>158.1</v>
      </c>
      <c r="I12" s="9">
        <v>160</v>
      </c>
      <c r="J12" s="9">
        <v>162</v>
      </c>
      <c r="K12" s="9">
        <v>165.4</v>
      </c>
      <c r="L12" s="9">
        <v>169</v>
      </c>
      <c r="M12" s="9">
        <v>173</v>
      </c>
      <c r="N12" s="9">
        <v>176.3</v>
      </c>
      <c r="O12" s="9">
        <v>178.3</v>
      </c>
      <c r="P12" s="9">
        <v>183.4</v>
      </c>
    </row>
    <row r="13" spans="1:16">
      <c r="A13" s="1" t="s">
        <v>223</v>
      </c>
      <c r="B13" s="1" t="s">
        <v>4</v>
      </c>
      <c r="C13" s="1" t="s">
        <v>17</v>
      </c>
      <c r="D13" s="1" t="s">
        <v>224</v>
      </c>
      <c r="E13" s="6">
        <v>255</v>
      </c>
      <c r="F13" s="9">
        <v>167.5</v>
      </c>
      <c r="G13" s="9">
        <v>5.42</v>
      </c>
      <c r="H13" s="9">
        <v>154.30000000000001</v>
      </c>
      <c r="I13" s="9">
        <v>159.4</v>
      </c>
      <c r="J13" s="9">
        <v>161</v>
      </c>
      <c r="K13" s="9">
        <v>163.6</v>
      </c>
      <c r="L13" s="9">
        <v>167.5</v>
      </c>
      <c r="M13" s="9">
        <v>171.3</v>
      </c>
      <c r="N13" s="9">
        <v>174.3</v>
      </c>
      <c r="O13" s="9">
        <v>176.2</v>
      </c>
      <c r="P13" s="9">
        <v>181.9</v>
      </c>
    </row>
    <row r="14" spans="1:16">
      <c r="A14" s="1" t="s">
        <v>225</v>
      </c>
      <c r="B14" s="1" t="s">
        <v>4</v>
      </c>
      <c r="C14" s="1" t="s">
        <v>17</v>
      </c>
      <c r="D14" s="1" t="s">
        <v>226</v>
      </c>
      <c r="E14" s="6">
        <v>2319</v>
      </c>
      <c r="F14" s="9">
        <v>172.5</v>
      </c>
      <c r="G14" s="9">
        <v>6.056</v>
      </c>
      <c r="H14" s="9">
        <v>158.80000000000001</v>
      </c>
      <c r="I14" s="9">
        <v>162.5</v>
      </c>
      <c r="J14" s="9">
        <v>164.5</v>
      </c>
      <c r="K14" s="9">
        <v>168.4</v>
      </c>
      <c r="L14" s="9">
        <v>172.6</v>
      </c>
      <c r="M14" s="9">
        <v>176.5</v>
      </c>
      <c r="N14" s="9">
        <v>180.2</v>
      </c>
      <c r="O14" s="9">
        <v>182.8</v>
      </c>
      <c r="P14" s="9">
        <v>187.1</v>
      </c>
    </row>
    <row r="15" spans="1:16">
      <c r="A15" s="1" t="s">
        <v>227</v>
      </c>
      <c r="B15" s="1" t="s">
        <v>4</v>
      </c>
      <c r="C15" s="1" t="s">
        <v>19</v>
      </c>
      <c r="D15" s="1" t="s">
        <v>206</v>
      </c>
      <c r="E15" s="6">
        <v>271</v>
      </c>
      <c r="F15" s="9">
        <v>161.1</v>
      </c>
      <c r="G15" s="9">
        <v>4.923</v>
      </c>
      <c r="H15" s="9">
        <v>149.80000000000001</v>
      </c>
      <c r="I15" s="9">
        <v>153.1</v>
      </c>
      <c r="J15" s="9">
        <v>154.6</v>
      </c>
      <c r="K15" s="9">
        <v>157.80000000000001</v>
      </c>
      <c r="L15" s="9">
        <v>161.30000000000001</v>
      </c>
      <c r="M15" s="9">
        <v>164.4</v>
      </c>
      <c r="N15" s="9">
        <v>167.8</v>
      </c>
      <c r="O15" s="9">
        <v>169.1</v>
      </c>
      <c r="P15" s="9">
        <v>173.2</v>
      </c>
    </row>
    <row r="16" spans="1:16">
      <c r="A16" s="1" t="s">
        <v>228</v>
      </c>
      <c r="B16" s="1" t="s">
        <v>4</v>
      </c>
      <c r="C16" s="1" t="s">
        <v>19</v>
      </c>
      <c r="D16" s="1" t="s">
        <v>208</v>
      </c>
      <c r="E16" s="6">
        <v>304</v>
      </c>
      <c r="F16" s="9">
        <v>161.4</v>
      </c>
      <c r="G16" s="9">
        <v>5.2759999999999998</v>
      </c>
      <c r="H16" s="9">
        <v>147.1</v>
      </c>
      <c r="I16" s="9">
        <v>153.30000000000001</v>
      </c>
      <c r="J16" s="9">
        <v>154.80000000000001</v>
      </c>
      <c r="K16" s="9">
        <v>158</v>
      </c>
      <c r="L16" s="9">
        <v>161</v>
      </c>
      <c r="M16" s="9">
        <v>164.5</v>
      </c>
      <c r="N16" s="9">
        <v>168.2</v>
      </c>
      <c r="O16" s="9">
        <v>170.5</v>
      </c>
      <c r="P16" s="9">
        <v>174.9</v>
      </c>
    </row>
    <row r="17" spans="1:16">
      <c r="A17" s="1" t="s">
        <v>229</v>
      </c>
      <c r="B17" s="1" t="s">
        <v>4</v>
      </c>
      <c r="C17" s="1" t="s">
        <v>19</v>
      </c>
      <c r="D17" s="1" t="s">
        <v>210</v>
      </c>
      <c r="E17" s="6">
        <v>275</v>
      </c>
      <c r="F17" s="9">
        <v>161.80000000000001</v>
      </c>
      <c r="G17" s="9">
        <v>5.093</v>
      </c>
      <c r="H17" s="9">
        <v>150.6</v>
      </c>
      <c r="I17" s="9">
        <v>153</v>
      </c>
      <c r="J17" s="9">
        <v>154.9</v>
      </c>
      <c r="K17" s="9">
        <v>158.4</v>
      </c>
      <c r="L17" s="9">
        <v>161.80000000000001</v>
      </c>
      <c r="M17" s="9">
        <v>165</v>
      </c>
      <c r="N17" s="9">
        <v>167.7</v>
      </c>
      <c r="O17" s="9">
        <v>170.1</v>
      </c>
      <c r="P17" s="9">
        <v>177.3</v>
      </c>
    </row>
    <row r="18" spans="1:16">
      <c r="A18" s="1" t="s">
        <v>230</v>
      </c>
      <c r="B18" s="1" t="s">
        <v>4</v>
      </c>
      <c r="C18" s="1" t="s">
        <v>19</v>
      </c>
      <c r="D18" s="1" t="s">
        <v>212</v>
      </c>
      <c r="E18" s="6">
        <v>380</v>
      </c>
      <c r="F18" s="9">
        <v>162</v>
      </c>
      <c r="G18" s="9">
        <v>4.8419999999999996</v>
      </c>
      <c r="H18" s="9">
        <v>152.1</v>
      </c>
      <c r="I18" s="9">
        <v>154.1</v>
      </c>
      <c r="J18" s="9">
        <v>156.1</v>
      </c>
      <c r="K18" s="9">
        <v>158.4</v>
      </c>
      <c r="L18" s="9">
        <v>161.80000000000001</v>
      </c>
      <c r="M18" s="9">
        <v>165.1</v>
      </c>
      <c r="N18" s="9">
        <v>168.2</v>
      </c>
      <c r="O18" s="9">
        <v>170.5</v>
      </c>
      <c r="P18" s="9">
        <v>174.9</v>
      </c>
    </row>
    <row r="19" spans="1:16">
      <c r="A19" s="1" t="s">
        <v>231</v>
      </c>
      <c r="B19" s="1" t="s">
        <v>4</v>
      </c>
      <c r="C19" s="1" t="s">
        <v>19</v>
      </c>
      <c r="D19" s="1" t="s">
        <v>214</v>
      </c>
      <c r="E19" s="6">
        <v>352</v>
      </c>
      <c r="F19" s="9">
        <v>161.1</v>
      </c>
      <c r="G19" s="9">
        <v>5.0789999999999997</v>
      </c>
      <c r="H19" s="9">
        <v>151</v>
      </c>
      <c r="I19" s="9">
        <v>153.1</v>
      </c>
      <c r="J19" s="9">
        <v>154.30000000000001</v>
      </c>
      <c r="K19" s="9">
        <v>157.69999999999999</v>
      </c>
      <c r="L19" s="9">
        <v>160.69999999999999</v>
      </c>
      <c r="M19" s="9">
        <v>164.5</v>
      </c>
      <c r="N19" s="9">
        <v>167.6</v>
      </c>
      <c r="O19" s="9">
        <v>170.3</v>
      </c>
      <c r="P19" s="9">
        <v>173.6</v>
      </c>
    </row>
    <row r="20" spans="1:16">
      <c r="A20" s="1" t="s">
        <v>232</v>
      </c>
      <c r="B20" s="1" t="s">
        <v>4</v>
      </c>
      <c r="C20" s="1" t="s">
        <v>19</v>
      </c>
      <c r="D20" s="1" t="s">
        <v>216</v>
      </c>
      <c r="E20" s="6">
        <v>225</v>
      </c>
      <c r="F20" s="9">
        <v>159.80000000000001</v>
      </c>
      <c r="G20" s="9">
        <v>5.2649999999999997</v>
      </c>
      <c r="H20" s="9">
        <v>142.1</v>
      </c>
      <c r="I20" s="9">
        <v>151.30000000000001</v>
      </c>
      <c r="J20" s="9">
        <v>153.5</v>
      </c>
      <c r="K20" s="9">
        <v>156.5</v>
      </c>
      <c r="L20" s="9">
        <v>159.69999999999999</v>
      </c>
      <c r="M20" s="9">
        <v>163.5</v>
      </c>
      <c r="N20" s="9">
        <v>166.1</v>
      </c>
      <c r="O20" s="9">
        <v>168.5</v>
      </c>
      <c r="P20" s="9">
        <v>170.9</v>
      </c>
    </row>
    <row r="21" spans="1:16">
      <c r="A21" s="1" t="s">
        <v>233</v>
      </c>
      <c r="B21" s="1" t="s">
        <v>4</v>
      </c>
      <c r="C21" s="1" t="s">
        <v>19</v>
      </c>
      <c r="D21" s="1" t="s">
        <v>218</v>
      </c>
      <c r="E21" s="6">
        <v>270</v>
      </c>
      <c r="F21" s="9">
        <v>158.4</v>
      </c>
      <c r="G21" s="9">
        <v>5.1360000000000001</v>
      </c>
      <c r="H21" s="9">
        <v>145.5</v>
      </c>
      <c r="I21" s="9">
        <v>150.4</v>
      </c>
      <c r="J21" s="9">
        <v>152</v>
      </c>
      <c r="K21" s="9">
        <v>155.1</v>
      </c>
      <c r="L21" s="9">
        <v>158</v>
      </c>
      <c r="M21" s="9">
        <v>161.4</v>
      </c>
      <c r="N21" s="9">
        <v>164.7</v>
      </c>
      <c r="O21" s="9">
        <v>167.7</v>
      </c>
      <c r="P21" s="9">
        <v>173.8</v>
      </c>
    </row>
    <row r="22" spans="1:16">
      <c r="A22" s="1" t="s">
        <v>234</v>
      </c>
      <c r="B22" s="1" t="s">
        <v>4</v>
      </c>
      <c r="C22" s="1" t="s">
        <v>19</v>
      </c>
      <c r="D22" s="1" t="s">
        <v>220</v>
      </c>
      <c r="E22" s="6">
        <v>230</v>
      </c>
      <c r="F22" s="9">
        <v>156.80000000000001</v>
      </c>
      <c r="G22" s="9">
        <v>4.5350000000000001</v>
      </c>
      <c r="H22" s="9">
        <v>145.6</v>
      </c>
      <c r="I22" s="9">
        <v>149.6</v>
      </c>
      <c r="J22" s="9">
        <v>151.30000000000001</v>
      </c>
      <c r="K22" s="9">
        <v>154</v>
      </c>
      <c r="L22" s="9">
        <v>156.5</v>
      </c>
      <c r="M22" s="9">
        <v>159.5</v>
      </c>
      <c r="N22" s="9">
        <v>162.69999999999999</v>
      </c>
      <c r="O22" s="9">
        <v>164.5</v>
      </c>
      <c r="P22" s="9">
        <v>169.1</v>
      </c>
    </row>
    <row r="23" spans="1:16">
      <c r="A23" s="1" t="s">
        <v>235</v>
      </c>
      <c r="B23" s="1" t="s">
        <v>4</v>
      </c>
      <c r="C23" s="1" t="s">
        <v>19</v>
      </c>
      <c r="D23" s="1" t="s">
        <v>222</v>
      </c>
      <c r="E23" s="6">
        <v>228</v>
      </c>
      <c r="F23" s="9">
        <v>155.9</v>
      </c>
      <c r="G23" s="9">
        <v>4.5339999999999998</v>
      </c>
      <c r="H23" s="9">
        <v>145.30000000000001</v>
      </c>
      <c r="I23" s="9">
        <v>148.30000000000001</v>
      </c>
      <c r="J23" s="9">
        <v>149.80000000000001</v>
      </c>
      <c r="K23" s="9">
        <v>153</v>
      </c>
      <c r="L23" s="9">
        <v>156.19999999999999</v>
      </c>
      <c r="M23" s="9">
        <v>159.19999999999999</v>
      </c>
      <c r="N23" s="9">
        <v>161.30000000000001</v>
      </c>
      <c r="O23" s="9">
        <v>163</v>
      </c>
      <c r="P23" s="9">
        <v>168</v>
      </c>
    </row>
    <row r="24" spans="1:16">
      <c r="A24" s="1" t="s">
        <v>236</v>
      </c>
      <c r="B24" s="1" t="s">
        <v>4</v>
      </c>
      <c r="C24" s="1" t="s">
        <v>19</v>
      </c>
      <c r="D24" s="1" t="s">
        <v>224</v>
      </c>
      <c r="E24" s="6">
        <v>238</v>
      </c>
      <c r="F24" s="9">
        <v>154.80000000000001</v>
      </c>
      <c r="G24" s="9">
        <v>4.6189999999999998</v>
      </c>
      <c r="H24" s="9">
        <v>142.9</v>
      </c>
      <c r="I24" s="9">
        <v>147</v>
      </c>
      <c r="J24" s="9">
        <v>149</v>
      </c>
      <c r="K24" s="9">
        <v>152</v>
      </c>
      <c r="L24" s="9">
        <v>154.6</v>
      </c>
      <c r="M24" s="9">
        <v>157.6</v>
      </c>
      <c r="N24" s="9">
        <v>161.19999999999999</v>
      </c>
      <c r="O24" s="9">
        <v>162.5</v>
      </c>
      <c r="P24" s="9">
        <v>165.6</v>
      </c>
    </row>
    <row r="25" spans="1:16">
      <c r="A25" s="1" t="s">
        <v>237</v>
      </c>
      <c r="B25" s="1" t="s">
        <v>4</v>
      </c>
      <c r="C25" s="1" t="s">
        <v>19</v>
      </c>
      <c r="D25" s="1" t="s">
        <v>226</v>
      </c>
      <c r="E25" s="6">
        <v>2773</v>
      </c>
      <c r="F25" s="9">
        <v>159.6</v>
      </c>
      <c r="G25" s="9">
        <v>5.5179999999999998</v>
      </c>
      <c r="H25" s="9">
        <v>146.9</v>
      </c>
      <c r="I25" s="9">
        <v>151</v>
      </c>
      <c r="J25" s="9">
        <v>152.80000000000001</v>
      </c>
      <c r="K25" s="9">
        <v>156</v>
      </c>
      <c r="L25" s="9">
        <v>159.5</v>
      </c>
      <c r="M25" s="9">
        <v>163.30000000000001</v>
      </c>
      <c r="N25" s="9">
        <v>166.7</v>
      </c>
      <c r="O25" s="9">
        <v>168.9</v>
      </c>
      <c r="P25" s="9">
        <v>173.3</v>
      </c>
    </row>
    <row r="26" spans="1:16">
      <c r="A26" s="1" t="s">
        <v>238</v>
      </c>
      <c r="B26" s="1" t="s">
        <v>239</v>
      </c>
      <c r="C26" s="1" t="s">
        <v>17</v>
      </c>
      <c r="D26" s="1" t="s">
        <v>206</v>
      </c>
      <c r="E26" s="6">
        <v>343</v>
      </c>
      <c r="F26" s="9">
        <v>72.86</v>
      </c>
      <c r="G26" s="9">
        <v>12.22</v>
      </c>
      <c r="H26" s="9">
        <v>49.78</v>
      </c>
      <c r="I26" s="9">
        <v>56.62</v>
      </c>
      <c r="J26" s="9">
        <v>60.04</v>
      </c>
      <c r="K26" s="9">
        <v>64.7</v>
      </c>
      <c r="L26" s="9">
        <v>71.7</v>
      </c>
      <c r="M26" s="9">
        <v>78.2</v>
      </c>
      <c r="N26" s="9">
        <v>88.52</v>
      </c>
      <c r="O26" s="9">
        <v>95.4</v>
      </c>
      <c r="P26" s="9">
        <v>115.88</v>
      </c>
    </row>
    <row r="27" spans="1:16">
      <c r="A27" s="1" t="s">
        <v>240</v>
      </c>
      <c r="B27" s="1" t="s">
        <v>239</v>
      </c>
      <c r="C27" s="1" t="s">
        <v>17</v>
      </c>
      <c r="D27" s="1" t="s">
        <v>208</v>
      </c>
      <c r="E27" s="6">
        <v>267</v>
      </c>
      <c r="F27" s="9">
        <v>74.5</v>
      </c>
      <c r="G27" s="9">
        <v>10.91</v>
      </c>
      <c r="H27" s="9">
        <v>53.2</v>
      </c>
      <c r="I27" s="9">
        <v>58.7</v>
      </c>
      <c r="J27" s="9">
        <v>62.2</v>
      </c>
      <c r="K27" s="9">
        <v>67.3</v>
      </c>
      <c r="L27" s="9">
        <v>73</v>
      </c>
      <c r="M27" s="9">
        <v>80.5</v>
      </c>
      <c r="N27" s="9">
        <v>87.84</v>
      </c>
      <c r="O27" s="9">
        <v>92.22</v>
      </c>
      <c r="P27" s="9">
        <v>116.85</v>
      </c>
    </row>
    <row r="28" spans="1:16">
      <c r="A28" s="1" t="s">
        <v>241</v>
      </c>
      <c r="B28" s="1" t="s">
        <v>239</v>
      </c>
      <c r="C28" s="1" t="s">
        <v>17</v>
      </c>
      <c r="D28" s="1" t="s">
        <v>210</v>
      </c>
      <c r="E28" s="6">
        <v>237</v>
      </c>
      <c r="F28" s="9">
        <v>77.73</v>
      </c>
      <c r="G28" s="9">
        <v>11.97</v>
      </c>
      <c r="H28" s="9">
        <v>55.2</v>
      </c>
      <c r="I28" s="9">
        <v>60.5</v>
      </c>
      <c r="J28" s="9">
        <v>63.5</v>
      </c>
      <c r="K28" s="9">
        <v>69.75</v>
      </c>
      <c r="L28" s="9">
        <v>76</v>
      </c>
      <c r="M28" s="9">
        <v>85.05</v>
      </c>
      <c r="N28" s="9">
        <v>95.12</v>
      </c>
      <c r="O28" s="9">
        <v>99.09</v>
      </c>
      <c r="P28" s="9">
        <v>110.46</v>
      </c>
    </row>
    <row r="29" spans="1:16">
      <c r="A29" s="1" t="s">
        <v>242</v>
      </c>
      <c r="B29" s="1" t="s">
        <v>239</v>
      </c>
      <c r="C29" s="1" t="s">
        <v>17</v>
      </c>
      <c r="D29" s="1" t="s">
        <v>212</v>
      </c>
      <c r="E29" s="6">
        <v>256</v>
      </c>
      <c r="F29" s="9">
        <v>79.23</v>
      </c>
      <c r="G29" s="9">
        <v>11.17</v>
      </c>
      <c r="H29" s="9">
        <v>56.73</v>
      </c>
      <c r="I29" s="9">
        <v>62.11</v>
      </c>
      <c r="J29" s="9">
        <v>65.64</v>
      </c>
      <c r="K29" s="9">
        <v>72.3</v>
      </c>
      <c r="L29" s="9">
        <v>78.5</v>
      </c>
      <c r="M29" s="9">
        <v>85.83</v>
      </c>
      <c r="N29" s="9">
        <v>93.62</v>
      </c>
      <c r="O29" s="9">
        <v>98.62</v>
      </c>
      <c r="P29" s="9">
        <v>115.45</v>
      </c>
    </row>
    <row r="30" spans="1:16">
      <c r="A30" s="1" t="s">
        <v>243</v>
      </c>
      <c r="B30" s="1" t="s">
        <v>239</v>
      </c>
      <c r="C30" s="1" t="s">
        <v>17</v>
      </c>
      <c r="D30" s="1" t="s">
        <v>214</v>
      </c>
      <c r="E30" s="6">
        <v>223</v>
      </c>
      <c r="F30" s="9">
        <v>77.66</v>
      </c>
      <c r="G30" s="9">
        <v>11.2</v>
      </c>
      <c r="H30" s="9">
        <v>56.24</v>
      </c>
      <c r="I30" s="9">
        <v>61.58</v>
      </c>
      <c r="J30" s="9">
        <v>64.44</v>
      </c>
      <c r="K30" s="9">
        <v>69.3</v>
      </c>
      <c r="L30" s="9">
        <v>77.099999999999994</v>
      </c>
      <c r="M30" s="9">
        <v>84.7</v>
      </c>
      <c r="N30" s="9">
        <v>92.2</v>
      </c>
      <c r="O30" s="9">
        <v>97.66</v>
      </c>
      <c r="P30" s="9">
        <v>114.45</v>
      </c>
    </row>
    <row r="31" spans="1:16">
      <c r="A31" s="1" t="s">
        <v>244</v>
      </c>
      <c r="B31" s="1" t="s">
        <v>239</v>
      </c>
      <c r="C31" s="1" t="s">
        <v>17</v>
      </c>
      <c r="D31" s="1" t="s">
        <v>216</v>
      </c>
      <c r="E31" s="6">
        <v>241</v>
      </c>
      <c r="F31" s="9">
        <v>75.81</v>
      </c>
      <c r="G31" s="9">
        <v>11</v>
      </c>
      <c r="H31" s="9">
        <v>52.87</v>
      </c>
      <c r="I31" s="9">
        <v>59.04</v>
      </c>
      <c r="J31" s="9">
        <v>63.16</v>
      </c>
      <c r="K31" s="9">
        <v>68.45</v>
      </c>
      <c r="L31" s="9">
        <v>75</v>
      </c>
      <c r="M31" s="9">
        <v>83.7</v>
      </c>
      <c r="N31" s="9">
        <v>91.08</v>
      </c>
      <c r="O31" s="9">
        <v>95.49</v>
      </c>
      <c r="P31" s="9">
        <v>104.03</v>
      </c>
    </row>
    <row r="32" spans="1:16">
      <c r="A32" s="1" t="s">
        <v>245</v>
      </c>
      <c r="B32" s="1" t="s">
        <v>239</v>
      </c>
      <c r="C32" s="1" t="s">
        <v>17</v>
      </c>
      <c r="D32" s="1" t="s">
        <v>218</v>
      </c>
      <c r="E32" s="6">
        <v>144</v>
      </c>
      <c r="F32" s="9">
        <v>73.5</v>
      </c>
      <c r="G32" s="9">
        <v>9.43</v>
      </c>
      <c r="H32" s="9">
        <v>54.46</v>
      </c>
      <c r="I32" s="9">
        <v>58.93</v>
      </c>
      <c r="J32" s="9">
        <v>62.7</v>
      </c>
      <c r="K32" s="9">
        <v>65.849999999999994</v>
      </c>
      <c r="L32" s="9">
        <v>73.150000000000006</v>
      </c>
      <c r="M32" s="9">
        <v>79.45</v>
      </c>
      <c r="N32" s="9">
        <v>87.75</v>
      </c>
      <c r="O32" s="9">
        <v>91.55</v>
      </c>
      <c r="P32" s="9">
        <v>98.69</v>
      </c>
    </row>
    <row r="33" spans="1:16">
      <c r="A33" s="1" t="s">
        <v>246</v>
      </c>
      <c r="B33" s="1" t="s">
        <v>239</v>
      </c>
      <c r="C33" s="1" t="s">
        <v>17</v>
      </c>
      <c r="D33" s="1" t="s">
        <v>220</v>
      </c>
      <c r="E33" s="6">
        <v>146</v>
      </c>
      <c r="F33" s="9">
        <v>72.44</v>
      </c>
      <c r="G33" s="9">
        <v>8.68</v>
      </c>
      <c r="H33" s="9">
        <v>50.89</v>
      </c>
      <c r="I33" s="9">
        <v>58.74</v>
      </c>
      <c r="J33" s="9">
        <v>61.92</v>
      </c>
      <c r="K33" s="9">
        <v>65.930000000000007</v>
      </c>
      <c r="L33" s="9">
        <v>72.95</v>
      </c>
      <c r="M33" s="9">
        <v>78.2</v>
      </c>
      <c r="N33" s="9">
        <v>83.23</v>
      </c>
      <c r="O33" s="9">
        <v>86.64</v>
      </c>
      <c r="P33" s="9">
        <v>97.3</v>
      </c>
    </row>
    <row r="34" spans="1:16">
      <c r="A34" s="1" t="s">
        <v>247</v>
      </c>
      <c r="B34" s="1" t="s">
        <v>239</v>
      </c>
      <c r="C34" s="1" t="s">
        <v>17</v>
      </c>
      <c r="D34" s="1" t="s">
        <v>222</v>
      </c>
      <c r="E34" s="6">
        <v>207</v>
      </c>
      <c r="F34" s="9">
        <v>72.05</v>
      </c>
      <c r="G34" s="9">
        <v>9.59</v>
      </c>
      <c r="H34" s="9">
        <v>53.56</v>
      </c>
      <c r="I34" s="9">
        <v>57.8</v>
      </c>
      <c r="J34" s="9">
        <v>60.18</v>
      </c>
      <c r="K34" s="9">
        <v>65</v>
      </c>
      <c r="L34" s="9">
        <v>71.599999999999994</v>
      </c>
      <c r="M34" s="9">
        <v>77.8</v>
      </c>
      <c r="N34" s="9">
        <v>84.22</v>
      </c>
      <c r="O34" s="9">
        <v>90.7</v>
      </c>
      <c r="P34" s="9">
        <v>95.46</v>
      </c>
    </row>
    <row r="35" spans="1:16">
      <c r="A35" s="1" t="s">
        <v>248</v>
      </c>
      <c r="B35" s="1" t="s">
        <v>239</v>
      </c>
      <c r="C35" s="1" t="s">
        <v>17</v>
      </c>
      <c r="D35" s="1" t="s">
        <v>224</v>
      </c>
      <c r="E35" s="6">
        <v>255</v>
      </c>
      <c r="F35" s="9">
        <v>68.98</v>
      </c>
      <c r="G35" s="9">
        <v>8.82</v>
      </c>
      <c r="H35" s="9">
        <v>50.45</v>
      </c>
      <c r="I35" s="9">
        <v>54.44</v>
      </c>
      <c r="J35" s="9">
        <v>57.96</v>
      </c>
      <c r="K35" s="9">
        <v>62.9</v>
      </c>
      <c r="L35" s="9">
        <v>68.2</v>
      </c>
      <c r="M35" s="9">
        <v>74</v>
      </c>
      <c r="N35" s="9">
        <v>80.400000000000006</v>
      </c>
      <c r="O35" s="9">
        <v>85.46</v>
      </c>
      <c r="P35" s="9">
        <v>93.72</v>
      </c>
    </row>
    <row r="36" spans="1:16">
      <c r="A36" s="1" t="s">
        <v>249</v>
      </c>
      <c r="B36" s="1" t="s">
        <v>239</v>
      </c>
      <c r="C36" s="1" t="s">
        <v>17</v>
      </c>
      <c r="D36" s="1" t="s">
        <v>226</v>
      </c>
      <c r="E36" s="6">
        <v>2319</v>
      </c>
      <c r="F36" s="9">
        <v>74.53</v>
      </c>
      <c r="G36" s="9">
        <v>11.17</v>
      </c>
      <c r="H36" s="9">
        <v>53.1</v>
      </c>
      <c r="I36" s="9">
        <v>58.7</v>
      </c>
      <c r="J36" s="9">
        <v>61.6</v>
      </c>
      <c r="K36" s="9">
        <v>66.599999999999994</v>
      </c>
      <c r="L36" s="9">
        <v>73.400000000000006</v>
      </c>
      <c r="M36" s="9">
        <v>80.8</v>
      </c>
      <c r="N36" s="9">
        <v>89.2</v>
      </c>
      <c r="O36" s="9">
        <v>94.2</v>
      </c>
      <c r="P36" s="9">
        <v>106.22</v>
      </c>
    </row>
    <row r="37" spans="1:16">
      <c r="A37" s="1" t="s">
        <v>250</v>
      </c>
      <c r="B37" s="1" t="s">
        <v>239</v>
      </c>
      <c r="C37" s="1" t="s">
        <v>19</v>
      </c>
      <c r="D37" s="1" t="s">
        <v>206</v>
      </c>
      <c r="E37" s="6">
        <v>271</v>
      </c>
      <c r="F37" s="9">
        <v>55.25</v>
      </c>
      <c r="G37" s="9">
        <v>8.89</v>
      </c>
      <c r="H37" s="9">
        <v>40.35</v>
      </c>
      <c r="I37" s="9">
        <v>43.4</v>
      </c>
      <c r="J37" s="9">
        <v>44.64</v>
      </c>
      <c r="K37" s="9">
        <v>48.7</v>
      </c>
      <c r="L37" s="9">
        <v>53.9</v>
      </c>
      <c r="M37" s="9">
        <v>59.8</v>
      </c>
      <c r="N37" s="9">
        <v>67.8</v>
      </c>
      <c r="O37" s="9">
        <v>72.38</v>
      </c>
      <c r="P37" s="9">
        <v>82.66</v>
      </c>
    </row>
    <row r="38" spans="1:16">
      <c r="A38" s="1" t="s">
        <v>251</v>
      </c>
      <c r="B38" s="1" t="s">
        <v>239</v>
      </c>
      <c r="C38" s="1" t="s">
        <v>19</v>
      </c>
      <c r="D38" s="1" t="s">
        <v>208</v>
      </c>
      <c r="E38" s="6">
        <v>304</v>
      </c>
      <c r="F38" s="9">
        <v>57.04</v>
      </c>
      <c r="G38" s="9">
        <v>9.59</v>
      </c>
      <c r="H38" s="9">
        <v>40.729999999999997</v>
      </c>
      <c r="I38" s="9">
        <v>45.03</v>
      </c>
      <c r="J38" s="9">
        <v>47.05</v>
      </c>
      <c r="K38" s="9">
        <v>50.23</v>
      </c>
      <c r="L38" s="9">
        <v>54.9</v>
      </c>
      <c r="M38" s="9">
        <v>62.5</v>
      </c>
      <c r="N38" s="9">
        <v>70.349999999999994</v>
      </c>
      <c r="O38" s="9">
        <v>73.95</v>
      </c>
      <c r="P38" s="9">
        <v>89.26</v>
      </c>
    </row>
    <row r="39" spans="1:16">
      <c r="A39" s="1" t="s">
        <v>252</v>
      </c>
      <c r="B39" s="1" t="s">
        <v>239</v>
      </c>
      <c r="C39" s="1" t="s">
        <v>19</v>
      </c>
      <c r="D39" s="1" t="s">
        <v>210</v>
      </c>
      <c r="E39" s="6">
        <v>275</v>
      </c>
      <c r="F39" s="9">
        <v>57.49</v>
      </c>
      <c r="G39" s="9">
        <v>9.7899999999999991</v>
      </c>
      <c r="H39" s="9">
        <v>39.770000000000003</v>
      </c>
      <c r="I39" s="9">
        <v>44.88</v>
      </c>
      <c r="J39" s="9">
        <v>46.46</v>
      </c>
      <c r="K39" s="9">
        <v>50.6</v>
      </c>
      <c r="L39" s="9">
        <v>55.7</v>
      </c>
      <c r="M39" s="9">
        <v>63.2</v>
      </c>
      <c r="N39" s="9">
        <v>70.8</v>
      </c>
      <c r="O39" s="9">
        <v>76.98</v>
      </c>
      <c r="P39" s="9">
        <v>85.63</v>
      </c>
    </row>
    <row r="40" spans="1:16">
      <c r="A40" s="1" t="s">
        <v>253</v>
      </c>
      <c r="B40" s="1" t="s">
        <v>239</v>
      </c>
      <c r="C40" s="1" t="s">
        <v>19</v>
      </c>
      <c r="D40" s="1" t="s">
        <v>212</v>
      </c>
      <c r="E40" s="6">
        <v>380</v>
      </c>
      <c r="F40" s="9">
        <v>58.17</v>
      </c>
      <c r="G40" s="9">
        <v>9.5500000000000007</v>
      </c>
      <c r="H40" s="9">
        <v>40.869999999999997</v>
      </c>
      <c r="I40" s="9">
        <v>45.73</v>
      </c>
      <c r="J40" s="9">
        <v>48.01</v>
      </c>
      <c r="K40" s="9">
        <v>51.8</v>
      </c>
      <c r="L40" s="9">
        <v>56.3</v>
      </c>
      <c r="M40" s="9">
        <v>62.88</v>
      </c>
      <c r="N40" s="9">
        <v>70.790000000000006</v>
      </c>
      <c r="O40" s="9">
        <v>78.7</v>
      </c>
      <c r="P40" s="9">
        <v>90.1</v>
      </c>
    </row>
    <row r="41" spans="1:16">
      <c r="A41" s="1" t="s">
        <v>254</v>
      </c>
      <c r="B41" s="1" t="s">
        <v>239</v>
      </c>
      <c r="C41" s="1" t="s">
        <v>19</v>
      </c>
      <c r="D41" s="1" t="s">
        <v>214</v>
      </c>
      <c r="E41" s="6">
        <v>352</v>
      </c>
      <c r="F41" s="9">
        <v>59.32</v>
      </c>
      <c r="G41" s="9">
        <v>10.039999999999999</v>
      </c>
      <c r="H41" s="9">
        <v>43.36</v>
      </c>
      <c r="I41" s="9">
        <v>46.5</v>
      </c>
      <c r="J41" s="9">
        <v>48.59</v>
      </c>
      <c r="K41" s="9">
        <v>52.33</v>
      </c>
      <c r="L41" s="9">
        <v>57.55</v>
      </c>
      <c r="M41" s="9">
        <v>64.400000000000006</v>
      </c>
      <c r="N41" s="9">
        <v>70.94</v>
      </c>
      <c r="O41" s="9">
        <v>76.44</v>
      </c>
      <c r="P41" s="9">
        <v>94.78</v>
      </c>
    </row>
    <row r="42" spans="1:16">
      <c r="A42" s="1" t="s">
        <v>255</v>
      </c>
      <c r="B42" s="1" t="s">
        <v>239</v>
      </c>
      <c r="C42" s="1" t="s">
        <v>19</v>
      </c>
      <c r="D42" s="1" t="s">
        <v>216</v>
      </c>
      <c r="E42" s="6">
        <v>225</v>
      </c>
      <c r="F42" s="9">
        <v>60.17</v>
      </c>
      <c r="G42" s="9">
        <v>9.27</v>
      </c>
      <c r="H42" s="9">
        <v>44.31</v>
      </c>
      <c r="I42" s="9">
        <v>48.03</v>
      </c>
      <c r="J42" s="9">
        <v>50.04</v>
      </c>
      <c r="K42" s="9">
        <v>53.55</v>
      </c>
      <c r="L42" s="9">
        <v>58.1</v>
      </c>
      <c r="M42" s="9">
        <v>64.349999999999994</v>
      </c>
      <c r="N42" s="9">
        <v>74.22</v>
      </c>
      <c r="O42" s="9">
        <v>79.02</v>
      </c>
      <c r="P42" s="9">
        <v>90.3</v>
      </c>
    </row>
    <row r="43" spans="1:16">
      <c r="A43" s="1" t="s">
        <v>256</v>
      </c>
      <c r="B43" s="1" t="s">
        <v>239</v>
      </c>
      <c r="C43" s="1" t="s">
        <v>19</v>
      </c>
      <c r="D43" s="1" t="s">
        <v>218</v>
      </c>
      <c r="E43" s="6">
        <v>270</v>
      </c>
      <c r="F43" s="9">
        <v>59.03</v>
      </c>
      <c r="G43" s="9">
        <v>8.91</v>
      </c>
      <c r="H43" s="9">
        <v>45.14</v>
      </c>
      <c r="I43" s="9">
        <v>47.76</v>
      </c>
      <c r="J43" s="9">
        <v>49.7</v>
      </c>
      <c r="K43" s="9">
        <v>53</v>
      </c>
      <c r="L43" s="9">
        <v>56.7</v>
      </c>
      <c r="M43" s="9">
        <v>62.95</v>
      </c>
      <c r="N43" s="9">
        <v>70.87</v>
      </c>
      <c r="O43" s="9">
        <v>77.180000000000007</v>
      </c>
      <c r="P43" s="9">
        <v>91.4</v>
      </c>
    </row>
    <row r="44" spans="1:16">
      <c r="A44" s="1" t="s">
        <v>257</v>
      </c>
      <c r="B44" s="1" t="s">
        <v>239</v>
      </c>
      <c r="C44" s="1" t="s">
        <v>19</v>
      </c>
      <c r="D44" s="1" t="s">
        <v>220</v>
      </c>
      <c r="E44" s="6">
        <v>230</v>
      </c>
      <c r="F44" s="9">
        <v>58.13</v>
      </c>
      <c r="G44" s="9">
        <v>8.68</v>
      </c>
      <c r="H44" s="9">
        <v>41.96</v>
      </c>
      <c r="I44" s="9">
        <v>46.14</v>
      </c>
      <c r="J44" s="9">
        <v>48.6</v>
      </c>
      <c r="K44" s="9">
        <v>52.35</v>
      </c>
      <c r="L44" s="9">
        <v>57.55</v>
      </c>
      <c r="M44" s="9">
        <v>62.13</v>
      </c>
      <c r="N44" s="9">
        <v>68.09</v>
      </c>
      <c r="O44" s="9">
        <v>71.59</v>
      </c>
      <c r="P44" s="9">
        <v>88.14</v>
      </c>
    </row>
    <row r="45" spans="1:16">
      <c r="A45" s="1" t="s">
        <v>258</v>
      </c>
      <c r="B45" s="1" t="s">
        <v>239</v>
      </c>
      <c r="C45" s="1" t="s">
        <v>19</v>
      </c>
      <c r="D45" s="1" t="s">
        <v>222</v>
      </c>
      <c r="E45" s="6">
        <v>228</v>
      </c>
      <c r="F45" s="9">
        <v>58.03</v>
      </c>
      <c r="G45" s="9">
        <v>7.69</v>
      </c>
      <c r="H45" s="9">
        <v>39.81</v>
      </c>
      <c r="I45" s="9">
        <v>47.59</v>
      </c>
      <c r="J45" s="9">
        <v>49.48</v>
      </c>
      <c r="K45" s="9">
        <v>52.5</v>
      </c>
      <c r="L45" s="9">
        <v>56.95</v>
      </c>
      <c r="M45" s="9">
        <v>63.13</v>
      </c>
      <c r="N45" s="9">
        <v>68.930000000000007</v>
      </c>
      <c r="O45" s="9">
        <v>72.709999999999994</v>
      </c>
      <c r="P45" s="9">
        <v>79.37</v>
      </c>
    </row>
    <row r="46" spans="1:16">
      <c r="A46" s="1" t="s">
        <v>259</v>
      </c>
      <c r="B46" s="1" t="s">
        <v>239</v>
      </c>
      <c r="C46" s="1" t="s">
        <v>19</v>
      </c>
      <c r="D46" s="1" t="s">
        <v>224</v>
      </c>
      <c r="E46" s="6">
        <v>238</v>
      </c>
      <c r="F46" s="9">
        <v>57.82</v>
      </c>
      <c r="G46" s="9">
        <v>7.15</v>
      </c>
      <c r="H46" s="9">
        <v>42.96</v>
      </c>
      <c r="I46" s="9">
        <v>47.59</v>
      </c>
      <c r="J46" s="9">
        <v>49.91</v>
      </c>
      <c r="K46" s="9">
        <v>52.5</v>
      </c>
      <c r="L46" s="9">
        <v>56.85</v>
      </c>
      <c r="M46" s="9">
        <v>62.58</v>
      </c>
      <c r="N46" s="9">
        <v>67.8</v>
      </c>
      <c r="O46" s="9">
        <v>72.709999999999994</v>
      </c>
      <c r="P46" s="9">
        <v>77.86</v>
      </c>
    </row>
    <row r="47" spans="1:16">
      <c r="A47" s="1" t="s">
        <v>260</v>
      </c>
      <c r="B47" s="1" t="s">
        <v>239</v>
      </c>
      <c r="C47" s="1" t="s">
        <v>19</v>
      </c>
      <c r="D47" s="1" t="s">
        <v>226</v>
      </c>
      <c r="E47" s="6">
        <v>2773</v>
      </c>
      <c r="F47" s="9">
        <v>58.04</v>
      </c>
      <c r="G47" s="9">
        <v>9.17</v>
      </c>
      <c r="H47" s="9">
        <v>41.8</v>
      </c>
      <c r="I47" s="9">
        <v>45.7</v>
      </c>
      <c r="J47" s="9">
        <v>47.84</v>
      </c>
      <c r="K47" s="9">
        <v>51.9</v>
      </c>
      <c r="L47" s="9">
        <v>56.5</v>
      </c>
      <c r="M47" s="9">
        <v>63</v>
      </c>
      <c r="N47" s="9">
        <v>70.3</v>
      </c>
      <c r="O47" s="9">
        <v>75.3</v>
      </c>
      <c r="P47" s="9">
        <v>87.19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입력_결과</vt:lpstr>
      <vt:lpstr>D_BMI</vt:lpstr>
      <vt:lpstr>D_WAIST</vt:lpstr>
      <vt:lpstr>D_SBP</vt:lpstr>
      <vt:lpstr>D_DBP</vt:lpstr>
      <vt:lpstr>D_FBG</vt:lpstr>
      <vt:lpstr>D_TC</vt:lpstr>
      <vt:lpstr>D_HDL</vt:lpstr>
      <vt:lpstr>D_TG</vt:lpstr>
      <vt:lpstr>D_LDL</vt:lpstr>
      <vt:lpstr>D_HB</vt:lpstr>
      <vt:lpstr>D_CR</vt:lpstr>
      <vt:lpstr>D_EGFR</vt:lpstr>
      <vt:lpstr>D_AST</vt:lpstr>
      <vt:lpstr>D_ALT</vt:lpstr>
      <vt:lpstr>D_GGT</vt:lpstr>
      <vt:lpstr>M_신장체중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2026-09-14T10:36:43Z</dcterms:created>
  <dcterms:modified xsi:type="dcterms:W3CDTF">2026-09-14T10:37:20Z</dcterms:modified>
</cp:coreProperties>
</file>